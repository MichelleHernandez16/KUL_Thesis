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Thesis\Data\"/>
    </mc:Choice>
  </mc:AlternateContent>
  <xr:revisionPtr revIDLastSave="0" documentId="8_{8E74F8DE-282F-4315-BDE2-5681ADF0B4F0}" xr6:coauthVersionLast="47" xr6:coauthVersionMax="47" xr10:uidLastSave="{00000000-0000-0000-0000-000000000000}"/>
  <bookViews>
    <workbookView xWindow="-108" yWindow="-108" windowWidth="23256" windowHeight="12456" xr2:uid="{47550B46-08B6-46AD-A72E-1E0445FC2B94}"/>
  </bookViews>
  <sheets>
    <sheet name="la_liga_stats_2010_2015_depured" sheetId="1" r:id="rId1"/>
  </sheets>
  <definedNames>
    <definedName name="_xlnm._FilterDatabase" localSheetId="0" hidden="1">la_liga_stats_2010_2015_depured!$A$1:$CB$1264</definedName>
  </definedNames>
  <calcPr calcId="0"/>
</workbook>
</file>

<file path=xl/calcChain.xml><?xml version="1.0" encoding="utf-8"?>
<calcChain xmlns="http://schemas.openxmlformats.org/spreadsheetml/2006/main">
  <c r="BK3" i="1" l="1"/>
  <c r="BL3" i="1"/>
  <c r="BM3" i="1"/>
  <c r="BN3" i="1"/>
  <c r="BO3" i="1"/>
  <c r="BP3" i="1"/>
  <c r="BK4" i="1"/>
  <c r="BL4" i="1"/>
  <c r="BM4" i="1"/>
  <c r="BN4" i="1"/>
  <c r="BO4" i="1"/>
  <c r="BP4" i="1"/>
  <c r="BK5" i="1"/>
  <c r="BL5" i="1"/>
  <c r="BM5" i="1"/>
  <c r="BP5" i="1" s="1"/>
  <c r="BN5" i="1"/>
  <c r="BO5" i="1"/>
  <c r="BK6" i="1"/>
  <c r="BL6" i="1"/>
  <c r="BM6" i="1"/>
  <c r="BN6" i="1"/>
  <c r="BO6" i="1"/>
  <c r="BP6" i="1"/>
  <c r="BK7" i="1"/>
  <c r="BL7" i="1"/>
  <c r="BO7" i="1" s="1"/>
  <c r="BM7" i="1"/>
  <c r="BN7" i="1"/>
  <c r="BP7" i="1"/>
  <c r="BK8" i="1"/>
  <c r="BL8" i="1"/>
  <c r="BM8" i="1"/>
  <c r="BP8" i="1" s="1"/>
  <c r="BN8" i="1"/>
  <c r="BO8" i="1"/>
  <c r="BK9" i="1"/>
  <c r="BL9" i="1"/>
  <c r="BM9" i="1"/>
  <c r="BN9" i="1"/>
  <c r="BO9" i="1"/>
  <c r="BP9" i="1"/>
  <c r="BK10" i="1"/>
  <c r="BL10" i="1"/>
  <c r="BO10" i="1" s="1"/>
  <c r="BM10" i="1"/>
  <c r="BN10" i="1"/>
  <c r="BP10" i="1"/>
  <c r="BK11" i="1"/>
  <c r="BL11" i="1"/>
  <c r="BM11" i="1"/>
  <c r="BP11" i="1" s="1"/>
  <c r="BN11" i="1"/>
  <c r="BO11" i="1"/>
  <c r="BK12" i="1"/>
  <c r="BN12" i="1" s="1"/>
  <c r="BL12" i="1"/>
  <c r="BO12" i="1" s="1"/>
  <c r="BM12" i="1"/>
  <c r="BP12" i="1"/>
  <c r="BK13" i="1"/>
  <c r="BL13" i="1"/>
  <c r="BM13" i="1"/>
  <c r="BP13" i="1" s="1"/>
  <c r="BN13" i="1"/>
  <c r="BO13" i="1"/>
  <c r="BK14" i="1"/>
  <c r="BN14" i="1" s="1"/>
  <c r="BL14" i="1"/>
  <c r="BM14" i="1"/>
  <c r="BO14" i="1"/>
  <c r="BP14" i="1"/>
  <c r="BK15" i="1"/>
  <c r="BL15" i="1"/>
  <c r="BM15" i="1"/>
  <c r="BP15" i="1" s="1"/>
  <c r="BN15" i="1"/>
  <c r="BO15" i="1"/>
  <c r="BK16" i="1"/>
  <c r="BN16" i="1" s="1"/>
  <c r="BL16" i="1"/>
  <c r="BO16" i="1" s="1"/>
  <c r="BM16" i="1"/>
  <c r="BP16" i="1"/>
  <c r="BK17" i="1"/>
  <c r="BL17" i="1"/>
  <c r="BM17" i="1"/>
  <c r="BP17" i="1" s="1"/>
  <c r="BN17" i="1"/>
  <c r="BO17" i="1"/>
  <c r="BK18" i="1"/>
  <c r="BN18" i="1" s="1"/>
  <c r="BL18" i="1"/>
  <c r="BM18" i="1"/>
  <c r="BO18" i="1"/>
  <c r="BP18" i="1"/>
  <c r="BK19" i="1"/>
  <c r="BL19" i="1"/>
  <c r="BM19" i="1"/>
  <c r="BP19" i="1" s="1"/>
  <c r="BN19" i="1"/>
  <c r="BO19" i="1"/>
  <c r="BK20" i="1"/>
  <c r="BN20" i="1" s="1"/>
  <c r="BL20" i="1"/>
  <c r="BO20" i="1" s="1"/>
  <c r="BM20" i="1"/>
  <c r="BP20" i="1"/>
  <c r="BK21" i="1"/>
  <c r="BL21" i="1"/>
  <c r="BM21" i="1"/>
  <c r="BP21" i="1" s="1"/>
  <c r="BN21" i="1"/>
  <c r="BO21" i="1"/>
  <c r="BK22" i="1"/>
  <c r="BN22" i="1" s="1"/>
  <c r="BL22" i="1"/>
  <c r="BM22" i="1"/>
  <c r="BO22" i="1"/>
  <c r="BP22" i="1"/>
  <c r="BK23" i="1"/>
  <c r="BL23" i="1"/>
  <c r="BM23" i="1"/>
  <c r="BP23" i="1" s="1"/>
  <c r="BN23" i="1"/>
  <c r="BO23" i="1"/>
  <c r="BK24" i="1"/>
  <c r="BN24" i="1" s="1"/>
  <c r="BL24" i="1"/>
  <c r="BO24" i="1" s="1"/>
  <c r="BM24" i="1"/>
  <c r="BP24" i="1"/>
  <c r="BK25" i="1"/>
  <c r="BL25" i="1"/>
  <c r="BM25" i="1"/>
  <c r="BP25" i="1" s="1"/>
  <c r="BN25" i="1"/>
  <c r="BO25" i="1"/>
  <c r="BK26" i="1"/>
  <c r="BN26" i="1" s="1"/>
  <c r="BL26" i="1"/>
  <c r="BM26" i="1"/>
  <c r="BO26" i="1"/>
  <c r="BP26" i="1"/>
  <c r="BK27" i="1"/>
  <c r="BL27" i="1"/>
  <c r="BM27" i="1"/>
  <c r="BP27" i="1" s="1"/>
  <c r="BN27" i="1"/>
  <c r="BO27" i="1"/>
  <c r="BK28" i="1"/>
  <c r="BN28" i="1" s="1"/>
  <c r="BL28" i="1"/>
  <c r="BO28" i="1" s="1"/>
  <c r="BM28" i="1"/>
  <c r="BP28" i="1"/>
  <c r="BK29" i="1"/>
  <c r="BL29" i="1"/>
  <c r="BM29" i="1"/>
  <c r="BP29" i="1" s="1"/>
  <c r="BN29" i="1"/>
  <c r="BO29" i="1"/>
  <c r="BK30" i="1"/>
  <c r="BN30" i="1" s="1"/>
  <c r="BL30" i="1"/>
  <c r="BM30" i="1"/>
  <c r="BO30" i="1"/>
  <c r="BP30" i="1"/>
  <c r="BK31" i="1"/>
  <c r="BL31" i="1"/>
  <c r="BM31" i="1"/>
  <c r="BP31" i="1" s="1"/>
  <c r="BN31" i="1"/>
  <c r="BO31" i="1"/>
  <c r="BK32" i="1"/>
  <c r="BN32" i="1" s="1"/>
  <c r="BL32" i="1"/>
  <c r="BO32" i="1" s="1"/>
  <c r="BM32" i="1"/>
  <c r="BP32" i="1"/>
  <c r="BK33" i="1"/>
  <c r="BL33" i="1"/>
  <c r="BM33" i="1"/>
  <c r="BP33" i="1" s="1"/>
  <c r="BN33" i="1"/>
  <c r="BO33" i="1"/>
  <c r="BK34" i="1"/>
  <c r="BN34" i="1" s="1"/>
  <c r="BL34" i="1"/>
  <c r="BM34" i="1"/>
  <c r="BP34" i="1" s="1"/>
  <c r="BO34" i="1"/>
  <c r="BK35" i="1"/>
  <c r="BL35" i="1"/>
  <c r="BM35" i="1"/>
  <c r="BP35" i="1" s="1"/>
  <c r="BN35" i="1"/>
  <c r="BO35" i="1"/>
  <c r="BK36" i="1"/>
  <c r="BN36" i="1" s="1"/>
  <c r="BL36" i="1"/>
  <c r="BO36" i="1" s="1"/>
  <c r="BM36" i="1"/>
  <c r="BP36" i="1"/>
  <c r="BK37" i="1"/>
  <c r="BN37" i="1" s="1"/>
  <c r="BL37" i="1"/>
  <c r="BM37" i="1"/>
  <c r="BP37" i="1" s="1"/>
  <c r="BO37" i="1"/>
  <c r="BK38" i="1"/>
  <c r="BN38" i="1" s="1"/>
  <c r="BL38" i="1"/>
  <c r="BM38" i="1"/>
  <c r="BP38" i="1" s="1"/>
  <c r="BO38" i="1"/>
  <c r="BK39" i="1"/>
  <c r="BL39" i="1"/>
  <c r="BM39" i="1"/>
  <c r="BP39" i="1" s="1"/>
  <c r="BN39" i="1"/>
  <c r="BO39" i="1"/>
  <c r="BK40" i="1"/>
  <c r="BN40" i="1" s="1"/>
  <c r="BL40" i="1"/>
  <c r="BO40" i="1" s="1"/>
  <c r="BM40" i="1"/>
  <c r="BP40" i="1"/>
  <c r="BK41" i="1"/>
  <c r="BN41" i="1" s="1"/>
  <c r="BL41" i="1"/>
  <c r="BM41" i="1"/>
  <c r="BP41" i="1" s="1"/>
  <c r="BO41" i="1"/>
  <c r="BK42" i="1"/>
  <c r="BN42" i="1" s="1"/>
  <c r="BL42" i="1"/>
  <c r="BM42" i="1"/>
  <c r="BO42" i="1"/>
  <c r="BP42" i="1"/>
  <c r="BK43" i="1"/>
  <c r="BL43" i="1"/>
  <c r="BM43" i="1"/>
  <c r="BP43" i="1" s="1"/>
  <c r="BN43" i="1"/>
  <c r="BO43" i="1"/>
  <c r="BK44" i="1"/>
  <c r="BN44" i="1" s="1"/>
  <c r="BL44" i="1"/>
  <c r="BO44" i="1" s="1"/>
  <c r="BM44" i="1"/>
  <c r="BP44" i="1" s="1"/>
  <c r="BK45" i="1"/>
  <c r="BN45" i="1" s="1"/>
  <c r="BL45" i="1"/>
  <c r="BM45" i="1"/>
  <c r="BP45" i="1" s="1"/>
  <c r="BO45" i="1"/>
  <c r="BK46" i="1"/>
  <c r="BN46" i="1" s="1"/>
  <c r="BL46" i="1"/>
  <c r="BM46" i="1"/>
  <c r="BO46" i="1"/>
  <c r="BP46" i="1"/>
  <c r="BK47" i="1"/>
  <c r="BL47" i="1"/>
  <c r="BM47" i="1"/>
  <c r="BP47" i="1" s="1"/>
  <c r="BN47" i="1"/>
  <c r="BO47" i="1"/>
  <c r="BK48" i="1"/>
  <c r="BN48" i="1" s="1"/>
  <c r="BL48" i="1"/>
  <c r="BO48" i="1" s="1"/>
  <c r="BM48" i="1"/>
  <c r="BP48" i="1"/>
  <c r="BK49" i="1"/>
  <c r="BL49" i="1"/>
  <c r="BM49" i="1"/>
  <c r="BP49" i="1" s="1"/>
  <c r="BN49" i="1"/>
  <c r="BO49" i="1"/>
  <c r="BK50" i="1"/>
  <c r="BN50" i="1" s="1"/>
  <c r="BL50" i="1"/>
  <c r="BM50" i="1"/>
  <c r="BP50" i="1" s="1"/>
  <c r="BO50" i="1"/>
  <c r="BK51" i="1"/>
  <c r="BL51" i="1"/>
  <c r="BM51" i="1"/>
  <c r="BP51" i="1" s="1"/>
  <c r="BN51" i="1"/>
  <c r="BO51" i="1"/>
  <c r="BK52" i="1"/>
  <c r="BN52" i="1" s="1"/>
  <c r="BL52" i="1"/>
  <c r="BO52" i="1" s="1"/>
  <c r="BM52" i="1"/>
  <c r="BP52" i="1"/>
  <c r="BK53" i="1"/>
  <c r="BN53" i="1" s="1"/>
  <c r="BL53" i="1"/>
  <c r="BM53" i="1"/>
  <c r="BP53" i="1" s="1"/>
  <c r="BO53" i="1"/>
  <c r="BK54" i="1"/>
  <c r="BN54" i="1" s="1"/>
  <c r="BL54" i="1"/>
  <c r="BM54" i="1"/>
  <c r="BP54" i="1" s="1"/>
  <c r="BO54" i="1"/>
  <c r="BK55" i="1"/>
  <c r="BL55" i="1"/>
  <c r="BM55" i="1"/>
  <c r="BP55" i="1" s="1"/>
  <c r="BN55" i="1"/>
  <c r="BO55" i="1"/>
  <c r="BK56" i="1"/>
  <c r="BN56" i="1" s="1"/>
  <c r="BL56" i="1"/>
  <c r="BO56" i="1" s="1"/>
  <c r="BM56" i="1"/>
  <c r="BP56" i="1"/>
  <c r="BK57" i="1"/>
  <c r="BN57" i="1" s="1"/>
  <c r="BL57" i="1"/>
  <c r="BM57" i="1"/>
  <c r="BP57" i="1" s="1"/>
  <c r="BO57" i="1"/>
  <c r="BK58" i="1"/>
  <c r="BN58" i="1" s="1"/>
  <c r="BL58" i="1"/>
  <c r="BM58" i="1"/>
  <c r="BO58" i="1"/>
  <c r="BP58" i="1"/>
  <c r="BK59" i="1"/>
  <c r="BL59" i="1"/>
  <c r="BM59" i="1"/>
  <c r="BP59" i="1" s="1"/>
  <c r="BN59" i="1"/>
  <c r="BO59" i="1"/>
  <c r="BK60" i="1"/>
  <c r="BN60" i="1" s="1"/>
  <c r="BL60" i="1"/>
  <c r="BO60" i="1" s="1"/>
  <c r="BM60" i="1"/>
  <c r="BP60" i="1" s="1"/>
  <c r="BK61" i="1"/>
  <c r="BN61" i="1" s="1"/>
  <c r="BL61" i="1"/>
  <c r="BM61" i="1"/>
  <c r="BP61" i="1" s="1"/>
  <c r="BO61" i="1"/>
  <c r="BK62" i="1"/>
  <c r="BN62" i="1" s="1"/>
  <c r="BL62" i="1"/>
  <c r="BM62" i="1"/>
  <c r="BO62" i="1"/>
  <c r="BP62" i="1"/>
  <c r="BK63" i="1"/>
  <c r="BL63" i="1"/>
  <c r="BM63" i="1"/>
  <c r="BP63" i="1" s="1"/>
  <c r="BN63" i="1"/>
  <c r="BO63" i="1"/>
  <c r="BK64" i="1"/>
  <c r="BN64" i="1" s="1"/>
  <c r="BL64" i="1"/>
  <c r="BO64" i="1" s="1"/>
  <c r="BM64" i="1"/>
  <c r="BP64" i="1"/>
  <c r="BK65" i="1"/>
  <c r="BL65" i="1"/>
  <c r="BM65" i="1"/>
  <c r="BP65" i="1" s="1"/>
  <c r="BN65" i="1"/>
  <c r="BO65" i="1"/>
  <c r="BK66" i="1"/>
  <c r="BN66" i="1" s="1"/>
  <c r="BL66" i="1"/>
  <c r="BM66" i="1"/>
  <c r="BP66" i="1" s="1"/>
  <c r="BO66" i="1"/>
  <c r="BK67" i="1"/>
  <c r="BL67" i="1"/>
  <c r="BM67" i="1"/>
  <c r="BP67" i="1" s="1"/>
  <c r="BN67" i="1"/>
  <c r="BO67" i="1"/>
  <c r="BK68" i="1"/>
  <c r="BN68" i="1" s="1"/>
  <c r="BL68" i="1"/>
  <c r="BO68" i="1" s="1"/>
  <c r="BM68" i="1"/>
  <c r="BP68" i="1"/>
  <c r="BK69" i="1"/>
  <c r="BN69" i="1" s="1"/>
  <c r="BL69" i="1"/>
  <c r="BM69" i="1"/>
  <c r="BP69" i="1" s="1"/>
  <c r="BO69" i="1"/>
  <c r="BK70" i="1"/>
  <c r="BN70" i="1" s="1"/>
  <c r="BL70" i="1"/>
  <c r="BM70" i="1"/>
  <c r="BP70" i="1" s="1"/>
  <c r="BO70" i="1"/>
  <c r="BK71" i="1"/>
  <c r="BL71" i="1"/>
  <c r="BM71" i="1"/>
  <c r="BP71" i="1" s="1"/>
  <c r="BN71" i="1"/>
  <c r="BO71" i="1"/>
  <c r="BK72" i="1"/>
  <c r="BN72" i="1" s="1"/>
  <c r="BL72" i="1"/>
  <c r="BO72" i="1" s="1"/>
  <c r="BM72" i="1"/>
  <c r="BP72" i="1"/>
  <c r="BK73" i="1"/>
  <c r="BN73" i="1" s="1"/>
  <c r="BL73" i="1"/>
  <c r="BM73" i="1"/>
  <c r="BP73" i="1" s="1"/>
  <c r="BO73" i="1"/>
  <c r="BK74" i="1"/>
  <c r="BN74" i="1" s="1"/>
  <c r="BL74" i="1"/>
  <c r="BM74" i="1"/>
  <c r="BO74" i="1"/>
  <c r="BP74" i="1"/>
  <c r="BK75" i="1"/>
  <c r="BL75" i="1"/>
  <c r="BM75" i="1"/>
  <c r="BP75" i="1" s="1"/>
  <c r="BN75" i="1"/>
  <c r="BO75" i="1"/>
  <c r="BK76" i="1"/>
  <c r="BN76" i="1" s="1"/>
  <c r="BL76" i="1"/>
  <c r="BO76" i="1" s="1"/>
  <c r="BM76" i="1"/>
  <c r="BP76" i="1" s="1"/>
  <c r="BK77" i="1"/>
  <c r="BN77" i="1" s="1"/>
  <c r="BL77" i="1"/>
  <c r="BM77" i="1"/>
  <c r="BP77" i="1" s="1"/>
  <c r="BO77" i="1"/>
  <c r="BK78" i="1"/>
  <c r="BN78" i="1" s="1"/>
  <c r="BL78" i="1"/>
  <c r="BM78" i="1"/>
  <c r="BO78" i="1"/>
  <c r="BP78" i="1"/>
  <c r="BK79" i="1"/>
  <c r="BL79" i="1"/>
  <c r="BM79" i="1"/>
  <c r="BP79" i="1" s="1"/>
  <c r="BN79" i="1"/>
  <c r="BO79" i="1"/>
  <c r="BK80" i="1"/>
  <c r="BN80" i="1" s="1"/>
  <c r="BL80" i="1"/>
  <c r="BO80" i="1" s="1"/>
  <c r="BM80" i="1"/>
  <c r="BP80" i="1"/>
  <c r="BK81" i="1"/>
  <c r="BL81" i="1"/>
  <c r="BM81" i="1"/>
  <c r="BP81" i="1" s="1"/>
  <c r="BN81" i="1"/>
  <c r="BO81" i="1"/>
  <c r="BK82" i="1"/>
  <c r="BN82" i="1" s="1"/>
  <c r="BL82" i="1"/>
  <c r="BM82" i="1"/>
  <c r="BP82" i="1" s="1"/>
  <c r="BO82" i="1"/>
  <c r="BK83" i="1"/>
  <c r="BL83" i="1"/>
  <c r="BM83" i="1"/>
  <c r="BP83" i="1" s="1"/>
  <c r="BN83" i="1"/>
  <c r="BO83" i="1"/>
  <c r="BK84" i="1"/>
  <c r="BN84" i="1" s="1"/>
  <c r="BL84" i="1"/>
  <c r="BO84" i="1" s="1"/>
  <c r="BM84" i="1"/>
  <c r="BP84" i="1"/>
  <c r="BK85" i="1"/>
  <c r="BN85" i="1" s="1"/>
  <c r="BL85" i="1"/>
  <c r="BM85" i="1"/>
  <c r="BP85" i="1" s="1"/>
  <c r="BO85" i="1"/>
  <c r="BK86" i="1"/>
  <c r="BN86" i="1" s="1"/>
  <c r="BL86" i="1"/>
  <c r="BM86" i="1"/>
  <c r="BP86" i="1" s="1"/>
  <c r="BO86" i="1"/>
  <c r="BK87" i="1"/>
  <c r="BL87" i="1"/>
  <c r="BM87" i="1"/>
  <c r="BP87" i="1" s="1"/>
  <c r="BN87" i="1"/>
  <c r="BO87" i="1"/>
  <c r="BK88" i="1"/>
  <c r="BN88" i="1" s="1"/>
  <c r="BL88" i="1"/>
  <c r="BO88" i="1" s="1"/>
  <c r="BM88" i="1"/>
  <c r="BP88" i="1"/>
  <c r="BK89" i="1"/>
  <c r="BN89" i="1" s="1"/>
  <c r="BL89" i="1"/>
  <c r="BM89" i="1"/>
  <c r="BP89" i="1" s="1"/>
  <c r="BO89" i="1"/>
  <c r="BK90" i="1"/>
  <c r="BN90" i="1" s="1"/>
  <c r="BL90" i="1"/>
  <c r="BM90" i="1"/>
  <c r="BO90" i="1"/>
  <c r="BP90" i="1"/>
  <c r="BK91" i="1"/>
  <c r="BL91" i="1"/>
  <c r="BM91" i="1"/>
  <c r="BP91" i="1" s="1"/>
  <c r="BN91" i="1"/>
  <c r="BO91" i="1"/>
  <c r="BK92" i="1"/>
  <c r="BN92" i="1" s="1"/>
  <c r="BL92" i="1"/>
  <c r="BO92" i="1" s="1"/>
  <c r="BM92" i="1"/>
  <c r="BP92" i="1" s="1"/>
  <c r="BK93" i="1"/>
  <c r="BN93" i="1" s="1"/>
  <c r="BL93" i="1"/>
  <c r="BM93" i="1"/>
  <c r="BP93" i="1" s="1"/>
  <c r="BO93" i="1"/>
  <c r="BK94" i="1"/>
  <c r="BN94" i="1" s="1"/>
  <c r="BL94" i="1"/>
  <c r="BM94" i="1"/>
  <c r="BO94" i="1"/>
  <c r="BP94" i="1"/>
  <c r="BK95" i="1"/>
  <c r="BL95" i="1"/>
  <c r="BO95" i="1" s="1"/>
  <c r="BM95" i="1"/>
  <c r="BN95" i="1"/>
  <c r="BP95" i="1"/>
  <c r="BK96" i="1"/>
  <c r="BL96" i="1"/>
  <c r="BO96" i="1" s="1"/>
  <c r="BM96" i="1"/>
  <c r="BN96" i="1"/>
  <c r="BP96" i="1"/>
  <c r="BK97" i="1"/>
  <c r="BL97" i="1"/>
  <c r="BO97" i="1" s="1"/>
  <c r="BM97" i="1"/>
  <c r="BN97" i="1"/>
  <c r="BP97" i="1"/>
  <c r="BK98" i="1"/>
  <c r="BN98" i="1" s="1"/>
  <c r="BL98" i="1"/>
  <c r="BM98" i="1"/>
  <c r="BO98" i="1"/>
  <c r="BP98" i="1"/>
  <c r="BK99" i="1"/>
  <c r="BL99" i="1"/>
  <c r="BO99" i="1" s="1"/>
  <c r="BM99" i="1"/>
  <c r="BP99" i="1" s="1"/>
  <c r="BN99" i="1"/>
  <c r="BK100" i="1"/>
  <c r="BN100" i="1" s="1"/>
  <c r="BL100" i="1"/>
  <c r="BO100" i="1" s="1"/>
  <c r="BM100" i="1"/>
  <c r="BP100" i="1"/>
  <c r="BK101" i="1"/>
  <c r="BL101" i="1"/>
  <c r="BO101" i="1" s="1"/>
  <c r="BM101" i="1"/>
  <c r="BP101" i="1" s="1"/>
  <c r="BN101" i="1"/>
  <c r="BK102" i="1"/>
  <c r="BN102" i="1" s="1"/>
  <c r="BL102" i="1"/>
  <c r="BO102" i="1" s="1"/>
  <c r="BM102" i="1"/>
  <c r="BP102" i="1"/>
  <c r="BK103" i="1"/>
  <c r="BL103" i="1"/>
  <c r="BO103" i="1" s="1"/>
  <c r="BM103" i="1"/>
  <c r="BN103" i="1"/>
  <c r="BP103" i="1"/>
  <c r="BK104" i="1"/>
  <c r="BL104" i="1"/>
  <c r="BO104" i="1" s="1"/>
  <c r="BM104" i="1"/>
  <c r="BN104" i="1"/>
  <c r="BP104" i="1"/>
  <c r="BK105" i="1"/>
  <c r="BL105" i="1"/>
  <c r="BO105" i="1" s="1"/>
  <c r="BM105" i="1"/>
  <c r="BN105" i="1"/>
  <c r="BP105" i="1"/>
  <c r="BK106" i="1"/>
  <c r="BN106" i="1" s="1"/>
  <c r="BL106" i="1"/>
  <c r="BM106" i="1"/>
  <c r="BO106" i="1"/>
  <c r="BP106" i="1"/>
  <c r="BK107" i="1"/>
  <c r="BL107" i="1"/>
  <c r="BO107" i="1" s="1"/>
  <c r="BM107" i="1"/>
  <c r="BP107" i="1" s="1"/>
  <c r="BN107" i="1"/>
  <c r="BK108" i="1"/>
  <c r="BN108" i="1" s="1"/>
  <c r="BL108" i="1"/>
  <c r="BO108" i="1" s="1"/>
  <c r="BM108" i="1"/>
  <c r="BP108" i="1"/>
  <c r="BK109" i="1"/>
  <c r="BL109" i="1"/>
  <c r="BO109" i="1" s="1"/>
  <c r="BM109" i="1"/>
  <c r="BP109" i="1" s="1"/>
  <c r="BN109" i="1"/>
  <c r="BK110" i="1"/>
  <c r="BN110" i="1" s="1"/>
  <c r="BL110" i="1"/>
  <c r="BO110" i="1" s="1"/>
  <c r="BM110" i="1"/>
  <c r="BP110" i="1"/>
  <c r="BK111" i="1"/>
  <c r="BL111" i="1"/>
  <c r="BO111" i="1" s="1"/>
  <c r="BM111" i="1"/>
  <c r="BN111" i="1"/>
  <c r="BP111" i="1"/>
  <c r="BK112" i="1"/>
  <c r="BL112" i="1"/>
  <c r="BO112" i="1" s="1"/>
  <c r="BM112" i="1"/>
  <c r="BN112" i="1"/>
  <c r="BP112" i="1"/>
  <c r="BK113" i="1"/>
  <c r="BL113" i="1"/>
  <c r="BO113" i="1" s="1"/>
  <c r="BM113" i="1"/>
  <c r="BN113" i="1"/>
  <c r="BP113" i="1"/>
  <c r="BK114" i="1"/>
  <c r="BN114" i="1" s="1"/>
  <c r="BL114" i="1"/>
  <c r="BM114" i="1"/>
  <c r="BO114" i="1"/>
  <c r="BP114" i="1"/>
  <c r="BK115" i="1"/>
  <c r="BL115" i="1"/>
  <c r="BO115" i="1" s="1"/>
  <c r="BM115" i="1"/>
  <c r="BP115" i="1" s="1"/>
  <c r="BN115" i="1"/>
  <c r="BK116" i="1"/>
  <c r="BN116" i="1" s="1"/>
  <c r="BL116" i="1"/>
  <c r="BO116" i="1" s="1"/>
  <c r="BM116" i="1"/>
  <c r="BP116" i="1"/>
  <c r="BK117" i="1"/>
  <c r="BL117" i="1"/>
  <c r="BO117" i="1" s="1"/>
  <c r="BM117" i="1"/>
  <c r="BP117" i="1" s="1"/>
  <c r="BN117" i="1"/>
  <c r="BK118" i="1"/>
  <c r="BN118" i="1" s="1"/>
  <c r="BL118" i="1"/>
  <c r="BO118" i="1" s="1"/>
  <c r="BM118" i="1"/>
  <c r="BP118" i="1"/>
  <c r="BK119" i="1"/>
  <c r="BL119" i="1"/>
  <c r="BO119" i="1" s="1"/>
  <c r="BM119" i="1"/>
  <c r="BN119" i="1"/>
  <c r="BP119" i="1"/>
  <c r="BK120" i="1"/>
  <c r="BL120" i="1"/>
  <c r="BO120" i="1" s="1"/>
  <c r="BM120" i="1"/>
  <c r="BN120" i="1"/>
  <c r="BP120" i="1"/>
  <c r="BK121" i="1"/>
  <c r="BL121" i="1"/>
  <c r="BO121" i="1" s="1"/>
  <c r="BM121" i="1"/>
  <c r="BN121" i="1"/>
  <c r="BP121" i="1"/>
  <c r="BK122" i="1"/>
  <c r="BN122" i="1" s="1"/>
  <c r="BL122" i="1"/>
  <c r="BM122" i="1"/>
  <c r="BO122" i="1"/>
  <c r="BP122" i="1"/>
  <c r="BK123" i="1"/>
  <c r="BL123" i="1"/>
  <c r="BO123" i="1" s="1"/>
  <c r="BM123" i="1"/>
  <c r="BP123" i="1" s="1"/>
  <c r="BN123" i="1"/>
  <c r="BK124" i="1"/>
  <c r="BN124" i="1" s="1"/>
  <c r="BL124" i="1"/>
  <c r="BO124" i="1" s="1"/>
  <c r="BM124" i="1"/>
  <c r="BP124" i="1"/>
  <c r="BK125" i="1"/>
  <c r="BL125" i="1"/>
  <c r="BO125" i="1" s="1"/>
  <c r="BM125" i="1"/>
  <c r="BP125" i="1" s="1"/>
  <c r="BN125" i="1"/>
  <c r="BK126" i="1"/>
  <c r="BN126" i="1" s="1"/>
  <c r="BL126" i="1"/>
  <c r="BO126" i="1" s="1"/>
  <c r="BM126" i="1"/>
  <c r="BP126" i="1"/>
  <c r="BK127" i="1"/>
  <c r="BL127" i="1"/>
  <c r="BO127" i="1" s="1"/>
  <c r="BM127" i="1"/>
  <c r="BN127" i="1"/>
  <c r="BP127" i="1"/>
  <c r="BK128" i="1"/>
  <c r="BL128" i="1"/>
  <c r="BO128" i="1" s="1"/>
  <c r="BM128" i="1"/>
  <c r="BN128" i="1"/>
  <c r="BP128" i="1"/>
  <c r="BK129" i="1"/>
  <c r="BL129" i="1"/>
  <c r="BO129" i="1" s="1"/>
  <c r="BM129" i="1"/>
  <c r="BN129" i="1"/>
  <c r="BP129" i="1"/>
  <c r="BK130" i="1"/>
  <c r="BN130" i="1" s="1"/>
  <c r="BL130" i="1"/>
  <c r="BM130" i="1"/>
  <c r="BO130" i="1"/>
  <c r="BP130" i="1"/>
  <c r="BK131" i="1"/>
  <c r="BL131" i="1"/>
  <c r="BO131" i="1" s="1"/>
  <c r="BM131" i="1"/>
  <c r="BP131" i="1" s="1"/>
  <c r="BN131" i="1"/>
  <c r="BK132" i="1"/>
  <c r="BN132" i="1" s="1"/>
  <c r="BL132" i="1"/>
  <c r="BO132" i="1" s="1"/>
  <c r="BM132" i="1"/>
  <c r="BP132" i="1"/>
  <c r="BK133" i="1"/>
  <c r="BL133" i="1"/>
  <c r="BO133" i="1" s="1"/>
  <c r="BM133" i="1"/>
  <c r="BP133" i="1" s="1"/>
  <c r="BN133" i="1"/>
  <c r="BK134" i="1"/>
  <c r="BN134" i="1" s="1"/>
  <c r="BL134" i="1"/>
  <c r="BO134" i="1" s="1"/>
  <c r="BM134" i="1"/>
  <c r="BP134" i="1"/>
  <c r="BK135" i="1"/>
  <c r="BL135" i="1"/>
  <c r="BO135" i="1" s="1"/>
  <c r="BM135" i="1"/>
  <c r="BN135" i="1"/>
  <c r="BP135" i="1"/>
  <c r="BK136" i="1"/>
  <c r="BL136" i="1"/>
  <c r="BO136" i="1" s="1"/>
  <c r="BM136" i="1"/>
  <c r="BN136" i="1"/>
  <c r="BP136" i="1"/>
  <c r="BK137" i="1"/>
  <c r="BL137" i="1"/>
  <c r="BO137" i="1" s="1"/>
  <c r="BM137" i="1"/>
  <c r="BN137" i="1"/>
  <c r="BP137" i="1"/>
  <c r="BK138" i="1"/>
  <c r="BN138" i="1" s="1"/>
  <c r="BL138" i="1"/>
  <c r="BM138" i="1"/>
  <c r="BO138" i="1"/>
  <c r="BP138" i="1"/>
  <c r="BK139" i="1"/>
  <c r="BL139" i="1"/>
  <c r="BO139" i="1" s="1"/>
  <c r="BM139" i="1"/>
  <c r="BP139" i="1" s="1"/>
  <c r="BN139" i="1"/>
  <c r="BK140" i="1"/>
  <c r="BN140" i="1" s="1"/>
  <c r="BL140" i="1"/>
  <c r="BO140" i="1" s="1"/>
  <c r="BM140" i="1"/>
  <c r="BP140" i="1"/>
  <c r="BK141" i="1"/>
  <c r="BL141" i="1"/>
  <c r="BO141" i="1" s="1"/>
  <c r="BM141" i="1"/>
  <c r="BP141" i="1" s="1"/>
  <c r="BN141" i="1"/>
  <c r="BK142" i="1"/>
  <c r="BN142" i="1" s="1"/>
  <c r="BL142" i="1"/>
  <c r="BO142" i="1" s="1"/>
  <c r="BM142" i="1"/>
  <c r="BP142" i="1"/>
  <c r="BK143" i="1"/>
  <c r="BL143" i="1"/>
  <c r="BO143" i="1" s="1"/>
  <c r="BM143" i="1"/>
  <c r="BN143" i="1"/>
  <c r="BP143" i="1"/>
  <c r="BK144" i="1"/>
  <c r="BL144" i="1"/>
  <c r="BO144" i="1" s="1"/>
  <c r="BM144" i="1"/>
  <c r="BN144" i="1"/>
  <c r="BP144" i="1"/>
  <c r="BK145" i="1"/>
  <c r="BL145" i="1"/>
  <c r="BO145" i="1" s="1"/>
  <c r="BM145" i="1"/>
  <c r="BN145" i="1"/>
  <c r="BP145" i="1"/>
  <c r="BK146" i="1"/>
  <c r="BN146" i="1" s="1"/>
  <c r="BL146" i="1"/>
  <c r="BM146" i="1"/>
  <c r="BO146" i="1"/>
  <c r="BP146" i="1"/>
  <c r="BK147" i="1"/>
  <c r="BL147" i="1"/>
  <c r="BO147" i="1" s="1"/>
  <c r="BM147" i="1"/>
  <c r="BP147" i="1" s="1"/>
  <c r="BN147" i="1"/>
  <c r="BK148" i="1"/>
  <c r="BN148" i="1" s="1"/>
  <c r="BL148" i="1"/>
  <c r="BO148" i="1" s="1"/>
  <c r="BM148" i="1"/>
  <c r="BP148" i="1"/>
  <c r="BK149" i="1"/>
  <c r="BL149" i="1"/>
  <c r="BO149" i="1" s="1"/>
  <c r="BM149" i="1"/>
  <c r="BP149" i="1" s="1"/>
  <c r="BN149" i="1"/>
  <c r="BK150" i="1"/>
  <c r="BN150" i="1" s="1"/>
  <c r="BL150" i="1"/>
  <c r="BO150" i="1" s="1"/>
  <c r="BM150" i="1"/>
  <c r="BP150" i="1"/>
  <c r="BK151" i="1"/>
  <c r="BL151" i="1"/>
  <c r="BO151" i="1" s="1"/>
  <c r="BM151" i="1"/>
  <c r="BN151" i="1"/>
  <c r="BP151" i="1"/>
  <c r="BK152" i="1"/>
  <c r="BL152" i="1"/>
  <c r="BO152" i="1" s="1"/>
  <c r="BM152" i="1"/>
  <c r="BN152" i="1"/>
  <c r="BP152" i="1"/>
  <c r="BK153" i="1"/>
  <c r="BL153" i="1"/>
  <c r="BO153" i="1" s="1"/>
  <c r="BM153" i="1"/>
  <c r="BN153" i="1"/>
  <c r="BP153" i="1"/>
  <c r="BK154" i="1"/>
  <c r="BN154" i="1" s="1"/>
  <c r="BL154" i="1"/>
  <c r="BM154" i="1"/>
  <c r="BO154" i="1"/>
  <c r="BP154" i="1"/>
  <c r="BK155" i="1"/>
  <c r="BL155" i="1"/>
  <c r="BO155" i="1" s="1"/>
  <c r="BM155" i="1"/>
  <c r="BP155" i="1" s="1"/>
  <c r="BN155" i="1"/>
  <c r="BK156" i="1"/>
  <c r="BN156" i="1" s="1"/>
  <c r="BL156" i="1"/>
  <c r="BO156" i="1" s="1"/>
  <c r="BM156" i="1"/>
  <c r="BP156" i="1"/>
  <c r="BK157" i="1"/>
  <c r="BL157" i="1"/>
  <c r="BO157" i="1" s="1"/>
  <c r="BM157" i="1"/>
  <c r="BP157" i="1" s="1"/>
  <c r="BN157" i="1"/>
  <c r="BK158" i="1"/>
  <c r="BN158" i="1" s="1"/>
  <c r="BL158" i="1"/>
  <c r="BO158" i="1" s="1"/>
  <c r="BM158" i="1"/>
  <c r="BP158" i="1"/>
  <c r="BK159" i="1"/>
  <c r="BL159" i="1"/>
  <c r="BO159" i="1" s="1"/>
  <c r="BM159" i="1"/>
  <c r="BN159" i="1"/>
  <c r="BP159" i="1"/>
  <c r="BK160" i="1"/>
  <c r="BL160" i="1"/>
  <c r="BO160" i="1" s="1"/>
  <c r="BM160" i="1"/>
  <c r="BN160" i="1"/>
  <c r="BP160" i="1"/>
  <c r="BK161" i="1"/>
  <c r="BL161" i="1"/>
  <c r="BO161" i="1" s="1"/>
  <c r="BM161" i="1"/>
  <c r="BN161" i="1"/>
  <c r="BP161" i="1"/>
  <c r="BK162" i="1"/>
  <c r="BN162" i="1" s="1"/>
  <c r="BL162" i="1"/>
  <c r="BM162" i="1"/>
  <c r="BO162" i="1"/>
  <c r="BP162" i="1"/>
  <c r="BK163" i="1"/>
  <c r="BL163" i="1"/>
  <c r="BO163" i="1" s="1"/>
  <c r="BM163" i="1"/>
  <c r="BP163" i="1" s="1"/>
  <c r="BN163" i="1"/>
  <c r="BK164" i="1"/>
  <c r="BN164" i="1" s="1"/>
  <c r="BL164" i="1"/>
  <c r="BO164" i="1" s="1"/>
  <c r="BM164" i="1"/>
  <c r="BP164" i="1"/>
  <c r="BK165" i="1"/>
  <c r="BL165" i="1"/>
  <c r="BO165" i="1" s="1"/>
  <c r="BM165" i="1"/>
  <c r="BP165" i="1" s="1"/>
  <c r="BN165" i="1"/>
  <c r="BK166" i="1"/>
  <c r="BN166" i="1" s="1"/>
  <c r="BL166" i="1"/>
  <c r="BO166" i="1" s="1"/>
  <c r="BM166" i="1"/>
  <c r="BP166" i="1"/>
  <c r="BK167" i="1"/>
  <c r="BL167" i="1"/>
  <c r="BO167" i="1" s="1"/>
  <c r="BM167" i="1"/>
  <c r="BN167" i="1"/>
  <c r="BP167" i="1"/>
  <c r="BK168" i="1"/>
  <c r="BL168" i="1"/>
  <c r="BO168" i="1" s="1"/>
  <c r="BM168" i="1"/>
  <c r="BN168" i="1"/>
  <c r="BP168" i="1"/>
  <c r="BK169" i="1"/>
  <c r="BL169" i="1"/>
  <c r="BO169" i="1" s="1"/>
  <c r="BM169" i="1"/>
  <c r="BN169" i="1"/>
  <c r="BP169" i="1"/>
  <c r="BK170" i="1"/>
  <c r="BN170" i="1" s="1"/>
  <c r="BL170" i="1"/>
  <c r="BM170" i="1"/>
  <c r="BO170" i="1"/>
  <c r="BP170" i="1"/>
  <c r="BK171" i="1"/>
  <c r="BL171" i="1"/>
  <c r="BO171" i="1" s="1"/>
  <c r="BM171" i="1"/>
  <c r="BP171" i="1" s="1"/>
  <c r="BN171" i="1"/>
  <c r="BK172" i="1"/>
  <c r="BN172" i="1" s="1"/>
  <c r="BL172" i="1"/>
  <c r="BO172" i="1" s="1"/>
  <c r="BM172" i="1"/>
  <c r="BP172" i="1"/>
  <c r="BK173" i="1"/>
  <c r="BL173" i="1"/>
  <c r="BO173" i="1" s="1"/>
  <c r="BM173" i="1"/>
  <c r="BP173" i="1" s="1"/>
  <c r="BN173" i="1"/>
  <c r="BK174" i="1"/>
  <c r="BN174" i="1" s="1"/>
  <c r="BL174" i="1"/>
  <c r="BO174" i="1" s="1"/>
  <c r="BM174" i="1"/>
  <c r="BP174" i="1"/>
  <c r="BK175" i="1"/>
  <c r="BL175" i="1"/>
  <c r="BO175" i="1" s="1"/>
  <c r="BM175" i="1"/>
  <c r="BN175" i="1"/>
  <c r="BP175" i="1"/>
  <c r="BK176" i="1"/>
  <c r="BL176" i="1"/>
  <c r="BO176" i="1" s="1"/>
  <c r="BM176" i="1"/>
  <c r="BN176" i="1"/>
  <c r="BP176" i="1"/>
  <c r="BK177" i="1"/>
  <c r="BL177" i="1"/>
  <c r="BO177" i="1" s="1"/>
  <c r="BM177" i="1"/>
  <c r="BN177" i="1"/>
  <c r="BP177" i="1"/>
  <c r="BK178" i="1"/>
  <c r="BN178" i="1" s="1"/>
  <c r="BL178" i="1"/>
  <c r="BM178" i="1"/>
  <c r="BO178" i="1"/>
  <c r="BP178" i="1"/>
  <c r="BK179" i="1"/>
  <c r="BL179" i="1"/>
  <c r="BO179" i="1" s="1"/>
  <c r="BM179" i="1"/>
  <c r="BP179" i="1" s="1"/>
  <c r="BN179" i="1"/>
  <c r="BK180" i="1"/>
  <c r="BN180" i="1" s="1"/>
  <c r="BL180" i="1"/>
  <c r="BO180" i="1" s="1"/>
  <c r="BM180" i="1"/>
  <c r="BP180" i="1"/>
  <c r="BK181" i="1"/>
  <c r="BL181" i="1"/>
  <c r="BO181" i="1" s="1"/>
  <c r="BM181" i="1"/>
  <c r="BP181" i="1" s="1"/>
  <c r="BN181" i="1"/>
  <c r="BK182" i="1"/>
  <c r="BN182" i="1" s="1"/>
  <c r="BL182" i="1"/>
  <c r="BO182" i="1" s="1"/>
  <c r="BM182" i="1"/>
  <c r="BP182" i="1"/>
  <c r="BK183" i="1"/>
  <c r="BL183" i="1"/>
  <c r="BO183" i="1" s="1"/>
  <c r="BM183" i="1"/>
  <c r="BN183" i="1"/>
  <c r="BP183" i="1"/>
  <c r="BK184" i="1"/>
  <c r="BL184" i="1"/>
  <c r="BO184" i="1" s="1"/>
  <c r="BM184" i="1"/>
  <c r="BN184" i="1"/>
  <c r="BP184" i="1"/>
  <c r="BK185" i="1"/>
  <c r="BL185" i="1"/>
  <c r="BO185" i="1" s="1"/>
  <c r="BM185" i="1"/>
  <c r="BN185" i="1"/>
  <c r="BP185" i="1"/>
  <c r="BK186" i="1"/>
  <c r="BN186" i="1" s="1"/>
  <c r="BL186" i="1"/>
  <c r="BM186" i="1"/>
  <c r="BO186" i="1"/>
  <c r="BP186" i="1"/>
  <c r="BK187" i="1"/>
  <c r="BL187" i="1"/>
  <c r="BO187" i="1" s="1"/>
  <c r="BM187" i="1"/>
  <c r="BP187" i="1" s="1"/>
  <c r="BN187" i="1"/>
  <c r="BK188" i="1"/>
  <c r="BN188" i="1" s="1"/>
  <c r="BL188" i="1"/>
  <c r="BO188" i="1" s="1"/>
  <c r="BM188" i="1"/>
  <c r="BP188" i="1"/>
  <c r="BK189" i="1"/>
  <c r="BL189" i="1"/>
  <c r="BO189" i="1" s="1"/>
  <c r="BM189" i="1"/>
  <c r="BP189" i="1" s="1"/>
  <c r="BN189" i="1"/>
  <c r="BK190" i="1"/>
  <c r="BN190" i="1" s="1"/>
  <c r="BL190" i="1"/>
  <c r="BO190" i="1" s="1"/>
  <c r="BM190" i="1"/>
  <c r="BP190" i="1"/>
  <c r="BK191" i="1"/>
  <c r="BL191" i="1"/>
  <c r="BO191" i="1" s="1"/>
  <c r="BM191" i="1"/>
  <c r="BN191" i="1"/>
  <c r="BP191" i="1"/>
  <c r="BK192" i="1"/>
  <c r="BL192" i="1"/>
  <c r="BO192" i="1" s="1"/>
  <c r="BM192" i="1"/>
  <c r="BN192" i="1"/>
  <c r="BP192" i="1"/>
  <c r="BK193" i="1"/>
  <c r="BL193" i="1"/>
  <c r="BO193" i="1" s="1"/>
  <c r="BM193" i="1"/>
  <c r="BN193" i="1"/>
  <c r="BP193" i="1"/>
  <c r="BK194" i="1"/>
  <c r="BN194" i="1" s="1"/>
  <c r="BL194" i="1"/>
  <c r="BM194" i="1"/>
  <c r="BO194" i="1"/>
  <c r="BP194" i="1"/>
  <c r="BK195" i="1"/>
  <c r="BL195" i="1"/>
  <c r="BO195" i="1" s="1"/>
  <c r="BM195" i="1"/>
  <c r="BP195" i="1" s="1"/>
  <c r="BN195" i="1"/>
  <c r="BK196" i="1"/>
  <c r="BN196" i="1" s="1"/>
  <c r="BL196" i="1"/>
  <c r="BO196" i="1" s="1"/>
  <c r="BM196" i="1"/>
  <c r="BP196" i="1"/>
  <c r="BK197" i="1"/>
  <c r="BL197" i="1"/>
  <c r="BO197" i="1" s="1"/>
  <c r="BM197" i="1"/>
  <c r="BP197" i="1" s="1"/>
  <c r="BN197" i="1"/>
  <c r="BK198" i="1"/>
  <c r="BN198" i="1" s="1"/>
  <c r="BL198" i="1"/>
  <c r="BO198" i="1" s="1"/>
  <c r="BM198" i="1"/>
  <c r="BP198" i="1"/>
  <c r="BK199" i="1"/>
  <c r="BL199" i="1"/>
  <c r="BO199" i="1" s="1"/>
  <c r="BM199" i="1"/>
  <c r="BN199" i="1"/>
  <c r="BP199" i="1"/>
  <c r="BK200" i="1"/>
  <c r="BL200" i="1"/>
  <c r="BO200" i="1" s="1"/>
  <c r="BM200" i="1"/>
  <c r="BN200" i="1"/>
  <c r="BP200" i="1"/>
  <c r="BK201" i="1"/>
  <c r="BL201" i="1"/>
  <c r="BO201" i="1" s="1"/>
  <c r="BM201" i="1"/>
  <c r="BN201" i="1"/>
  <c r="BP201" i="1"/>
  <c r="BK202" i="1"/>
  <c r="BN202" i="1" s="1"/>
  <c r="BL202" i="1"/>
  <c r="BM202" i="1"/>
  <c r="BO202" i="1"/>
  <c r="BP202" i="1"/>
  <c r="BK203" i="1"/>
  <c r="BL203" i="1"/>
  <c r="BO203" i="1" s="1"/>
  <c r="BM203" i="1"/>
  <c r="BP203" i="1" s="1"/>
  <c r="BN203" i="1"/>
  <c r="BK204" i="1"/>
  <c r="BN204" i="1" s="1"/>
  <c r="BL204" i="1"/>
  <c r="BO204" i="1" s="1"/>
  <c r="BM204" i="1"/>
  <c r="BP204" i="1"/>
  <c r="BK205" i="1"/>
  <c r="BL205" i="1"/>
  <c r="BO205" i="1" s="1"/>
  <c r="BM205" i="1"/>
  <c r="BP205" i="1" s="1"/>
  <c r="BN205" i="1"/>
  <c r="BK206" i="1"/>
  <c r="BN206" i="1" s="1"/>
  <c r="BL206" i="1"/>
  <c r="BO206" i="1" s="1"/>
  <c r="BM206" i="1"/>
  <c r="BP206" i="1"/>
  <c r="BK207" i="1"/>
  <c r="BL207" i="1"/>
  <c r="BO207" i="1" s="1"/>
  <c r="BM207" i="1"/>
  <c r="BN207" i="1"/>
  <c r="BP207" i="1"/>
  <c r="BK208" i="1"/>
  <c r="BL208" i="1"/>
  <c r="BO208" i="1" s="1"/>
  <c r="BM208" i="1"/>
  <c r="BN208" i="1"/>
  <c r="BP208" i="1"/>
  <c r="BK209" i="1"/>
  <c r="BL209" i="1"/>
  <c r="BO209" i="1" s="1"/>
  <c r="BM209" i="1"/>
  <c r="BN209" i="1"/>
  <c r="BP209" i="1"/>
  <c r="BK210" i="1"/>
  <c r="BN210" i="1" s="1"/>
  <c r="BL210" i="1"/>
  <c r="BM210" i="1"/>
  <c r="BO210" i="1"/>
  <c r="BP210" i="1"/>
  <c r="BK211" i="1"/>
  <c r="BL211" i="1"/>
  <c r="BO211" i="1" s="1"/>
  <c r="BM211" i="1"/>
  <c r="BP211" i="1" s="1"/>
  <c r="BN211" i="1"/>
  <c r="BK212" i="1"/>
  <c r="BN212" i="1" s="1"/>
  <c r="BL212" i="1"/>
  <c r="BO212" i="1" s="1"/>
  <c r="BM212" i="1"/>
  <c r="BP212" i="1"/>
  <c r="BK213" i="1"/>
  <c r="BL213" i="1"/>
  <c r="BO213" i="1" s="1"/>
  <c r="BM213" i="1"/>
  <c r="BP213" i="1" s="1"/>
  <c r="BN213" i="1"/>
  <c r="BK214" i="1"/>
  <c r="BN214" i="1" s="1"/>
  <c r="BL214" i="1"/>
  <c r="BO214" i="1" s="1"/>
  <c r="BM214" i="1"/>
  <c r="BP214" i="1"/>
  <c r="BK215" i="1"/>
  <c r="BL215" i="1"/>
  <c r="BO215" i="1" s="1"/>
  <c r="BM215" i="1"/>
  <c r="BN215" i="1"/>
  <c r="BP215" i="1"/>
  <c r="BK216" i="1"/>
  <c r="BL216" i="1"/>
  <c r="BO216" i="1" s="1"/>
  <c r="BM216" i="1"/>
  <c r="BN216" i="1"/>
  <c r="BP216" i="1"/>
  <c r="BK217" i="1"/>
  <c r="BL217" i="1"/>
  <c r="BO217" i="1" s="1"/>
  <c r="BM217" i="1"/>
  <c r="BN217" i="1"/>
  <c r="BP217" i="1"/>
  <c r="BK218" i="1"/>
  <c r="BN218" i="1" s="1"/>
  <c r="BL218" i="1"/>
  <c r="BM218" i="1"/>
  <c r="BO218" i="1"/>
  <c r="BP218" i="1"/>
  <c r="BK219" i="1"/>
  <c r="BL219" i="1"/>
  <c r="BO219" i="1" s="1"/>
  <c r="BM219" i="1"/>
  <c r="BP219" i="1" s="1"/>
  <c r="BN219" i="1"/>
  <c r="BK220" i="1"/>
  <c r="BN220" i="1" s="1"/>
  <c r="BL220" i="1"/>
  <c r="BO220" i="1" s="1"/>
  <c r="BM220" i="1"/>
  <c r="BP220" i="1"/>
  <c r="BK221" i="1"/>
  <c r="BL221" i="1"/>
  <c r="BO221" i="1" s="1"/>
  <c r="BM221" i="1"/>
  <c r="BP221" i="1" s="1"/>
  <c r="BN221" i="1"/>
  <c r="BK222" i="1"/>
  <c r="BN222" i="1" s="1"/>
  <c r="BL222" i="1"/>
  <c r="BO222" i="1" s="1"/>
  <c r="BM222" i="1"/>
  <c r="BP222" i="1" s="1"/>
  <c r="BK223" i="1"/>
  <c r="BN223" i="1" s="1"/>
  <c r="BL223" i="1"/>
  <c r="BM223" i="1"/>
  <c r="BP223" i="1" s="1"/>
  <c r="BO223" i="1"/>
  <c r="BK224" i="1"/>
  <c r="BN224" i="1" s="1"/>
  <c r="BL224" i="1"/>
  <c r="BO224" i="1" s="1"/>
  <c r="BM224" i="1"/>
  <c r="BP224" i="1" s="1"/>
  <c r="BK225" i="1"/>
  <c r="BN225" i="1" s="1"/>
  <c r="BL225" i="1"/>
  <c r="BM225" i="1"/>
  <c r="BP225" i="1" s="1"/>
  <c r="BO225" i="1"/>
  <c r="BK226" i="1"/>
  <c r="BN226" i="1" s="1"/>
  <c r="BL226" i="1"/>
  <c r="BO226" i="1" s="1"/>
  <c r="BM226" i="1"/>
  <c r="BP226" i="1" s="1"/>
  <c r="BK227" i="1"/>
  <c r="BN227" i="1" s="1"/>
  <c r="BL227" i="1"/>
  <c r="BM227" i="1"/>
  <c r="BP227" i="1" s="1"/>
  <c r="BO227" i="1"/>
  <c r="BK228" i="1"/>
  <c r="BN228" i="1" s="1"/>
  <c r="BL228" i="1"/>
  <c r="BO228" i="1" s="1"/>
  <c r="BM228" i="1"/>
  <c r="BP228" i="1" s="1"/>
  <c r="BK229" i="1"/>
  <c r="BN229" i="1" s="1"/>
  <c r="BL229" i="1"/>
  <c r="BM229" i="1"/>
  <c r="BP229" i="1" s="1"/>
  <c r="BO229" i="1"/>
  <c r="BK230" i="1"/>
  <c r="BN230" i="1" s="1"/>
  <c r="BL230" i="1"/>
  <c r="BO230" i="1" s="1"/>
  <c r="BM230" i="1"/>
  <c r="BP230" i="1" s="1"/>
  <c r="BK231" i="1"/>
  <c r="BN231" i="1" s="1"/>
  <c r="BL231" i="1"/>
  <c r="BM231" i="1"/>
  <c r="BP231" i="1" s="1"/>
  <c r="BO231" i="1"/>
  <c r="BK232" i="1"/>
  <c r="BN232" i="1" s="1"/>
  <c r="BL232" i="1"/>
  <c r="BO232" i="1" s="1"/>
  <c r="BM232" i="1"/>
  <c r="BP232" i="1" s="1"/>
  <c r="BK233" i="1"/>
  <c r="BN233" i="1" s="1"/>
  <c r="BL233" i="1"/>
  <c r="BM233" i="1"/>
  <c r="BP233" i="1" s="1"/>
  <c r="BO233" i="1"/>
  <c r="BK234" i="1"/>
  <c r="BN234" i="1" s="1"/>
  <c r="BL234" i="1"/>
  <c r="BO234" i="1" s="1"/>
  <c r="BM234" i="1"/>
  <c r="BP234" i="1" s="1"/>
  <c r="BK235" i="1"/>
  <c r="BN235" i="1" s="1"/>
  <c r="BL235" i="1"/>
  <c r="BM235" i="1"/>
  <c r="BP235" i="1" s="1"/>
  <c r="BO235" i="1"/>
  <c r="BK236" i="1"/>
  <c r="BN236" i="1" s="1"/>
  <c r="BL236" i="1"/>
  <c r="BO236" i="1" s="1"/>
  <c r="BM236" i="1"/>
  <c r="BP236" i="1" s="1"/>
  <c r="BK237" i="1"/>
  <c r="BN237" i="1" s="1"/>
  <c r="BL237" i="1"/>
  <c r="BM237" i="1"/>
  <c r="BP237" i="1" s="1"/>
  <c r="BO237" i="1"/>
  <c r="BK238" i="1"/>
  <c r="BN238" i="1" s="1"/>
  <c r="BL238" i="1"/>
  <c r="BO238" i="1" s="1"/>
  <c r="BM238" i="1"/>
  <c r="BP238" i="1" s="1"/>
  <c r="BK239" i="1"/>
  <c r="BN239" i="1" s="1"/>
  <c r="BL239" i="1"/>
  <c r="BM239" i="1"/>
  <c r="BP239" i="1" s="1"/>
  <c r="BO239" i="1"/>
  <c r="BK240" i="1"/>
  <c r="BN240" i="1" s="1"/>
  <c r="BL240" i="1"/>
  <c r="BO240" i="1" s="1"/>
  <c r="BM240" i="1"/>
  <c r="BP240" i="1" s="1"/>
  <c r="BK241" i="1"/>
  <c r="BN241" i="1" s="1"/>
  <c r="BL241" i="1"/>
  <c r="BM241" i="1"/>
  <c r="BP241" i="1" s="1"/>
  <c r="BO241" i="1"/>
  <c r="BK242" i="1"/>
  <c r="BN242" i="1" s="1"/>
  <c r="BL242" i="1"/>
  <c r="BO242" i="1" s="1"/>
  <c r="BM242" i="1"/>
  <c r="BP242" i="1" s="1"/>
  <c r="BK243" i="1"/>
  <c r="BN243" i="1" s="1"/>
  <c r="BL243" i="1"/>
  <c r="BM243" i="1"/>
  <c r="BP243" i="1" s="1"/>
  <c r="BO243" i="1"/>
  <c r="BK244" i="1"/>
  <c r="BN244" i="1" s="1"/>
  <c r="BL244" i="1"/>
  <c r="BO244" i="1" s="1"/>
  <c r="BM244" i="1"/>
  <c r="BP244" i="1" s="1"/>
  <c r="BK245" i="1"/>
  <c r="BN245" i="1" s="1"/>
  <c r="BL245" i="1"/>
  <c r="BM245" i="1"/>
  <c r="BP245" i="1" s="1"/>
  <c r="BO245" i="1"/>
  <c r="BK246" i="1"/>
  <c r="BN246" i="1" s="1"/>
  <c r="BL246" i="1"/>
  <c r="BO246" i="1" s="1"/>
  <c r="BM246" i="1"/>
  <c r="BP246" i="1" s="1"/>
  <c r="BK247" i="1"/>
  <c r="BN247" i="1" s="1"/>
  <c r="BL247" i="1"/>
  <c r="BM247" i="1"/>
  <c r="BP247" i="1" s="1"/>
  <c r="BO247" i="1"/>
  <c r="BK248" i="1"/>
  <c r="BN248" i="1" s="1"/>
  <c r="BL248" i="1"/>
  <c r="BO248" i="1" s="1"/>
  <c r="BM248" i="1"/>
  <c r="BP248" i="1" s="1"/>
  <c r="BK249" i="1"/>
  <c r="BN249" i="1" s="1"/>
  <c r="BL249" i="1"/>
  <c r="BM249" i="1"/>
  <c r="BP249" i="1" s="1"/>
  <c r="BO249" i="1"/>
  <c r="BK250" i="1"/>
  <c r="BN250" i="1" s="1"/>
  <c r="BL250" i="1"/>
  <c r="BO250" i="1" s="1"/>
  <c r="BM250" i="1"/>
  <c r="BP250" i="1" s="1"/>
  <c r="BK251" i="1"/>
  <c r="BN251" i="1" s="1"/>
  <c r="BL251" i="1"/>
  <c r="BM251" i="1"/>
  <c r="BP251" i="1" s="1"/>
  <c r="BO251" i="1"/>
  <c r="BK252" i="1"/>
  <c r="BN252" i="1" s="1"/>
  <c r="BL252" i="1"/>
  <c r="BO252" i="1" s="1"/>
  <c r="BM252" i="1"/>
  <c r="BP252" i="1" s="1"/>
  <c r="BK253" i="1"/>
  <c r="BN253" i="1" s="1"/>
  <c r="BL253" i="1"/>
  <c r="BM253" i="1"/>
  <c r="BP253" i="1" s="1"/>
  <c r="BO253" i="1"/>
  <c r="BK254" i="1"/>
  <c r="BN254" i="1" s="1"/>
  <c r="BL254" i="1"/>
  <c r="BO254" i="1" s="1"/>
  <c r="BM254" i="1"/>
  <c r="BP254" i="1" s="1"/>
  <c r="BK255" i="1"/>
  <c r="BN255" i="1" s="1"/>
  <c r="BL255" i="1"/>
  <c r="BM255" i="1"/>
  <c r="BP255" i="1" s="1"/>
  <c r="BO255" i="1"/>
  <c r="BK256" i="1"/>
  <c r="BN256" i="1" s="1"/>
  <c r="BL256" i="1"/>
  <c r="BO256" i="1" s="1"/>
  <c r="BM256" i="1"/>
  <c r="BP256" i="1" s="1"/>
  <c r="BK257" i="1"/>
  <c r="BN257" i="1" s="1"/>
  <c r="BL257" i="1"/>
  <c r="BM257" i="1"/>
  <c r="BP257" i="1" s="1"/>
  <c r="BO257" i="1"/>
  <c r="BK258" i="1"/>
  <c r="BN258" i="1" s="1"/>
  <c r="BL258" i="1"/>
  <c r="BO258" i="1" s="1"/>
  <c r="BM258" i="1"/>
  <c r="BP258" i="1" s="1"/>
  <c r="BK259" i="1"/>
  <c r="BN259" i="1" s="1"/>
  <c r="BL259" i="1"/>
  <c r="BM259" i="1"/>
  <c r="BP259" i="1" s="1"/>
  <c r="BO259" i="1"/>
  <c r="BK260" i="1"/>
  <c r="BN260" i="1" s="1"/>
  <c r="BL260" i="1"/>
  <c r="BO260" i="1" s="1"/>
  <c r="BM260" i="1"/>
  <c r="BP260" i="1" s="1"/>
  <c r="BK261" i="1"/>
  <c r="BN261" i="1" s="1"/>
  <c r="BL261" i="1"/>
  <c r="BM261" i="1"/>
  <c r="BP261" i="1" s="1"/>
  <c r="BO261" i="1"/>
  <c r="BK262" i="1"/>
  <c r="BN262" i="1" s="1"/>
  <c r="BL262" i="1"/>
  <c r="BO262" i="1" s="1"/>
  <c r="BM262" i="1"/>
  <c r="BP262" i="1" s="1"/>
  <c r="BK263" i="1"/>
  <c r="BN263" i="1" s="1"/>
  <c r="BL263" i="1"/>
  <c r="BM263" i="1"/>
  <c r="BP263" i="1" s="1"/>
  <c r="BO263" i="1"/>
  <c r="BK264" i="1"/>
  <c r="BN264" i="1" s="1"/>
  <c r="BL264" i="1"/>
  <c r="BO264" i="1" s="1"/>
  <c r="BM264" i="1"/>
  <c r="BP264" i="1" s="1"/>
  <c r="BK265" i="1"/>
  <c r="BN265" i="1" s="1"/>
  <c r="BL265" i="1"/>
  <c r="BM265" i="1"/>
  <c r="BP265" i="1" s="1"/>
  <c r="BO265" i="1"/>
  <c r="BK266" i="1"/>
  <c r="BN266" i="1" s="1"/>
  <c r="BL266" i="1"/>
  <c r="BO266" i="1" s="1"/>
  <c r="BM266" i="1"/>
  <c r="BP266" i="1" s="1"/>
  <c r="BK267" i="1"/>
  <c r="BN267" i="1" s="1"/>
  <c r="BL267" i="1"/>
  <c r="BM267" i="1"/>
  <c r="BP267" i="1" s="1"/>
  <c r="BO267" i="1"/>
  <c r="BK268" i="1"/>
  <c r="BN268" i="1" s="1"/>
  <c r="BL268" i="1"/>
  <c r="BO268" i="1" s="1"/>
  <c r="BM268" i="1"/>
  <c r="BP268" i="1" s="1"/>
  <c r="BK269" i="1"/>
  <c r="BN269" i="1" s="1"/>
  <c r="BL269" i="1"/>
  <c r="BM269" i="1"/>
  <c r="BP269" i="1" s="1"/>
  <c r="BO269" i="1"/>
  <c r="BK270" i="1"/>
  <c r="BN270" i="1" s="1"/>
  <c r="BL270" i="1"/>
  <c r="BO270" i="1" s="1"/>
  <c r="BM270" i="1"/>
  <c r="BP270" i="1" s="1"/>
  <c r="BK271" i="1"/>
  <c r="BN271" i="1" s="1"/>
  <c r="BL271" i="1"/>
  <c r="BM271" i="1"/>
  <c r="BP271" i="1" s="1"/>
  <c r="BO271" i="1"/>
  <c r="BK272" i="1"/>
  <c r="BN272" i="1" s="1"/>
  <c r="BL272" i="1"/>
  <c r="BO272" i="1" s="1"/>
  <c r="BM272" i="1"/>
  <c r="BP272" i="1"/>
  <c r="BK273" i="1"/>
  <c r="BN273" i="1" s="1"/>
  <c r="BL273" i="1"/>
  <c r="BM273" i="1"/>
  <c r="BP273" i="1" s="1"/>
  <c r="BO273" i="1"/>
  <c r="BK274" i="1"/>
  <c r="BN274" i="1" s="1"/>
  <c r="BL274" i="1"/>
  <c r="BO274" i="1" s="1"/>
  <c r="BM274" i="1"/>
  <c r="BP274" i="1"/>
  <c r="BK275" i="1"/>
  <c r="BL275" i="1"/>
  <c r="BM275" i="1"/>
  <c r="BP275" i="1" s="1"/>
  <c r="BN275" i="1"/>
  <c r="BO275" i="1"/>
  <c r="BK276" i="1"/>
  <c r="BN276" i="1" s="1"/>
  <c r="BL276" i="1"/>
  <c r="BO276" i="1" s="1"/>
  <c r="BM276" i="1"/>
  <c r="BP276" i="1" s="1"/>
  <c r="BK277" i="1"/>
  <c r="BN277" i="1" s="1"/>
  <c r="BL277" i="1"/>
  <c r="BM277" i="1"/>
  <c r="BP277" i="1" s="1"/>
  <c r="BO277" i="1"/>
  <c r="BK278" i="1"/>
  <c r="BN278" i="1" s="1"/>
  <c r="BL278" i="1"/>
  <c r="BO278" i="1" s="1"/>
  <c r="BM278" i="1"/>
  <c r="BP278" i="1"/>
  <c r="BK279" i="1"/>
  <c r="BN279" i="1" s="1"/>
  <c r="BL279" i="1"/>
  <c r="BM279" i="1"/>
  <c r="BP279" i="1" s="1"/>
  <c r="BO279" i="1"/>
  <c r="BK280" i="1"/>
  <c r="BN280" i="1" s="1"/>
  <c r="BL280" i="1"/>
  <c r="BO280" i="1" s="1"/>
  <c r="BM280" i="1"/>
  <c r="BP280" i="1"/>
  <c r="BK281" i="1"/>
  <c r="BN281" i="1" s="1"/>
  <c r="BL281" i="1"/>
  <c r="BM281" i="1"/>
  <c r="BP281" i="1" s="1"/>
  <c r="BO281" i="1"/>
  <c r="BK282" i="1"/>
  <c r="BN282" i="1" s="1"/>
  <c r="BL282" i="1"/>
  <c r="BO282" i="1" s="1"/>
  <c r="BM282" i="1"/>
  <c r="BP282" i="1"/>
  <c r="BK283" i="1"/>
  <c r="BL283" i="1"/>
  <c r="BM283" i="1"/>
  <c r="BP283" i="1" s="1"/>
  <c r="BN283" i="1"/>
  <c r="BO283" i="1"/>
  <c r="BK284" i="1"/>
  <c r="BN284" i="1" s="1"/>
  <c r="BL284" i="1"/>
  <c r="BO284" i="1" s="1"/>
  <c r="BM284" i="1"/>
  <c r="BP284" i="1" s="1"/>
  <c r="BK285" i="1"/>
  <c r="BN285" i="1" s="1"/>
  <c r="BL285" i="1"/>
  <c r="BM285" i="1"/>
  <c r="BP285" i="1" s="1"/>
  <c r="BO285" i="1"/>
  <c r="BK286" i="1"/>
  <c r="BN286" i="1" s="1"/>
  <c r="BL286" i="1"/>
  <c r="BO286" i="1" s="1"/>
  <c r="BM286" i="1"/>
  <c r="BP286" i="1"/>
  <c r="BK287" i="1"/>
  <c r="BN287" i="1" s="1"/>
  <c r="BL287" i="1"/>
  <c r="BM287" i="1"/>
  <c r="BP287" i="1" s="1"/>
  <c r="BO287" i="1"/>
  <c r="BK288" i="1"/>
  <c r="BN288" i="1" s="1"/>
  <c r="BL288" i="1"/>
  <c r="BO288" i="1" s="1"/>
  <c r="BM288" i="1"/>
  <c r="BP288" i="1"/>
  <c r="BK289" i="1"/>
  <c r="BN289" i="1" s="1"/>
  <c r="BL289" i="1"/>
  <c r="BM289" i="1"/>
  <c r="BP289" i="1" s="1"/>
  <c r="BO289" i="1"/>
  <c r="BK290" i="1"/>
  <c r="BN290" i="1" s="1"/>
  <c r="BL290" i="1"/>
  <c r="BO290" i="1" s="1"/>
  <c r="BM290" i="1"/>
  <c r="BP290" i="1"/>
  <c r="BK291" i="1"/>
  <c r="BL291" i="1"/>
  <c r="BM291" i="1"/>
  <c r="BP291" i="1" s="1"/>
  <c r="BN291" i="1"/>
  <c r="BO291" i="1"/>
  <c r="BK292" i="1"/>
  <c r="BN292" i="1" s="1"/>
  <c r="BL292" i="1"/>
  <c r="BO292" i="1" s="1"/>
  <c r="BM292" i="1"/>
  <c r="BP292" i="1" s="1"/>
  <c r="BK293" i="1"/>
  <c r="BN293" i="1" s="1"/>
  <c r="BL293" i="1"/>
  <c r="BM293" i="1"/>
  <c r="BP293" i="1" s="1"/>
  <c r="BO293" i="1"/>
  <c r="BK294" i="1"/>
  <c r="BN294" i="1" s="1"/>
  <c r="BL294" i="1"/>
  <c r="BO294" i="1" s="1"/>
  <c r="BM294" i="1"/>
  <c r="BP294" i="1"/>
  <c r="BK295" i="1"/>
  <c r="BN295" i="1" s="1"/>
  <c r="BL295" i="1"/>
  <c r="BM295" i="1"/>
  <c r="BP295" i="1" s="1"/>
  <c r="BO295" i="1"/>
  <c r="BK296" i="1"/>
  <c r="BN296" i="1" s="1"/>
  <c r="BL296" i="1"/>
  <c r="BO296" i="1" s="1"/>
  <c r="BM296" i="1"/>
  <c r="BP296" i="1"/>
  <c r="BK297" i="1"/>
  <c r="BN297" i="1" s="1"/>
  <c r="BL297" i="1"/>
  <c r="BM297" i="1"/>
  <c r="BP297" i="1" s="1"/>
  <c r="BO297" i="1"/>
  <c r="BK298" i="1"/>
  <c r="BN298" i="1" s="1"/>
  <c r="BL298" i="1"/>
  <c r="BO298" i="1" s="1"/>
  <c r="BM298" i="1"/>
  <c r="BP298" i="1"/>
  <c r="BK299" i="1"/>
  <c r="BL299" i="1"/>
  <c r="BM299" i="1"/>
  <c r="BP299" i="1" s="1"/>
  <c r="BN299" i="1"/>
  <c r="BO299" i="1"/>
  <c r="BK300" i="1"/>
  <c r="BN300" i="1" s="1"/>
  <c r="BL300" i="1"/>
  <c r="BO300" i="1" s="1"/>
  <c r="BM300" i="1"/>
  <c r="BP300" i="1" s="1"/>
  <c r="BK301" i="1"/>
  <c r="BN301" i="1" s="1"/>
  <c r="BL301" i="1"/>
  <c r="BM301" i="1"/>
  <c r="BP301" i="1" s="1"/>
  <c r="BO301" i="1"/>
  <c r="BK302" i="1"/>
  <c r="BN302" i="1" s="1"/>
  <c r="BL302" i="1"/>
  <c r="BO302" i="1" s="1"/>
  <c r="BM302" i="1"/>
  <c r="BP302" i="1"/>
  <c r="BK303" i="1"/>
  <c r="BN303" i="1" s="1"/>
  <c r="BL303" i="1"/>
  <c r="BM303" i="1"/>
  <c r="BP303" i="1" s="1"/>
  <c r="BO303" i="1"/>
  <c r="BK304" i="1"/>
  <c r="BN304" i="1" s="1"/>
  <c r="BL304" i="1"/>
  <c r="BO304" i="1" s="1"/>
  <c r="BM304" i="1"/>
  <c r="BP304" i="1"/>
  <c r="BK305" i="1"/>
  <c r="BN305" i="1" s="1"/>
  <c r="BL305" i="1"/>
  <c r="BM305" i="1"/>
  <c r="BP305" i="1" s="1"/>
  <c r="BO305" i="1"/>
  <c r="BK306" i="1"/>
  <c r="BN306" i="1" s="1"/>
  <c r="BL306" i="1"/>
  <c r="BO306" i="1" s="1"/>
  <c r="BM306" i="1"/>
  <c r="BP306" i="1"/>
  <c r="BK307" i="1"/>
  <c r="BL307" i="1"/>
  <c r="BM307" i="1"/>
  <c r="BP307" i="1" s="1"/>
  <c r="BN307" i="1"/>
  <c r="BO307" i="1"/>
  <c r="BK308" i="1"/>
  <c r="BN308" i="1" s="1"/>
  <c r="BL308" i="1"/>
  <c r="BO308" i="1" s="1"/>
  <c r="BM308" i="1"/>
  <c r="BP308" i="1" s="1"/>
  <c r="BK309" i="1"/>
  <c r="BN309" i="1" s="1"/>
  <c r="BL309" i="1"/>
  <c r="BM309" i="1"/>
  <c r="BP309" i="1" s="1"/>
  <c r="BO309" i="1"/>
  <c r="BK310" i="1"/>
  <c r="BN310" i="1" s="1"/>
  <c r="BL310" i="1"/>
  <c r="BO310" i="1" s="1"/>
  <c r="BM310" i="1"/>
  <c r="BP310" i="1"/>
  <c r="BK311" i="1"/>
  <c r="BN311" i="1" s="1"/>
  <c r="BL311" i="1"/>
  <c r="BM311" i="1"/>
  <c r="BP311" i="1" s="1"/>
  <c r="BO311" i="1"/>
  <c r="BK312" i="1"/>
  <c r="BN312" i="1" s="1"/>
  <c r="BL312" i="1"/>
  <c r="BM312" i="1"/>
  <c r="BP312" i="1" s="1"/>
  <c r="BO312" i="1"/>
  <c r="BK313" i="1"/>
  <c r="BN313" i="1" s="1"/>
  <c r="BL313" i="1"/>
  <c r="BM313" i="1"/>
  <c r="BP313" i="1" s="1"/>
  <c r="BO313" i="1"/>
  <c r="BK314" i="1"/>
  <c r="BN314" i="1" s="1"/>
  <c r="BL314" i="1"/>
  <c r="BO314" i="1" s="1"/>
  <c r="BM314" i="1"/>
  <c r="BP314" i="1"/>
  <c r="BK315" i="1"/>
  <c r="BN315" i="1" s="1"/>
  <c r="BL315" i="1"/>
  <c r="BM315" i="1"/>
  <c r="BP315" i="1" s="1"/>
  <c r="BO315" i="1"/>
  <c r="BK316" i="1"/>
  <c r="BN316" i="1" s="1"/>
  <c r="BL316" i="1"/>
  <c r="BM316" i="1"/>
  <c r="BP316" i="1" s="1"/>
  <c r="BO316" i="1"/>
  <c r="BK317" i="1"/>
  <c r="BN317" i="1" s="1"/>
  <c r="BL317" i="1"/>
  <c r="BM317" i="1"/>
  <c r="BP317" i="1" s="1"/>
  <c r="BO317" i="1"/>
  <c r="BK318" i="1"/>
  <c r="BN318" i="1" s="1"/>
  <c r="BL318" i="1"/>
  <c r="BO318" i="1" s="1"/>
  <c r="BM318" i="1"/>
  <c r="BP318" i="1"/>
  <c r="BK319" i="1"/>
  <c r="BN319" i="1" s="1"/>
  <c r="BL319" i="1"/>
  <c r="BM319" i="1"/>
  <c r="BP319" i="1" s="1"/>
  <c r="BO319" i="1"/>
  <c r="BK320" i="1"/>
  <c r="BN320" i="1" s="1"/>
  <c r="BL320" i="1"/>
  <c r="BM320" i="1"/>
  <c r="BP320" i="1" s="1"/>
  <c r="BO320" i="1"/>
  <c r="BK321" i="1"/>
  <c r="BN321" i="1" s="1"/>
  <c r="BL321" i="1"/>
  <c r="BM321" i="1"/>
  <c r="BP321" i="1" s="1"/>
  <c r="BO321" i="1"/>
  <c r="BK322" i="1"/>
  <c r="BN322" i="1" s="1"/>
  <c r="BL322" i="1"/>
  <c r="BO322" i="1" s="1"/>
  <c r="BM322" i="1"/>
  <c r="BP322" i="1"/>
  <c r="BK323" i="1"/>
  <c r="BN323" i="1" s="1"/>
  <c r="BL323" i="1"/>
  <c r="BM323" i="1"/>
  <c r="BP323" i="1" s="1"/>
  <c r="BO323" i="1"/>
  <c r="BK324" i="1"/>
  <c r="BN324" i="1" s="1"/>
  <c r="BL324" i="1"/>
  <c r="BM324" i="1"/>
  <c r="BP324" i="1" s="1"/>
  <c r="BO324" i="1"/>
  <c r="BK325" i="1"/>
  <c r="BN325" i="1" s="1"/>
  <c r="BL325" i="1"/>
  <c r="BO325" i="1" s="1"/>
  <c r="BM325" i="1"/>
  <c r="BP325" i="1" s="1"/>
  <c r="BK326" i="1"/>
  <c r="BN326" i="1" s="1"/>
  <c r="BL326" i="1"/>
  <c r="BM326" i="1"/>
  <c r="BP326" i="1" s="1"/>
  <c r="BO326" i="1"/>
  <c r="BK327" i="1"/>
  <c r="BN327" i="1" s="1"/>
  <c r="BL327" i="1"/>
  <c r="BO327" i="1" s="1"/>
  <c r="BM327" i="1"/>
  <c r="BP327" i="1" s="1"/>
  <c r="BK328" i="1"/>
  <c r="BN328" i="1" s="1"/>
  <c r="BL328" i="1"/>
  <c r="BM328" i="1"/>
  <c r="BP328" i="1" s="1"/>
  <c r="BO328" i="1"/>
  <c r="BK329" i="1"/>
  <c r="BN329" i="1" s="1"/>
  <c r="BL329" i="1"/>
  <c r="BO329" i="1" s="1"/>
  <c r="BM329" i="1"/>
  <c r="BP329" i="1" s="1"/>
  <c r="BK330" i="1"/>
  <c r="BN330" i="1" s="1"/>
  <c r="BL330" i="1"/>
  <c r="BM330" i="1"/>
  <c r="BP330" i="1" s="1"/>
  <c r="BO330" i="1"/>
  <c r="BK331" i="1"/>
  <c r="BN331" i="1" s="1"/>
  <c r="BL331" i="1"/>
  <c r="BO331" i="1" s="1"/>
  <c r="BM331" i="1"/>
  <c r="BP331" i="1" s="1"/>
  <c r="BK332" i="1"/>
  <c r="BN332" i="1" s="1"/>
  <c r="BL332" i="1"/>
  <c r="BM332" i="1"/>
  <c r="BP332" i="1" s="1"/>
  <c r="BO332" i="1"/>
  <c r="BK333" i="1"/>
  <c r="BN333" i="1" s="1"/>
  <c r="BL333" i="1"/>
  <c r="BO333" i="1" s="1"/>
  <c r="BM333" i="1"/>
  <c r="BP333" i="1" s="1"/>
  <c r="BK334" i="1"/>
  <c r="BN334" i="1" s="1"/>
  <c r="BL334" i="1"/>
  <c r="BM334" i="1"/>
  <c r="BP334" i="1" s="1"/>
  <c r="BO334" i="1"/>
  <c r="BK335" i="1"/>
  <c r="BN335" i="1" s="1"/>
  <c r="BL335" i="1"/>
  <c r="BO335" i="1" s="1"/>
  <c r="BM335" i="1"/>
  <c r="BP335" i="1" s="1"/>
  <c r="BK336" i="1"/>
  <c r="BN336" i="1" s="1"/>
  <c r="BL336" i="1"/>
  <c r="BM336" i="1"/>
  <c r="BP336" i="1" s="1"/>
  <c r="BO336" i="1"/>
  <c r="BK337" i="1"/>
  <c r="BN337" i="1" s="1"/>
  <c r="BL337" i="1"/>
  <c r="BO337" i="1" s="1"/>
  <c r="BM337" i="1"/>
  <c r="BP337" i="1" s="1"/>
  <c r="BK338" i="1"/>
  <c r="BN338" i="1" s="1"/>
  <c r="BL338" i="1"/>
  <c r="BM338" i="1"/>
  <c r="BP338" i="1" s="1"/>
  <c r="BO338" i="1"/>
  <c r="BK339" i="1"/>
  <c r="BN339" i="1" s="1"/>
  <c r="BL339" i="1"/>
  <c r="BO339" i="1" s="1"/>
  <c r="BM339" i="1"/>
  <c r="BP339" i="1" s="1"/>
  <c r="BK340" i="1"/>
  <c r="BN340" i="1" s="1"/>
  <c r="BL340" i="1"/>
  <c r="BM340" i="1"/>
  <c r="BP340" i="1" s="1"/>
  <c r="BO340" i="1"/>
  <c r="BK341" i="1"/>
  <c r="BN341" i="1" s="1"/>
  <c r="BL341" i="1"/>
  <c r="BO341" i="1" s="1"/>
  <c r="BM341" i="1"/>
  <c r="BP341" i="1" s="1"/>
  <c r="BK342" i="1"/>
  <c r="BN342" i="1" s="1"/>
  <c r="BL342" i="1"/>
  <c r="BM342" i="1"/>
  <c r="BP342" i="1" s="1"/>
  <c r="BO342" i="1"/>
  <c r="BK343" i="1"/>
  <c r="BN343" i="1" s="1"/>
  <c r="BL343" i="1"/>
  <c r="BO343" i="1" s="1"/>
  <c r="BM343" i="1"/>
  <c r="BP343" i="1" s="1"/>
  <c r="BK344" i="1"/>
  <c r="BN344" i="1" s="1"/>
  <c r="BL344" i="1"/>
  <c r="BM344" i="1"/>
  <c r="BP344" i="1" s="1"/>
  <c r="BO344" i="1"/>
  <c r="BK345" i="1"/>
  <c r="BN345" i="1" s="1"/>
  <c r="BL345" i="1"/>
  <c r="BO345" i="1" s="1"/>
  <c r="BM345" i="1"/>
  <c r="BP345" i="1" s="1"/>
  <c r="BK346" i="1"/>
  <c r="BN346" i="1" s="1"/>
  <c r="BL346" i="1"/>
  <c r="BM346" i="1"/>
  <c r="BP346" i="1" s="1"/>
  <c r="BO346" i="1"/>
  <c r="BK347" i="1"/>
  <c r="BN347" i="1" s="1"/>
  <c r="BL347" i="1"/>
  <c r="BO347" i="1" s="1"/>
  <c r="BM347" i="1"/>
  <c r="BP347" i="1" s="1"/>
  <c r="BK348" i="1"/>
  <c r="BN348" i="1" s="1"/>
  <c r="BL348" i="1"/>
  <c r="BM348" i="1"/>
  <c r="BP348" i="1" s="1"/>
  <c r="BO348" i="1"/>
  <c r="BK349" i="1"/>
  <c r="BN349" i="1" s="1"/>
  <c r="BL349" i="1"/>
  <c r="BO349" i="1" s="1"/>
  <c r="BM349" i="1"/>
  <c r="BP349" i="1" s="1"/>
  <c r="BK350" i="1"/>
  <c r="BN350" i="1" s="1"/>
  <c r="BL350" i="1"/>
  <c r="BM350" i="1"/>
  <c r="BP350" i="1" s="1"/>
  <c r="BO350" i="1"/>
  <c r="BK351" i="1"/>
  <c r="BN351" i="1" s="1"/>
  <c r="BL351" i="1"/>
  <c r="BO351" i="1" s="1"/>
  <c r="BM351" i="1"/>
  <c r="BP351" i="1" s="1"/>
  <c r="BK352" i="1"/>
  <c r="BN352" i="1" s="1"/>
  <c r="BL352" i="1"/>
  <c r="BM352" i="1"/>
  <c r="BP352" i="1" s="1"/>
  <c r="BO352" i="1"/>
  <c r="BK353" i="1"/>
  <c r="BN353" i="1" s="1"/>
  <c r="BL353" i="1"/>
  <c r="BO353" i="1" s="1"/>
  <c r="BM353" i="1"/>
  <c r="BP353" i="1" s="1"/>
  <c r="BK354" i="1"/>
  <c r="BN354" i="1" s="1"/>
  <c r="BL354" i="1"/>
  <c r="BM354" i="1"/>
  <c r="BP354" i="1" s="1"/>
  <c r="BO354" i="1"/>
  <c r="BK355" i="1"/>
  <c r="BN355" i="1" s="1"/>
  <c r="BL355" i="1"/>
  <c r="BO355" i="1" s="1"/>
  <c r="BM355" i="1"/>
  <c r="BP355" i="1" s="1"/>
  <c r="BK356" i="1"/>
  <c r="BN356" i="1" s="1"/>
  <c r="BL356" i="1"/>
  <c r="BM356" i="1"/>
  <c r="BP356" i="1" s="1"/>
  <c r="BO356" i="1"/>
  <c r="BK357" i="1"/>
  <c r="BN357" i="1" s="1"/>
  <c r="BL357" i="1"/>
  <c r="BO357" i="1" s="1"/>
  <c r="BM357" i="1"/>
  <c r="BP357" i="1" s="1"/>
  <c r="BK358" i="1"/>
  <c r="BN358" i="1" s="1"/>
  <c r="BL358" i="1"/>
  <c r="BM358" i="1"/>
  <c r="BP358" i="1" s="1"/>
  <c r="BO358" i="1"/>
  <c r="BK359" i="1"/>
  <c r="BN359" i="1" s="1"/>
  <c r="BL359" i="1"/>
  <c r="BO359" i="1" s="1"/>
  <c r="BM359" i="1"/>
  <c r="BP359" i="1" s="1"/>
  <c r="BK360" i="1"/>
  <c r="BN360" i="1" s="1"/>
  <c r="BL360" i="1"/>
  <c r="BM360" i="1"/>
  <c r="BP360" i="1" s="1"/>
  <c r="BO360" i="1"/>
  <c r="BK361" i="1"/>
  <c r="BN361" i="1" s="1"/>
  <c r="BL361" i="1"/>
  <c r="BO361" i="1" s="1"/>
  <c r="BM361" i="1"/>
  <c r="BP361" i="1" s="1"/>
  <c r="BK362" i="1"/>
  <c r="BN362" i="1" s="1"/>
  <c r="BL362" i="1"/>
  <c r="BM362" i="1"/>
  <c r="BP362" i="1" s="1"/>
  <c r="BO362" i="1"/>
  <c r="BK363" i="1"/>
  <c r="BN363" i="1" s="1"/>
  <c r="BL363" i="1"/>
  <c r="BO363" i="1" s="1"/>
  <c r="BM363" i="1"/>
  <c r="BP363" i="1" s="1"/>
  <c r="BK364" i="1"/>
  <c r="BN364" i="1" s="1"/>
  <c r="BL364" i="1"/>
  <c r="BM364" i="1"/>
  <c r="BP364" i="1" s="1"/>
  <c r="BO364" i="1"/>
  <c r="BK365" i="1"/>
  <c r="BN365" i="1" s="1"/>
  <c r="BL365" i="1"/>
  <c r="BO365" i="1" s="1"/>
  <c r="BM365" i="1"/>
  <c r="BP365" i="1" s="1"/>
  <c r="BK366" i="1"/>
  <c r="BN366" i="1" s="1"/>
  <c r="BL366" i="1"/>
  <c r="BM366" i="1"/>
  <c r="BP366" i="1" s="1"/>
  <c r="BO366" i="1"/>
  <c r="BK367" i="1"/>
  <c r="BN367" i="1" s="1"/>
  <c r="BL367" i="1"/>
  <c r="BO367" i="1" s="1"/>
  <c r="BM367" i="1"/>
  <c r="BP367" i="1" s="1"/>
  <c r="BK368" i="1"/>
  <c r="BN368" i="1" s="1"/>
  <c r="BL368" i="1"/>
  <c r="BM368" i="1"/>
  <c r="BP368" i="1" s="1"/>
  <c r="BO368" i="1"/>
  <c r="BK369" i="1"/>
  <c r="BN369" i="1" s="1"/>
  <c r="BL369" i="1"/>
  <c r="BO369" i="1" s="1"/>
  <c r="BM369" i="1"/>
  <c r="BP369" i="1" s="1"/>
  <c r="BK370" i="1"/>
  <c r="BN370" i="1" s="1"/>
  <c r="BL370" i="1"/>
  <c r="BM370" i="1"/>
  <c r="BP370" i="1" s="1"/>
  <c r="BO370" i="1"/>
  <c r="BK371" i="1"/>
  <c r="BN371" i="1" s="1"/>
  <c r="BL371" i="1"/>
  <c r="BO371" i="1" s="1"/>
  <c r="BM371" i="1"/>
  <c r="BP371" i="1" s="1"/>
  <c r="BK372" i="1"/>
  <c r="BN372" i="1" s="1"/>
  <c r="BL372" i="1"/>
  <c r="BM372" i="1"/>
  <c r="BP372" i="1" s="1"/>
  <c r="BO372" i="1"/>
  <c r="BK373" i="1"/>
  <c r="BN373" i="1" s="1"/>
  <c r="BL373" i="1"/>
  <c r="BO373" i="1" s="1"/>
  <c r="BM373" i="1"/>
  <c r="BP373" i="1" s="1"/>
  <c r="BK374" i="1"/>
  <c r="BN374" i="1" s="1"/>
  <c r="BL374" i="1"/>
  <c r="BM374" i="1"/>
  <c r="BP374" i="1" s="1"/>
  <c r="BO374" i="1"/>
  <c r="BK375" i="1"/>
  <c r="BN375" i="1" s="1"/>
  <c r="BL375" i="1"/>
  <c r="BO375" i="1" s="1"/>
  <c r="BM375" i="1"/>
  <c r="BP375" i="1" s="1"/>
  <c r="BK376" i="1"/>
  <c r="BN376" i="1" s="1"/>
  <c r="BL376" i="1"/>
  <c r="BM376" i="1"/>
  <c r="BP376" i="1" s="1"/>
  <c r="BO376" i="1"/>
  <c r="BK377" i="1"/>
  <c r="BN377" i="1" s="1"/>
  <c r="BL377" i="1"/>
  <c r="BO377" i="1" s="1"/>
  <c r="BM377" i="1"/>
  <c r="BP377" i="1" s="1"/>
  <c r="BK378" i="1"/>
  <c r="BN378" i="1" s="1"/>
  <c r="BL378" i="1"/>
  <c r="BM378" i="1"/>
  <c r="BP378" i="1" s="1"/>
  <c r="BO378" i="1"/>
  <c r="BK379" i="1"/>
  <c r="BN379" i="1" s="1"/>
  <c r="BL379" i="1"/>
  <c r="BO379" i="1" s="1"/>
  <c r="BM379" i="1"/>
  <c r="BP379" i="1" s="1"/>
  <c r="BK380" i="1"/>
  <c r="BN380" i="1" s="1"/>
  <c r="BL380" i="1"/>
  <c r="BM380" i="1"/>
  <c r="BP380" i="1" s="1"/>
  <c r="BO380" i="1"/>
  <c r="BK381" i="1"/>
  <c r="BN381" i="1" s="1"/>
  <c r="BL381" i="1"/>
  <c r="BO381" i="1" s="1"/>
  <c r="BM381" i="1"/>
  <c r="BP381" i="1" s="1"/>
  <c r="BK382" i="1"/>
  <c r="BN382" i="1" s="1"/>
  <c r="BL382" i="1"/>
  <c r="BM382" i="1"/>
  <c r="BP382" i="1" s="1"/>
  <c r="BO382" i="1"/>
  <c r="BK383" i="1"/>
  <c r="BN383" i="1" s="1"/>
  <c r="BL383" i="1"/>
  <c r="BO383" i="1" s="1"/>
  <c r="BM383" i="1"/>
  <c r="BP383" i="1" s="1"/>
  <c r="BK384" i="1"/>
  <c r="BN384" i="1" s="1"/>
  <c r="BL384" i="1"/>
  <c r="BM384" i="1"/>
  <c r="BP384" i="1" s="1"/>
  <c r="BO384" i="1"/>
  <c r="BK385" i="1"/>
  <c r="BN385" i="1" s="1"/>
  <c r="BL385" i="1"/>
  <c r="BO385" i="1" s="1"/>
  <c r="BM385" i="1"/>
  <c r="BP385" i="1" s="1"/>
  <c r="BK386" i="1"/>
  <c r="BN386" i="1" s="1"/>
  <c r="BL386" i="1"/>
  <c r="BM386" i="1"/>
  <c r="BP386" i="1" s="1"/>
  <c r="BO386" i="1"/>
  <c r="BK387" i="1"/>
  <c r="BN387" i="1" s="1"/>
  <c r="BL387" i="1"/>
  <c r="BO387" i="1" s="1"/>
  <c r="BM387" i="1"/>
  <c r="BP387" i="1" s="1"/>
  <c r="BK388" i="1"/>
  <c r="BN388" i="1" s="1"/>
  <c r="BL388" i="1"/>
  <c r="BM388" i="1"/>
  <c r="BP388" i="1" s="1"/>
  <c r="BO388" i="1"/>
  <c r="BK389" i="1"/>
  <c r="BN389" i="1" s="1"/>
  <c r="BL389" i="1"/>
  <c r="BO389" i="1" s="1"/>
  <c r="BM389" i="1"/>
  <c r="BP389" i="1" s="1"/>
  <c r="BK390" i="1"/>
  <c r="BN390" i="1" s="1"/>
  <c r="BL390" i="1"/>
  <c r="BM390" i="1"/>
  <c r="BP390" i="1" s="1"/>
  <c r="BO390" i="1"/>
  <c r="BK391" i="1"/>
  <c r="BN391" i="1" s="1"/>
  <c r="BL391" i="1"/>
  <c r="BO391" i="1" s="1"/>
  <c r="BM391" i="1"/>
  <c r="BP391" i="1" s="1"/>
  <c r="BK392" i="1"/>
  <c r="BN392" i="1" s="1"/>
  <c r="BL392" i="1"/>
  <c r="BM392" i="1"/>
  <c r="BP392" i="1" s="1"/>
  <c r="BO392" i="1"/>
  <c r="BK393" i="1"/>
  <c r="BN393" i="1" s="1"/>
  <c r="BL393" i="1"/>
  <c r="BO393" i="1" s="1"/>
  <c r="BM393" i="1"/>
  <c r="BP393" i="1" s="1"/>
  <c r="BK394" i="1"/>
  <c r="BN394" i="1" s="1"/>
  <c r="BL394" i="1"/>
  <c r="BM394" i="1"/>
  <c r="BP394" i="1" s="1"/>
  <c r="BO394" i="1"/>
  <c r="BK395" i="1"/>
  <c r="BN395" i="1" s="1"/>
  <c r="BL395" i="1"/>
  <c r="BO395" i="1" s="1"/>
  <c r="BM395" i="1"/>
  <c r="BP395" i="1" s="1"/>
  <c r="BK396" i="1"/>
  <c r="BN396" i="1" s="1"/>
  <c r="BL396" i="1"/>
  <c r="BM396" i="1"/>
  <c r="BP396" i="1" s="1"/>
  <c r="BO396" i="1"/>
  <c r="BK397" i="1"/>
  <c r="BN397" i="1" s="1"/>
  <c r="BL397" i="1"/>
  <c r="BO397" i="1" s="1"/>
  <c r="BM397" i="1"/>
  <c r="BP397" i="1" s="1"/>
  <c r="BK398" i="1"/>
  <c r="BN398" i="1" s="1"/>
  <c r="BL398" i="1"/>
  <c r="BM398" i="1"/>
  <c r="BP398" i="1" s="1"/>
  <c r="BO398" i="1"/>
  <c r="BK399" i="1"/>
  <c r="BN399" i="1" s="1"/>
  <c r="BL399" i="1"/>
  <c r="BO399" i="1" s="1"/>
  <c r="BM399" i="1"/>
  <c r="BP399" i="1" s="1"/>
  <c r="BK400" i="1"/>
  <c r="BN400" i="1" s="1"/>
  <c r="BL400" i="1"/>
  <c r="BM400" i="1"/>
  <c r="BP400" i="1" s="1"/>
  <c r="BO400" i="1"/>
  <c r="BK401" i="1"/>
  <c r="BN401" i="1" s="1"/>
  <c r="BL401" i="1"/>
  <c r="BO401" i="1" s="1"/>
  <c r="BM401" i="1"/>
  <c r="BP401" i="1" s="1"/>
  <c r="BK402" i="1"/>
  <c r="BN402" i="1" s="1"/>
  <c r="BL402" i="1"/>
  <c r="BM402" i="1"/>
  <c r="BP402" i="1" s="1"/>
  <c r="BO402" i="1"/>
  <c r="BK403" i="1"/>
  <c r="BN403" i="1" s="1"/>
  <c r="BL403" i="1"/>
  <c r="BO403" i="1" s="1"/>
  <c r="BM403" i="1"/>
  <c r="BP403" i="1" s="1"/>
  <c r="BK404" i="1"/>
  <c r="BN404" i="1" s="1"/>
  <c r="BL404" i="1"/>
  <c r="BM404" i="1"/>
  <c r="BP404" i="1" s="1"/>
  <c r="BO404" i="1"/>
  <c r="BK405" i="1"/>
  <c r="BN405" i="1" s="1"/>
  <c r="BL405" i="1"/>
  <c r="BO405" i="1" s="1"/>
  <c r="BM405" i="1"/>
  <c r="BP405" i="1" s="1"/>
  <c r="BK406" i="1"/>
  <c r="BN406" i="1" s="1"/>
  <c r="BL406" i="1"/>
  <c r="BM406" i="1"/>
  <c r="BP406" i="1" s="1"/>
  <c r="BO406" i="1"/>
  <c r="BK407" i="1"/>
  <c r="BN407" i="1" s="1"/>
  <c r="BL407" i="1"/>
  <c r="BO407" i="1" s="1"/>
  <c r="BM407" i="1"/>
  <c r="BP407" i="1" s="1"/>
  <c r="BK408" i="1"/>
  <c r="BN408" i="1" s="1"/>
  <c r="BL408" i="1"/>
  <c r="BM408" i="1"/>
  <c r="BP408" i="1" s="1"/>
  <c r="BO408" i="1"/>
  <c r="BK409" i="1"/>
  <c r="BN409" i="1" s="1"/>
  <c r="BL409" i="1"/>
  <c r="BO409" i="1" s="1"/>
  <c r="BM409" i="1"/>
  <c r="BP409" i="1" s="1"/>
  <c r="BK410" i="1"/>
  <c r="BN410" i="1" s="1"/>
  <c r="BL410" i="1"/>
  <c r="BM410" i="1"/>
  <c r="BP410" i="1" s="1"/>
  <c r="BO410" i="1"/>
  <c r="BK411" i="1"/>
  <c r="BN411" i="1" s="1"/>
  <c r="BL411" i="1"/>
  <c r="BO411" i="1" s="1"/>
  <c r="BM411" i="1"/>
  <c r="BP411" i="1" s="1"/>
  <c r="BK412" i="1"/>
  <c r="BN412" i="1" s="1"/>
  <c r="BL412" i="1"/>
  <c r="BM412" i="1"/>
  <c r="BP412" i="1" s="1"/>
  <c r="BO412" i="1"/>
  <c r="BK413" i="1"/>
  <c r="BN413" i="1" s="1"/>
  <c r="BL413" i="1"/>
  <c r="BO413" i="1" s="1"/>
  <c r="BM413" i="1"/>
  <c r="BP413" i="1" s="1"/>
  <c r="BK414" i="1"/>
  <c r="BN414" i="1" s="1"/>
  <c r="BL414" i="1"/>
  <c r="BM414" i="1"/>
  <c r="BP414" i="1" s="1"/>
  <c r="BO414" i="1"/>
  <c r="BK415" i="1"/>
  <c r="BN415" i="1" s="1"/>
  <c r="BL415" i="1"/>
  <c r="BO415" i="1" s="1"/>
  <c r="BM415" i="1"/>
  <c r="BP415" i="1" s="1"/>
  <c r="BK416" i="1"/>
  <c r="BN416" i="1" s="1"/>
  <c r="BL416" i="1"/>
  <c r="BM416" i="1"/>
  <c r="BP416" i="1" s="1"/>
  <c r="BO416" i="1"/>
  <c r="BK417" i="1"/>
  <c r="BN417" i="1" s="1"/>
  <c r="BL417" i="1"/>
  <c r="BO417" i="1" s="1"/>
  <c r="BM417" i="1"/>
  <c r="BP417" i="1" s="1"/>
  <c r="BK418" i="1"/>
  <c r="BN418" i="1" s="1"/>
  <c r="BL418" i="1"/>
  <c r="BM418" i="1"/>
  <c r="BP418" i="1" s="1"/>
  <c r="BO418" i="1"/>
  <c r="BK419" i="1"/>
  <c r="BN419" i="1" s="1"/>
  <c r="BL419" i="1"/>
  <c r="BO419" i="1" s="1"/>
  <c r="BM419" i="1"/>
  <c r="BP419" i="1" s="1"/>
  <c r="BK420" i="1"/>
  <c r="BN420" i="1" s="1"/>
  <c r="BL420" i="1"/>
  <c r="BM420" i="1"/>
  <c r="BP420" i="1" s="1"/>
  <c r="BO420" i="1"/>
  <c r="BK421" i="1"/>
  <c r="BN421" i="1" s="1"/>
  <c r="BL421" i="1"/>
  <c r="BO421" i="1" s="1"/>
  <c r="BM421" i="1"/>
  <c r="BP421" i="1" s="1"/>
  <c r="BK422" i="1"/>
  <c r="BN422" i="1" s="1"/>
  <c r="BL422" i="1"/>
  <c r="BM422" i="1"/>
  <c r="BP422" i="1" s="1"/>
  <c r="BO422" i="1"/>
  <c r="BK423" i="1"/>
  <c r="BN423" i="1" s="1"/>
  <c r="BL423" i="1"/>
  <c r="BO423" i="1" s="1"/>
  <c r="BM423" i="1"/>
  <c r="BP423" i="1" s="1"/>
  <c r="BK424" i="1"/>
  <c r="BN424" i="1" s="1"/>
  <c r="BL424" i="1"/>
  <c r="BM424" i="1"/>
  <c r="BP424" i="1" s="1"/>
  <c r="BO424" i="1"/>
  <c r="BK425" i="1"/>
  <c r="BN425" i="1" s="1"/>
  <c r="BL425" i="1"/>
  <c r="BO425" i="1" s="1"/>
  <c r="BM425" i="1"/>
  <c r="BP425" i="1" s="1"/>
  <c r="BK426" i="1"/>
  <c r="BN426" i="1" s="1"/>
  <c r="BL426" i="1"/>
  <c r="BM426" i="1"/>
  <c r="BP426" i="1" s="1"/>
  <c r="BO426" i="1"/>
  <c r="BK427" i="1"/>
  <c r="BN427" i="1" s="1"/>
  <c r="BL427" i="1"/>
  <c r="BO427" i="1" s="1"/>
  <c r="BM427" i="1"/>
  <c r="BP427" i="1" s="1"/>
  <c r="BK428" i="1"/>
  <c r="BN428" i="1" s="1"/>
  <c r="BL428" i="1"/>
  <c r="BM428" i="1"/>
  <c r="BP428" i="1" s="1"/>
  <c r="BO428" i="1"/>
  <c r="BK429" i="1"/>
  <c r="BN429" i="1" s="1"/>
  <c r="BL429" i="1"/>
  <c r="BO429" i="1" s="1"/>
  <c r="BM429" i="1"/>
  <c r="BP429" i="1" s="1"/>
  <c r="BK430" i="1"/>
  <c r="BN430" i="1" s="1"/>
  <c r="BL430" i="1"/>
  <c r="BM430" i="1"/>
  <c r="BP430" i="1" s="1"/>
  <c r="BO430" i="1"/>
  <c r="BK431" i="1"/>
  <c r="BN431" i="1" s="1"/>
  <c r="BL431" i="1"/>
  <c r="BO431" i="1" s="1"/>
  <c r="BM431" i="1"/>
  <c r="BP431" i="1" s="1"/>
  <c r="BK432" i="1"/>
  <c r="BN432" i="1" s="1"/>
  <c r="BL432" i="1"/>
  <c r="BM432" i="1"/>
  <c r="BP432" i="1" s="1"/>
  <c r="BO432" i="1"/>
  <c r="BK433" i="1"/>
  <c r="BN433" i="1" s="1"/>
  <c r="BL433" i="1"/>
  <c r="BO433" i="1" s="1"/>
  <c r="BM433" i="1"/>
  <c r="BP433" i="1" s="1"/>
  <c r="BK434" i="1"/>
  <c r="BN434" i="1" s="1"/>
  <c r="BL434" i="1"/>
  <c r="BM434" i="1"/>
  <c r="BP434" i="1" s="1"/>
  <c r="BO434" i="1"/>
  <c r="BK435" i="1"/>
  <c r="BN435" i="1" s="1"/>
  <c r="BL435" i="1"/>
  <c r="BO435" i="1" s="1"/>
  <c r="BM435" i="1"/>
  <c r="BP435" i="1" s="1"/>
  <c r="BK436" i="1"/>
  <c r="BN436" i="1" s="1"/>
  <c r="BL436" i="1"/>
  <c r="BM436" i="1"/>
  <c r="BP436" i="1" s="1"/>
  <c r="BO436" i="1"/>
  <c r="BK437" i="1"/>
  <c r="BN437" i="1" s="1"/>
  <c r="BL437" i="1"/>
  <c r="BO437" i="1" s="1"/>
  <c r="BM437" i="1"/>
  <c r="BP437" i="1" s="1"/>
  <c r="BK438" i="1"/>
  <c r="BN438" i="1" s="1"/>
  <c r="BL438" i="1"/>
  <c r="BM438" i="1"/>
  <c r="BP438" i="1" s="1"/>
  <c r="BO438" i="1"/>
  <c r="BK439" i="1"/>
  <c r="BN439" i="1" s="1"/>
  <c r="BL439" i="1"/>
  <c r="BO439" i="1" s="1"/>
  <c r="BM439" i="1"/>
  <c r="BP439" i="1" s="1"/>
  <c r="BK440" i="1"/>
  <c r="BN440" i="1" s="1"/>
  <c r="BL440" i="1"/>
  <c r="BM440" i="1"/>
  <c r="BP440" i="1" s="1"/>
  <c r="BO440" i="1"/>
  <c r="BK441" i="1"/>
  <c r="BN441" i="1" s="1"/>
  <c r="BL441" i="1"/>
  <c r="BO441" i="1" s="1"/>
  <c r="BM441" i="1"/>
  <c r="BP441" i="1" s="1"/>
  <c r="BK442" i="1"/>
  <c r="BN442" i="1" s="1"/>
  <c r="BL442" i="1"/>
  <c r="BM442" i="1"/>
  <c r="BP442" i="1" s="1"/>
  <c r="BO442" i="1"/>
  <c r="BK443" i="1"/>
  <c r="BN443" i="1" s="1"/>
  <c r="BL443" i="1"/>
  <c r="BO443" i="1" s="1"/>
  <c r="BM443" i="1"/>
  <c r="BP443" i="1" s="1"/>
  <c r="BK444" i="1"/>
  <c r="BL444" i="1"/>
  <c r="BM444" i="1"/>
  <c r="BP444" i="1" s="1"/>
  <c r="BN444" i="1"/>
  <c r="BO444" i="1"/>
  <c r="BK445" i="1"/>
  <c r="BN445" i="1" s="1"/>
  <c r="BL445" i="1"/>
  <c r="BO445" i="1" s="1"/>
  <c r="BM445" i="1"/>
  <c r="BP445" i="1" s="1"/>
  <c r="BK446" i="1"/>
  <c r="BN446" i="1" s="1"/>
  <c r="BL446" i="1"/>
  <c r="BM446" i="1"/>
  <c r="BP446" i="1" s="1"/>
  <c r="BO446" i="1"/>
  <c r="BK447" i="1"/>
  <c r="BN447" i="1" s="1"/>
  <c r="BL447" i="1"/>
  <c r="BO447" i="1" s="1"/>
  <c r="BM447" i="1"/>
  <c r="BP447" i="1"/>
  <c r="BK448" i="1"/>
  <c r="BL448" i="1"/>
  <c r="BM448" i="1"/>
  <c r="BP448" i="1" s="1"/>
  <c r="BN448" i="1"/>
  <c r="BO448" i="1"/>
  <c r="BK449" i="1"/>
  <c r="BN449" i="1" s="1"/>
  <c r="BL449" i="1"/>
  <c r="BO449" i="1" s="1"/>
  <c r="BM449" i="1"/>
  <c r="BP449" i="1" s="1"/>
  <c r="BK450" i="1"/>
  <c r="BL450" i="1"/>
  <c r="BM450" i="1"/>
  <c r="BP450" i="1" s="1"/>
  <c r="BN450" i="1"/>
  <c r="BO450" i="1"/>
  <c r="BK451" i="1"/>
  <c r="BN451" i="1" s="1"/>
  <c r="BL451" i="1"/>
  <c r="BO451" i="1" s="1"/>
  <c r="BM451" i="1"/>
  <c r="BP451" i="1" s="1"/>
  <c r="BK452" i="1"/>
  <c r="BL452" i="1"/>
  <c r="BM452" i="1"/>
  <c r="BP452" i="1" s="1"/>
  <c r="BN452" i="1"/>
  <c r="BO452" i="1"/>
  <c r="BK453" i="1"/>
  <c r="BN453" i="1" s="1"/>
  <c r="BL453" i="1"/>
  <c r="BO453" i="1" s="1"/>
  <c r="BM453" i="1"/>
  <c r="BP453" i="1" s="1"/>
  <c r="BK454" i="1"/>
  <c r="BN454" i="1" s="1"/>
  <c r="BL454" i="1"/>
  <c r="BM454" i="1"/>
  <c r="BP454" i="1" s="1"/>
  <c r="BO454" i="1"/>
  <c r="BK455" i="1"/>
  <c r="BN455" i="1" s="1"/>
  <c r="BL455" i="1"/>
  <c r="BO455" i="1" s="1"/>
  <c r="BM455" i="1"/>
  <c r="BP455" i="1"/>
  <c r="BK456" i="1"/>
  <c r="BL456" i="1"/>
  <c r="BM456" i="1"/>
  <c r="BP456" i="1" s="1"/>
  <c r="BN456" i="1"/>
  <c r="BO456" i="1"/>
  <c r="BK457" i="1"/>
  <c r="BN457" i="1" s="1"/>
  <c r="BL457" i="1"/>
  <c r="BO457" i="1" s="1"/>
  <c r="BM457" i="1"/>
  <c r="BP457" i="1" s="1"/>
  <c r="BK458" i="1"/>
  <c r="BL458" i="1"/>
  <c r="BM458" i="1"/>
  <c r="BP458" i="1" s="1"/>
  <c r="BN458" i="1"/>
  <c r="BO458" i="1"/>
  <c r="BK459" i="1"/>
  <c r="BN459" i="1" s="1"/>
  <c r="BL459" i="1"/>
  <c r="BO459" i="1" s="1"/>
  <c r="BM459" i="1"/>
  <c r="BP459" i="1" s="1"/>
  <c r="BK460" i="1"/>
  <c r="BL460" i="1"/>
  <c r="BM460" i="1"/>
  <c r="BP460" i="1" s="1"/>
  <c r="BN460" i="1"/>
  <c r="BO460" i="1"/>
  <c r="BK461" i="1"/>
  <c r="BN461" i="1" s="1"/>
  <c r="BL461" i="1"/>
  <c r="BO461" i="1" s="1"/>
  <c r="BM461" i="1"/>
  <c r="BP461" i="1" s="1"/>
  <c r="BK462" i="1"/>
  <c r="BN462" i="1" s="1"/>
  <c r="BL462" i="1"/>
  <c r="BM462" i="1"/>
  <c r="BP462" i="1" s="1"/>
  <c r="BO462" i="1"/>
  <c r="BK463" i="1"/>
  <c r="BN463" i="1" s="1"/>
  <c r="BL463" i="1"/>
  <c r="BO463" i="1" s="1"/>
  <c r="BM463" i="1"/>
  <c r="BP463" i="1"/>
  <c r="BK464" i="1"/>
  <c r="BL464" i="1"/>
  <c r="BM464" i="1"/>
  <c r="BP464" i="1" s="1"/>
  <c r="BN464" i="1"/>
  <c r="BO464" i="1"/>
  <c r="BK465" i="1"/>
  <c r="BN465" i="1" s="1"/>
  <c r="BL465" i="1"/>
  <c r="BM465" i="1"/>
  <c r="BP465" i="1" s="1"/>
  <c r="BO465" i="1"/>
  <c r="BK466" i="1"/>
  <c r="BL466" i="1"/>
  <c r="BM466" i="1"/>
  <c r="BP466" i="1" s="1"/>
  <c r="BN466" i="1"/>
  <c r="BO466" i="1"/>
  <c r="BK467" i="1"/>
  <c r="BN467" i="1" s="1"/>
  <c r="BL467" i="1"/>
  <c r="BO467" i="1" s="1"/>
  <c r="BM467" i="1"/>
  <c r="BP467" i="1"/>
  <c r="BK468" i="1"/>
  <c r="BL468" i="1"/>
  <c r="BM468" i="1"/>
  <c r="BP468" i="1" s="1"/>
  <c r="BN468" i="1"/>
  <c r="BO468" i="1"/>
  <c r="BK469" i="1"/>
  <c r="BN469" i="1" s="1"/>
  <c r="BL469" i="1"/>
  <c r="BM469" i="1"/>
  <c r="BP469" i="1" s="1"/>
  <c r="BO469" i="1"/>
  <c r="BK470" i="1"/>
  <c r="BL470" i="1"/>
  <c r="BM470" i="1"/>
  <c r="BP470" i="1" s="1"/>
  <c r="BN470" i="1"/>
  <c r="BO470" i="1"/>
  <c r="BK471" i="1"/>
  <c r="BN471" i="1" s="1"/>
  <c r="BL471" i="1"/>
  <c r="BO471" i="1" s="1"/>
  <c r="BM471" i="1"/>
  <c r="BP471" i="1"/>
  <c r="BK472" i="1"/>
  <c r="BL472" i="1"/>
  <c r="BM472" i="1"/>
  <c r="BP472" i="1" s="1"/>
  <c r="BN472" i="1"/>
  <c r="BO472" i="1"/>
  <c r="BK473" i="1"/>
  <c r="BN473" i="1" s="1"/>
  <c r="BL473" i="1"/>
  <c r="BM473" i="1"/>
  <c r="BP473" i="1" s="1"/>
  <c r="BO473" i="1"/>
  <c r="BK474" i="1"/>
  <c r="BL474" i="1"/>
  <c r="BM474" i="1"/>
  <c r="BP474" i="1" s="1"/>
  <c r="BN474" i="1"/>
  <c r="BO474" i="1"/>
  <c r="BK475" i="1"/>
  <c r="BN475" i="1" s="1"/>
  <c r="BL475" i="1"/>
  <c r="BO475" i="1" s="1"/>
  <c r="BM475" i="1"/>
  <c r="BP475" i="1"/>
  <c r="BK476" i="1"/>
  <c r="BL476" i="1"/>
  <c r="BM476" i="1"/>
  <c r="BP476" i="1" s="1"/>
  <c r="BN476" i="1"/>
  <c r="BO476" i="1"/>
  <c r="BK477" i="1"/>
  <c r="BN477" i="1" s="1"/>
  <c r="BL477" i="1"/>
  <c r="BM477" i="1"/>
  <c r="BP477" i="1" s="1"/>
  <c r="BO477" i="1"/>
  <c r="BK478" i="1"/>
  <c r="BL478" i="1"/>
  <c r="BO478" i="1" s="1"/>
  <c r="BM478" i="1"/>
  <c r="BN478" i="1"/>
  <c r="BP478" i="1"/>
  <c r="BK479" i="1"/>
  <c r="BL479" i="1"/>
  <c r="BM479" i="1"/>
  <c r="BN479" i="1"/>
  <c r="BO479" i="1"/>
  <c r="BP479" i="1"/>
  <c r="BK480" i="1"/>
  <c r="BL480" i="1"/>
  <c r="BO480" i="1" s="1"/>
  <c r="BM480" i="1"/>
  <c r="BN480" i="1"/>
  <c r="BP480" i="1"/>
  <c r="BK481" i="1"/>
  <c r="BL481" i="1"/>
  <c r="BM481" i="1"/>
  <c r="BN481" i="1"/>
  <c r="BO481" i="1"/>
  <c r="BP481" i="1"/>
  <c r="BK482" i="1"/>
  <c r="BL482" i="1"/>
  <c r="BO482" i="1" s="1"/>
  <c r="BM482" i="1"/>
  <c r="BN482" i="1"/>
  <c r="BP482" i="1"/>
  <c r="BK483" i="1"/>
  <c r="BL483" i="1"/>
  <c r="BM483" i="1"/>
  <c r="BN483" i="1"/>
  <c r="BO483" i="1"/>
  <c r="BP483" i="1"/>
  <c r="BK484" i="1"/>
  <c r="BL484" i="1"/>
  <c r="BO484" i="1" s="1"/>
  <c r="BM484" i="1"/>
  <c r="BN484" i="1"/>
  <c r="BP484" i="1"/>
  <c r="BK485" i="1"/>
  <c r="BL485" i="1"/>
  <c r="BM485" i="1"/>
  <c r="BN485" i="1"/>
  <c r="BO485" i="1"/>
  <c r="BP485" i="1"/>
  <c r="BK486" i="1"/>
  <c r="BL486" i="1"/>
  <c r="BO486" i="1" s="1"/>
  <c r="BM486" i="1"/>
  <c r="BN486" i="1"/>
  <c r="BP486" i="1"/>
  <c r="BK487" i="1"/>
  <c r="BL487" i="1"/>
  <c r="BM487" i="1"/>
  <c r="BN487" i="1"/>
  <c r="BO487" i="1"/>
  <c r="BP487" i="1"/>
  <c r="BK488" i="1"/>
  <c r="BL488" i="1"/>
  <c r="BO488" i="1" s="1"/>
  <c r="BM488" i="1"/>
  <c r="BN488" i="1"/>
  <c r="BP488" i="1"/>
  <c r="BK489" i="1"/>
  <c r="BL489" i="1"/>
  <c r="BM489" i="1"/>
  <c r="BN489" i="1"/>
  <c r="BO489" i="1"/>
  <c r="BP489" i="1"/>
  <c r="BK490" i="1"/>
  <c r="BL490" i="1"/>
  <c r="BO490" i="1" s="1"/>
  <c r="BM490" i="1"/>
  <c r="BN490" i="1"/>
  <c r="BP490" i="1"/>
  <c r="BK491" i="1"/>
  <c r="BL491" i="1"/>
  <c r="BM491" i="1"/>
  <c r="BN491" i="1"/>
  <c r="BO491" i="1"/>
  <c r="BP491" i="1"/>
  <c r="BK492" i="1"/>
  <c r="BL492" i="1"/>
  <c r="BO492" i="1" s="1"/>
  <c r="BM492" i="1"/>
  <c r="BN492" i="1"/>
  <c r="BP492" i="1"/>
  <c r="BK493" i="1"/>
  <c r="BL493" i="1"/>
  <c r="BM493" i="1"/>
  <c r="BN493" i="1"/>
  <c r="BO493" i="1"/>
  <c r="BP493" i="1"/>
  <c r="BK494" i="1"/>
  <c r="BL494" i="1"/>
  <c r="BO494" i="1" s="1"/>
  <c r="BM494" i="1"/>
  <c r="BN494" i="1"/>
  <c r="BP494" i="1"/>
  <c r="BK495" i="1"/>
  <c r="BL495" i="1"/>
  <c r="BM495" i="1"/>
  <c r="BN495" i="1"/>
  <c r="BO495" i="1"/>
  <c r="BP495" i="1"/>
  <c r="BK496" i="1"/>
  <c r="BL496" i="1"/>
  <c r="BO496" i="1" s="1"/>
  <c r="BM496" i="1"/>
  <c r="BN496" i="1"/>
  <c r="BP496" i="1"/>
  <c r="BK497" i="1"/>
  <c r="BL497" i="1"/>
  <c r="BM497" i="1"/>
  <c r="BN497" i="1"/>
  <c r="BO497" i="1"/>
  <c r="BP497" i="1"/>
  <c r="BK498" i="1"/>
  <c r="BL498" i="1"/>
  <c r="BO498" i="1" s="1"/>
  <c r="BM498" i="1"/>
  <c r="BN498" i="1"/>
  <c r="BP498" i="1"/>
  <c r="BK499" i="1"/>
  <c r="BL499" i="1"/>
  <c r="BM499" i="1"/>
  <c r="BN499" i="1"/>
  <c r="BO499" i="1"/>
  <c r="BP499" i="1"/>
  <c r="BK500" i="1"/>
  <c r="BL500" i="1"/>
  <c r="BO500" i="1" s="1"/>
  <c r="BM500" i="1"/>
  <c r="BN500" i="1"/>
  <c r="BP500" i="1"/>
  <c r="BK501" i="1"/>
  <c r="BL501" i="1"/>
  <c r="BM501" i="1"/>
  <c r="BN501" i="1"/>
  <c r="BO501" i="1"/>
  <c r="BP501" i="1"/>
  <c r="BK502" i="1"/>
  <c r="BL502" i="1"/>
  <c r="BO502" i="1" s="1"/>
  <c r="BM502" i="1"/>
  <c r="BN502" i="1"/>
  <c r="BP502" i="1"/>
  <c r="BK503" i="1"/>
  <c r="BL503" i="1"/>
  <c r="BM503" i="1"/>
  <c r="BN503" i="1"/>
  <c r="BO503" i="1"/>
  <c r="BP503" i="1"/>
  <c r="BK504" i="1"/>
  <c r="BL504" i="1"/>
  <c r="BO504" i="1" s="1"/>
  <c r="BM504" i="1"/>
  <c r="BN504" i="1"/>
  <c r="BP504" i="1"/>
  <c r="BK505" i="1"/>
  <c r="BL505" i="1"/>
  <c r="BM505" i="1"/>
  <c r="BN505" i="1"/>
  <c r="BO505" i="1"/>
  <c r="BP505" i="1"/>
  <c r="BK506" i="1"/>
  <c r="BL506" i="1"/>
  <c r="BO506" i="1" s="1"/>
  <c r="BM506" i="1"/>
  <c r="BN506" i="1"/>
  <c r="BP506" i="1"/>
  <c r="BK507" i="1"/>
  <c r="BL507" i="1"/>
  <c r="BM507" i="1"/>
  <c r="BN507" i="1"/>
  <c r="BO507" i="1"/>
  <c r="BP507" i="1"/>
  <c r="BK508" i="1"/>
  <c r="BL508" i="1"/>
  <c r="BO508" i="1" s="1"/>
  <c r="BM508" i="1"/>
  <c r="BN508" i="1"/>
  <c r="BP508" i="1"/>
  <c r="BK509" i="1"/>
  <c r="BL509" i="1"/>
  <c r="BM509" i="1"/>
  <c r="BN509" i="1"/>
  <c r="BO509" i="1"/>
  <c r="BP509" i="1"/>
  <c r="BK510" i="1"/>
  <c r="BL510" i="1"/>
  <c r="BO510" i="1" s="1"/>
  <c r="BM510" i="1"/>
  <c r="BN510" i="1"/>
  <c r="BP510" i="1"/>
  <c r="BK511" i="1"/>
  <c r="BL511" i="1"/>
  <c r="BM511" i="1"/>
  <c r="BN511" i="1"/>
  <c r="BO511" i="1"/>
  <c r="BP511" i="1"/>
  <c r="BK512" i="1"/>
  <c r="BL512" i="1"/>
  <c r="BO512" i="1" s="1"/>
  <c r="BM512" i="1"/>
  <c r="BN512" i="1"/>
  <c r="BP512" i="1"/>
  <c r="BK513" i="1"/>
  <c r="BL513" i="1"/>
  <c r="BM513" i="1"/>
  <c r="BN513" i="1"/>
  <c r="BO513" i="1"/>
  <c r="BP513" i="1"/>
  <c r="BK514" i="1"/>
  <c r="BL514" i="1"/>
  <c r="BO514" i="1" s="1"/>
  <c r="BM514" i="1"/>
  <c r="BN514" i="1"/>
  <c r="BP514" i="1"/>
  <c r="BK515" i="1"/>
  <c r="BL515" i="1"/>
  <c r="BM515" i="1"/>
  <c r="BN515" i="1"/>
  <c r="BO515" i="1"/>
  <c r="BP515" i="1"/>
  <c r="BK516" i="1"/>
  <c r="BL516" i="1"/>
  <c r="BO516" i="1" s="1"/>
  <c r="BM516" i="1"/>
  <c r="BN516" i="1"/>
  <c r="BP516" i="1"/>
  <c r="BK517" i="1"/>
  <c r="BL517" i="1"/>
  <c r="BM517" i="1"/>
  <c r="BN517" i="1"/>
  <c r="BO517" i="1"/>
  <c r="BP517" i="1"/>
  <c r="BK518" i="1"/>
  <c r="BL518" i="1"/>
  <c r="BO518" i="1" s="1"/>
  <c r="BM518" i="1"/>
  <c r="BN518" i="1"/>
  <c r="BP518" i="1"/>
  <c r="BK519" i="1"/>
  <c r="BL519" i="1"/>
  <c r="BM519" i="1"/>
  <c r="BN519" i="1"/>
  <c r="BO519" i="1"/>
  <c r="BP519" i="1"/>
  <c r="BK520" i="1"/>
  <c r="BL520" i="1"/>
  <c r="BO520" i="1" s="1"/>
  <c r="BM520" i="1"/>
  <c r="BN520" i="1"/>
  <c r="BP520" i="1"/>
  <c r="BK521" i="1"/>
  <c r="BL521" i="1"/>
  <c r="BM521" i="1"/>
  <c r="BN521" i="1"/>
  <c r="BO521" i="1"/>
  <c r="BP521" i="1"/>
  <c r="BK522" i="1"/>
  <c r="BL522" i="1"/>
  <c r="BO522" i="1" s="1"/>
  <c r="BM522" i="1"/>
  <c r="BN522" i="1"/>
  <c r="BP522" i="1"/>
  <c r="BK523" i="1"/>
  <c r="BL523" i="1"/>
  <c r="BM523" i="1"/>
  <c r="BN523" i="1"/>
  <c r="BO523" i="1"/>
  <c r="BP523" i="1"/>
  <c r="BK524" i="1"/>
  <c r="BL524" i="1"/>
  <c r="BO524" i="1" s="1"/>
  <c r="BM524" i="1"/>
  <c r="BN524" i="1"/>
  <c r="BP524" i="1"/>
  <c r="BK525" i="1"/>
  <c r="BL525" i="1"/>
  <c r="BM525" i="1"/>
  <c r="BN525" i="1"/>
  <c r="BO525" i="1"/>
  <c r="BP525" i="1"/>
  <c r="BK526" i="1"/>
  <c r="BL526" i="1"/>
  <c r="BO526" i="1" s="1"/>
  <c r="BM526" i="1"/>
  <c r="BN526" i="1"/>
  <c r="BP526" i="1"/>
  <c r="BK527" i="1"/>
  <c r="BL527" i="1"/>
  <c r="BM527" i="1"/>
  <c r="BN527" i="1"/>
  <c r="BO527" i="1"/>
  <c r="BP527" i="1"/>
  <c r="BK528" i="1"/>
  <c r="BL528" i="1"/>
  <c r="BO528" i="1" s="1"/>
  <c r="BM528" i="1"/>
  <c r="BN528" i="1"/>
  <c r="BP528" i="1"/>
  <c r="BK529" i="1"/>
  <c r="BL529" i="1"/>
  <c r="BM529" i="1"/>
  <c r="BN529" i="1"/>
  <c r="BO529" i="1"/>
  <c r="BP529" i="1"/>
  <c r="BK530" i="1"/>
  <c r="BL530" i="1"/>
  <c r="BO530" i="1" s="1"/>
  <c r="BM530" i="1"/>
  <c r="BN530" i="1"/>
  <c r="BP530" i="1"/>
  <c r="BK531" i="1"/>
  <c r="BL531" i="1"/>
  <c r="BM531" i="1"/>
  <c r="BN531" i="1"/>
  <c r="BO531" i="1"/>
  <c r="BP531" i="1"/>
  <c r="BK532" i="1"/>
  <c r="BL532" i="1"/>
  <c r="BO532" i="1" s="1"/>
  <c r="BM532" i="1"/>
  <c r="BN532" i="1"/>
  <c r="BP532" i="1"/>
  <c r="BK533" i="1"/>
  <c r="BL533" i="1"/>
  <c r="BM533" i="1"/>
  <c r="BN533" i="1"/>
  <c r="BO533" i="1"/>
  <c r="BP533" i="1"/>
  <c r="BK534" i="1"/>
  <c r="BL534" i="1"/>
  <c r="BO534" i="1" s="1"/>
  <c r="BM534" i="1"/>
  <c r="BN534" i="1"/>
  <c r="BP534" i="1"/>
  <c r="BK535" i="1"/>
  <c r="BL535" i="1"/>
  <c r="BM535" i="1"/>
  <c r="BN535" i="1"/>
  <c r="BO535" i="1"/>
  <c r="BP535" i="1"/>
  <c r="BK536" i="1"/>
  <c r="BL536" i="1"/>
  <c r="BO536" i="1" s="1"/>
  <c r="BM536" i="1"/>
  <c r="BN536" i="1"/>
  <c r="BP536" i="1"/>
  <c r="BK537" i="1"/>
  <c r="BL537" i="1"/>
  <c r="BM537" i="1"/>
  <c r="BN537" i="1"/>
  <c r="BO537" i="1"/>
  <c r="BP537" i="1"/>
  <c r="BK538" i="1"/>
  <c r="BL538" i="1"/>
  <c r="BO538" i="1" s="1"/>
  <c r="BM538" i="1"/>
  <c r="BN538" i="1"/>
  <c r="BP538" i="1"/>
  <c r="BK539" i="1"/>
  <c r="BL539" i="1"/>
  <c r="BM539" i="1"/>
  <c r="BN539" i="1"/>
  <c r="BO539" i="1"/>
  <c r="BP539" i="1"/>
  <c r="BK540" i="1"/>
  <c r="BL540" i="1"/>
  <c r="BO540" i="1" s="1"/>
  <c r="BM540" i="1"/>
  <c r="BN540" i="1"/>
  <c r="BP540" i="1"/>
  <c r="BK541" i="1"/>
  <c r="BL541" i="1"/>
  <c r="BM541" i="1"/>
  <c r="BN541" i="1"/>
  <c r="BO541" i="1"/>
  <c r="BP541" i="1"/>
  <c r="BK542" i="1"/>
  <c r="BL542" i="1"/>
  <c r="BO542" i="1" s="1"/>
  <c r="BM542" i="1"/>
  <c r="BN542" i="1"/>
  <c r="BP542" i="1"/>
  <c r="BK543" i="1"/>
  <c r="BL543" i="1"/>
  <c r="BM543" i="1"/>
  <c r="BN543" i="1"/>
  <c r="BO543" i="1"/>
  <c r="BP543" i="1"/>
  <c r="BK544" i="1"/>
  <c r="BL544" i="1"/>
  <c r="BO544" i="1" s="1"/>
  <c r="BM544" i="1"/>
  <c r="BN544" i="1"/>
  <c r="BP544" i="1"/>
  <c r="BK545" i="1"/>
  <c r="BL545" i="1"/>
  <c r="BM545" i="1"/>
  <c r="BN545" i="1"/>
  <c r="BO545" i="1"/>
  <c r="BP545" i="1"/>
  <c r="BK546" i="1"/>
  <c r="BL546" i="1"/>
  <c r="BO546" i="1" s="1"/>
  <c r="BM546" i="1"/>
  <c r="BN546" i="1"/>
  <c r="BP546" i="1"/>
  <c r="BK547" i="1"/>
  <c r="BL547" i="1"/>
  <c r="BM547" i="1"/>
  <c r="BN547" i="1"/>
  <c r="BO547" i="1"/>
  <c r="BP547" i="1"/>
  <c r="BK548" i="1"/>
  <c r="BL548" i="1"/>
  <c r="BO548" i="1" s="1"/>
  <c r="BM548" i="1"/>
  <c r="BN548" i="1"/>
  <c r="BP548" i="1"/>
  <c r="BK549" i="1"/>
  <c r="BL549" i="1"/>
  <c r="BM549" i="1"/>
  <c r="BN549" i="1"/>
  <c r="BO549" i="1"/>
  <c r="BP549" i="1"/>
  <c r="BK550" i="1"/>
  <c r="BL550" i="1"/>
  <c r="BO550" i="1" s="1"/>
  <c r="BM550" i="1"/>
  <c r="BN550" i="1"/>
  <c r="BP550" i="1"/>
  <c r="BK551" i="1"/>
  <c r="BL551" i="1"/>
  <c r="BM551" i="1"/>
  <c r="BN551" i="1"/>
  <c r="BO551" i="1"/>
  <c r="BP551" i="1"/>
  <c r="BK552" i="1"/>
  <c r="BL552" i="1"/>
  <c r="BO552" i="1" s="1"/>
  <c r="BM552" i="1"/>
  <c r="BN552" i="1"/>
  <c r="BP552" i="1"/>
  <c r="BK553" i="1"/>
  <c r="BL553" i="1"/>
  <c r="BM553" i="1"/>
  <c r="BN553" i="1"/>
  <c r="BO553" i="1"/>
  <c r="BP553" i="1"/>
  <c r="BK554" i="1"/>
  <c r="BL554" i="1"/>
  <c r="BO554" i="1" s="1"/>
  <c r="BM554" i="1"/>
  <c r="BN554" i="1"/>
  <c r="BP554" i="1"/>
  <c r="BK555" i="1"/>
  <c r="BL555" i="1"/>
  <c r="BM555" i="1"/>
  <c r="BN555" i="1"/>
  <c r="BO555" i="1"/>
  <c r="BP555" i="1"/>
  <c r="BK556" i="1"/>
  <c r="BL556" i="1"/>
  <c r="BO556" i="1" s="1"/>
  <c r="BM556" i="1"/>
  <c r="BN556" i="1"/>
  <c r="BP556" i="1"/>
  <c r="BK557" i="1"/>
  <c r="BL557" i="1"/>
  <c r="BM557" i="1"/>
  <c r="BN557" i="1"/>
  <c r="BO557" i="1"/>
  <c r="BP557" i="1"/>
  <c r="BK558" i="1"/>
  <c r="BL558" i="1"/>
  <c r="BO558" i="1" s="1"/>
  <c r="BM558" i="1"/>
  <c r="BN558" i="1"/>
  <c r="BP558" i="1"/>
  <c r="BK559" i="1"/>
  <c r="BL559" i="1"/>
  <c r="BM559" i="1"/>
  <c r="BN559" i="1"/>
  <c r="BO559" i="1"/>
  <c r="BP559" i="1"/>
  <c r="BK560" i="1"/>
  <c r="BL560" i="1"/>
  <c r="BO560" i="1" s="1"/>
  <c r="BM560" i="1"/>
  <c r="BN560" i="1"/>
  <c r="BP560" i="1"/>
  <c r="BK561" i="1"/>
  <c r="BL561" i="1"/>
  <c r="BM561" i="1"/>
  <c r="BN561" i="1"/>
  <c r="BO561" i="1"/>
  <c r="BP561" i="1"/>
  <c r="BK562" i="1"/>
  <c r="BL562" i="1"/>
  <c r="BO562" i="1" s="1"/>
  <c r="BM562" i="1"/>
  <c r="BN562" i="1"/>
  <c r="BP562" i="1"/>
  <c r="BK563" i="1"/>
  <c r="BL563" i="1"/>
  <c r="BM563" i="1"/>
  <c r="BN563" i="1"/>
  <c r="BO563" i="1"/>
  <c r="BP563" i="1"/>
  <c r="BK564" i="1"/>
  <c r="BL564" i="1"/>
  <c r="BO564" i="1" s="1"/>
  <c r="BM564" i="1"/>
  <c r="BN564" i="1"/>
  <c r="BP564" i="1"/>
  <c r="BK565" i="1"/>
  <c r="BL565" i="1"/>
  <c r="BM565" i="1"/>
  <c r="BN565" i="1"/>
  <c r="BO565" i="1"/>
  <c r="BP565" i="1"/>
  <c r="BK566" i="1"/>
  <c r="BL566" i="1"/>
  <c r="BO566" i="1" s="1"/>
  <c r="BM566" i="1"/>
  <c r="BN566" i="1"/>
  <c r="BP566" i="1"/>
  <c r="BK567" i="1"/>
  <c r="BL567" i="1"/>
  <c r="BM567" i="1"/>
  <c r="BN567" i="1"/>
  <c r="BO567" i="1"/>
  <c r="BP567" i="1"/>
  <c r="BK568" i="1"/>
  <c r="BL568" i="1"/>
  <c r="BO568" i="1" s="1"/>
  <c r="BM568" i="1"/>
  <c r="BN568" i="1"/>
  <c r="BP568" i="1"/>
  <c r="BK569" i="1"/>
  <c r="BL569" i="1"/>
  <c r="BM569" i="1"/>
  <c r="BN569" i="1"/>
  <c r="BO569" i="1"/>
  <c r="BP569" i="1"/>
  <c r="BK570" i="1"/>
  <c r="BL570" i="1"/>
  <c r="BO570" i="1" s="1"/>
  <c r="BM570" i="1"/>
  <c r="BN570" i="1"/>
  <c r="BP570" i="1"/>
  <c r="BK571" i="1"/>
  <c r="BL571" i="1"/>
  <c r="BM571" i="1"/>
  <c r="BN571" i="1"/>
  <c r="BO571" i="1"/>
  <c r="BP571" i="1"/>
  <c r="BK572" i="1"/>
  <c r="BL572" i="1"/>
  <c r="BO572" i="1" s="1"/>
  <c r="BM572" i="1"/>
  <c r="BN572" i="1"/>
  <c r="BP572" i="1"/>
  <c r="BK573" i="1"/>
  <c r="BL573" i="1"/>
  <c r="BM573" i="1"/>
  <c r="BN573" i="1"/>
  <c r="BO573" i="1"/>
  <c r="BP573" i="1"/>
  <c r="BK574" i="1"/>
  <c r="BL574" i="1"/>
  <c r="BO574" i="1" s="1"/>
  <c r="BM574" i="1"/>
  <c r="BN574" i="1"/>
  <c r="BP574" i="1"/>
  <c r="BK575" i="1"/>
  <c r="BL575" i="1"/>
  <c r="BM575" i="1"/>
  <c r="BN575" i="1"/>
  <c r="BO575" i="1"/>
  <c r="BP575" i="1"/>
  <c r="BK576" i="1"/>
  <c r="BL576" i="1"/>
  <c r="BO576" i="1" s="1"/>
  <c r="BM576" i="1"/>
  <c r="BN576" i="1"/>
  <c r="BP576" i="1"/>
  <c r="BK577" i="1"/>
  <c r="BL577" i="1"/>
  <c r="BM577" i="1"/>
  <c r="BN577" i="1"/>
  <c r="BO577" i="1"/>
  <c r="BP577" i="1"/>
  <c r="BK578" i="1"/>
  <c r="BL578" i="1"/>
  <c r="BO578" i="1" s="1"/>
  <c r="BM578" i="1"/>
  <c r="BN578" i="1"/>
  <c r="BP578" i="1"/>
  <c r="BK579" i="1"/>
  <c r="BL579" i="1"/>
  <c r="BM579" i="1"/>
  <c r="BN579" i="1"/>
  <c r="BO579" i="1"/>
  <c r="BP579" i="1"/>
  <c r="BK580" i="1"/>
  <c r="BL580" i="1"/>
  <c r="BO580" i="1" s="1"/>
  <c r="BM580" i="1"/>
  <c r="BN580" i="1"/>
  <c r="BP580" i="1"/>
  <c r="BK581" i="1"/>
  <c r="BL581" i="1"/>
  <c r="BM581" i="1"/>
  <c r="BN581" i="1"/>
  <c r="BO581" i="1"/>
  <c r="BP581" i="1"/>
  <c r="BK582" i="1"/>
  <c r="BL582" i="1"/>
  <c r="BO582" i="1" s="1"/>
  <c r="BM582" i="1"/>
  <c r="BN582" i="1"/>
  <c r="BP582" i="1"/>
  <c r="BK583" i="1"/>
  <c r="BL583" i="1"/>
  <c r="BM583" i="1"/>
  <c r="BN583" i="1"/>
  <c r="BO583" i="1"/>
  <c r="BP583" i="1"/>
  <c r="BK584" i="1"/>
  <c r="BL584" i="1"/>
  <c r="BO584" i="1" s="1"/>
  <c r="BM584" i="1"/>
  <c r="BN584" i="1"/>
  <c r="BP584" i="1"/>
  <c r="BK585" i="1"/>
  <c r="BL585" i="1"/>
  <c r="BM585" i="1"/>
  <c r="BN585" i="1"/>
  <c r="BO585" i="1"/>
  <c r="BP585" i="1"/>
  <c r="BK586" i="1"/>
  <c r="BL586" i="1"/>
  <c r="BO586" i="1" s="1"/>
  <c r="BM586" i="1"/>
  <c r="BN586" i="1"/>
  <c r="BP586" i="1"/>
  <c r="BK587" i="1"/>
  <c r="BL587" i="1"/>
  <c r="BM587" i="1"/>
  <c r="BN587" i="1"/>
  <c r="BO587" i="1"/>
  <c r="BP587" i="1"/>
  <c r="BK588" i="1"/>
  <c r="BL588" i="1"/>
  <c r="BO588" i="1" s="1"/>
  <c r="BM588" i="1"/>
  <c r="BN588" i="1"/>
  <c r="BP588" i="1"/>
  <c r="BK589" i="1"/>
  <c r="BL589" i="1"/>
  <c r="BM589" i="1"/>
  <c r="BN589" i="1"/>
  <c r="BO589" i="1"/>
  <c r="BP589" i="1"/>
  <c r="BK590" i="1"/>
  <c r="BL590" i="1"/>
  <c r="BO590" i="1" s="1"/>
  <c r="BM590" i="1"/>
  <c r="BN590" i="1"/>
  <c r="BP590" i="1"/>
  <c r="BK591" i="1"/>
  <c r="BL591" i="1"/>
  <c r="BM591" i="1"/>
  <c r="BN591" i="1"/>
  <c r="BO591" i="1"/>
  <c r="BP591" i="1"/>
  <c r="BK592" i="1"/>
  <c r="BL592" i="1"/>
  <c r="BO592" i="1" s="1"/>
  <c r="BM592" i="1"/>
  <c r="BN592" i="1"/>
  <c r="BP592" i="1"/>
  <c r="BK593" i="1"/>
  <c r="BL593" i="1"/>
  <c r="BM593" i="1"/>
  <c r="BN593" i="1"/>
  <c r="BO593" i="1"/>
  <c r="BP593" i="1"/>
  <c r="BK594" i="1"/>
  <c r="BL594" i="1"/>
  <c r="BO594" i="1" s="1"/>
  <c r="BM594" i="1"/>
  <c r="BN594" i="1"/>
  <c r="BP594" i="1"/>
  <c r="BK595" i="1"/>
  <c r="BL595" i="1"/>
  <c r="BM595" i="1"/>
  <c r="BN595" i="1"/>
  <c r="BO595" i="1"/>
  <c r="BP595" i="1"/>
  <c r="BK596" i="1"/>
  <c r="BL596" i="1"/>
  <c r="BO596" i="1" s="1"/>
  <c r="BM596" i="1"/>
  <c r="BN596" i="1"/>
  <c r="BP596" i="1"/>
  <c r="BK597" i="1"/>
  <c r="BL597" i="1"/>
  <c r="BM597" i="1"/>
  <c r="BN597" i="1"/>
  <c r="BO597" i="1"/>
  <c r="BP597" i="1"/>
  <c r="BK598" i="1"/>
  <c r="BL598" i="1"/>
  <c r="BO598" i="1" s="1"/>
  <c r="BM598" i="1"/>
  <c r="BN598" i="1"/>
  <c r="BP598" i="1"/>
  <c r="BK599" i="1"/>
  <c r="BL599" i="1"/>
  <c r="BM599" i="1"/>
  <c r="BN599" i="1"/>
  <c r="BO599" i="1"/>
  <c r="BP599" i="1"/>
  <c r="BK600" i="1"/>
  <c r="BL600" i="1"/>
  <c r="BO600" i="1" s="1"/>
  <c r="BM600" i="1"/>
  <c r="BN600" i="1"/>
  <c r="BP600" i="1"/>
  <c r="BK601" i="1"/>
  <c r="BL601" i="1"/>
  <c r="BM601" i="1"/>
  <c r="BN601" i="1"/>
  <c r="BO601" i="1"/>
  <c r="BP601" i="1"/>
  <c r="BK602" i="1"/>
  <c r="BL602" i="1"/>
  <c r="BO602" i="1" s="1"/>
  <c r="BM602" i="1"/>
  <c r="BN602" i="1"/>
  <c r="BP602" i="1"/>
  <c r="BK603" i="1"/>
  <c r="BL603" i="1"/>
  <c r="BM603" i="1"/>
  <c r="BN603" i="1"/>
  <c r="BO603" i="1"/>
  <c r="BP603" i="1"/>
  <c r="BK604" i="1"/>
  <c r="BL604" i="1"/>
  <c r="BO604" i="1" s="1"/>
  <c r="BM604" i="1"/>
  <c r="BN604" i="1"/>
  <c r="BP604" i="1"/>
  <c r="BK605" i="1"/>
  <c r="BL605" i="1"/>
  <c r="BM605" i="1"/>
  <c r="BN605" i="1"/>
  <c r="BO605" i="1"/>
  <c r="BP605" i="1"/>
  <c r="BK606" i="1"/>
  <c r="BL606" i="1"/>
  <c r="BO606" i="1" s="1"/>
  <c r="BM606" i="1"/>
  <c r="BN606" i="1"/>
  <c r="BP606" i="1"/>
  <c r="BK607" i="1"/>
  <c r="BL607" i="1"/>
  <c r="BM607" i="1"/>
  <c r="BN607" i="1"/>
  <c r="BO607" i="1"/>
  <c r="BP607" i="1"/>
  <c r="BK608" i="1"/>
  <c r="BL608" i="1"/>
  <c r="BO608" i="1" s="1"/>
  <c r="BM608" i="1"/>
  <c r="BN608" i="1"/>
  <c r="BP608" i="1"/>
  <c r="BK609" i="1"/>
  <c r="BL609" i="1"/>
  <c r="BM609" i="1"/>
  <c r="BN609" i="1"/>
  <c r="BO609" i="1"/>
  <c r="BP609" i="1"/>
  <c r="BK610" i="1"/>
  <c r="BL610" i="1"/>
  <c r="BO610" i="1" s="1"/>
  <c r="BM610" i="1"/>
  <c r="BN610" i="1"/>
  <c r="BP610" i="1"/>
  <c r="BK611" i="1"/>
  <c r="BL611" i="1"/>
  <c r="BM611" i="1"/>
  <c r="BN611" i="1"/>
  <c r="BO611" i="1"/>
  <c r="BP611" i="1"/>
  <c r="BK612" i="1"/>
  <c r="BL612" i="1"/>
  <c r="BO612" i="1" s="1"/>
  <c r="BM612" i="1"/>
  <c r="BN612" i="1"/>
  <c r="BP612" i="1"/>
  <c r="BK613" i="1"/>
  <c r="BL613" i="1"/>
  <c r="BM613" i="1"/>
  <c r="BN613" i="1"/>
  <c r="BO613" i="1"/>
  <c r="BP613" i="1"/>
  <c r="BK614" i="1"/>
  <c r="BL614" i="1"/>
  <c r="BO614" i="1" s="1"/>
  <c r="BM614" i="1"/>
  <c r="BN614" i="1"/>
  <c r="BP614" i="1"/>
  <c r="BK615" i="1"/>
  <c r="BL615" i="1"/>
  <c r="BM615" i="1"/>
  <c r="BN615" i="1"/>
  <c r="BO615" i="1"/>
  <c r="BP615" i="1"/>
  <c r="BK616" i="1"/>
  <c r="BL616" i="1"/>
  <c r="BO616" i="1" s="1"/>
  <c r="BM616" i="1"/>
  <c r="BN616" i="1"/>
  <c r="BP616" i="1"/>
  <c r="BK617" i="1"/>
  <c r="BL617" i="1"/>
  <c r="BM617" i="1"/>
  <c r="BN617" i="1"/>
  <c r="BO617" i="1"/>
  <c r="BP617" i="1"/>
  <c r="BK618" i="1"/>
  <c r="BL618" i="1"/>
  <c r="BO618" i="1" s="1"/>
  <c r="BM618" i="1"/>
  <c r="BN618" i="1"/>
  <c r="BP618" i="1"/>
  <c r="BK619" i="1"/>
  <c r="BL619" i="1"/>
  <c r="BM619" i="1"/>
  <c r="BN619" i="1"/>
  <c r="BO619" i="1"/>
  <c r="BP619" i="1"/>
  <c r="BK620" i="1"/>
  <c r="BL620" i="1"/>
  <c r="BO620" i="1" s="1"/>
  <c r="BM620" i="1"/>
  <c r="BN620" i="1"/>
  <c r="BP620" i="1"/>
  <c r="BK621" i="1"/>
  <c r="BL621" i="1"/>
  <c r="BM621" i="1"/>
  <c r="BN621" i="1"/>
  <c r="BO621" i="1"/>
  <c r="BP621" i="1"/>
  <c r="BK622" i="1"/>
  <c r="BL622" i="1"/>
  <c r="BO622" i="1" s="1"/>
  <c r="BM622" i="1"/>
  <c r="BN622" i="1"/>
  <c r="BP622" i="1"/>
  <c r="BK623" i="1"/>
  <c r="BL623" i="1"/>
  <c r="BM623" i="1"/>
  <c r="BN623" i="1"/>
  <c r="BO623" i="1"/>
  <c r="BP623" i="1"/>
  <c r="BK624" i="1"/>
  <c r="BL624" i="1"/>
  <c r="BO624" i="1" s="1"/>
  <c r="BM624" i="1"/>
  <c r="BN624" i="1"/>
  <c r="BP624" i="1"/>
  <c r="BK625" i="1"/>
  <c r="BL625" i="1"/>
  <c r="BM625" i="1"/>
  <c r="BN625" i="1"/>
  <c r="BO625" i="1"/>
  <c r="BP625" i="1"/>
  <c r="BK626" i="1"/>
  <c r="BL626" i="1"/>
  <c r="BO626" i="1" s="1"/>
  <c r="BM626" i="1"/>
  <c r="BN626" i="1"/>
  <c r="BP626" i="1"/>
  <c r="BK627" i="1"/>
  <c r="BL627" i="1"/>
  <c r="BM627" i="1"/>
  <c r="BN627" i="1"/>
  <c r="BO627" i="1"/>
  <c r="BP627" i="1"/>
  <c r="BK628" i="1"/>
  <c r="BL628" i="1"/>
  <c r="BO628" i="1" s="1"/>
  <c r="BM628" i="1"/>
  <c r="BP628" i="1" s="1"/>
  <c r="BN628" i="1"/>
  <c r="BK629" i="1"/>
  <c r="BN629" i="1" s="1"/>
  <c r="BL629" i="1"/>
  <c r="BM629" i="1"/>
  <c r="BO629" i="1"/>
  <c r="BP629" i="1"/>
  <c r="BK630" i="1"/>
  <c r="BL630" i="1"/>
  <c r="BO630" i="1" s="1"/>
  <c r="BM630" i="1"/>
  <c r="BP630" i="1" s="1"/>
  <c r="BN630" i="1"/>
  <c r="BK631" i="1"/>
  <c r="BL631" i="1"/>
  <c r="BM631" i="1"/>
  <c r="BN631" i="1"/>
  <c r="BO631" i="1"/>
  <c r="BP631" i="1"/>
  <c r="BK632" i="1"/>
  <c r="BL632" i="1"/>
  <c r="BO632" i="1" s="1"/>
  <c r="BM632" i="1"/>
  <c r="BN632" i="1"/>
  <c r="BP632" i="1"/>
  <c r="BK633" i="1"/>
  <c r="BL633" i="1"/>
  <c r="BM633" i="1"/>
  <c r="BN633" i="1"/>
  <c r="BO633" i="1"/>
  <c r="BP633" i="1"/>
  <c r="BK634" i="1"/>
  <c r="BL634" i="1"/>
  <c r="BO634" i="1" s="1"/>
  <c r="BM634" i="1"/>
  <c r="BN634" i="1"/>
  <c r="BP634" i="1"/>
  <c r="BK635" i="1"/>
  <c r="BL635" i="1"/>
  <c r="BM635" i="1"/>
  <c r="BN635" i="1"/>
  <c r="BO635" i="1"/>
  <c r="BP635" i="1"/>
  <c r="BK636" i="1"/>
  <c r="BL636" i="1"/>
  <c r="BO636" i="1" s="1"/>
  <c r="BM636" i="1"/>
  <c r="BP636" i="1" s="1"/>
  <c r="BN636" i="1"/>
  <c r="BK637" i="1"/>
  <c r="BN637" i="1" s="1"/>
  <c r="BL637" i="1"/>
  <c r="BM637" i="1"/>
  <c r="BO637" i="1"/>
  <c r="BP637" i="1"/>
  <c r="BK638" i="1"/>
  <c r="BL638" i="1"/>
  <c r="BO638" i="1" s="1"/>
  <c r="BM638" i="1"/>
  <c r="BP638" i="1" s="1"/>
  <c r="BN638" i="1"/>
  <c r="BK639" i="1"/>
  <c r="BL639" i="1"/>
  <c r="BM639" i="1"/>
  <c r="BN639" i="1"/>
  <c r="BO639" i="1"/>
  <c r="BP639" i="1"/>
  <c r="BK640" i="1"/>
  <c r="BL640" i="1"/>
  <c r="BO640" i="1" s="1"/>
  <c r="BM640" i="1"/>
  <c r="BN640" i="1"/>
  <c r="BP640" i="1"/>
  <c r="BK641" i="1"/>
  <c r="BL641" i="1"/>
  <c r="BM641" i="1"/>
  <c r="BN641" i="1"/>
  <c r="BO641" i="1"/>
  <c r="BP641" i="1"/>
  <c r="BK642" i="1"/>
  <c r="BL642" i="1"/>
  <c r="BO642" i="1" s="1"/>
  <c r="BM642" i="1"/>
  <c r="BN642" i="1"/>
  <c r="BP642" i="1"/>
  <c r="BK643" i="1"/>
  <c r="BL643" i="1"/>
  <c r="BM643" i="1"/>
  <c r="BN643" i="1"/>
  <c r="BO643" i="1"/>
  <c r="BP643" i="1"/>
  <c r="BK644" i="1"/>
  <c r="BL644" i="1"/>
  <c r="BO644" i="1" s="1"/>
  <c r="BM644" i="1"/>
  <c r="BP644" i="1" s="1"/>
  <c r="BN644" i="1"/>
  <c r="BK645" i="1"/>
  <c r="BN645" i="1" s="1"/>
  <c r="BL645" i="1"/>
  <c r="BM645" i="1"/>
  <c r="BO645" i="1"/>
  <c r="BP645" i="1"/>
  <c r="BK646" i="1"/>
  <c r="BL646" i="1"/>
  <c r="BO646" i="1" s="1"/>
  <c r="BM646" i="1"/>
  <c r="BP646" i="1" s="1"/>
  <c r="BN646" i="1"/>
  <c r="BK647" i="1"/>
  <c r="BL647" i="1"/>
  <c r="BM647" i="1"/>
  <c r="BN647" i="1"/>
  <c r="BO647" i="1"/>
  <c r="BP647" i="1"/>
  <c r="BK648" i="1"/>
  <c r="BL648" i="1"/>
  <c r="BO648" i="1" s="1"/>
  <c r="BM648" i="1"/>
  <c r="BN648" i="1"/>
  <c r="BP648" i="1"/>
  <c r="BK649" i="1"/>
  <c r="BL649" i="1"/>
  <c r="BM649" i="1"/>
  <c r="BN649" i="1"/>
  <c r="BO649" i="1"/>
  <c r="BP649" i="1"/>
  <c r="BK650" i="1"/>
  <c r="BL650" i="1"/>
  <c r="BO650" i="1" s="1"/>
  <c r="BM650" i="1"/>
  <c r="BN650" i="1"/>
  <c r="BP650" i="1"/>
  <c r="BK651" i="1"/>
  <c r="BL651" i="1"/>
  <c r="BM651" i="1"/>
  <c r="BN651" i="1"/>
  <c r="BO651" i="1"/>
  <c r="BP651" i="1"/>
  <c r="BK652" i="1"/>
  <c r="BL652" i="1"/>
  <c r="BO652" i="1" s="1"/>
  <c r="BM652" i="1"/>
  <c r="BP652" i="1" s="1"/>
  <c r="BN652" i="1"/>
  <c r="BK653" i="1"/>
  <c r="BN653" i="1" s="1"/>
  <c r="BL653" i="1"/>
  <c r="BM653" i="1"/>
  <c r="BO653" i="1"/>
  <c r="BP653" i="1"/>
  <c r="BK654" i="1"/>
  <c r="BL654" i="1"/>
  <c r="BO654" i="1" s="1"/>
  <c r="BM654" i="1"/>
  <c r="BP654" i="1" s="1"/>
  <c r="BN654" i="1"/>
  <c r="BK655" i="1"/>
  <c r="BL655" i="1"/>
  <c r="BM655" i="1"/>
  <c r="BN655" i="1"/>
  <c r="BO655" i="1"/>
  <c r="BP655" i="1"/>
  <c r="BK656" i="1"/>
  <c r="BL656" i="1"/>
  <c r="BO656" i="1" s="1"/>
  <c r="BM656" i="1"/>
  <c r="BN656" i="1"/>
  <c r="BP656" i="1"/>
  <c r="BK657" i="1"/>
  <c r="BL657" i="1"/>
  <c r="BM657" i="1"/>
  <c r="BN657" i="1"/>
  <c r="BO657" i="1"/>
  <c r="BP657" i="1"/>
  <c r="BK658" i="1"/>
  <c r="BL658" i="1"/>
  <c r="BO658" i="1" s="1"/>
  <c r="BM658" i="1"/>
  <c r="BN658" i="1"/>
  <c r="BP658" i="1"/>
  <c r="BK659" i="1"/>
  <c r="BL659" i="1"/>
  <c r="BM659" i="1"/>
  <c r="BN659" i="1"/>
  <c r="BO659" i="1"/>
  <c r="BP659" i="1"/>
  <c r="BK660" i="1"/>
  <c r="BL660" i="1"/>
  <c r="BO660" i="1" s="1"/>
  <c r="BM660" i="1"/>
  <c r="BP660" i="1" s="1"/>
  <c r="BN660" i="1"/>
  <c r="BK661" i="1"/>
  <c r="BN661" i="1" s="1"/>
  <c r="BL661" i="1"/>
  <c r="BM661" i="1"/>
  <c r="BO661" i="1"/>
  <c r="BP661" i="1"/>
  <c r="BK662" i="1"/>
  <c r="BL662" i="1"/>
  <c r="BO662" i="1" s="1"/>
  <c r="BM662" i="1"/>
  <c r="BP662" i="1" s="1"/>
  <c r="BN662" i="1"/>
  <c r="BK663" i="1"/>
  <c r="BL663" i="1"/>
  <c r="BM663" i="1"/>
  <c r="BN663" i="1"/>
  <c r="BO663" i="1"/>
  <c r="BP663" i="1"/>
  <c r="BK664" i="1"/>
  <c r="BL664" i="1"/>
  <c r="BO664" i="1" s="1"/>
  <c r="BM664" i="1"/>
  <c r="BN664" i="1"/>
  <c r="BP664" i="1"/>
  <c r="BK665" i="1"/>
  <c r="BL665" i="1"/>
  <c r="BM665" i="1"/>
  <c r="BN665" i="1"/>
  <c r="BO665" i="1"/>
  <c r="BP665" i="1"/>
  <c r="BK666" i="1"/>
  <c r="BL666" i="1"/>
  <c r="BO666" i="1" s="1"/>
  <c r="BM666" i="1"/>
  <c r="BN666" i="1"/>
  <c r="BP666" i="1"/>
  <c r="BK667" i="1"/>
  <c r="BL667" i="1"/>
  <c r="BM667" i="1"/>
  <c r="BN667" i="1"/>
  <c r="BO667" i="1"/>
  <c r="BP667" i="1"/>
  <c r="BK668" i="1"/>
  <c r="BL668" i="1"/>
  <c r="BO668" i="1" s="1"/>
  <c r="BM668" i="1"/>
  <c r="BP668" i="1" s="1"/>
  <c r="BN668" i="1"/>
  <c r="BK669" i="1"/>
  <c r="BN669" i="1" s="1"/>
  <c r="BL669" i="1"/>
  <c r="BM669" i="1"/>
  <c r="BO669" i="1"/>
  <c r="BP669" i="1"/>
  <c r="BK670" i="1"/>
  <c r="BL670" i="1"/>
  <c r="BO670" i="1" s="1"/>
  <c r="BM670" i="1"/>
  <c r="BP670" i="1" s="1"/>
  <c r="BN670" i="1"/>
  <c r="BK671" i="1"/>
  <c r="BL671" i="1"/>
  <c r="BM671" i="1"/>
  <c r="BN671" i="1"/>
  <c r="BO671" i="1"/>
  <c r="BP671" i="1"/>
  <c r="BK672" i="1"/>
  <c r="BL672" i="1"/>
  <c r="BO672" i="1" s="1"/>
  <c r="BM672" i="1"/>
  <c r="BN672" i="1"/>
  <c r="BP672" i="1"/>
  <c r="BK673" i="1"/>
  <c r="BL673" i="1"/>
  <c r="BM673" i="1"/>
  <c r="BN673" i="1"/>
  <c r="BO673" i="1"/>
  <c r="BP673" i="1"/>
  <c r="BK674" i="1"/>
  <c r="BL674" i="1"/>
  <c r="BO674" i="1" s="1"/>
  <c r="BM674" i="1"/>
  <c r="BN674" i="1"/>
  <c r="BP674" i="1"/>
  <c r="BK675" i="1"/>
  <c r="BL675" i="1"/>
  <c r="BM675" i="1"/>
  <c r="BN675" i="1"/>
  <c r="BO675" i="1"/>
  <c r="BP675" i="1"/>
  <c r="BK676" i="1"/>
  <c r="BL676" i="1"/>
  <c r="BO676" i="1" s="1"/>
  <c r="BM676" i="1"/>
  <c r="BP676" i="1" s="1"/>
  <c r="BN676" i="1"/>
  <c r="BK677" i="1"/>
  <c r="BN677" i="1" s="1"/>
  <c r="BL677" i="1"/>
  <c r="BM677" i="1"/>
  <c r="BO677" i="1"/>
  <c r="BP677" i="1"/>
  <c r="BK678" i="1"/>
  <c r="BL678" i="1"/>
  <c r="BO678" i="1" s="1"/>
  <c r="BM678" i="1"/>
  <c r="BP678" i="1" s="1"/>
  <c r="BN678" i="1"/>
  <c r="BK679" i="1"/>
  <c r="BL679" i="1"/>
  <c r="BM679" i="1"/>
  <c r="BN679" i="1"/>
  <c r="BO679" i="1"/>
  <c r="BP679" i="1"/>
  <c r="BK680" i="1"/>
  <c r="BL680" i="1"/>
  <c r="BO680" i="1" s="1"/>
  <c r="BM680" i="1"/>
  <c r="BN680" i="1"/>
  <c r="BP680" i="1"/>
  <c r="BK681" i="1"/>
  <c r="BL681" i="1"/>
  <c r="BM681" i="1"/>
  <c r="BN681" i="1"/>
  <c r="BO681" i="1"/>
  <c r="BP681" i="1"/>
  <c r="BK682" i="1"/>
  <c r="BL682" i="1"/>
  <c r="BO682" i="1" s="1"/>
  <c r="BM682" i="1"/>
  <c r="BN682" i="1"/>
  <c r="BP682" i="1"/>
  <c r="BK683" i="1"/>
  <c r="BL683" i="1"/>
  <c r="BM683" i="1"/>
  <c r="BN683" i="1"/>
  <c r="BO683" i="1"/>
  <c r="BP683" i="1"/>
  <c r="BK684" i="1"/>
  <c r="BL684" i="1"/>
  <c r="BO684" i="1" s="1"/>
  <c r="BM684" i="1"/>
  <c r="BP684" i="1" s="1"/>
  <c r="BN684" i="1"/>
  <c r="BK685" i="1"/>
  <c r="BN685" i="1" s="1"/>
  <c r="BL685" i="1"/>
  <c r="BM685" i="1"/>
  <c r="BO685" i="1"/>
  <c r="BP685" i="1"/>
  <c r="BK686" i="1"/>
  <c r="BL686" i="1"/>
  <c r="BO686" i="1" s="1"/>
  <c r="BM686" i="1"/>
  <c r="BP686" i="1" s="1"/>
  <c r="BN686" i="1"/>
  <c r="BK687" i="1"/>
  <c r="BL687" i="1"/>
  <c r="BM687" i="1"/>
  <c r="BN687" i="1"/>
  <c r="BO687" i="1"/>
  <c r="BP687" i="1"/>
  <c r="BK688" i="1"/>
  <c r="BL688" i="1"/>
  <c r="BO688" i="1" s="1"/>
  <c r="BM688" i="1"/>
  <c r="BN688" i="1"/>
  <c r="BP688" i="1"/>
  <c r="BK689" i="1"/>
  <c r="BL689" i="1"/>
  <c r="BM689" i="1"/>
  <c r="BN689" i="1"/>
  <c r="BO689" i="1"/>
  <c r="BP689" i="1"/>
  <c r="BK690" i="1"/>
  <c r="BL690" i="1"/>
  <c r="BO690" i="1" s="1"/>
  <c r="BM690" i="1"/>
  <c r="BN690" i="1"/>
  <c r="BP690" i="1"/>
  <c r="BK691" i="1"/>
  <c r="BL691" i="1"/>
  <c r="BM691" i="1"/>
  <c r="BN691" i="1"/>
  <c r="BO691" i="1"/>
  <c r="BP691" i="1"/>
  <c r="BK692" i="1"/>
  <c r="BL692" i="1"/>
  <c r="BO692" i="1" s="1"/>
  <c r="BM692" i="1"/>
  <c r="BP692" i="1" s="1"/>
  <c r="BN692" i="1"/>
  <c r="BK693" i="1"/>
  <c r="BN693" i="1" s="1"/>
  <c r="BL693" i="1"/>
  <c r="BM693" i="1"/>
  <c r="BO693" i="1"/>
  <c r="BP693" i="1"/>
  <c r="BK694" i="1"/>
  <c r="BL694" i="1"/>
  <c r="BO694" i="1" s="1"/>
  <c r="BM694" i="1"/>
  <c r="BP694" i="1" s="1"/>
  <c r="BN694" i="1"/>
  <c r="BK695" i="1"/>
  <c r="BL695" i="1"/>
  <c r="BM695" i="1"/>
  <c r="BN695" i="1"/>
  <c r="BO695" i="1"/>
  <c r="BP695" i="1"/>
  <c r="BK696" i="1"/>
  <c r="BL696" i="1"/>
  <c r="BO696" i="1" s="1"/>
  <c r="BM696" i="1"/>
  <c r="BN696" i="1"/>
  <c r="BP696" i="1"/>
  <c r="BK697" i="1"/>
  <c r="BL697" i="1"/>
  <c r="BM697" i="1"/>
  <c r="BN697" i="1"/>
  <c r="BO697" i="1"/>
  <c r="BP697" i="1"/>
  <c r="BK698" i="1"/>
  <c r="BL698" i="1"/>
  <c r="BO698" i="1" s="1"/>
  <c r="BM698" i="1"/>
  <c r="BN698" i="1"/>
  <c r="BP698" i="1"/>
  <c r="BK699" i="1"/>
  <c r="BL699" i="1"/>
  <c r="BM699" i="1"/>
  <c r="BN699" i="1"/>
  <c r="BO699" i="1"/>
  <c r="BP699" i="1"/>
  <c r="BK700" i="1"/>
  <c r="BL700" i="1"/>
  <c r="BO700" i="1" s="1"/>
  <c r="BM700" i="1"/>
  <c r="BP700" i="1" s="1"/>
  <c r="BN700" i="1"/>
  <c r="BK701" i="1"/>
  <c r="BN701" i="1" s="1"/>
  <c r="BL701" i="1"/>
  <c r="BM701" i="1"/>
  <c r="BO701" i="1"/>
  <c r="BP701" i="1"/>
  <c r="BK702" i="1"/>
  <c r="BL702" i="1"/>
  <c r="BO702" i="1" s="1"/>
  <c r="BM702" i="1"/>
  <c r="BP702" i="1" s="1"/>
  <c r="BN702" i="1"/>
  <c r="BK703" i="1"/>
  <c r="BL703" i="1"/>
  <c r="BM703" i="1"/>
  <c r="BN703" i="1"/>
  <c r="BO703" i="1"/>
  <c r="BP703" i="1"/>
  <c r="BK704" i="1"/>
  <c r="BL704" i="1"/>
  <c r="BO704" i="1" s="1"/>
  <c r="BM704" i="1"/>
  <c r="BN704" i="1"/>
  <c r="BP704" i="1"/>
  <c r="BK705" i="1"/>
  <c r="BL705" i="1"/>
  <c r="BM705" i="1"/>
  <c r="BN705" i="1"/>
  <c r="BO705" i="1"/>
  <c r="BP705" i="1"/>
  <c r="BK706" i="1"/>
  <c r="BL706" i="1"/>
  <c r="BO706" i="1" s="1"/>
  <c r="BM706" i="1"/>
  <c r="BN706" i="1"/>
  <c r="BP706" i="1"/>
  <c r="BK707" i="1"/>
  <c r="BL707" i="1"/>
  <c r="BM707" i="1"/>
  <c r="BN707" i="1"/>
  <c r="BO707" i="1"/>
  <c r="BP707" i="1"/>
  <c r="BK708" i="1"/>
  <c r="BL708" i="1"/>
  <c r="BO708" i="1" s="1"/>
  <c r="BM708" i="1"/>
  <c r="BP708" i="1" s="1"/>
  <c r="BN708" i="1"/>
  <c r="BK709" i="1"/>
  <c r="BN709" i="1" s="1"/>
  <c r="BL709" i="1"/>
  <c r="BM709" i="1"/>
  <c r="BO709" i="1"/>
  <c r="BP709" i="1"/>
  <c r="BK710" i="1"/>
  <c r="BL710" i="1"/>
  <c r="BO710" i="1" s="1"/>
  <c r="BM710" i="1"/>
  <c r="BP710" i="1" s="1"/>
  <c r="BN710" i="1"/>
  <c r="BK711" i="1"/>
  <c r="BL711" i="1"/>
  <c r="BM711" i="1"/>
  <c r="BN711" i="1"/>
  <c r="BO711" i="1"/>
  <c r="BP711" i="1"/>
  <c r="BK712" i="1"/>
  <c r="BL712" i="1"/>
  <c r="BO712" i="1" s="1"/>
  <c r="BM712" i="1"/>
  <c r="BN712" i="1"/>
  <c r="BP712" i="1"/>
  <c r="BK713" i="1"/>
  <c r="BL713" i="1"/>
  <c r="BM713" i="1"/>
  <c r="BN713" i="1"/>
  <c r="BO713" i="1"/>
  <c r="BP713" i="1"/>
  <c r="BK714" i="1"/>
  <c r="BL714" i="1"/>
  <c r="BO714" i="1" s="1"/>
  <c r="BM714" i="1"/>
  <c r="BN714" i="1"/>
  <c r="BP714" i="1"/>
  <c r="BK715" i="1"/>
  <c r="BL715" i="1"/>
  <c r="BM715" i="1"/>
  <c r="BN715" i="1"/>
  <c r="BO715" i="1"/>
  <c r="BP715" i="1"/>
  <c r="BK716" i="1"/>
  <c r="BL716" i="1"/>
  <c r="BO716" i="1" s="1"/>
  <c r="BM716" i="1"/>
  <c r="BP716" i="1" s="1"/>
  <c r="BN716" i="1"/>
  <c r="BK717" i="1"/>
  <c r="BN717" i="1" s="1"/>
  <c r="BL717" i="1"/>
  <c r="BM717" i="1"/>
  <c r="BO717" i="1"/>
  <c r="BP717" i="1"/>
  <c r="BK718" i="1"/>
  <c r="BL718" i="1"/>
  <c r="BO718" i="1" s="1"/>
  <c r="BM718" i="1"/>
  <c r="BP718" i="1" s="1"/>
  <c r="BN718" i="1"/>
  <c r="BK719" i="1"/>
  <c r="BL719" i="1"/>
  <c r="BM719" i="1"/>
  <c r="BN719" i="1"/>
  <c r="BO719" i="1"/>
  <c r="BP719" i="1"/>
  <c r="BK720" i="1"/>
  <c r="BL720" i="1"/>
  <c r="BO720" i="1" s="1"/>
  <c r="BM720" i="1"/>
  <c r="BN720" i="1"/>
  <c r="BP720" i="1"/>
  <c r="BK721" i="1"/>
  <c r="BL721" i="1"/>
  <c r="BM721" i="1"/>
  <c r="BN721" i="1"/>
  <c r="BO721" i="1"/>
  <c r="BP721" i="1"/>
  <c r="BK722" i="1"/>
  <c r="BL722" i="1"/>
  <c r="BO722" i="1" s="1"/>
  <c r="BM722" i="1"/>
  <c r="BN722" i="1"/>
  <c r="BP722" i="1"/>
  <c r="BK723" i="1"/>
  <c r="BL723" i="1"/>
  <c r="BM723" i="1"/>
  <c r="BN723" i="1"/>
  <c r="BO723" i="1"/>
  <c r="BP723" i="1"/>
  <c r="BK724" i="1"/>
  <c r="BL724" i="1"/>
  <c r="BO724" i="1" s="1"/>
  <c r="BM724" i="1"/>
  <c r="BP724" i="1" s="1"/>
  <c r="BN724" i="1"/>
  <c r="BK725" i="1"/>
  <c r="BN725" i="1" s="1"/>
  <c r="BL725" i="1"/>
  <c r="BM725" i="1"/>
  <c r="BO725" i="1"/>
  <c r="BP725" i="1"/>
  <c r="BK726" i="1"/>
  <c r="BL726" i="1"/>
  <c r="BO726" i="1" s="1"/>
  <c r="BM726" i="1"/>
  <c r="BP726" i="1" s="1"/>
  <c r="BN726" i="1"/>
  <c r="BK727" i="1"/>
  <c r="BL727" i="1"/>
  <c r="BM727" i="1"/>
  <c r="BN727" i="1"/>
  <c r="BO727" i="1"/>
  <c r="BP727" i="1"/>
  <c r="BK728" i="1"/>
  <c r="BL728" i="1"/>
  <c r="BO728" i="1" s="1"/>
  <c r="BM728" i="1"/>
  <c r="BN728" i="1"/>
  <c r="BP728" i="1"/>
  <c r="BK729" i="1"/>
  <c r="BL729" i="1"/>
  <c r="BM729" i="1"/>
  <c r="BN729" i="1"/>
  <c r="BO729" i="1"/>
  <c r="BP729" i="1"/>
  <c r="BK730" i="1"/>
  <c r="BL730" i="1"/>
  <c r="BO730" i="1" s="1"/>
  <c r="BM730" i="1"/>
  <c r="BN730" i="1"/>
  <c r="BP730" i="1"/>
  <c r="BK731" i="1"/>
  <c r="BL731" i="1"/>
  <c r="BM731" i="1"/>
  <c r="BN731" i="1"/>
  <c r="BO731" i="1"/>
  <c r="BP731" i="1"/>
  <c r="BK732" i="1"/>
  <c r="BL732" i="1"/>
  <c r="BO732" i="1" s="1"/>
  <c r="BM732" i="1"/>
  <c r="BP732" i="1" s="1"/>
  <c r="BN732" i="1"/>
  <c r="BK733" i="1"/>
  <c r="BN733" i="1" s="1"/>
  <c r="BL733" i="1"/>
  <c r="BM733" i="1"/>
  <c r="BO733" i="1"/>
  <c r="BP733" i="1"/>
  <c r="BK734" i="1"/>
  <c r="BL734" i="1"/>
  <c r="BO734" i="1" s="1"/>
  <c r="BM734" i="1"/>
  <c r="BP734" i="1" s="1"/>
  <c r="BN734" i="1"/>
  <c r="BK735" i="1"/>
  <c r="BL735" i="1"/>
  <c r="BM735" i="1"/>
  <c r="BN735" i="1"/>
  <c r="BO735" i="1"/>
  <c r="BP735" i="1"/>
  <c r="BK736" i="1"/>
  <c r="BL736" i="1"/>
  <c r="BO736" i="1" s="1"/>
  <c r="BM736" i="1"/>
  <c r="BN736" i="1"/>
  <c r="BP736" i="1"/>
  <c r="BK737" i="1"/>
  <c r="BL737" i="1"/>
  <c r="BM737" i="1"/>
  <c r="BN737" i="1"/>
  <c r="BO737" i="1"/>
  <c r="BP737" i="1"/>
  <c r="BK738" i="1"/>
  <c r="BL738" i="1"/>
  <c r="BO738" i="1" s="1"/>
  <c r="BM738" i="1"/>
  <c r="BN738" i="1"/>
  <c r="BP738" i="1"/>
  <c r="BK739" i="1"/>
  <c r="BL739" i="1"/>
  <c r="BM739" i="1"/>
  <c r="BN739" i="1"/>
  <c r="BO739" i="1"/>
  <c r="BP739" i="1"/>
  <c r="BK740" i="1"/>
  <c r="BL740" i="1"/>
  <c r="BO740" i="1" s="1"/>
  <c r="BM740" i="1"/>
  <c r="BP740" i="1" s="1"/>
  <c r="BN740" i="1"/>
  <c r="BK741" i="1"/>
  <c r="BN741" i="1" s="1"/>
  <c r="BL741" i="1"/>
  <c r="BM741" i="1"/>
  <c r="BO741" i="1"/>
  <c r="BP741" i="1"/>
  <c r="BK742" i="1"/>
  <c r="BL742" i="1"/>
  <c r="BO742" i="1" s="1"/>
  <c r="BM742" i="1"/>
  <c r="BP742" i="1" s="1"/>
  <c r="BN742" i="1"/>
  <c r="BK743" i="1"/>
  <c r="BL743" i="1"/>
  <c r="BM743" i="1"/>
  <c r="BN743" i="1"/>
  <c r="BO743" i="1"/>
  <c r="BP743" i="1"/>
  <c r="BK744" i="1"/>
  <c r="BL744" i="1"/>
  <c r="BO744" i="1" s="1"/>
  <c r="BM744" i="1"/>
  <c r="BN744" i="1"/>
  <c r="BP744" i="1"/>
  <c r="BK745" i="1"/>
  <c r="BL745" i="1"/>
  <c r="BM745" i="1"/>
  <c r="BN745" i="1"/>
  <c r="BO745" i="1"/>
  <c r="BP745" i="1"/>
  <c r="BK746" i="1"/>
  <c r="BL746" i="1"/>
  <c r="BO746" i="1" s="1"/>
  <c r="BM746" i="1"/>
  <c r="BN746" i="1"/>
  <c r="BP746" i="1"/>
  <c r="BK747" i="1"/>
  <c r="BL747" i="1"/>
  <c r="BM747" i="1"/>
  <c r="BN747" i="1"/>
  <c r="BO747" i="1"/>
  <c r="BP747" i="1"/>
  <c r="BK748" i="1"/>
  <c r="BL748" i="1"/>
  <c r="BO748" i="1" s="1"/>
  <c r="BM748" i="1"/>
  <c r="BP748" i="1" s="1"/>
  <c r="BN748" i="1"/>
  <c r="BK749" i="1"/>
  <c r="BN749" i="1" s="1"/>
  <c r="BL749" i="1"/>
  <c r="BM749" i="1"/>
  <c r="BO749" i="1"/>
  <c r="BP749" i="1"/>
  <c r="BK750" i="1"/>
  <c r="BL750" i="1"/>
  <c r="BO750" i="1" s="1"/>
  <c r="BM750" i="1"/>
  <c r="BP750" i="1" s="1"/>
  <c r="BN750" i="1"/>
  <c r="BK751" i="1"/>
  <c r="BL751" i="1"/>
  <c r="BM751" i="1"/>
  <c r="BN751" i="1"/>
  <c r="BO751" i="1"/>
  <c r="BP751" i="1"/>
  <c r="BK752" i="1"/>
  <c r="BL752" i="1"/>
  <c r="BO752" i="1" s="1"/>
  <c r="BM752" i="1"/>
  <c r="BN752" i="1"/>
  <c r="BP752" i="1"/>
  <c r="BK753" i="1"/>
  <c r="BL753" i="1"/>
  <c r="BM753" i="1"/>
  <c r="BN753" i="1"/>
  <c r="BO753" i="1"/>
  <c r="BP753" i="1"/>
  <c r="BK754" i="1"/>
  <c r="BL754" i="1"/>
  <c r="BO754" i="1" s="1"/>
  <c r="BM754" i="1"/>
  <c r="BN754" i="1"/>
  <c r="BP754" i="1"/>
  <c r="BK755" i="1"/>
  <c r="BL755" i="1"/>
  <c r="BM755" i="1"/>
  <c r="BN755" i="1"/>
  <c r="BO755" i="1"/>
  <c r="BP755" i="1"/>
  <c r="BK756" i="1"/>
  <c r="BL756" i="1"/>
  <c r="BO756" i="1" s="1"/>
  <c r="BM756" i="1"/>
  <c r="BP756" i="1" s="1"/>
  <c r="BN756" i="1"/>
  <c r="BK757" i="1"/>
  <c r="BN757" i="1" s="1"/>
  <c r="BL757" i="1"/>
  <c r="BM757" i="1"/>
  <c r="BO757" i="1"/>
  <c r="BP757" i="1"/>
  <c r="BK758" i="1"/>
  <c r="BL758" i="1"/>
  <c r="BO758" i="1" s="1"/>
  <c r="BM758" i="1"/>
  <c r="BP758" i="1" s="1"/>
  <c r="BN758" i="1"/>
  <c r="BK759" i="1"/>
  <c r="BL759" i="1"/>
  <c r="BM759" i="1"/>
  <c r="BN759" i="1"/>
  <c r="BO759" i="1"/>
  <c r="BP759" i="1"/>
  <c r="BK760" i="1"/>
  <c r="BL760" i="1"/>
  <c r="BO760" i="1" s="1"/>
  <c r="BM760" i="1"/>
  <c r="BN760" i="1"/>
  <c r="BP760" i="1"/>
  <c r="BK761" i="1"/>
  <c r="BL761" i="1"/>
  <c r="BM761" i="1"/>
  <c r="BN761" i="1"/>
  <c r="BO761" i="1"/>
  <c r="BP761" i="1"/>
  <c r="BK762" i="1"/>
  <c r="BL762" i="1"/>
  <c r="BO762" i="1" s="1"/>
  <c r="BM762" i="1"/>
  <c r="BN762" i="1"/>
  <c r="BP762" i="1"/>
  <c r="BK763" i="1"/>
  <c r="BL763" i="1"/>
  <c r="BM763" i="1"/>
  <c r="BN763" i="1"/>
  <c r="BO763" i="1"/>
  <c r="BP763" i="1"/>
  <c r="BK764" i="1"/>
  <c r="BL764" i="1"/>
  <c r="BO764" i="1" s="1"/>
  <c r="BM764" i="1"/>
  <c r="BP764" i="1" s="1"/>
  <c r="BN764" i="1"/>
  <c r="BK765" i="1"/>
  <c r="BN765" i="1" s="1"/>
  <c r="BL765" i="1"/>
  <c r="BM765" i="1"/>
  <c r="BO765" i="1"/>
  <c r="BP765" i="1"/>
  <c r="BK766" i="1"/>
  <c r="BL766" i="1"/>
  <c r="BO766" i="1" s="1"/>
  <c r="BM766" i="1"/>
  <c r="BP766" i="1" s="1"/>
  <c r="BN766" i="1"/>
  <c r="BK767" i="1"/>
  <c r="BL767" i="1"/>
  <c r="BM767" i="1"/>
  <c r="BN767" i="1"/>
  <c r="BO767" i="1"/>
  <c r="BP767" i="1"/>
  <c r="BK768" i="1"/>
  <c r="BL768" i="1"/>
  <c r="BO768" i="1" s="1"/>
  <c r="BM768" i="1"/>
  <c r="BN768" i="1"/>
  <c r="BP768" i="1"/>
  <c r="BK769" i="1"/>
  <c r="BL769" i="1"/>
  <c r="BM769" i="1"/>
  <c r="BN769" i="1"/>
  <c r="BO769" i="1"/>
  <c r="BP769" i="1"/>
  <c r="BK770" i="1"/>
  <c r="BL770" i="1"/>
  <c r="BO770" i="1" s="1"/>
  <c r="BM770" i="1"/>
  <c r="BN770" i="1"/>
  <c r="BP770" i="1"/>
  <c r="BK771" i="1"/>
  <c r="BL771" i="1"/>
  <c r="BM771" i="1"/>
  <c r="BN771" i="1"/>
  <c r="BO771" i="1"/>
  <c r="BP771" i="1"/>
  <c r="BK772" i="1"/>
  <c r="BL772" i="1"/>
  <c r="BO772" i="1" s="1"/>
  <c r="BM772" i="1"/>
  <c r="BP772" i="1" s="1"/>
  <c r="BN772" i="1"/>
  <c r="BK773" i="1"/>
  <c r="BN773" i="1" s="1"/>
  <c r="BL773" i="1"/>
  <c r="BM773" i="1"/>
  <c r="BO773" i="1"/>
  <c r="BP773" i="1"/>
  <c r="BK774" i="1"/>
  <c r="BL774" i="1"/>
  <c r="BO774" i="1" s="1"/>
  <c r="BM774" i="1"/>
  <c r="BP774" i="1" s="1"/>
  <c r="BN774" i="1"/>
  <c r="BK775" i="1"/>
  <c r="BL775" i="1"/>
  <c r="BM775" i="1"/>
  <c r="BN775" i="1"/>
  <c r="BO775" i="1"/>
  <c r="BP775" i="1"/>
  <c r="BK776" i="1"/>
  <c r="BL776" i="1"/>
  <c r="BO776" i="1" s="1"/>
  <c r="BM776" i="1"/>
  <c r="BN776" i="1"/>
  <c r="BP776" i="1"/>
  <c r="BK777" i="1"/>
  <c r="BL777" i="1"/>
  <c r="BM777" i="1"/>
  <c r="BN777" i="1"/>
  <c r="BO777" i="1"/>
  <c r="BP777" i="1"/>
  <c r="BK778" i="1"/>
  <c r="BL778" i="1"/>
  <c r="BO778" i="1" s="1"/>
  <c r="BM778" i="1"/>
  <c r="BN778" i="1"/>
  <c r="BP778" i="1"/>
  <c r="BK779" i="1"/>
  <c r="BL779" i="1"/>
  <c r="BM779" i="1"/>
  <c r="BN779" i="1"/>
  <c r="BO779" i="1"/>
  <c r="BP779" i="1"/>
  <c r="BK780" i="1"/>
  <c r="BL780" i="1"/>
  <c r="BO780" i="1" s="1"/>
  <c r="BM780" i="1"/>
  <c r="BP780" i="1" s="1"/>
  <c r="BN780" i="1"/>
  <c r="BK781" i="1"/>
  <c r="BN781" i="1" s="1"/>
  <c r="BL781" i="1"/>
  <c r="BM781" i="1"/>
  <c r="BO781" i="1"/>
  <c r="BP781" i="1"/>
  <c r="BK782" i="1"/>
  <c r="BL782" i="1"/>
  <c r="BO782" i="1" s="1"/>
  <c r="BM782" i="1"/>
  <c r="BP782" i="1" s="1"/>
  <c r="BN782" i="1"/>
  <c r="BK783" i="1"/>
  <c r="BL783" i="1"/>
  <c r="BO783" i="1" s="1"/>
  <c r="BM783" i="1"/>
  <c r="BN783" i="1"/>
  <c r="BP783" i="1"/>
  <c r="BK784" i="1"/>
  <c r="BL784" i="1"/>
  <c r="BO784" i="1" s="1"/>
  <c r="BM784" i="1"/>
  <c r="BN784" i="1"/>
  <c r="BP784" i="1"/>
  <c r="BK785" i="1"/>
  <c r="BL785" i="1"/>
  <c r="BM785" i="1"/>
  <c r="BN785" i="1"/>
  <c r="BO785" i="1"/>
  <c r="BP785" i="1"/>
  <c r="BK786" i="1"/>
  <c r="BL786" i="1"/>
  <c r="BO786" i="1" s="1"/>
  <c r="BM786" i="1"/>
  <c r="BN786" i="1"/>
  <c r="BP786" i="1"/>
  <c r="BK787" i="1"/>
  <c r="BL787" i="1"/>
  <c r="BM787" i="1"/>
  <c r="BN787" i="1"/>
  <c r="BO787" i="1"/>
  <c r="BP787" i="1"/>
  <c r="BK788" i="1"/>
  <c r="BL788" i="1"/>
  <c r="BO788" i="1" s="1"/>
  <c r="BM788" i="1"/>
  <c r="BP788" i="1" s="1"/>
  <c r="BN788" i="1"/>
  <c r="BK789" i="1"/>
  <c r="BN789" i="1" s="1"/>
  <c r="BL789" i="1"/>
  <c r="BM789" i="1"/>
  <c r="BO789" i="1"/>
  <c r="BP789" i="1"/>
  <c r="BK790" i="1"/>
  <c r="BL790" i="1"/>
  <c r="BO790" i="1" s="1"/>
  <c r="BM790" i="1"/>
  <c r="BP790" i="1" s="1"/>
  <c r="BN790" i="1"/>
  <c r="BK791" i="1"/>
  <c r="BL791" i="1"/>
  <c r="BO791" i="1" s="1"/>
  <c r="BM791" i="1"/>
  <c r="BN791" i="1"/>
  <c r="BP791" i="1"/>
  <c r="BK792" i="1"/>
  <c r="BL792" i="1"/>
  <c r="BO792" i="1" s="1"/>
  <c r="BM792" i="1"/>
  <c r="BN792" i="1"/>
  <c r="BP792" i="1"/>
  <c r="BK793" i="1"/>
  <c r="BL793" i="1"/>
  <c r="BM793" i="1"/>
  <c r="BN793" i="1"/>
  <c r="BO793" i="1"/>
  <c r="BP793" i="1"/>
  <c r="BK794" i="1"/>
  <c r="BL794" i="1"/>
  <c r="BO794" i="1" s="1"/>
  <c r="BM794" i="1"/>
  <c r="BN794" i="1"/>
  <c r="BP794" i="1"/>
  <c r="BK795" i="1"/>
  <c r="BL795" i="1"/>
  <c r="BM795" i="1"/>
  <c r="BN795" i="1"/>
  <c r="BO795" i="1"/>
  <c r="BP795" i="1"/>
  <c r="BK796" i="1"/>
  <c r="BL796" i="1"/>
  <c r="BO796" i="1" s="1"/>
  <c r="BM796" i="1"/>
  <c r="BP796" i="1" s="1"/>
  <c r="BN796" i="1"/>
  <c r="BK797" i="1"/>
  <c r="BN797" i="1" s="1"/>
  <c r="BL797" i="1"/>
  <c r="BM797" i="1"/>
  <c r="BO797" i="1"/>
  <c r="BP797" i="1"/>
  <c r="BK798" i="1"/>
  <c r="BL798" i="1"/>
  <c r="BO798" i="1" s="1"/>
  <c r="BM798" i="1"/>
  <c r="BP798" i="1" s="1"/>
  <c r="BN798" i="1"/>
  <c r="BK799" i="1"/>
  <c r="BL799" i="1"/>
  <c r="BO799" i="1" s="1"/>
  <c r="BM799" i="1"/>
  <c r="BN799" i="1"/>
  <c r="BP799" i="1"/>
  <c r="BK800" i="1"/>
  <c r="BL800" i="1"/>
  <c r="BM800" i="1"/>
  <c r="BN800" i="1"/>
  <c r="BO800" i="1"/>
  <c r="BP800" i="1"/>
  <c r="BK801" i="1"/>
  <c r="BL801" i="1"/>
  <c r="BO801" i="1" s="1"/>
  <c r="BM801" i="1"/>
  <c r="BN801" i="1"/>
  <c r="BP801" i="1"/>
  <c r="BK802" i="1"/>
  <c r="BL802" i="1"/>
  <c r="BM802" i="1"/>
  <c r="BN802" i="1"/>
  <c r="BO802" i="1"/>
  <c r="BP802" i="1"/>
  <c r="BK803" i="1"/>
  <c r="BL803" i="1"/>
  <c r="BO803" i="1" s="1"/>
  <c r="BM803" i="1"/>
  <c r="BN803" i="1"/>
  <c r="BP803" i="1"/>
  <c r="BK804" i="1"/>
  <c r="BL804" i="1"/>
  <c r="BM804" i="1"/>
  <c r="BN804" i="1"/>
  <c r="BO804" i="1"/>
  <c r="BP804" i="1"/>
  <c r="BK805" i="1"/>
  <c r="BL805" i="1"/>
  <c r="BO805" i="1" s="1"/>
  <c r="BM805" i="1"/>
  <c r="BN805" i="1"/>
  <c r="BP805" i="1"/>
  <c r="BK806" i="1"/>
  <c r="BL806" i="1"/>
  <c r="BM806" i="1"/>
  <c r="BN806" i="1"/>
  <c r="BO806" i="1"/>
  <c r="BP806" i="1"/>
  <c r="BK807" i="1"/>
  <c r="BL807" i="1"/>
  <c r="BO807" i="1" s="1"/>
  <c r="BM807" i="1"/>
  <c r="BN807" i="1"/>
  <c r="BP807" i="1"/>
  <c r="BK808" i="1"/>
  <c r="BL808" i="1"/>
  <c r="BM808" i="1"/>
  <c r="BN808" i="1"/>
  <c r="BO808" i="1"/>
  <c r="BP808" i="1"/>
  <c r="BK809" i="1"/>
  <c r="BL809" i="1"/>
  <c r="BO809" i="1" s="1"/>
  <c r="BM809" i="1"/>
  <c r="BN809" i="1"/>
  <c r="BP809" i="1"/>
  <c r="BK810" i="1"/>
  <c r="BL810" i="1"/>
  <c r="BM810" i="1"/>
  <c r="BN810" i="1"/>
  <c r="BO810" i="1"/>
  <c r="BP810" i="1"/>
  <c r="BK811" i="1"/>
  <c r="BL811" i="1"/>
  <c r="BO811" i="1" s="1"/>
  <c r="BM811" i="1"/>
  <c r="BN811" i="1"/>
  <c r="BP811" i="1"/>
  <c r="BK812" i="1"/>
  <c r="BL812" i="1"/>
  <c r="BM812" i="1"/>
  <c r="BN812" i="1"/>
  <c r="BO812" i="1"/>
  <c r="BP812" i="1"/>
  <c r="BK813" i="1"/>
  <c r="BL813" i="1"/>
  <c r="BO813" i="1" s="1"/>
  <c r="BM813" i="1"/>
  <c r="BN813" i="1"/>
  <c r="BP813" i="1"/>
  <c r="BK814" i="1"/>
  <c r="BL814" i="1"/>
  <c r="BM814" i="1"/>
  <c r="BN814" i="1"/>
  <c r="BO814" i="1"/>
  <c r="BP814" i="1"/>
  <c r="BK815" i="1"/>
  <c r="BL815" i="1"/>
  <c r="BO815" i="1" s="1"/>
  <c r="BM815" i="1"/>
  <c r="BN815" i="1"/>
  <c r="BP815" i="1"/>
  <c r="BK816" i="1"/>
  <c r="BL816" i="1"/>
  <c r="BM816" i="1"/>
  <c r="BN816" i="1"/>
  <c r="BO816" i="1"/>
  <c r="BP816" i="1"/>
  <c r="BK817" i="1"/>
  <c r="BL817" i="1"/>
  <c r="BO817" i="1" s="1"/>
  <c r="BM817" i="1"/>
  <c r="BN817" i="1"/>
  <c r="BP817" i="1"/>
  <c r="BK818" i="1"/>
  <c r="BL818" i="1"/>
  <c r="BM818" i="1"/>
  <c r="BN818" i="1"/>
  <c r="BO818" i="1"/>
  <c r="BP818" i="1"/>
  <c r="BK819" i="1"/>
  <c r="BL819" i="1"/>
  <c r="BO819" i="1" s="1"/>
  <c r="BM819" i="1"/>
  <c r="BN819" i="1"/>
  <c r="BP819" i="1"/>
  <c r="BK820" i="1"/>
  <c r="BL820" i="1"/>
  <c r="BM820" i="1"/>
  <c r="BN820" i="1"/>
  <c r="BO820" i="1"/>
  <c r="BP820" i="1"/>
  <c r="BK821" i="1"/>
  <c r="BL821" i="1"/>
  <c r="BO821" i="1" s="1"/>
  <c r="BM821" i="1"/>
  <c r="BN821" i="1"/>
  <c r="BP821" i="1"/>
  <c r="BK822" i="1"/>
  <c r="BL822" i="1"/>
  <c r="BM822" i="1"/>
  <c r="BN822" i="1"/>
  <c r="BO822" i="1"/>
  <c r="BP822" i="1"/>
  <c r="BK823" i="1"/>
  <c r="BL823" i="1"/>
  <c r="BO823" i="1" s="1"/>
  <c r="BM823" i="1"/>
  <c r="BN823" i="1"/>
  <c r="BP823" i="1"/>
  <c r="BK824" i="1"/>
  <c r="BL824" i="1"/>
  <c r="BM824" i="1"/>
  <c r="BN824" i="1"/>
  <c r="BO824" i="1"/>
  <c r="BP824" i="1"/>
  <c r="BK825" i="1"/>
  <c r="BL825" i="1"/>
  <c r="BO825" i="1" s="1"/>
  <c r="BM825" i="1"/>
  <c r="BN825" i="1"/>
  <c r="BP825" i="1"/>
  <c r="BK826" i="1"/>
  <c r="BL826" i="1"/>
  <c r="BM826" i="1"/>
  <c r="BN826" i="1"/>
  <c r="BO826" i="1"/>
  <c r="BP826" i="1"/>
  <c r="BK827" i="1"/>
  <c r="BL827" i="1"/>
  <c r="BO827" i="1" s="1"/>
  <c r="BM827" i="1"/>
  <c r="BN827" i="1"/>
  <c r="BP827" i="1"/>
  <c r="BK828" i="1"/>
  <c r="BL828" i="1"/>
  <c r="BM828" i="1"/>
  <c r="BN828" i="1"/>
  <c r="BO828" i="1"/>
  <c r="BP828" i="1"/>
  <c r="BK829" i="1"/>
  <c r="BL829" i="1"/>
  <c r="BO829" i="1" s="1"/>
  <c r="BM829" i="1"/>
  <c r="BN829" i="1"/>
  <c r="BP829" i="1"/>
  <c r="BK830" i="1"/>
  <c r="BL830" i="1"/>
  <c r="BM830" i="1"/>
  <c r="BN830" i="1"/>
  <c r="BO830" i="1"/>
  <c r="BP830" i="1"/>
  <c r="BK831" i="1"/>
  <c r="BL831" i="1"/>
  <c r="BO831" i="1" s="1"/>
  <c r="BM831" i="1"/>
  <c r="BN831" i="1"/>
  <c r="BP831" i="1"/>
  <c r="BK832" i="1"/>
  <c r="BL832" i="1"/>
  <c r="BM832" i="1"/>
  <c r="BN832" i="1"/>
  <c r="BO832" i="1"/>
  <c r="BP832" i="1"/>
  <c r="BK833" i="1"/>
  <c r="BL833" i="1"/>
  <c r="BO833" i="1" s="1"/>
  <c r="BM833" i="1"/>
  <c r="BN833" i="1"/>
  <c r="BP833" i="1"/>
  <c r="BK834" i="1"/>
  <c r="BL834" i="1"/>
  <c r="BM834" i="1"/>
  <c r="BN834" i="1"/>
  <c r="BO834" i="1"/>
  <c r="BP834" i="1"/>
  <c r="BK835" i="1"/>
  <c r="BL835" i="1"/>
  <c r="BO835" i="1" s="1"/>
  <c r="BM835" i="1"/>
  <c r="BN835" i="1"/>
  <c r="BP835" i="1"/>
  <c r="BK836" i="1"/>
  <c r="BL836" i="1"/>
  <c r="BM836" i="1"/>
  <c r="BN836" i="1"/>
  <c r="BO836" i="1"/>
  <c r="BP836" i="1"/>
  <c r="BK837" i="1"/>
  <c r="BL837" i="1"/>
  <c r="BO837" i="1" s="1"/>
  <c r="BM837" i="1"/>
  <c r="BN837" i="1"/>
  <c r="BP837" i="1"/>
  <c r="BK838" i="1"/>
  <c r="BL838" i="1"/>
  <c r="BM838" i="1"/>
  <c r="BN838" i="1"/>
  <c r="BO838" i="1"/>
  <c r="BP838" i="1"/>
  <c r="BK839" i="1"/>
  <c r="BL839" i="1"/>
  <c r="BO839" i="1" s="1"/>
  <c r="BM839" i="1"/>
  <c r="BN839" i="1"/>
  <c r="BP839" i="1"/>
  <c r="BK840" i="1"/>
  <c r="BL840" i="1"/>
  <c r="BM840" i="1"/>
  <c r="BN840" i="1"/>
  <c r="BO840" i="1"/>
  <c r="BP840" i="1"/>
  <c r="BK841" i="1"/>
  <c r="BL841" i="1"/>
  <c r="BO841" i="1" s="1"/>
  <c r="BM841" i="1"/>
  <c r="BN841" i="1"/>
  <c r="BP841" i="1"/>
  <c r="BK842" i="1"/>
  <c r="BL842" i="1"/>
  <c r="BM842" i="1"/>
  <c r="BN842" i="1"/>
  <c r="BO842" i="1"/>
  <c r="BP842" i="1"/>
  <c r="BK843" i="1"/>
  <c r="BL843" i="1"/>
  <c r="BO843" i="1" s="1"/>
  <c r="BM843" i="1"/>
  <c r="BN843" i="1"/>
  <c r="BP843" i="1"/>
  <c r="BK844" i="1"/>
  <c r="BL844" i="1"/>
  <c r="BM844" i="1"/>
  <c r="BN844" i="1"/>
  <c r="BO844" i="1"/>
  <c r="BP844" i="1"/>
  <c r="BK845" i="1"/>
  <c r="BL845" i="1"/>
  <c r="BO845" i="1" s="1"/>
  <c r="BM845" i="1"/>
  <c r="BN845" i="1"/>
  <c r="BP845" i="1"/>
  <c r="BK846" i="1"/>
  <c r="BL846" i="1"/>
  <c r="BM846" i="1"/>
  <c r="BN846" i="1"/>
  <c r="BO846" i="1"/>
  <c r="BP846" i="1"/>
  <c r="BK847" i="1"/>
  <c r="BL847" i="1"/>
  <c r="BO847" i="1" s="1"/>
  <c r="BM847" i="1"/>
  <c r="BN847" i="1"/>
  <c r="BP847" i="1"/>
  <c r="BK848" i="1"/>
  <c r="BL848" i="1"/>
  <c r="BM848" i="1"/>
  <c r="BN848" i="1"/>
  <c r="BO848" i="1"/>
  <c r="BP848" i="1"/>
  <c r="BK849" i="1"/>
  <c r="BL849" i="1"/>
  <c r="BO849" i="1" s="1"/>
  <c r="BM849" i="1"/>
  <c r="BN849" i="1"/>
  <c r="BP849" i="1"/>
  <c r="BK850" i="1"/>
  <c r="BL850" i="1"/>
  <c r="BM850" i="1"/>
  <c r="BN850" i="1"/>
  <c r="BO850" i="1"/>
  <c r="BP850" i="1"/>
  <c r="BK851" i="1"/>
  <c r="BL851" i="1"/>
  <c r="BO851" i="1" s="1"/>
  <c r="BM851" i="1"/>
  <c r="BN851" i="1"/>
  <c r="BP851" i="1"/>
  <c r="BK852" i="1"/>
  <c r="BL852" i="1"/>
  <c r="BM852" i="1"/>
  <c r="BN852" i="1"/>
  <c r="BO852" i="1"/>
  <c r="BP852" i="1"/>
  <c r="BK853" i="1"/>
  <c r="BL853" i="1"/>
  <c r="BO853" i="1" s="1"/>
  <c r="BM853" i="1"/>
  <c r="BN853" i="1"/>
  <c r="BP853" i="1"/>
  <c r="BK854" i="1"/>
  <c r="BL854" i="1"/>
  <c r="BM854" i="1"/>
  <c r="BN854" i="1"/>
  <c r="BO854" i="1"/>
  <c r="BP854" i="1"/>
  <c r="BK855" i="1"/>
  <c r="BL855" i="1"/>
  <c r="BO855" i="1" s="1"/>
  <c r="BM855" i="1"/>
  <c r="BN855" i="1"/>
  <c r="BP855" i="1"/>
  <c r="BK856" i="1"/>
  <c r="BL856" i="1"/>
  <c r="BM856" i="1"/>
  <c r="BN856" i="1"/>
  <c r="BO856" i="1"/>
  <c r="BP856" i="1"/>
  <c r="BK857" i="1"/>
  <c r="BL857" i="1"/>
  <c r="BO857" i="1" s="1"/>
  <c r="BM857" i="1"/>
  <c r="BN857" i="1"/>
  <c r="BP857" i="1"/>
  <c r="BK858" i="1"/>
  <c r="BL858" i="1"/>
  <c r="BM858" i="1"/>
  <c r="BN858" i="1"/>
  <c r="BO858" i="1"/>
  <c r="BP858" i="1"/>
  <c r="BK859" i="1"/>
  <c r="BL859" i="1"/>
  <c r="BO859" i="1" s="1"/>
  <c r="BM859" i="1"/>
  <c r="BN859" i="1"/>
  <c r="BP859" i="1"/>
  <c r="BK860" i="1"/>
  <c r="BL860" i="1"/>
  <c r="BM860" i="1"/>
  <c r="BN860" i="1"/>
  <c r="BO860" i="1"/>
  <c r="BP860" i="1"/>
  <c r="BK861" i="1"/>
  <c r="BL861" i="1"/>
  <c r="BO861" i="1" s="1"/>
  <c r="BM861" i="1"/>
  <c r="BN861" i="1"/>
  <c r="BP861" i="1"/>
  <c r="BK862" i="1"/>
  <c r="BL862" i="1"/>
  <c r="BM862" i="1"/>
  <c r="BN862" i="1"/>
  <c r="BO862" i="1"/>
  <c r="BP862" i="1"/>
  <c r="BK863" i="1"/>
  <c r="BL863" i="1"/>
  <c r="BO863" i="1" s="1"/>
  <c r="BM863" i="1"/>
  <c r="BN863" i="1"/>
  <c r="BP863" i="1"/>
  <c r="BK864" i="1"/>
  <c r="BL864" i="1"/>
  <c r="BM864" i="1"/>
  <c r="BN864" i="1"/>
  <c r="BO864" i="1"/>
  <c r="BP864" i="1"/>
  <c r="BK865" i="1"/>
  <c r="BL865" i="1"/>
  <c r="BO865" i="1" s="1"/>
  <c r="BM865" i="1"/>
  <c r="BN865" i="1"/>
  <c r="BP865" i="1"/>
  <c r="BK866" i="1"/>
  <c r="BL866" i="1"/>
  <c r="BM866" i="1"/>
  <c r="BN866" i="1"/>
  <c r="BO866" i="1"/>
  <c r="BP866" i="1"/>
  <c r="BK867" i="1"/>
  <c r="BL867" i="1"/>
  <c r="BO867" i="1" s="1"/>
  <c r="BM867" i="1"/>
  <c r="BN867" i="1"/>
  <c r="BP867" i="1"/>
  <c r="BK868" i="1"/>
  <c r="BL868" i="1"/>
  <c r="BM868" i="1"/>
  <c r="BN868" i="1"/>
  <c r="BO868" i="1"/>
  <c r="BP868" i="1"/>
  <c r="BK869" i="1"/>
  <c r="BL869" i="1"/>
  <c r="BO869" i="1" s="1"/>
  <c r="BM869" i="1"/>
  <c r="BN869" i="1"/>
  <c r="BP869" i="1"/>
  <c r="BK870" i="1"/>
  <c r="BL870" i="1"/>
  <c r="BM870" i="1"/>
  <c r="BN870" i="1"/>
  <c r="BO870" i="1"/>
  <c r="BP870" i="1"/>
  <c r="BK871" i="1"/>
  <c r="BL871" i="1"/>
  <c r="BO871" i="1" s="1"/>
  <c r="BM871" i="1"/>
  <c r="BN871" i="1"/>
  <c r="BP871" i="1"/>
  <c r="BK872" i="1"/>
  <c r="BL872" i="1"/>
  <c r="BM872" i="1"/>
  <c r="BN872" i="1"/>
  <c r="BO872" i="1"/>
  <c r="BP872" i="1"/>
  <c r="BK873" i="1"/>
  <c r="BL873" i="1"/>
  <c r="BO873" i="1" s="1"/>
  <c r="BM873" i="1"/>
  <c r="BN873" i="1"/>
  <c r="BP873" i="1"/>
  <c r="BK874" i="1"/>
  <c r="BL874" i="1"/>
  <c r="BM874" i="1"/>
  <c r="BN874" i="1"/>
  <c r="BO874" i="1"/>
  <c r="BP874" i="1"/>
  <c r="BK875" i="1"/>
  <c r="BL875" i="1"/>
  <c r="BO875" i="1" s="1"/>
  <c r="BM875" i="1"/>
  <c r="BN875" i="1"/>
  <c r="BP875" i="1"/>
  <c r="BK876" i="1"/>
  <c r="BL876" i="1"/>
  <c r="BM876" i="1"/>
  <c r="BN876" i="1"/>
  <c r="BO876" i="1"/>
  <c r="BP876" i="1"/>
  <c r="BK877" i="1"/>
  <c r="BL877" i="1"/>
  <c r="BO877" i="1" s="1"/>
  <c r="BM877" i="1"/>
  <c r="BN877" i="1"/>
  <c r="BP877" i="1"/>
  <c r="BK878" i="1"/>
  <c r="BL878" i="1"/>
  <c r="BM878" i="1"/>
  <c r="BN878" i="1"/>
  <c r="BO878" i="1"/>
  <c r="BP878" i="1"/>
  <c r="BK879" i="1"/>
  <c r="BL879" i="1"/>
  <c r="BO879" i="1" s="1"/>
  <c r="BM879" i="1"/>
  <c r="BN879" i="1"/>
  <c r="BP879" i="1"/>
  <c r="BK880" i="1"/>
  <c r="BL880" i="1"/>
  <c r="BM880" i="1"/>
  <c r="BN880" i="1"/>
  <c r="BO880" i="1"/>
  <c r="BP880" i="1"/>
  <c r="BK881" i="1"/>
  <c r="BL881" i="1"/>
  <c r="BO881" i="1" s="1"/>
  <c r="BM881" i="1"/>
  <c r="BN881" i="1"/>
  <c r="BP881" i="1"/>
  <c r="BK882" i="1"/>
  <c r="BL882" i="1"/>
  <c r="BM882" i="1"/>
  <c r="BN882" i="1"/>
  <c r="BO882" i="1"/>
  <c r="BP882" i="1"/>
  <c r="BK883" i="1"/>
  <c r="BL883" i="1"/>
  <c r="BO883" i="1" s="1"/>
  <c r="BM883" i="1"/>
  <c r="BN883" i="1"/>
  <c r="BP883" i="1"/>
  <c r="BK884" i="1"/>
  <c r="BL884" i="1"/>
  <c r="BM884" i="1"/>
  <c r="BN884" i="1"/>
  <c r="BO884" i="1"/>
  <c r="BP884" i="1"/>
  <c r="BK885" i="1"/>
  <c r="BL885" i="1"/>
  <c r="BO885" i="1" s="1"/>
  <c r="BM885" i="1"/>
  <c r="BN885" i="1"/>
  <c r="BP885" i="1"/>
  <c r="BK886" i="1"/>
  <c r="BL886" i="1"/>
  <c r="BM886" i="1"/>
  <c r="BN886" i="1"/>
  <c r="BO886" i="1"/>
  <c r="BP886" i="1"/>
  <c r="BK887" i="1"/>
  <c r="BL887" i="1"/>
  <c r="BO887" i="1" s="1"/>
  <c r="BM887" i="1"/>
  <c r="BN887" i="1"/>
  <c r="BP887" i="1"/>
  <c r="BK888" i="1"/>
  <c r="BL888" i="1"/>
  <c r="BM888" i="1"/>
  <c r="BN888" i="1"/>
  <c r="BO888" i="1"/>
  <c r="BP888" i="1"/>
  <c r="BK889" i="1"/>
  <c r="BL889" i="1"/>
  <c r="BO889" i="1" s="1"/>
  <c r="BM889" i="1"/>
  <c r="BN889" i="1"/>
  <c r="BP889" i="1"/>
  <c r="BK890" i="1"/>
  <c r="BL890" i="1"/>
  <c r="BM890" i="1"/>
  <c r="BN890" i="1"/>
  <c r="BO890" i="1"/>
  <c r="BP890" i="1"/>
  <c r="BK891" i="1"/>
  <c r="BL891" i="1"/>
  <c r="BO891" i="1" s="1"/>
  <c r="BM891" i="1"/>
  <c r="BN891" i="1"/>
  <c r="BP891" i="1"/>
  <c r="BK892" i="1"/>
  <c r="BL892" i="1"/>
  <c r="BM892" i="1"/>
  <c r="BN892" i="1"/>
  <c r="BO892" i="1"/>
  <c r="BP892" i="1"/>
  <c r="BK893" i="1"/>
  <c r="BL893" i="1"/>
  <c r="BO893" i="1" s="1"/>
  <c r="BM893" i="1"/>
  <c r="BN893" i="1"/>
  <c r="BP893" i="1"/>
  <c r="BK894" i="1"/>
  <c r="BL894" i="1"/>
  <c r="BM894" i="1"/>
  <c r="BN894" i="1"/>
  <c r="BO894" i="1"/>
  <c r="BP894" i="1"/>
  <c r="BK895" i="1"/>
  <c r="BL895" i="1"/>
  <c r="BO895" i="1" s="1"/>
  <c r="BM895" i="1"/>
  <c r="BN895" i="1"/>
  <c r="BP895" i="1"/>
  <c r="BK896" i="1"/>
  <c r="BL896" i="1"/>
  <c r="BM896" i="1"/>
  <c r="BN896" i="1"/>
  <c r="BO896" i="1"/>
  <c r="BP896" i="1"/>
  <c r="BK897" i="1"/>
  <c r="BL897" i="1"/>
  <c r="BO897" i="1" s="1"/>
  <c r="BM897" i="1"/>
  <c r="BN897" i="1"/>
  <c r="BP897" i="1"/>
  <c r="BK898" i="1"/>
  <c r="BL898" i="1"/>
  <c r="BM898" i="1"/>
  <c r="BN898" i="1"/>
  <c r="BO898" i="1"/>
  <c r="BP898" i="1"/>
  <c r="BK899" i="1"/>
  <c r="BL899" i="1"/>
  <c r="BO899" i="1" s="1"/>
  <c r="BM899" i="1"/>
  <c r="BN899" i="1"/>
  <c r="BP899" i="1"/>
  <c r="BK900" i="1"/>
  <c r="BL900" i="1"/>
  <c r="BM900" i="1"/>
  <c r="BN900" i="1"/>
  <c r="BO900" i="1"/>
  <c r="BP900" i="1"/>
  <c r="BK901" i="1"/>
  <c r="BL901" i="1"/>
  <c r="BO901" i="1" s="1"/>
  <c r="BM901" i="1"/>
  <c r="BN901" i="1"/>
  <c r="BP901" i="1"/>
  <c r="BK902" i="1"/>
  <c r="BL902" i="1"/>
  <c r="BM902" i="1"/>
  <c r="BN902" i="1"/>
  <c r="BO902" i="1"/>
  <c r="BP902" i="1"/>
  <c r="BK903" i="1"/>
  <c r="BL903" i="1"/>
  <c r="BO903" i="1" s="1"/>
  <c r="BM903" i="1"/>
  <c r="BN903" i="1"/>
  <c r="BP903" i="1"/>
  <c r="BK904" i="1"/>
  <c r="BL904" i="1"/>
  <c r="BM904" i="1"/>
  <c r="BN904" i="1"/>
  <c r="BO904" i="1"/>
  <c r="BP904" i="1"/>
  <c r="BK905" i="1"/>
  <c r="BL905" i="1"/>
  <c r="BO905" i="1" s="1"/>
  <c r="BM905" i="1"/>
  <c r="BN905" i="1"/>
  <c r="BP905" i="1"/>
  <c r="BK906" i="1"/>
  <c r="BL906" i="1"/>
  <c r="BM906" i="1"/>
  <c r="BN906" i="1"/>
  <c r="BO906" i="1"/>
  <c r="BP906" i="1"/>
  <c r="BK907" i="1"/>
  <c r="BL907" i="1"/>
  <c r="BO907" i="1" s="1"/>
  <c r="BM907" i="1"/>
  <c r="BN907" i="1"/>
  <c r="BP907" i="1"/>
  <c r="BK908" i="1"/>
  <c r="BL908" i="1"/>
  <c r="BM908" i="1"/>
  <c r="BN908" i="1"/>
  <c r="BO908" i="1"/>
  <c r="BP908" i="1"/>
  <c r="BK909" i="1"/>
  <c r="BL909" i="1"/>
  <c r="BO909" i="1" s="1"/>
  <c r="BM909" i="1"/>
  <c r="BN909" i="1"/>
  <c r="BP909" i="1"/>
  <c r="BK910" i="1"/>
  <c r="BL910" i="1"/>
  <c r="BM910" i="1"/>
  <c r="BN910" i="1"/>
  <c r="BO910" i="1"/>
  <c r="BP910" i="1"/>
  <c r="BK911" i="1"/>
  <c r="BL911" i="1"/>
  <c r="BO911" i="1" s="1"/>
  <c r="BM911" i="1"/>
  <c r="BN911" i="1"/>
  <c r="BP911" i="1"/>
  <c r="BK912" i="1"/>
  <c r="BL912" i="1"/>
  <c r="BM912" i="1"/>
  <c r="BN912" i="1"/>
  <c r="BO912" i="1"/>
  <c r="BP912" i="1"/>
  <c r="BK913" i="1"/>
  <c r="BL913" i="1"/>
  <c r="BO913" i="1" s="1"/>
  <c r="BM913" i="1"/>
  <c r="BN913" i="1"/>
  <c r="BP913" i="1"/>
  <c r="BK914" i="1"/>
  <c r="BL914" i="1"/>
  <c r="BM914" i="1"/>
  <c r="BN914" i="1"/>
  <c r="BO914" i="1"/>
  <c r="BP914" i="1"/>
  <c r="BK915" i="1"/>
  <c r="BL915" i="1"/>
  <c r="BO915" i="1" s="1"/>
  <c r="BM915" i="1"/>
  <c r="BN915" i="1"/>
  <c r="BP915" i="1"/>
  <c r="BK916" i="1"/>
  <c r="BL916" i="1"/>
  <c r="BM916" i="1"/>
  <c r="BN916" i="1"/>
  <c r="BO916" i="1"/>
  <c r="BP916" i="1"/>
  <c r="BK917" i="1"/>
  <c r="BL917" i="1"/>
  <c r="BO917" i="1" s="1"/>
  <c r="BM917" i="1"/>
  <c r="BN917" i="1"/>
  <c r="BP917" i="1"/>
  <c r="BK918" i="1"/>
  <c r="BL918" i="1"/>
  <c r="BM918" i="1"/>
  <c r="BN918" i="1"/>
  <c r="BO918" i="1"/>
  <c r="BP918" i="1"/>
  <c r="BK919" i="1"/>
  <c r="BL919" i="1"/>
  <c r="BO919" i="1" s="1"/>
  <c r="BM919" i="1"/>
  <c r="BN919" i="1"/>
  <c r="BP919" i="1"/>
  <c r="BK920" i="1"/>
  <c r="BL920" i="1"/>
  <c r="BM920" i="1"/>
  <c r="BN920" i="1"/>
  <c r="BO920" i="1"/>
  <c r="BP920" i="1"/>
  <c r="BK921" i="1"/>
  <c r="BL921" i="1"/>
  <c r="BO921" i="1" s="1"/>
  <c r="BM921" i="1"/>
  <c r="BN921" i="1"/>
  <c r="BP921" i="1"/>
  <c r="BK922" i="1"/>
  <c r="BL922" i="1"/>
  <c r="BM922" i="1"/>
  <c r="BN922" i="1"/>
  <c r="BO922" i="1"/>
  <c r="BP922" i="1"/>
  <c r="BK923" i="1"/>
  <c r="BL923" i="1"/>
  <c r="BO923" i="1" s="1"/>
  <c r="BM923" i="1"/>
  <c r="BN923" i="1"/>
  <c r="BP923" i="1"/>
  <c r="BK924" i="1"/>
  <c r="BL924" i="1"/>
  <c r="BM924" i="1"/>
  <c r="BN924" i="1"/>
  <c r="BO924" i="1"/>
  <c r="BP924" i="1"/>
  <c r="BK925" i="1"/>
  <c r="BL925" i="1"/>
  <c r="BO925" i="1" s="1"/>
  <c r="BM925" i="1"/>
  <c r="BN925" i="1"/>
  <c r="BP925" i="1"/>
  <c r="BK926" i="1"/>
  <c r="BL926" i="1"/>
  <c r="BM926" i="1"/>
  <c r="BN926" i="1"/>
  <c r="BO926" i="1"/>
  <c r="BP926" i="1"/>
  <c r="BK927" i="1"/>
  <c r="BL927" i="1"/>
  <c r="BO927" i="1" s="1"/>
  <c r="BM927" i="1"/>
  <c r="BN927" i="1"/>
  <c r="BP927" i="1"/>
  <c r="BK928" i="1"/>
  <c r="BL928" i="1"/>
  <c r="BM928" i="1"/>
  <c r="BN928" i="1"/>
  <c r="BO928" i="1"/>
  <c r="BP928" i="1"/>
  <c r="BK929" i="1"/>
  <c r="BL929" i="1"/>
  <c r="BO929" i="1" s="1"/>
  <c r="BM929" i="1"/>
  <c r="BN929" i="1"/>
  <c r="BP929" i="1"/>
  <c r="BK930" i="1"/>
  <c r="BL930" i="1"/>
  <c r="BM930" i="1"/>
  <c r="BN930" i="1"/>
  <c r="BO930" i="1"/>
  <c r="BP930" i="1"/>
  <c r="BK931" i="1"/>
  <c r="BL931" i="1"/>
  <c r="BO931" i="1" s="1"/>
  <c r="BM931" i="1"/>
  <c r="BN931" i="1"/>
  <c r="BP931" i="1"/>
  <c r="BK932" i="1"/>
  <c r="BL932" i="1"/>
  <c r="BM932" i="1"/>
  <c r="BN932" i="1"/>
  <c r="BO932" i="1"/>
  <c r="BP932" i="1"/>
  <c r="BK933" i="1"/>
  <c r="BL933" i="1"/>
  <c r="BO933" i="1" s="1"/>
  <c r="BM933" i="1"/>
  <c r="BN933" i="1"/>
  <c r="BP933" i="1"/>
  <c r="BK934" i="1"/>
  <c r="BL934" i="1"/>
  <c r="BM934" i="1"/>
  <c r="BN934" i="1"/>
  <c r="BO934" i="1"/>
  <c r="BP934" i="1"/>
  <c r="BK935" i="1"/>
  <c r="BL935" i="1"/>
  <c r="BO935" i="1" s="1"/>
  <c r="BM935" i="1"/>
  <c r="BN935" i="1"/>
  <c r="BP935" i="1"/>
  <c r="BK936" i="1"/>
  <c r="BL936" i="1"/>
  <c r="BM936" i="1"/>
  <c r="BN936" i="1"/>
  <c r="BO936" i="1"/>
  <c r="BP936" i="1"/>
  <c r="BK937" i="1"/>
  <c r="BL937" i="1"/>
  <c r="BO937" i="1" s="1"/>
  <c r="BM937" i="1"/>
  <c r="BN937" i="1"/>
  <c r="BP937" i="1"/>
  <c r="BK938" i="1"/>
  <c r="BL938" i="1"/>
  <c r="BM938" i="1"/>
  <c r="BN938" i="1"/>
  <c r="BO938" i="1"/>
  <c r="BP938" i="1"/>
  <c r="BK939" i="1"/>
  <c r="BL939" i="1"/>
  <c r="BO939" i="1" s="1"/>
  <c r="BM939" i="1"/>
  <c r="BN939" i="1"/>
  <c r="BP939" i="1"/>
  <c r="BK940" i="1"/>
  <c r="BL940" i="1"/>
  <c r="BM940" i="1"/>
  <c r="BN940" i="1"/>
  <c r="BO940" i="1"/>
  <c r="BP940" i="1"/>
  <c r="BK941" i="1"/>
  <c r="BL941" i="1"/>
  <c r="BO941" i="1" s="1"/>
  <c r="BM941" i="1"/>
  <c r="BN941" i="1"/>
  <c r="BP941" i="1"/>
  <c r="BK942" i="1"/>
  <c r="BL942" i="1"/>
  <c r="BM942" i="1"/>
  <c r="BN942" i="1"/>
  <c r="BO942" i="1"/>
  <c r="BP942" i="1"/>
  <c r="BK943" i="1"/>
  <c r="BL943" i="1"/>
  <c r="BO943" i="1" s="1"/>
  <c r="BM943" i="1"/>
  <c r="BN943" i="1"/>
  <c r="BP943" i="1"/>
  <c r="BK944" i="1"/>
  <c r="BL944" i="1"/>
  <c r="BM944" i="1"/>
  <c r="BN944" i="1"/>
  <c r="BO944" i="1"/>
  <c r="BP944" i="1"/>
  <c r="BK945" i="1"/>
  <c r="BL945" i="1"/>
  <c r="BO945" i="1" s="1"/>
  <c r="BM945" i="1"/>
  <c r="BN945" i="1"/>
  <c r="BP945" i="1"/>
  <c r="BK946" i="1"/>
  <c r="BL946" i="1"/>
  <c r="BM946" i="1"/>
  <c r="BN946" i="1"/>
  <c r="BO946" i="1"/>
  <c r="BP946" i="1"/>
  <c r="BK947" i="1"/>
  <c r="BL947" i="1"/>
  <c r="BO947" i="1" s="1"/>
  <c r="BM947" i="1"/>
  <c r="BN947" i="1"/>
  <c r="BP947" i="1"/>
  <c r="BK948" i="1"/>
  <c r="BL948" i="1"/>
  <c r="BM948" i="1"/>
  <c r="BN948" i="1"/>
  <c r="BO948" i="1"/>
  <c r="BP948" i="1"/>
  <c r="BK949" i="1"/>
  <c r="BL949" i="1"/>
  <c r="BO949" i="1" s="1"/>
  <c r="BM949" i="1"/>
  <c r="BN949" i="1"/>
  <c r="BP949" i="1"/>
  <c r="BK950" i="1"/>
  <c r="BL950" i="1"/>
  <c r="BM950" i="1"/>
  <c r="BN950" i="1"/>
  <c r="BO950" i="1"/>
  <c r="BP950" i="1"/>
  <c r="BK951" i="1"/>
  <c r="BL951" i="1"/>
  <c r="BO951" i="1" s="1"/>
  <c r="BM951" i="1"/>
  <c r="BN951" i="1"/>
  <c r="BP951" i="1"/>
  <c r="BK952" i="1"/>
  <c r="BL952" i="1"/>
  <c r="BM952" i="1"/>
  <c r="BN952" i="1"/>
  <c r="BO952" i="1"/>
  <c r="BP952" i="1"/>
  <c r="BK953" i="1"/>
  <c r="BL953" i="1"/>
  <c r="BO953" i="1" s="1"/>
  <c r="BM953" i="1"/>
  <c r="BN953" i="1"/>
  <c r="BP953" i="1"/>
  <c r="BK954" i="1"/>
  <c r="BL954" i="1"/>
  <c r="BM954" i="1"/>
  <c r="BN954" i="1"/>
  <c r="BO954" i="1"/>
  <c r="BP954" i="1"/>
  <c r="BK955" i="1"/>
  <c r="BL955" i="1"/>
  <c r="BO955" i="1" s="1"/>
  <c r="BM955" i="1"/>
  <c r="BN955" i="1"/>
  <c r="BP955" i="1"/>
  <c r="BK956" i="1"/>
  <c r="BL956" i="1"/>
  <c r="BM956" i="1"/>
  <c r="BN956" i="1"/>
  <c r="BO956" i="1"/>
  <c r="BP956" i="1"/>
  <c r="BK957" i="1"/>
  <c r="BL957" i="1"/>
  <c r="BO957" i="1" s="1"/>
  <c r="BM957" i="1"/>
  <c r="BN957" i="1"/>
  <c r="BP957" i="1"/>
  <c r="BK958" i="1"/>
  <c r="BL958" i="1"/>
  <c r="BM958" i="1"/>
  <c r="BN958" i="1"/>
  <c r="BO958" i="1"/>
  <c r="BP958" i="1"/>
  <c r="BK959" i="1"/>
  <c r="BL959" i="1"/>
  <c r="BO959" i="1" s="1"/>
  <c r="BM959" i="1"/>
  <c r="BN959" i="1"/>
  <c r="BP959" i="1"/>
  <c r="BK960" i="1"/>
  <c r="BL960" i="1"/>
  <c r="BM960" i="1"/>
  <c r="BN960" i="1"/>
  <c r="BO960" i="1"/>
  <c r="BP960" i="1"/>
  <c r="BK961" i="1"/>
  <c r="BL961" i="1"/>
  <c r="BO961" i="1" s="1"/>
  <c r="BM961" i="1"/>
  <c r="BN961" i="1"/>
  <c r="BP961" i="1"/>
  <c r="BK962" i="1"/>
  <c r="BL962" i="1"/>
  <c r="BM962" i="1"/>
  <c r="BN962" i="1"/>
  <c r="BO962" i="1"/>
  <c r="BP962" i="1"/>
  <c r="BK963" i="1"/>
  <c r="BL963" i="1"/>
  <c r="BO963" i="1" s="1"/>
  <c r="BM963" i="1"/>
  <c r="BN963" i="1"/>
  <c r="BP963" i="1"/>
  <c r="BK964" i="1"/>
  <c r="BL964" i="1"/>
  <c r="BM964" i="1"/>
  <c r="BN964" i="1"/>
  <c r="BO964" i="1"/>
  <c r="BP964" i="1"/>
  <c r="BK965" i="1"/>
  <c r="BL965" i="1"/>
  <c r="BO965" i="1" s="1"/>
  <c r="BM965" i="1"/>
  <c r="BN965" i="1"/>
  <c r="BP965" i="1"/>
  <c r="BK966" i="1"/>
  <c r="BL966" i="1"/>
  <c r="BM966" i="1"/>
  <c r="BN966" i="1"/>
  <c r="BO966" i="1"/>
  <c r="BP966" i="1"/>
  <c r="BK967" i="1"/>
  <c r="BL967" i="1"/>
  <c r="BO967" i="1" s="1"/>
  <c r="BM967" i="1"/>
  <c r="BN967" i="1"/>
  <c r="BP967" i="1"/>
  <c r="BK968" i="1"/>
  <c r="BL968" i="1"/>
  <c r="BM968" i="1"/>
  <c r="BN968" i="1"/>
  <c r="BO968" i="1"/>
  <c r="BP968" i="1"/>
  <c r="BK969" i="1"/>
  <c r="BL969" i="1"/>
  <c r="BO969" i="1" s="1"/>
  <c r="BM969" i="1"/>
  <c r="BN969" i="1"/>
  <c r="BP969" i="1"/>
  <c r="BK970" i="1"/>
  <c r="BL970" i="1"/>
  <c r="BM970" i="1"/>
  <c r="BN970" i="1"/>
  <c r="BO970" i="1"/>
  <c r="BP970" i="1"/>
  <c r="BK971" i="1"/>
  <c r="BL971" i="1"/>
  <c r="BO971" i="1" s="1"/>
  <c r="BM971" i="1"/>
  <c r="BN971" i="1"/>
  <c r="BP971" i="1"/>
  <c r="BK972" i="1"/>
  <c r="BL972" i="1"/>
  <c r="BM972" i="1"/>
  <c r="BN972" i="1"/>
  <c r="BO972" i="1"/>
  <c r="BP972" i="1"/>
  <c r="BK973" i="1"/>
  <c r="BL973" i="1"/>
  <c r="BO973" i="1" s="1"/>
  <c r="BM973" i="1"/>
  <c r="BN973" i="1"/>
  <c r="BP973" i="1"/>
  <c r="BK974" i="1"/>
  <c r="BL974" i="1"/>
  <c r="BM974" i="1"/>
  <c r="BN974" i="1"/>
  <c r="BO974" i="1"/>
  <c r="BP974" i="1"/>
  <c r="BK975" i="1"/>
  <c r="BL975" i="1"/>
  <c r="BO975" i="1" s="1"/>
  <c r="BM975" i="1"/>
  <c r="BN975" i="1"/>
  <c r="BP975" i="1"/>
  <c r="BK976" i="1"/>
  <c r="BL976" i="1"/>
  <c r="BM976" i="1"/>
  <c r="BN976" i="1"/>
  <c r="BO976" i="1"/>
  <c r="BP976" i="1"/>
  <c r="BK977" i="1"/>
  <c r="BL977" i="1"/>
  <c r="BO977" i="1" s="1"/>
  <c r="BM977" i="1"/>
  <c r="BN977" i="1"/>
  <c r="BP977" i="1"/>
  <c r="BK978" i="1"/>
  <c r="BL978" i="1"/>
  <c r="BM978" i="1"/>
  <c r="BN978" i="1"/>
  <c r="BO978" i="1"/>
  <c r="BP978" i="1"/>
  <c r="BK979" i="1"/>
  <c r="BL979" i="1"/>
  <c r="BO979" i="1" s="1"/>
  <c r="BM979" i="1"/>
  <c r="BN979" i="1"/>
  <c r="BP979" i="1"/>
  <c r="BK980" i="1"/>
  <c r="BL980" i="1"/>
  <c r="BM980" i="1"/>
  <c r="BN980" i="1"/>
  <c r="BO980" i="1"/>
  <c r="BP980" i="1"/>
  <c r="BK981" i="1"/>
  <c r="BL981" i="1"/>
  <c r="BO981" i="1" s="1"/>
  <c r="BM981" i="1"/>
  <c r="BN981" i="1"/>
  <c r="BP981" i="1"/>
  <c r="BK982" i="1"/>
  <c r="BL982" i="1"/>
  <c r="BM982" i="1"/>
  <c r="BN982" i="1"/>
  <c r="BO982" i="1"/>
  <c r="BP982" i="1"/>
  <c r="BK983" i="1"/>
  <c r="BL983" i="1"/>
  <c r="BO983" i="1" s="1"/>
  <c r="BM983" i="1"/>
  <c r="BN983" i="1"/>
  <c r="BP983" i="1"/>
  <c r="BK984" i="1"/>
  <c r="BL984" i="1"/>
  <c r="BM984" i="1"/>
  <c r="BN984" i="1"/>
  <c r="BO984" i="1"/>
  <c r="BP984" i="1"/>
  <c r="BK985" i="1"/>
  <c r="BL985" i="1"/>
  <c r="BO985" i="1" s="1"/>
  <c r="BM985" i="1"/>
  <c r="BN985" i="1"/>
  <c r="BP985" i="1"/>
  <c r="BK986" i="1"/>
  <c r="BL986" i="1"/>
  <c r="BM986" i="1"/>
  <c r="BN986" i="1"/>
  <c r="BO986" i="1"/>
  <c r="BP986" i="1"/>
  <c r="BK987" i="1"/>
  <c r="BL987" i="1"/>
  <c r="BO987" i="1" s="1"/>
  <c r="BM987" i="1"/>
  <c r="BN987" i="1"/>
  <c r="BP987" i="1"/>
  <c r="BK988" i="1"/>
  <c r="BL988" i="1"/>
  <c r="BM988" i="1"/>
  <c r="BN988" i="1"/>
  <c r="BO988" i="1"/>
  <c r="BP988" i="1"/>
  <c r="BK989" i="1"/>
  <c r="BL989" i="1"/>
  <c r="BO989" i="1" s="1"/>
  <c r="BM989" i="1"/>
  <c r="BN989" i="1"/>
  <c r="BP989" i="1"/>
  <c r="BK990" i="1"/>
  <c r="BL990" i="1"/>
  <c r="BM990" i="1"/>
  <c r="BN990" i="1"/>
  <c r="BO990" i="1"/>
  <c r="BP990" i="1"/>
  <c r="BK991" i="1"/>
  <c r="BL991" i="1"/>
  <c r="BO991" i="1" s="1"/>
  <c r="BM991" i="1"/>
  <c r="BN991" i="1"/>
  <c r="BP991" i="1"/>
  <c r="BK992" i="1"/>
  <c r="BL992" i="1"/>
  <c r="BM992" i="1"/>
  <c r="BN992" i="1"/>
  <c r="BO992" i="1"/>
  <c r="BP992" i="1"/>
  <c r="BK993" i="1"/>
  <c r="BL993" i="1"/>
  <c r="BO993" i="1" s="1"/>
  <c r="BM993" i="1"/>
  <c r="BN993" i="1"/>
  <c r="BP993" i="1"/>
  <c r="BK994" i="1"/>
  <c r="BL994" i="1"/>
  <c r="BM994" i="1"/>
  <c r="BN994" i="1"/>
  <c r="BO994" i="1"/>
  <c r="BP994" i="1"/>
  <c r="BK995" i="1"/>
  <c r="BL995" i="1"/>
  <c r="BO995" i="1" s="1"/>
  <c r="BM995" i="1"/>
  <c r="BN995" i="1"/>
  <c r="BP995" i="1"/>
  <c r="BK996" i="1"/>
  <c r="BL996" i="1"/>
  <c r="BM996" i="1"/>
  <c r="BN996" i="1"/>
  <c r="BO996" i="1"/>
  <c r="BP996" i="1"/>
  <c r="BK997" i="1"/>
  <c r="BL997" i="1"/>
  <c r="BO997" i="1" s="1"/>
  <c r="BM997" i="1"/>
  <c r="BN997" i="1"/>
  <c r="BP997" i="1"/>
  <c r="BK998" i="1"/>
  <c r="BL998" i="1"/>
  <c r="BM998" i="1"/>
  <c r="BN998" i="1"/>
  <c r="BO998" i="1"/>
  <c r="BP998" i="1"/>
  <c r="BK999" i="1"/>
  <c r="BL999" i="1"/>
  <c r="BO999" i="1" s="1"/>
  <c r="BM999" i="1"/>
  <c r="BN999" i="1"/>
  <c r="BP999" i="1"/>
  <c r="BK1000" i="1"/>
  <c r="BL1000" i="1"/>
  <c r="BM1000" i="1"/>
  <c r="BN1000" i="1"/>
  <c r="BO1000" i="1"/>
  <c r="BP1000" i="1"/>
  <c r="BK1001" i="1"/>
  <c r="BL1001" i="1"/>
  <c r="BO1001" i="1" s="1"/>
  <c r="BM1001" i="1"/>
  <c r="BN1001" i="1"/>
  <c r="BP1001" i="1"/>
  <c r="BK1002" i="1"/>
  <c r="BL1002" i="1"/>
  <c r="BM1002" i="1"/>
  <c r="BN1002" i="1"/>
  <c r="BO1002" i="1"/>
  <c r="BP1002" i="1"/>
  <c r="BK1003" i="1"/>
  <c r="BL1003" i="1"/>
  <c r="BO1003" i="1" s="1"/>
  <c r="BM1003" i="1"/>
  <c r="BN1003" i="1"/>
  <c r="BP1003" i="1"/>
  <c r="BK1004" i="1"/>
  <c r="BL1004" i="1"/>
  <c r="BM1004" i="1"/>
  <c r="BN1004" i="1"/>
  <c r="BO1004" i="1"/>
  <c r="BP1004" i="1"/>
  <c r="BK1005" i="1"/>
  <c r="BL1005" i="1"/>
  <c r="BO1005" i="1" s="1"/>
  <c r="BM1005" i="1"/>
  <c r="BN1005" i="1"/>
  <c r="BP1005" i="1"/>
  <c r="BK1006" i="1"/>
  <c r="BL1006" i="1"/>
  <c r="BM1006" i="1"/>
  <c r="BN1006" i="1"/>
  <c r="BO1006" i="1"/>
  <c r="BP1006" i="1"/>
  <c r="BK1007" i="1"/>
  <c r="BL1007" i="1"/>
  <c r="BO1007" i="1" s="1"/>
  <c r="BM1007" i="1"/>
  <c r="BN1007" i="1"/>
  <c r="BP1007" i="1"/>
  <c r="BK1008" i="1"/>
  <c r="BL1008" i="1"/>
  <c r="BM1008" i="1"/>
  <c r="BN1008" i="1"/>
  <c r="BO1008" i="1"/>
  <c r="BP1008" i="1"/>
  <c r="BK1009" i="1"/>
  <c r="BL1009" i="1"/>
  <c r="BO1009" i="1" s="1"/>
  <c r="BM1009" i="1"/>
  <c r="BN1009" i="1"/>
  <c r="BP1009" i="1"/>
  <c r="BK1010" i="1"/>
  <c r="BL1010" i="1"/>
  <c r="BM1010" i="1"/>
  <c r="BN1010" i="1"/>
  <c r="BO1010" i="1"/>
  <c r="BP1010" i="1"/>
  <c r="BK1011" i="1"/>
  <c r="BL1011" i="1"/>
  <c r="BO1011" i="1" s="1"/>
  <c r="BM1011" i="1"/>
  <c r="BN1011" i="1"/>
  <c r="BP1011" i="1"/>
  <c r="BK1012" i="1"/>
  <c r="BL1012" i="1"/>
  <c r="BM1012" i="1"/>
  <c r="BN1012" i="1"/>
  <c r="BO1012" i="1"/>
  <c r="BP1012" i="1"/>
  <c r="BK1013" i="1"/>
  <c r="BL1013" i="1"/>
  <c r="BO1013" i="1" s="1"/>
  <c r="BM1013" i="1"/>
  <c r="BN1013" i="1"/>
  <c r="BP1013" i="1"/>
  <c r="BK1014" i="1"/>
  <c r="BL1014" i="1"/>
  <c r="BM1014" i="1"/>
  <c r="BN1014" i="1"/>
  <c r="BO1014" i="1"/>
  <c r="BP1014" i="1"/>
  <c r="BK1015" i="1"/>
  <c r="BL1015" i="1"/>
  <c r="BO1015" i="1" s="1"/>
  <c r="BM1015" i="1"/>
  <c r="BN1015" i="1"/>
  <c r="BP1015" i="1"/>
  <c r="BK1016" i="1"/>
  <c r="BL1016" i="1"/>
  <c r="BM1016" i="1"/>
  <c r="BN1016" i="1"/>
  <c r="BO1016" i="1"/>
  <c r="BP1016" i="1"/>
  <c r="BK1017" i="1"/>
  <c r="BL1017" i="1"/>
  <c r="BO1017" i="1" s="1"/>
  <c r="BM1017" i="1"/>
  <c r="BN1017" i="1"/>
  <c r="BP1017" i="1"/>
  <c r="BK1018" i="1"/>
  <c r="BL1018" i="1"/>
  <c r="BM1018" i="1"/>
  <c r="BN1018" i="1"/>
  <c r="BO1018" i="1"/>
  <c r="BP1018" i="1"/>
  <c r="BK1019" i="1"/>
  <c r="BL1019" i="1"/>
  <c r="BO1019" i="1" s="1"/>
  <c r="BM1019" i="1"/>
  <c r="BN1019" i="1"/>
  <c r="BP1019" i="1"/>
  <c r="BK1020" i="1"/>
  <c r="BL1020" i="1"/>
  <c r="BM1020" i="1"/>
  <c r="BN1020" i="1"/>
  <c r="BO1020" i="1"/>
  <c r="BP1020" i="1"/>
  <c r="BK1021" i="1"/>
  <c r="BL1021" i="1"/>
  <c r="BO1021" i="1" s="1"/>
  <c r="BM1021" i="1"/>
  <c r="BN1021" i="1"/>
  <c r="BP1021" i="1"/>
  <c r="BK1022" i="1"/>
  <c r="BL1022" i="1"/>
  <c r="BM1022" i="1"/>
  <c r="BN1022" i="1"/>
  <c r="BO1022" i="1"/>
  <c r="BP1022" i="1"/>
  <c r="BK1023" i="1"/>
  <c r="BL1023" i="1"/>
  <c r="BO1023" i="1" s="1"/>
  <c r="BM1023" i="1"/>
  <c r="BN1023" i="1"/>
  <c r="BP1023" i="1"/>
  <c r="BK1024" i="1"/>
  <c r="BL1024" i="1"/>
  <c r="BM1024" i="1"/>
  <c r="BN1024" i="1"/>
  <c r="BO1024" i="1"/>
  <c r="BP1024" i="1"/>
  <c r="BK1025" i="1"/>
  <c r="BL1025" i="1"/>
  <c r="BO1025" i="1" s="1"/>
  <c r="BM1025" i="1"/>
  <c r="BN1025" i="1"/>
  <c r="BP1025" i="1"/>
  <c r="BK1026" i="1"/>
  <c r="BL1026" i="1"/>
  <c r="BM1026" i="1"/>
  <c r="BN1026" i="1"/>
  <c r="BO1026" i="1"/>
  <c r="BP1026" i="1"/>
  <c r="BK1027" i="1"/>
  <c r="BL1027" i="1"/>
  <c r="BO1027" i="1" s="1"/>
  <c r="BM1027" i="1"/>
  <c r="BN1027" i="1"/>
  <c r="BP1027" i="1"/>
  <c r="BK1028" i="1"/>
  <c r="BL1028" i="1"/>
  <c r="BM1028" i="1"/>
  <c r="BN1028" i="1"/>
  <c r="BO1028" i="1"/>
  <c r="BP1028" i="1"/>
  <c r="BK1029" i="1"/>
  <c r="BL1029" i="1"/>
  <c r="BO1029" i="1" s="1"/>
  <c r="BM1029" i="1"/>
  <c r="BN1029" i="1"/>
  <c r="BP1029" i="1"/>
  <c r="BK1030" i="1"/>
  <c r="BL1030" i="1"/>
  <c r="BM1030" i="1"/>
  <c r="BN1030" i="1"/>
  <c r="BO1030" i="1"/>
  <c r="BP1030" i="1"/>
  <c r="BK1031" i="1"/>
  <c r="BL1031" i="1"/>
  <c r="BO1031" i="1" s="1"/>
  <c r="BM1031" i="1"/>
  <c r="BN1031" i="1"/>
  <c r="BP1031" i="1"/>
  <c r="BK1032" i="1"/>
  <c r="BL1032" i="1"/>
  <c r="BM1032" i="1"/>
  <c r="BN1032" i="1"/>
  <c r="BO1032" i="1"/>
  <c r="BP1032" i="1"/>
  <c r="BK1033" i="1"/>
  <c r="BL1033" i="1"/>
  <c r="BO1033" i="1" s="1"/>
  <c r="BM1033" i="1"/>
  <c r="BN1033" i="1"/>
  <c r="BP1033" i="1"/>
  <c r="BK1034" i="1"/>
  <c r="BL1034" i="1"/>
  <c r="BM1034" i="1"/>
  <c r="BN1034" i="1"/>
  <c r="BO1034" i="1"/>
  <c r="BP1034" i="1"/>
  <c r="BK1035" i="1"/>
  <c r="BL1035" i="1"/>
  <c r="BO1035" i="1" s="1"/>
  <c r="BM1035" i="1"/>
  <c r="BN1035" i="1"/>
  <c r="BP1035" i="1"/>
  <c r="BK1036" i="1"/>
  <c r="BL1036" i="1"/>
  <c r="BM1036" i="1"/>
  <c r="BN1036" i="1"/>
  <c r="BO1036" i="1"/>
  <c r="BP1036" i="1"/>
  <c r="BK1037" i="1"/>
  <c r="BL1037" i="1"/>
  <c r="BO1037" i="1" s="1"/>
  <c r="BM1037" i="1"/>
  <c r="BN1037" i="1"/>
  <c r="BP1037" i="1"/>
  <c r="BK1038" i="1"/>
  <c r="BL1038" i="1"/>
  <c r="BM1038" i="1"/>
  <c r="BN1038" i="1"/>
  <c r="BO1038" i="1"/>
  <c r="BP1038" i="1"/>
  <c r="BK1039" i="1"/>
  <c r="BL1039" i="1"/>
  <c r="BO1039" i="1" s="1"/>
  <c r="BM1039" i="1"/>
  <c r="BN1039" i="1"/>
  <c r="BP1039" i="1"/>
  <c r="BK1040" i="1"/>
  <c r="BL1040" i="1"/>
  <c r="BM1040" i="1"/>
  <c r="BN1040" i="1"/>
  <c r="BO1040" i="1"/>
  <c r="BP1040" i="1"/>
  <c r="BK1041" i="1"/>
  <c r="BL1041" i="1"/>
  <c r="BO1041" i="1" s="1"/>
  <c r="BM1041" i="1"/>
  <c r="BN1041" i="1"/>
  <c r="BP1041" i="1"/>
  <c r="BK1042" i="1"/>
  <c r="BL1042" i="1"/>
  <c r="BM1042" i="1"/>
  <c r="BN1042" i="1"/>
  <c r="BO1042" i="1"/>
  <c r="BP1042" i="1"/>
  <c r="BK1043" i="1"/>
  <c r="BL1043" i="1"/>
  <c r="BO1043" i="1" s="1"/>
  <c r="BM1043" i="1"/>
  <c r="BN1043" i="1"/>
  <c r="BP1043" i="1"/>
  <c r="BK1044" i="1"/>
  <c r="BL1044" i="1"/>
  <c r="BM1044" i="1"/>
  <c r="BN1044" i="1"/>
  <c r="BO1044" i="1"/>
  <c r="BP1044" i="1"/>
  <c r="BK1045" i="1"/>
  <c r="BL1045" i="1"/>
  <c r="BO1045" i="1" s="1"/>
  <c r="BM1045" i="1"/>
  <c r="BN1045" i="1"/>
  <c r="BP1045" i="1"/>
  <c r="BK1046" i="1"/>
  <c r="BL1046" i="1"/>
  <c r="BM1046" i="1"/>
  <c r="BN1046" i="1"/>
  <c r="BO1046" i="1"/>
  <c r="BP1046" i="1"/>
  <c r="BK1047" i="1"/>
  <c r="BL1047" i="1"/>
  <c r="BO1047" i="1" s="1"/>
  <c r="BM1047" i="1"/>
  <c r="BN1047" i="1"/>
  <c r="BP1047" i="1"/>
  <c r="BK1048" i="1"/>
  <c r="BL1048" i="1"/>
  <c r="BM1048" i="1"/>
  <c r="BN1048" i="1"/>
  <c r="BO1048" i="1"/>
  <c r="BP1048" i="1"/>
  <c r="BK1049" i="1"/>
  <c r="BL1049" i="1"/>
  <c r="BO1049" i="1" s="1"/>
  <c r="BM1049" i="1"/>
  <c r="BN1049" i="1"/>
  <c r="BP1049" i="1"/>
  <c r="BK1050" i="1"/>
  <c r="BL1050" i="1"/>
  <c r="BM1050" i="1"/>
  <c r="BN1050" i="1"/>
  <c r="BO1050" i="1"/>
  <c r="BP1050" i="1"/>
  <c r="BK1051" i="1"/>
  <c r="BL1051" i="1"/>
  <c r="BO1051" i="1" s="1"/>
  <c r="BM1051" i="1"/>
  <c r="BN1051" i="1"/>
  <c r="BP1051" i="1"/>
  <c r="BK1052" i="1"/>
  <c r="BL1052" i="1"/>
  <c r="BM1052" i="1"/>
  <c r="BN1052" i="1"/>
  <c r="BO1052" i="1"/>
  <c r="BP1052" i="1"/>
  <c r="BK1053" i="1"/>
  <c r="BL1053" i="1"/>
  <c r="BO1053" i="1" s="1"/>
  <c r="BM1053" i="1"/>
  <c r="BN1053" i="1"/>
  <c r="BP1053" i="1"/>
  <c r="BK1054" i="1"/>
  <c r="BL1054" i="1"/>
  <c r="BM1054" i="1"/>
  <c r="BN1054" i="1"/>
  <c r="BO1054" i="1"/>
  <c r="BP1054" i="1"/>
  <c r="BK1055" i="1"/>
  <c r="BL1055" i="1"/>
  <c r="BO1055" i="1" s="1"/>
  <c r="BM1055" i="1"/>
  <c r="BN1055" i="1"/>
  <c r="BP1055" i="1"/>
  <c r="BK1056" i="1"/>
  <c r="BL1056" i="1"/>
  <c r="BM1056" i="1"/>
  <c r="BN1056" i="1"/>
  <c r="BO1056" i="1"/>
  <c r="BP1056" i="1"/>
  <c r="BK1057" i="1"/>
  <c r="BL1057" i="1"/>
  <c r="BO1057" i="1" s="1"/>
  <c r="BM1057" i="1"/>
  <c r="BN1057" i="1"/>
  <c r="BP1057" i="1"/>
  <c r="BK1058" i="1"/>
  <c r="BL1058" i="1"/>
  <c r="BM1058" i="1"/>
  <c r="BN1058" i="1"/>
  <c r="BO1058" i="1"/>
  <c r="BP1058" i="1"/>
  <c r="BK1059" i="1"/>
  <c r="BL1059" i="1"/>
  <c r="BO1059" i="1" s="1"/>
  <c r="BM1059" i="1"/>
  <c r="BN1059" i="1"/>
  <c r="BP1059" i="1"/>
  <c r="BK1060" i="1"/>
  <c r="BL1060" i="1"/>
  <c r="BM1060" i="1"/>
  <c r="BN1060" i="1"/>
  <c r="BO1060" i="1"/>
  <c r="BP1060" i="1"/>
  <c r="BK1061" i="1"/>
  <c r="BL1061" i="1"/>
  <c r="BO1061" i="1" s="1"/>
  <c r="BM1061" i="1"/>
  <c r="BN1061" i="1"/>
  <c r="BP1061" i="1"/>
  <c r="BK1062" i="1"/>
  <c r="BL1062" i="1"/>
  <c r="BM1062" i="1"/>
  <c r="BN1062" i="1"/>
  <c r="BO1062" i="1"/>
  <c r="BP1062" i="1"/>
  <c r="BK1063" i="1"/>
  <c r="BL1063" i="1"/>
  <c r="BO1063" i="1" s="1"/>
  <c r="BM1063" i="1"/>
  <c r="BN1063" i="1"/>
  <c r="BP1063" i="1"/>
  <c r="BK1064" i="1"/>
  <c r="BL1064" i="1"/>
  <c r="BM1064" i="1"/>
  <c r="BN1064" i="1"/>
  <c r="BO1064" i="1"/>
  <c r="BP1064" i="1"/>
  <c r="BK1065" i="1"/>
  <c r="BL1065" i="1"/>
  <c r="BO1065" i="1" s="1"/>
  <c r="BM1065" i="1"/>
  <c r="BN1065" i="1"/>
  <c r="BP1065" i="1"/>
  <c r="BK1066" i="1"/>
  <c r="BL1066" i="1"/>
  <c r="BM1066" i="1"/>
  <c r="BN1066" i="1"/>
  <c r="BO1066" i="1"/>
  <c r="BP1066" i="1"/>
  <c r="BK1067" i="1"/>
  <c r="BL1067" i="1"/>
  <c r="BO1067" i="1" s="1"/>
  <c r="BM1067" i="1"/>
  <c r="BN1067" i="1"/>
  <c r="BP1067" i="1"/>
  <c r="BK1068" i="1"/>
  <c r="BL1068" i="1"/>
  <c r="BM1068" i="1"/>
  <c r="BN1068" i="1"/>
  <c r="BO1068" i="1"/>
  <c r="BP1068" i="1"/>
  <c r="BK1069" i="1"/>
  <c r="BL1069" i="1"/>
  <c r="BO1069" i="1" s="1"/>
  <c r="BM1069" i="1"/>
  <c r="BN1069" i="1"/>
  <c r="BP1069" i="1"/>
  <c r="BK1070" i="1"/>
  <c r="BL1070" i="1"/>
  <c r="BM1070" i="1"/>
  <c r="BN1070" i="1"/>
  <c r="BO1070" i="1"/>
  <c r="BP1070" i="1"/>
  <c r="BK1071" i="1"/>
  <c r="BL1071" i="1"/>
  <c r="BO1071" i="1" s="1"/>
  <c r="BM1071" i="1"/>
  <c r="BN1071" i="1"/>
  <c r="BP1071" i="1"/>
  <c r="BK1072" i="1"/>
  <c r="BL1072" i="1"/>
  <c r="BM1072" i="1"/>
  <c r="BN1072" i="1"/>
  <c r="BO1072" i="1"/>
  <c r="BP1072" i="1"/>
  <c r="BK1073" i="1"/>
  <c r="BL1073" i="1"/>
  <c r="BO1073" i="1" s="1"/>
  <c r="BM1073" i="1"/>
  <c r="BN1073" i="1"/>
  <c r="BP1073" i="1"/>
  <c r="BK1074" i="1"/>
  <c r="BL1074" i="1"/>
  <c r="BM1074" i="1"/>
  <c r="BN1074" i="1"/>
  <c r="BO1074" i="1"/>
  <c r="BP1074" i="1"/>
  <c r="BK1075" i="1"/>
  <c r="BL1075" i="1"/>
  <c r="BO1075" i="1" s="1"/>
  <c r="BM1075" i="1"/>
  <c r="BN1075" i="1"/>
  <c r="BP1075" i="1"/>
  <c r="BK1076" i="1"/>
  <c r="BL1076" i="1"/>
  <c r="BM1076" i="1"/>
  <c r="BN1076" i="1"/>
  <c r="BO1076" i="1"/>
  <c r="BP1076" i="1"/>
  <c r="BK1077" i="1"/>
  <c r="BL1077" i="1"/>
  <c r="BO1077" i="1" s="1"/>
  <c r="BM1077" i="1"/>
  <c r="BN1077" i="1"/>
  <c r="BP1077" i="1"/>
  <c r="BK1078" i="1"/>
  <c r="BL1078" i="1"/>
  <c r="BM1078" i="1"/>
  <c r="BN1078" i="1"/>
  <c r="BO1078" i="1"/>
  <c r="BP1078" i="1"/>
  <c r="BK1079" i="1"/>
  <c r="BL1079" i="1"/>
  <c r="BO1079" i="1" s="1"/>
  <c r="BM1079" i="1"/>
  <c r="BN1079" i="1"/>
  <c r="BP1079" i="1"/>
  <c r="BK1080" i="1"/>
  <c r="BL1080" i="1"/>
  <c r="BM1080" i="1"/>
  <c r="BN1080" i="1"/>
  <c r="BO1080" i="1"/>
  <c r="BP1080" i="1"/>
  <c r="BK1081" i="1"/>
  <c r="BL1081" i="1"/>
  <c r="BO1081" i="1" s="1"/>
  <c r="BM1081" i="1"/>
  <c r="BN1081" i="1"/>
  <c r="BP1081" i="1"/>
  <c r="BK1082" i="1"/>
  <c r="BL1082" i="1"/>
  <c r="BM1082" i="1"/>
  <c r="BN1082" i="1"/>
  <c r="BO1082" i="1"/>
  <c r="BP1082" i="1"/>
  <c r="BK1083" i="1"/>
  <c r="BL1083" i="1"/>
  <c r="BO1083" i="1" s="1"/>
  <c r="BM1083" i="1"/>
  <c r="BN1083" i="1"/>
  <c r="BP1083" i="1"/>
  <c r="BK1084" i="1"/>
  <c r="BL1084" i="1"/>
  <c r="BM1084" i="1"/>
  <c r="BN1084" i="1"/>
  <c r="BO1084" i="1"/>
  <c r="BP1084" i="1"/>
  <c r="BK1085" i="1"/>
  <c r="BL1085" i="1"/>
  <c r="BO1085" i="1" s="1"/>
  <c r="BM1085" i="1"/>
  <c r="BN1085" i="1"/>
  <c r="BP1085" i="1"/>
  <c r="BK1086" i="1"/>
  <c r="BL1086" i="1"/>
  <c r="BM1086" i="1"/>
  <c r="BN1086" i="1"/>
  <c r="BO1086" i="1"/>
  <c r="BP1086" i="1"/>
  <c r="BK1087" i="1"/>
  <c r="BL1087" i="1"/>
  <c r="BO1087" i="1" s="1"/>
  <c r="BM1087" i="1"/>
  <c r="BN1087" i="1"/>
  <c r="BP1087" i="1"/>
  <c r="BK1088" i="1"/>
  <c r="BL1088" i="1"/>
  <c r="BM1088" i="1"/>
  <c r="BN1088" i="1"/>
  <c r="BO1088" i="1"/>
  <c r="BP1088" i="1"/>
  <c r="BK1089" i="1"/>
  <c r="BL1089" i="1"/>
  <c r="BO1089" i="1" s="1"/>
  <c r="BM1089" i="1"/>
  <c r="BN1089" i="1"/>
  <c r="BP1089" i="1"/>
  <c r="BK1090" i="1"/>
  <c r="BL1090" i="1"/>
  <c r="BM1090" i="1"/>
  <c r="BN1090" i="1"/>
  <c r="BO1090" i="1"/>
  <c r="BP1090" i="1"/>
  <c r="BK1091" i="1"/>
  <c r="BL1091" i="1"/>
  <c r="BO1091" i="1" s="1"/>
  <c r="BM1091" i="1"/>
  <c r="BN1091" i="1"/>
  <c r="BP1091" i="1"/>
  <c r="BK1092" i="1"/>
  <c r="BL1092" i="1"/>
  <c r="BM1092" i="1"/>
  <c r="BN1092" i="1"/>
  <c r="BO1092" i="1"/>
  <c r="BP1092" i="1"/>
  <c r="BK1093" i="1"/>
  <c r="BL1093" i="1"/>
  <c r="BO1093" i="1" s="1"/>
  <c r="BM1093" i="1"/>
  <c r="BN1093" i="1"/>
  <c r="BP1093" i="1"/>
  <c r="BK1094" i="1"/>
  <c r="BL1094" i="1"/>
  <c r="BM1094" i="1"/>
  <c r="BN1094" i="1"/>
  <c r="BO1094" i="1"/>
  <c r="BP1094" i="1"/>
  <c r="BK1095" i="1"/>
  <c r="BL1095" i="1"/>
  <c r="BO1095" i="1" s="1"/>
  <c r="BM1095" i="1"/>
  <c r="BN1095" i="1"/>
  <c r="BP1095" i="1"/>
  <c r="BK1096" i="1"/>
  <c r="BL1096" i="1"/>
  <c r="BM1096" i="1"/>
  <c r="BN1096" i="1"/>
  <c r="BO1096" i="1"/>
  <c r="BP1096" i="1"/>
  <c r="BK1097" i="1"/>
  <c r="BL1097" i="1"/>
  <c r="BO1097" i="1" s="1"/>
  <c r="BM1097" i="1"/>
  <c r="BN1097" i="1"/>
  <c r="BP1097" i="1"/>
  <c r="BK1098" i="1"/>
  <c r="BL1098" i="1"/>
  <c r="BM1098" i="1"/>
  <c r="BN1098" i="1"/>
  <c r="BO1098" i="1"/>
  <c r="BP1098" i="1"/>
  <c r="BK1099" i="1"/>
  <c r="BL1099" i="1"/>
  <c r="BO1099" i="1" s="1"/>
  <c r="BM1099" i="1"/>
  <c r="BN1099" i="1"/>
  <c r="BP1099" i="1"/>
  <c r="BK1100" i="1"/>
  <c r="BL1100" i="1"/>
  <c r="BM1100" i="1"/>
  <c r="BN1100" i="1"/>
  <c r="BO1100" i="1"/>
  <c r="BP1100" i="1"/>
  <c r="BK1101" i="1"/>
  <c r="BL1101" i="1"/>
  <c r="BO1101" i="1" s="1"/>
  <c r="BM1101" i="1"/>
  <c r="BN1101" i="1"/>
  <c r="BP1101" i="1"/>
  <c r="BK1102" i="1"/>
  <c r="BL1102" i="1"/>
  <c r="BM1102" i="1"/>
  <c r="BN1102" i="1"/>
  <c r="BO1102" i="1"/>
  <c r="BP1102" i="1"/>
  <c r="BK1103" i="1"/>
  <c r="BL1103" i="1"/>
  <c r="BO1103" i="1" s="1"/>
  <c r="BM1103" i="1"/>
  <c r="BN1103" i="1"/>
  <c r="BP1103" i="1"/>
  <c r="BK1104" i="1"/>
  <c r="BL1104" i="1"/>
  <c r="BM1104" i="1"/>
  <c r="BN1104" i="1"/>
  <c r="BO1104" i="1"/>
  <c r="BP1104" i="1"/>
  <c r="BK1105" i="1"/>
  <c r="BL1105" i="1"/>
  <c r="BO1105" i="1" s="1"/>
  <c r="BM1105" i="1"/>
  <c r="BN1105" i="1"/>
  <c r="BP1105" i="1"/>
  <c r="BK1106" i="1"/>
  <c r="BL1106" i="1"/>
  <c r="BM1106" i="1"/>
  <c r="BN1106" i="1"/>
  <c r="BO1106" i="1"/>
  <c r="BP1106" i="1"/>
  <c r="BK1107" i="1"/>
  <c r="BL1107" i="1"/>
  <c r="BO1107" i="1" s="1"/>
  <c r="BM1107" i="1"/>
  <c r="BN1107" i="1"/>
  <c r="BP1107" i="1"/>
  <c r="BK1108" i="1"/>
  <c r="BL1108" i="1"/>
  <c r="BM1108" i="1"/>
  <c r="BN1108" i="1"/>
  <c r="BO1108" i="1"/>
  <c r="BP1108" i="1"/>
  <c r="BK1109" i="1"/>
  <c r="BL1109" i="1"/>
  <c r="BO1109" i="1" s="1"/>
  <c r="BM1109" i="1"/>
  <c r="BN1109" i="1"/>
  <c r="BP1109" i="1"/>
  <c r="BK1110" i="1"/>
  <c r="BL1110" i="1"/>
  <c r="BM1110" i="1"/>
  <c r="BN1110" i="1"/>
  <c r="BO1110" i="1"/>
  <c r="BP1110" i="1"/>
  <c r="BK1111" i="1"/>
  <c r="BL1111" i="1"/>
  <c r="BO1111" i="1" s="1"/>
  <c r="BM1111" i="1"/>
  <c r="BN1111" i="1"/>
  <c r="BP1111" i="1"/>
  <c r="BK1112" i="1"/>
  <c r="BL1112" i="1"/>
  <c r="BM1112" i="1"/>
  <c r="BN1112" i="1"/>
  <c r="BO1112" i="1"/>
  <c r="BP1112" i="1"/>
  <c r="BK1113" i="1"/>
  <c r="BL1113" i="1"/>
  <c r="BO1113" i="1" s="1"/>
  <c r="BM1113" i="1"/>
  <c r="BN1113" i="1"/>
  <c r="BP1113" i="1"/>
  <c r="BK1114" i="1"/>
  <c r="BL1114" i="1"/>
  <c r="BM1114" i="1"/>
  <c r="BN1114" i="1"/>
  <c r="BO1114" i="1"/>
  <c r="BP1114" i="1"/>
  <c r="BK1115" i="1"/>
  <c r="BL1115" i="1"/>
  <c r="BO1115" i="1" s="1"/>
  <c r="BM1115" i="1"/>
  <c r="BN1115" i="1"/>
  <c r="BP1115" i="1"/>
  <c r="BK1116" i="1"/>
  <c r="BL1116" i="1"/>
  <c r="BM1116" i="1"/>
  <c r="BN1116" i="1"/>
  <c r="BO1116" i="1"/>
  <c r="BP1116" i="1"/>
  <c r="BK1117" i="1"/>
  <c r="BL1117" i="1"/>
  <c r="BO1117" i="1" s="1"/>
  <c r="BM1117" i="1"/>
  <c r="BN1117" i="1"/>
  <c r="BP1117" i="1"/>
  <c r="BK1118" i="1"/>
  <c r="BL1118" i="1"/>
  <c r="BM1118" i="1"/>
  <c r="BN1118" i="1"/>
  <c r="BO1118" i="1"/>
  <c r="BP1118" i="1"/>
  <c r="BK1119" i="1"/>
  <c r="BL1119" i="1"/>
  <c r="BO1119" i="1" s="1"/>
  <c r="BM1119" i="1"/>
  <c r="BN1119" i="1"/>
  <c r="BP1119" i="1"/>
  <c r="BK1120" i="1"/>
  <c r="BL1120" i="1"/>
  <c r="BM1120" i="1"/>
  <c r="BN1120" i="1"/>
  <c r="BO1120" i="1"/>
  <c r="BP1120" i="1"/>
  <c r="BK1121" i="1"/>
  <c r="BL1121" i="1"/>
  <c r="BO1121" i="1" s="1"/>
  <c r="BM1121" i="1"/>
  <c r="BN1121" i="1"/>
  <c r="BP1121" i="1"/>
  <c r="BK1122" i="1"/>
  <c r="BL1122" i="1"/>
  <c r="BM1122" i="1"/>
  <c r="BN1122" i="1"/>
  <c r="BO1122" i="1"/>
  <c r="BP1122" i="1"/>
  <c r="BK1123" i="1"/>
  <c r="BL1123" i="1"/>
  <c r="BO1123" i="1" s="1"/>
  <c r="BM1123" i="1"/>
  <c r="BN1123" i="1"/>
  <c r="BP1123" i="1"/>
  <c r="BK1124" i="1"/>
  <c r="BL1124" i="1"/>
  <c r="BM1124" i="1"/>
  <c r="BN1124" i="1"/>
  <c r="BO1124" i="1"/>
  <c r="BP1124" i="1"/>
  <c r="BK1125" i="1"/>
  <c r="BL1125" i="1"/>
  <c r="BO1125" i="1" s="1"/>
  <c r="BM1125" i="1"/>
  <c r="BN1125" i="1"/>
  <c r="BP1125" i="1"/>
  <c r="BK1126" i="1"/>
  <c r="BL1126" i="1"/>
  <c r="BM1126" i="1"/>
  <c r="BN1126" i="1"/>
  <c r="BO1126" i="1"/>
  <c r="BP1126" i="1"/>
  <c r="BK1127" i="1"/>
  <c r="BL1127" i="1"/>
  <c r="BO1127" i="1" s="1"/>
  <c r="BM1127" i="1"/>
  <c r="BN1127" i="1"/>
  <c r="BP1127" i="1"/>
  <c r="BK1128" i="1"/>
  <c r="BL1128" i="1"/>
  <c r="BM1128" i="1"/>
  <c r="BN1128" i="1"/>
  <c r="BO1128" i="1"/>
  <c r="BP1128" i="1"/>
  <c r="BK1129" i="1"/>
  <c r="BL1129" i="1"/>
  <c r="BO1129" i="1" s="1"/>
  <c r="BM1129" i="1"/>
  <c r="BN1129" i="1"/>
  <c r="BP1129" i="1"/>
  <c r="BK1130" i="1"/>
  <c r="BL1130" i="1"/>
  <c r="BM1130" i="1"/>
  <c r="BN1130" i="1"/>
  <c r="BO1130" i="1"/>
  <c r="BP1130" i="1"/>
  <c r="BK1131" i="1"/>
  <c r="BL1131" i="1"/>
  <c r="BO1131" i="1" s="1"/>
  <c r="BM1131" i="1"/>
  <c r="BN1131" i="1"/>
  <c r="BP1131" i="1"/>
  <c r="BK1132" i="1"/>
  <c r="BL1132" i="1"/>
  <c r="BM1132" i="1"/>
  <c r="BN1132" i="1"/>
  <c r="BO1132" i="1"/>
  <c r="BP1132" i="1"/>
  <c r="BK1133" i="1"/>
  <c r="BL1133" i="1"/>
  <c r="BO1133" i="1" s="1"/>
  <c r="BM1133" i="1"/>
  <c r="BN1133" i="1"/>
  <c r="BP1133" i="1"/>
  <c r="BK1134" i="1"/>
  <c r="BL1134" i="1"/>
  <c r="BM1134" i="1"/>
  <c r="BN1134" i="1"/>
  <c r="BO1134" i="1"/>
  <c r="BP1134" i="1"/>
  <c r="BK1135" i="1"/>
  <c r="BL1135" i="1"/>
  <c r="BO1135" i="1" s="1"/>
  <c r="BM1135" i="1"/>
  <c r="BN1135" i="1"/>
  <c r="BP1135" i="1"/>
  <c r="BK1136" i="1"/>
  <c r="BL1136" i="1"/>
  <c r="BM1136" i="1"/>
  <c r="BN1136" i="1"/>
  <c r="BO1136" i="1"/>
  <c r="BP1136" i="1"/>
  <c r="BK1137" i="1"/>
  <c r="BL1137" i="1"/>
  <c r="BO1137" i="1" s="1"/>
  <c r="BM1137" i="1"/>
  <c r="BN1137" i="1"/>
  <c r="BP1137" i="1"/>
  <c r="BK1138" i="1"/>
  <c r="BL1138" i="1"/>
  <c r="BM1138" i="1"/>
  <c r="BN1138" i="1"/>
  <c r="BO1138" i="1"/>
  <c r="BP1138" i="1"/>
  <c r="BK1139" i="1"/>
  <c r="BL1139" i="1"/>
  <c r="BO1139" i="1" s="1"/>
  <c r="BM1139" i="1"/>
  <c r="BN1139" i="1"/>
  <c r="BP1139" i="1"/>
  <c r="BK1140" i="1"/>
  <c r="BL1140" i="1"/>
  <c r="BM1140" i="1"/>
  <c r="BN1140" i="1"/>
  <c r="BO1140" i="1"/>
  <c r="BP1140" i="1"/>
  <c r="BK1141" i="1"/>
  <c r="BL1141" i="1"/>
  <c r="BO1141" i="1" s="1"/>
  <c r="BM1141" i="1"/>
  <c r="BN1141" i="1"/>
  <c r="BP1141" i="1"/>
  <c r="BK1142" i="1"/>
  <c r="BL1142" i="1"/>
  <c r="BM1142" i="1"/>
  <c r="BN1142" i="1"/>
  <c r="BO1142" i="1"/>
  <c r="BP1142" i="1"/>
  <c r="BK1143" i="1"/>
  <c r="BL1143" i="1"/>
  <c r="BO1143" i="1" s="1"/>
  <c r="BM1143" i="1"/>
  <c r="BN1143" i="1"/>
  <c r="BP1143" i="1"/>
  <c r="BK1144" i="1"/>
  <c r="BL1144" i="1"/>
  <c r="BM1144" i="1"/>
  <c r="BN1144" i="1"/>
  <c r="BO1144" i="1"/>
  <c r="BP1144" i="1"/>
  <c r="BK1145" i="1"/>
  <c r="BL1145" i="1"/>
  <c r="BO1145" i="1" s="1"/>
  <c r="BM1145" i="1"/>
  <c r="BN1145" i="1"/>
  <c r="BP1145" i="1"/>
  <c r="BK1146" i="1"/>
  <c r="BL1146" i="1"/>
  <c r="BM1146" i="1"/>
  <c r="BN1146" i="1"/>
  <c r="BO1146" i="1"/>
  <c r="BP1146" i="1"/>
  <c r="BK1147" i="1"/>
  <c r="BL1147" i="1"/>
  <c r="BO1147" i="1" s="1"/>
  <c r="BM1147" i="1"/>
  <c r="BN1147" i="1"/>
  <c r="BP1147" i="1"/>
  <c r="BK1148" i="1"/>
  <c r="BL1148" i="1"/>
  <c r="BM1148" i="1"/>
  <c r="BN1148" i="1"/>
  <c r="BO1148" i="1"/>
  <c r="BP1148" i="1"/>
  <c r="BK1149" i="1"/>
  <c r="BL1149" i="1"/>
  <c r="BO1149" i="1" s="1"/>
  <c r="BM1149" i="1"/>
  <c r="BN1149" i="1"/>
  <c r="BP1149" i="1"/>
  <c r="BK1150" i="1"/>
  <c r="BL1150" i="1"/>
  <c r="BM1150" i="1"/>
  <c r="BN1150" i="1"/>
  <c r="BO1150" i="1"/>
  <c r="BP1150" i="1"/>
  <c r="BK1151" i="1"/>
  <c r="BL1151" i="1"/>
  <c r="BO1151" i="1" s="1"/>
  <c r="BM1151" i="1"/>
  <c r="BN1151" i="1"/>
  <c r="BP1151" i="1"/>
  <c r="BK1152" i="1"/>
  <c r="BL1152" i="1"/>
  <c r="BM1152" i="1"/>
  <c r="BN1152" i="1"/>
  <c r="BO1152" i="1"/>
  <c r="BP1152" i="1"/>
  <c r="BK1153" i="1"/>
  <c r="BL1153" i="1"/>
  <c r="BO1153" i="1" s="1"/>
  <c r="BM1153" i="1"/>
  <c r="BN1153" i="1"/>
  <c r="BP1153" i="1"/>
  <c r="BK1154" i="1"/>
  <c r="BL1154" i="1"/>
  <c r="BM1154" i="1"/>
  <c r="BN1154" i="1"/>
  <c r="BO1154" i="1"/>
  <c r="BP1154" i="1"/>
  <c r="BK1155" i="1"/>
  <c r="BL1155" i="1"/>
  <c r="BO1155" i="1" s="1"/>
  <c r="BM1155" i="1"/>
  <c r="BN1155" i="1"/>
  <c r="BP1155" i="1"/>
  <c r="BK1156" i="1"/>
  <c r="BL1156" i="1"/>
  <c r="BM1156" i="1"/>
  <c r="BN1156" i="1"/>
  <c r="BO1156" i="1"/>
  <c r="BP1156" i="1"/>
  <c r="BK1157" i="1"/>
  <c r="BL1157" i="1"/>
  <c r="BO1157" i="1" s="1"/>
  <c r="BM1157" i="1"/>
  <c r="BN1157" i="1"/>
  <c r="BP1157" i="1"/>
  <c r="BK1158" i="1"/>
  <c r="BL1158" i="1"/>
  <c r="BM1158" i="1"/>
  <c r="BN1158" i="1"/>
  <c r="BO1158" i="1"/>
  <c r="BP1158" i="1"/>
  <c r="BK1159" i="1"/>
  <c r="BL1159" i="1"/>
  <c r="BO1159" i="1" s="1"/>
  <c r="BM1159" i="1"/>
  <c r="BN1159" i="1"/>
  <c r="BP1159" i="1"/>
  <c r="BK1160" i="1"/>
  <c r="BL1160" i="1"/>
  <c r="BM1160" i="1"/>
  <c r="BN1160" i="1"/>
  <c r="BO1160" i="1"/>
  <c r="BP1160" i="1"/>
  <c r="BK1161" i="1"/>
  <c r="BL1161" i="1"/>
  <c r="BO1161" i="1" s="1"/>
  <c r="BM1161" i="1"/>
  <c r="BN1161" i="1"/>
  <c r="BP1161" i="1"/>
  <c r="BK1162" i="1"/>
  <c r="BL1162" i="1"/>
  <c r="BM1162" i="1"/>
  <c r="BN1162" i="1"/>
  <c r="BO1162" i="1"/>
  <c r="BP1162" i="1"/>
  <c r="BK1163" i="1"/>
  <c r="BL1163" i="1"/>
  <c r="BO1163" i="1" s="1"/>
  <c r="BM1163" i="1"/>
  <c r="BN1163" i="1"/>
  <c r="BP1163" i="1"/>
  <c r="BK1164" i="1"/>
  <c r="BL1164" i="1"/>
  <c r="BM1164" i="1"/>
  <c r="BN1164" i="1"/>
  <c r="BO1164" i="1"/>
  <c r="BP1164" i="1"/>
  <c r="BK1165" i="1"/>
  <c r="BL1165" i="1"/>
  <c r="BO1165" i="1" s="1"/>
  <c r="BM1165" i="1"/>
  <c r="BN1165" i="1"/>
  <c r="BP1165" i="1"/>
  <c r="BK1166" i="1"/>
  <c r="BL1166" i="1"/>
  <c r="BM1166" i="1"/>
  <c r="BN1166" i="1"/>
  <c r="BO1166" i="1"/>
  <c r="BP1166" i="1"/>
  <c r="BK1167" i="1"/>
  <c r="BL1167" i="1"/>
  <c r="BO1167" i="1" s="1"/>
  <c r="BM1167" i="1"/>
  <c r="BN1167" i="1"/>
  <c r="BP1167" i="1"/>
  <c r="BK1168" i="1"/>
  <c r="BL1168" i="1"/>
  <c r="BM1168" i="1"/>
  <c r="BN1168" i="1"/>
  <c r="BO1168" i="1"/>
  <c r="BP1168" i="1"/>
  <c r="BK1169" i="1"/>
  <c r="BL1169" i="1"/>
  <c r="BO1169" i="1" s="1"/>
  <c r="BM1169" i="1"/>
  <c r="BN1169" i="1"/>
  <c r="BP1169" i="1"/>
  <c r="BK1170" i="1"/>
  <c r="BL1170" i="1"/>
  <c r="BM1170" i="1"/>
  <c r="BN1170" i="1"/>
  <c r="BO1170" i="1"/>
  <c r="BP1170" i="1"/>
  <c r="BK1171" i="1"/>
  <c r="BL1171" i="1"/>
  <c r="BO1171" i="1" s="1"/>
  <c r="BM1171" i="1"/>
  <c r="BN1171" i="1"/>
  <c r="BP1171" i="1"/>
  <c r="BK1172" i="1"/>
  <c r="BL1172" i="1"/>
  <c r="BM1172" i="1"/>
  <c r="BN1172" i="1"/>
  <c r="BO1172" i="1"/>
  <c r="BP1172" i="1"/>
  <c r="BK1173" i="1"/>
  <c r="BL1173" i="1"/>
  <c r="BO1173" i="1" s="1"/>
  <c r="BM1173" i="1"/>
  <c r="BN1173" i="1"/>
  <c r="BP1173" i="1"/>
  <c r="BK1174" i="1"/>
  <c r="BL1174" i="1"/>
  <c r="BM1174" i="1"/>
  <c r="BN1174" i="1"/>
  <c r="BO1174" i="1"/>
  <c r="BP1174" i="1"/>
  <c r="BK1175" i="1"/>
  <c r="BL1175" i="1"/>
  <c r="BO1175" i="1" s="1"/>
  <c r="BM1175" i="1"/>
  <c r="BN1175" i="1"/>
  <c r="BP1175" i="1"/>
  <c r="BK1176" i="1"/>
  <c r="BL1176" i="1"/>
  <c r="BM1176" i="1"/>
  <c r="BN1176" i="1"/>
  <c r="BO1176" i="1"/>
  <c r="BP1176" i="1"/>
  <c r="BK1177" i="1"/>
  <c r="BL1177" i="1"/>
  <c r="BO1177" i="1" s="1"/>
  <c r="BM1177" i="1"/>
  <c r="BN1177" i="1"/>
  <c r="BP1177" i="1"/>
  <c r="BK1178" i="1"/>
  <c r="BL1178" i="1"/>
  <c r="BM1178" i="1"/>
  <c r="BN1178" i="1"/>
  <c r="BO1178" i="1"/>
  <c r="BP1178" i="1"/>
  <c r="BK1179" i="1"/>
  <c r="BL1179" i="1"/>
  <c r="BO1179" i="1" s="1"/>
  <c r="BM1179" i="1"/>
  <c r="BN1179" i="1"/>
  <c r="BP1179" i="1"/>
  <c r="BK1180" i="1"/>
  <c r="BL1180" i="1"/>
  <c r="BM1180" i="1"/>
  <c r="BN1180" i="1"/>
  <c r="BO1180" i="1"/>
  <c r="BP1180" i="1"/>
  <c r="BK1181" i="1"/>
  <c r="BL1181" i="1"/>
  <c r="BO1181" i="1" s="1"/>
  <c r="BM1181" i="1"/>
  <c r="BN1181" i="1"/>
  <c r="BP1181" i="1"/>
  <c r="BK1182" i="1"/>
  <c r="BL1182" i="1"/>
  <c r="BM1182" i="1"/>
  <c r="BN1182" i="1"/>
  <c r="BO1182" i="1"/>
  <c r="BP1182" i="1"/>
  <c r="BK1183" i="1"/>
  <c r="BL1183" i="1"/>
  <c r="BO1183" i="1" s="1"/>
  <c r="BM1183" i="1"/>
  <c r="BN1183" i="1"/>
  <c r="BP1183" i="1"/>
  <c r="BK1184" i="1"/>
  <c r="BL1184" i="1"/>
  <c r="BM1184" i="1"/>
  <c r="BN1184" i="1"/>
  <c r="BO1184" i="1"/>
  <c r="BP1184" i="1"/>
  <c r="BK1185" i="1"/>
  <c r="BL1185" i="1"/>
  <c r="BO1185" i="1" s="1"/>
  <c r="BM1185" i="1"/>
  <c r="BN1185" i="1"/>
  <c r="BP1185" i="1"/>
  <c r="BK1186" i="1"/>
  <c r="BL1186" i="1"/>
  <c r="BM1186" i="1"/>
  <c r="BN1186" i="1"/>
  <c r="BO1186" i="1"/>
  <c r="BP1186" i="1"/>
  <c r="BK1187" i="1"/>
  <c r="BL1187" i="1"/>
  <c r="BO1187" i="1" s="1"/>
  <c r="BM1187" i="1"/>
  <c r="BN1187" i="1"/>
  <c r="BP1187" i="1"/>
  <c r="BK1188" i="1"/>
  <c r="BL1188" i="1"/>
  <c r="BM1188" i="1"/>
  <c r="BN1188" i="1"/>
  <c r="BO1188" i="1"/>
  <c r="BP1188" i="1"/>
  <c r="BK1189" i="1"/>
  <c r="BL1189" i="1"/>
  <c r="BO1189" i="1" s="1"/>
  <c r="BM1189" i="1"/>
  <c r="BN1189" i="1"/>
  <c r="BP1189" i="1"/>
  <c r="BK1190" i="1"/>
  <c r="BL1190" i="1"/>
  <c r="BM1190" i="1"/>
  <c r="BN1190" i="1"/>
  <c r="BO1190" i="1"/>
  <c r="BP1190" i="1"/>
  <c r="BK1191" i="1"/>
  <c r="BL1191" i="1"/>
  <c r="BO1191" i="1" s="1"/>
  <c r="BM1191" i="1"/>
  <c r="BN1191" i="1"/>
  <c r="BP1191" i="1"/>
  <c r="BK1192" i="1"/>
  <c r="BL1192" i="1"/>
  <c r="BM1192" i="1"/>
  <c r="BN1192" i="1"/>
  <c r="BO1192" i="1"/>
  <c r="BP1192" i="1"/>
  <c r="BK1193" i="1"/>
  <c r="BL1193" i="1"/>
  <c r="BO1193" i="1" s="1"/>
  <c r="BM1193" i="1"/>
  <c r="BN1193" i="1"/>
  <c r="BP1193" i="1"/>
  <c r="BK1194" i="1"/>
  <c r="BL1194" i="1"/>
  <c r="BM1194" i="1"/>
  <c r="BN1194" i="1"/>
  <c r="BO1194" i="1"/>
  <c r="BP1194" i="1"/>
  <c r="BK1195" i="1"/>
  <c r="BL1195" i="1"/>
  <c r="BO1195" i="1" s="1"/>
  <c r="BM1195" i="1"/>
  <c r="BN1195" i="1"/>
  <c r="BP1195" i="1"/>
  <c r="BK1196" i="1"/>
  <c r="BL1196" i="1"/>
  <c r="BM1196" i="1"/>
  <c r="BN1196" i="1"/>
  <c r="BO1196" i="1"/>
  <c r="BP1196" i="1"/>
  <c r="BK1197" i="1"/>
  <c r="BL1197" i="1"/>
  <c r="BO1197" i="1" s="1"/>
  <c r="BM1197" i="1"/>
  <c r="BN1197" i="1"/>
  <c r="BP1197" i="1"/>
  <c r="BK1198" i="1"/>
  <c r="BL1198" i="1"/>
  <c r="BM1198" i="1"/>
  <c r="BN1198" i="1"/>
  <c r="BO1198" i="1"/>
  <c r="BP1198" i="1"/>
  <c r="BK1199" i="1"/>
  <c r="BL1199" i="1"/>
  <c r="BO1199" i="1" s="1"/>
  <c r="BM1199" i="1"/>
  <c r="BN1199" i="1"/>
  <c r="BP1199" i="1"/>
  <c r="BK1200" i="1"/>
  <c r="BL1200" i="1"/>
  <c r="BM1200" i="1"/>
  <c r="BN1200" i="1"/>
  <c r="BO1200" i="1"/>
  <c r="BP1200" i="1"/>
  <c r="BK1201" i="1"/>
  <c r="BL1201" i="1"/>
  <c r="BO1201" i="1" s="1"/>
  <c r="BM1201" i="1"/>
  <c r="BN1201" i="1"/>
  <c r="BP1201" i="1"/>
  <c r="BK1202" i="1"/>
  <c r="BL1202" i="1"/>
  <c r="BM1202" i="1"/>
  <c r="BN1202" i="1"/>
  <c r="BO1202" i="1"/>
  <c r="BP1202" i="1"/>
  <c r="BK1203" i="1"/>
  <c r="BL1203" i="1"/>
  <c r="BO1203" i="1" s="1"/>
  <c r="BM1203" i="1"/>
  <c r="BN1203" i="1"/>
  <c r="BP1203" i="1"/>
  <c r="BK1204" i="1"/>
  <c r="BL1204" i="1"/>
  <c r="BM1204" i="1"/>
  <c r="BN1204" i="1"/>
  <c r="BO1204" i="1"/>
  <c r="BP1204" i="1"/>
  <c r="BK1205" i="1"/>
  <c r="BL1205" i="1"/>
  <c r="BO1205" i="1" s="1"/>
  <c r="BM1205" i="1"/>
  <c r="BN1205" i="1"/>
  <c r="BP1205" i="1"/>
  <c r="BK1206" i="1"/>
  <c r="BL1206" i="1"/>
  <c r="BM1206" i="1"/>
  <c r="BN1206" i="1"/>
  <c r="BO1206" i="1"/>
  <c r="BP1206" i="1"/>
  <c r="BK1207" i="1"/>
  <c r="BL1207" i="1"/>
  <c r="BO1207" i="1" s="1"/>
  <c r="BM1207" i="1"/>
  <c r="BN1207" i="1"/>
  <c r="BP1207" i="1"/>
  <c r="BK1208" i="1"/>
  <c r="BL1208" i="1"/>
  <c r="BM1208" i="1"/>
  <c r="BN1208" i="1"/>
  <c r="BO1208" i="1"/>
  <c r="BP1208" i="1"/>
  <c r="BK1209" i="1"/>
  <c r="BL1209" i="1"/>
  <c r="BO1209" i="1" s="1"/>
  <c r="BM1209" i="1"/>
  <c r="BN1209" i="1"/>
  <c r="BP1209" i="1"/>
  <c r="BK1210" i="1"/>
  <c r="BL1210" i="1"/>
  <c r="BM1210" i="1"/>
  <c r="BN1210" i="1"/>
  <c r="BO1210" i="1"/>
  <c r="BP1210" i="1"/>
  <c r="BK1211" i="1"/>
  <c r="BL1211" i="1"/>
  <c r="BO1211" i="1" s="1"/>
  <c r="BM1211" i="1"/>
  <c r="BN1211" i="1"/>
  <c r="BP1211" i="1"/>
  <c r="BK1212" i="1"/>
  <c r="BL1212" i="1"/>
  <c r="BM1212" i="1"/>
  <c r="BN1212" i="1"/>
  <c r="BO1212" i="1"/>
  <c r="BP1212" i="1"/>
  <c r="BK1213" i="1"/>
  <c r="BL1213" i="1"/>
  <c r="BO1213" i="1" s="1"/>
  <c r="BM1213" i="1"/>
  <c r="BN1213" i="1"/>
  <c r="BP1213" i="1"/>
  <c r="BK1214" i="1"/>
  <c r="BL1214" i="1"/>
  <c r="BM1214" i="1"/>
  <c r="BN1214" i="1"/>
  <c r="BO1214" i="1"/>
  <c r="BP1214" i="1"/>
  <c r="BK1215" i="1"/>
  <c r="BL1215" i="1"/>
  <c r="BO1215" i="1" s="1"/>
  <c r="BM1215" i="1"/>
  <c r="BN1215" i="1"/>
  <c r="BP1215" i="1"/>
  <c r="BK1216" i="1"/>
  <c r="BL1216" i="1"/>
  <c r="BM1216" i="1"/>
  <c r="BN1216" i="1"/>
  <c r="BO1216" i="1"/>
  <c r="BP1216" i="1"/>
  <c r="BK1217" i="1"/>
  <c r="BL1217" i="1"/>
  <c r="BO1217" i="1" s="1"/>
  <c r="BM1217" i="1"/>
  <c r="BN1217" i="1"/>
  <c r="BP1217" i="1"/>
  <c r="BK1218" i="1"/>
  <c r="BL1218" i="1"/>
  <c r="BM1218" i="1"/>
  <c r="BN1218" i="1"/>
  <c r="BO1218" i="1"/>
  <c r="BP1218" i="1"/>
  <c r="BK1219" i="1"/>
  <c r="BL1219" i="1"/>
  <c r="BO1219" i="1" s="1"/>
  <c r="BM1219" i="1"/>
  <c r="BN1219" i="1"/>
  <c r="BP1219" i="1"/>
  <c r="BK1220" i="1"/>
  <c r="BL1220" i="1"/>
  <c r="BM1220" i="1"/>
  <c r="BN1220" i="1"/>
  <c r="BO1220" i="1"/>
  <c r="BP1220" i="1"/>
  <c r="BK1221" i="1"/>
  <c r="BL1221" i="1"/>
  <c r="BO1221" i="1" s="1"/>
  <c r="BM1221" i="1"/>
  <c r="BN1221" i="1"/>
  <c r="BP1221" i="1"/>
  <c r="BK1222" i="1"/>
  <c r="BL1222" i="1"/>
  <c r="BM1222" i="1"/>
  <c r="BN1222" i="1"/>
  <c r="BO1222" i="1"/>
  <c r="BP1222" i="1"/>
  <c r="BK1223" i="1"/>
  <c r="BL1223" i="1"/>
  <c r="BO1223" i="1" s="1"/>
  <c r="BM1223" i="1"/>
  <c r="BN1223" i="1"/>
  <c r="BP1223" i="1"/>
  <c r="BK1224" i="1"/>
  <c r="BL1224" i="1"/>
  <c r="BM1224" i="1"/>
  <c r="BN1224" i="1"/>
  <c r="BO1224" i="1"/>
  <c r="BP1224" i="1"/>
  <c r="BK1225" i="1"/>
  <c r="BL1225" i="1"/>
  <c r="BO1225" i="1" s="1"/>
  <c r="BM1225" i="1"/>
  <c r="BN1225" i="1"/>
  <c r="BP1225" i="1"/>
  <c r="BK1226" i="1"/>
  <c r="BL1226" i="1"/>
  <c r="BM1226" i="1"/>
  <c r="BN1226" i="1"/>
  <c r="BO1226" i="1"/>
  <c r="BP1226" i="1"/>
  <c r="BK1227" i="1"/>
  <c r="BL1227" i="1"/>
  <c r="BO1227" i="1" s="1"/>
  <c r="BM1227" i="1"/>
  <c r="BN1227" i="1"/>
  <c r="BP1227" i="1"/>
  <c r="BK1228" i="1"/>
  <c r="BL1228" i="1"/>
  <c r="BM1228" i="1"/>
  <c r="BN1228" i="1"/>
  <c r="BO1228" i="1"/>
  <c r="BP1228" i="1"/>
  <c r="BK1229" i="1"/>
  <c r="BL1229" i="1"/>
  <c r="BO1229" i="1" s="1"/>
  <c r="BM1229" i="1"/>
  <c r="BN1229" i="1"/>
  <c r="BP1229" i="1"/>
  <c r="BK1230" i="1"/>
  <c r="BL1230" i="1"/>
  <c r="BM1230" i="1"/>
  <c r="BN1230" i="1"/>
  <c r="BO1230" i="1"/>
  <c r="BP1230" i="1"/>
  <c r="BK1231" i="1"/>
  <c r="BL1231" i="1"/>
  <c r="BO1231" i="1" s="1"/>
  <c r="BM1231" i="1"/>
  <c r="BN1231" i="1"/>
  <c r="BP1231" i="1"/>
  <c r="BK1232" i="1"/>
  <c r="BL1232" i="1"/>
  <c r="BM1232" i="1"/>
  <c r="BN1232" i="1"/>
  <c r="BO1232" i="1"/>
  <c r="BP1232" i="1"/>
  <c r="BK1233" i="1"/>
  <c r="BL1233" i="1"/>
  <c r="BO1233" i="1" s="1"/>
  <c r="BM1233" i="1"/>
  <c r="BN1233" i="1"/>
  <c r="BP1233" i="1"/>
  <c r="BK1234" i="1"/>
  <c r="BL1234" i="1"/>
  <c r="BM1234" i="1"/>
  <c r="BN1234" i="1"/>
  <c r="BO1234" i="1"/>
  <c r="BP1234" i="1"/>
  <c r="BK1235" i="1"/>
  <c r="BL1235" i="1"/>
  <c r="BO1235" i="1" s="1"/>
  <c r="BM1235" i="1"/>
  <c r="BN1235" i="1"/>
  <c r="BP1235" i="1"/>
  <c r="BK1236" i="1"/>
  <c r="BL1236" i="1"/>
  <c r="BM1236" i="1"/>
  <c r="BN1236" i="1"/>
  <c r="BO1236" i="1"/>
  <c r="BP1236" i="1"/>
  <c r="BK1237" i="1"/>
  <c r="BL1237" i="1"/>
  <c r="BO1237" i="1" s="1"/>
  <c r="BM1237" i="1"/>
  <c r="BN1237" i="1"/>
  <c r="BP1237" i="1"/>
  <c r="BK1238" i="1"/>
  <c r="BL1238" i="1"/>
  <c r="BM1238" i="1"/>
  <c r="BN1238" i="1"/>
  <c r="BO1238" i="1"/>
  <c r="BP1238" i="1"/>
  <c r="BK1239" i="1"/>
  <c r="BL1239" i="1"/>
  <c r="BO1239" i="1" s="1"/>
  <c r="BM1239" i="1"/>
  <c r="BN1239" i="1"/>
  <c r="BP1239" i="1"/>
  <c r="BK1240" i="1"/>
  <c r="BL1240" i="1"/>
  <c r="BM1240" i="1"/>
  <c r="BN1240" i="1"/>
  <c r="BO1240" i="1"/>
  <c r="BP1240" i="1"/>
  <c r="BK1241" i="1"/>
  <c r="BL1241" i="1"/>
  <c r="BO1241" i="1" s="1"/>
  <c r="BM1241" i="1"/>
  <c r="BN1241" i="1"/>
  <c r="BP1241" i="1"/>
  <c r="BK1242" i="1"/>
  <c r="BL1242" i="1"/>
  <c r="BM1242" i="1"/>
  <c r="BN1242" i="1"/>
  <c r="BO1242" i="1"/>
  <c r="BP1242" i="1"/>
  <c r="BK1243" i="1"/>
  <c r="BL1243" i="1"/>
  <c r="BO1243" i="1" s="1"/>
  <c r="BM1243" i="1"/>
  <c r="BN1243" i="1"/>
  <c r="BP1243" i="1"/>
  <c r="BK1244" i="1"/>
  <c r="BL1244" i="1"/>
  <c r="BM1244" i="1"/>
  <c r="BN1244" i="1"/>
  <c r="BO1244" i="1"/>
  <c r="BP1244" i="1"/>
  <c r="BK1245" i="1"/>
  <c r="BL1245" i="1"/>
  <c r="BO1245" i="1" s="1"/>
  <c r="BM1245" i="1"/>
  <c r="BN1245" i="1"/>
  <c r="BP1245" i="1"/>
  <c r="BK1246" i="1"/>
  <c r="BL1246" i="1"/>
  <c r="BM1246" i="1"/>
  <c r="BN1246" i="1"/>
  <c r="BO1246" i="1"/>
  <c r="BP1246" i="1"/>
  <c r="BK1247" i="1"/>
  <c r="BL1247" i="1"/>
  <c r="BO1247" i="1" s="1"/>
  <c r="BM1247" i="1"/>
  <c r="BN1247" i="1"/>
  <c r="BP1247" i="1"/>
  <c r="BK1248" i="1"/>
  <c r="BL1248" i="1"/>
  <c r="BM1248" i="1"/>
  <c r="BN1248" i="1"/>
  <c r="BO1248" i="1"/>
  <c r="BP1248" i="1"/>
  <c r="BK1249" i="1"/>
  <c r="BL1249" i="1"/>
  <c r="BO1249" i="1" s="1"/>
  <c r="BM1249" i="1"/>
  <c r="BN1249" i="1"/>
  <c r="BP1249" i="1"/>
  <c r="BK1250" i="1"/>
  <c r="BL1250" i="1"/>
  <c r="BM1250" i="1"/>
  <c r="BN1250" i="1"/>
  <c r="BO1250" i="1"/>
  <c r="BP1250" i="1"/>
  <c r="BK1251" i="1"/>
  <c r="BL1251" i="1"/>
  <c r="BO1251" i="1" s="1"/>
  <c r="BM1251" i="1"/>
  <c r="BN1251" i="1"/>
  <c r="BP1251" i="1"/>
  <c r="BK1252" i="1"/>
  <c r="BL1252" i="1"/>
  <c r="BM1252" i="1"/>
  <c r="BN1252" i="1"/>
  <c r="BO1252" i="1"/>
  <c r="BP1252" i="1"/>
  <c r="BK1253" i="1"/>
  <c r="BL1253" i="1"/>
  <c r="BO1253" i="1" s="1"/>
  <c r="BM1253" i="1"/>
  <c r="BN1253" i="1"/>
  <c r="BP1253" i="1"/>
  <c r="BK1254" i="1"/>
  <c r="BL1254" i="1"/>
  <c r="BM1254" i="1"/>
  <c r="BN1254" i="1"/>
  <c r="BO1254" i="1"/>
  <c r="BP1254" i="1"/>
  <c r="BK1255" i="1"/>
  <c r="BL1255" i="1"/>
  <c r="BO1255" i="1" s="1"/>
  <c r="BM1255" i="1"/>
  <c r="BN1255" i="1"/>
  <c r="BP1255" i="1"/>
  <c r="BK1256" i="1"/>
  <c r="BL1256" i="1"/>
  <c r="BM1256" i="1"/>
  <c r="BN1256" i="1"/>
  <c r="BO1256" i="1"/>
  <c r="BP1256" i="1"/>
  <c r="BK1257" i="1"/>
  <c r="BL1257" i="1"/>
  <c r="BO1257" i="1" s="1"/>
  <c r="BM1257" i="1"/>
  <c r="BN1257" i="1"/>
  <c r="BP1257" i="1"/>
  <c r="BK1258" i="1"/>
  <c r="BL1258" i="1"/>
  <c r="BM1258" i="1"/>
  <c r="BN1258" i="1"/>
  <c r="BO1258" i="1"/>
  <c r="BP1258" i="1"/>
  <c r="BK1259" i="1"/>
  <c r="BL1259" i="1"/>
  <c r="BO1259" i="1" s="1"/>
  <c r="BM1259" i="1"/>
  <c r="BN1259" i="1"/>
  <c r="BP1259" i="1"/>
  <c r="BK1260" i="1"/>
  <c r="BL1260" i="1"/>
  <c r="BM1260" i="1"/>
  <c r="BN1260" i="1"/>
  <c r="BO1260" i="1"/>
  <c r="BP1260" i="1"/>
  <c r="BK1261" i="1"/>
  <c r="BL1261" i="1"/>
  <c r="BO1261" i="1" s="1"/>
  <c r="BM1261" i="1"/>
  <c r="BN1261" i="1"/>
  <c r="BP1261" i="1"/>
  <c r="BK1262" i="1"/>
  <c r="BL1262" i="1"/>
  <c r="BM1262" i="1"/>
  <c r="BN1262" i="1"/>
  <c r="BO1262" i="1"/>
  <c r="BP1262" i="1"/>
  <c r="BK1263" i="1"/>
  <c r="BL1263" i="1"/>
  <c r="BO1263" i="1" s="1"/>
  <c r="BM1263" i="1"/>
  <c r="BN1263" i="1"/>
  <c r="BP1263" i="1"/>
  <c r="BK1264" i="1"/>
  <c r="BL1264" i="1"/>
  <c r="BM1264" i="1"/>
  <c r="BN1264" i="1"/>
  <c r="BO1264" i="1"/>
  <c r="BP1264" i="1"/>
  <c r="BO2" i="1"/>
  <c r="BP2" i="1"/>
  <c r="BN2" i="1"/>
  <c r="BL2" i="1"/>
  <c r="BM2" i="1"/>
  <c r="BK2" i="1"/>
  <c r="CA2" i="1"/>
  <c r="CB3" i="1"/>
  <c r="CB4" i="1"/>
  <c r="CB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174" i="1"/>
  <c r="CB175" i="1"/>
  <c r="CB176" i="1"/>
  <c r="CB177" i="1"/>
  <c r="CB178" i="1"/>
  <c r="CB179" i="1"/>
  <c r="CB180" i="1"/>
  <c r="CB181" i="1"/>
  <c r="CB182" i="1"/>
  <c r="CB183" i="1"/>
  <c r="CB184" i="1"/>
  <c r="CB185" i="1"/>
  <c r="CB186" i="1"/>
  <c r="CB187" i="1"/>
  <c r="CB188" i="1"/>
  <c r="CB189" i="1"/>
  <c r="CB190" i="1"/>
  <c r="CB191" i="1"/>
  <c r="CB192" i="1"/>
  <c r="CB193" i="1"/>
  <c r="CB194" i="1"/>
  <c r="CB195" i="1"/>
  <c r="CB196" i="1"/>
  <c r="CB197" i="1"/>
  <c r="CB198" i="1"/>
  <c r="CB199" i="1"/>
  <c r="CB200" i="1"/>
  <c r="CB201" i="1"/>
  <c r="CB202" i="1"/>
  <c r="CB203" i="1"/>
  <c r="CB204" i="1"/>
  <c r="CB205" i="1"/>
  <c r="CB206" i="1"/>
  <c r="CB207" i="1"/>
  <c r="CB208" i="1"/>
  <c r="CB209" i="1"/>
  <c r="CB210" i="1"/>
  <c r="CB211" i="1"/>
  <c r="CB212" i="1"/>
  <c r="CB213" i="1"/>
  <c r="CB214" i="1"/>
  <c r="CB215" i="1"/>
  <c r="CB216" i="1"/>
  <c r="CB217" i="1"/>
  <c r="CB218" i="1"/>
  <c r="CB219" i="1"/>
  <c r="CB220" i="1"/>
  <c r="CB221" i="1"/>
  <c r="CB222" i="1"/>
  <c r="CB223" i="1"/>
  <c r="CB224" i="1"/>
  <c r="CB225" i="1"/>
  <c r="CB226" i="1"/>
  <c r="CB227" i="1"/>
  <c r="CB228" i="1"/>
  <c r="CB229" i="1"/>
  <c r="CB230" i="1"/>
  <c r="CB231" i="1"/>
  <c r="CB232" i="1"/>
  <c r="CB233" i="1"/>
  <c r="CB234" i="1"/>
  <c r="CB235" i="1"/>
  <c r="CB236" i="1"/>
  <c r="CB237" i="1"/>
  <c r="CB238" i="1"/>
  <c r="CB239" i="1"/>
  <c r="CB240" i="1"/>
  <c r="CB241" i="1"/>
  <c r="CB242" i="1"/>
  <c r="CB243" i="1"/>
  <c r="CB244" i="1"/>
  <c r="CB245" i="1"/>
  <c r="CB246" i="1"/>
  <c r="CB247" i="1"/>
  <c r="CB248" i="1"/>
  <c r="CB249" i="1"/>
  <c r="CB250" i="1"/>
  <c r="CB251" i="1"/>
  <c r="CB252" i="1"/>
  <c r="CB253" i="1"/>
  <c r="CB254" i="1"/>
  <c r="CB255" i="1"/>
  <c r="CB256" i="1"/>
  <c r="CB257" i="1"/>
  <c r="CB258" i="1"/>
  <c r="CB259" i="1"/>
  <c r="CB260" i="1"/>
  <c r="CB261" i="1"/>
  <c r="CB262" i="1"/>
  <c r="CB263" i="1"/>
  <c r="CB264" i="1"/>
  <c r="CB265" i="1"/>
  <c r="CB266" i="1"/>
  <c r="CB267" i="1"/>
  <c r="CB268" i="1"/>
  <c r="CB269" i="1"/>
  <c r="CB270" i="1"/>
  <c r="CB271" i="1"/>
  <c r="CB272" i="1"/>
  <c r="CB273" i="1"/>
  <c r="CB274" i="1"/>
  <c r="CB275" i="1"/>
  <c r="CB276" i="1"/>
  <c r="CB277" i="1"/>
  <c r="CB278" i="1"/>
  <c r="CB279" i="1"/>
  <c r="CB280" i="1"/>
  <c r="CB281" i="1"/>
  <c r="CB282" i="1"/>
  <c r="CB283" i="1"/>
  <c r="CB284" i="1"/>
  <c r="CB285" i="1"/>
  <c r="CB286" i="1"/>
  <c r="CB287" i="1"/>
  <c r="CB288" i="1"/>
  <c r="CB289" i="1"/>
  <c r="CB290" i="1"/>
  <c r="CB291" i="1"/>
  <c r="CB292" i="1"/>
  <c r="CB293" i="1"/>
  <c r="CB294" i="1"/>
  <c r="CB295" i="1"/>
  <c r="CB296" i="1"/>
  <c r="CB297" i="1"/>
  <c r="CB298" i="1"/>
  <c r="CB299" i="1"/>
  <c r="CB300" i="1"/>
  <c r="CB301" i="1"/>
  <c r="CB302" i="1"/>
  <c r="CB303" i="1"/>
  <c r="CB304" i="1"/>
  <c r="CB305" i="1"/>
  <c r="CB306" i="1"/>
  <c r="CB307" i="1"/>
  <c r="CB308" i="1"/>
  <c r="CB309" i="1"/>
  <c r="CB310" i="1"/>
  <c r="CB311" i="1"/>
  <c r="CB312" i="1"/>
  <c r="CB313" i="1"/>
  <c r="CB314" i="1"/>
  <c r="CB315" i="1"/>
  <c r="CB316" i="1"/>
  <c r="CB317" i="1"/>
  <c r="CB318" i="1"/>
  <c r="CB319" i="1"/>
  <c r="CB320" i="1"/>
  <c r="CB321" i="1"/>
  <c r="CB322" i="1"/>
  <c r="CB323" i="1"/>
  <c r="CB324" i="1"/>
  <c r="CB325" i="1"/>
  <c r="CB326" i="1"/>
  <c r="CB327" i="1"/>
  <c r="CB328" i="1"/>
  <c r="CB329" i="1"/>
  <c r="CB330" i="1"/>
  <c r="CB331" i="1"/>
  <c r="CB332" i="1"/>
  <c r="CB333" i="1"/>
  <c r="CB334" i="1"/>
  <c r="CB335" i="1"/>
  <c r="CB336" i="1"/>
  <c r="CB337" i="1"/>
  <c r="CB338" i="1"/>
  <c r="CB339" i="1"/>
  <c r="CB340" i="1"/>
  <c r="CB341" i="1"/>
  <c r="CB342" i="1"/>
  <c r="CB343" i="1"/>
  <c r="CB344" i="1"/>
  <c r="CB345" i="1"/>
  <c r="CB346" i="1"/>
  <c r="CB347" i="1"/>
  <c r="CB348" i="1"/>
  <c r="CB349" i="1"/>
  <c r="CB350" i="1"/>
  <c r="CB351" i="1"/>
  <c r="CB352" i="1"/>
  <c r="CB353" i="1"/>
  <c r="CB354" i="1"/>
  <c r="CB355" i="1"/>
  <c r="CB356" i="1"/>
  <c r="CB357" i="1"/>
  <c r="CB358" i="1"/>
  <c r="CB359" i="1"/>
  <c r="CB360" i="1"/>
  <c r="CB361" i="1"/>
  <c r="CB362" i="1"/>
  <c r="CB363" i="1"/>
  <c r="CB364" i="1"/>
  <c r="CB365" i="1"/>
  <c r="CB366" i="1"/>
  <c r="CB367" i="1"/>
  <c r="CB368" i="1"/>
  <c r="CB369" i="1"/>
  <c r="CB370" i="1"/>
  <c r="CB371" i="1"/>
  <c r="CB372" i="1"/>
  <c r="CB373" i="1"/>
  <c r="CB374" i="1"/>
  <c r="CB375" i="1"/>
  <c r="CB376" i="1"/>
  <c r="CB377" i="1"/>
  <c r="CB378" i="1"/>
  <c r="CB379" i="1"/>
  <c r="CB380" i="1"/>
  <c r="CB381" i="1"/>
  <c r="CB382" i="1"/>
  <c r="CB383" i="1"/>
  <c r="CB384" i="1"/>
  <c r="CB385" i="1"/>
  <c r="CB386" i="1"/>
  <c r="CB387" i="1"/>
  <c r="CB388" i="1"/>
  <c r="CB389" i="1"/>
  <c r="CB390" i="1"/>
  <c r="CB391" i="1"/>
  <c r="CB392" i="1"/>
  <c r="CB393" i="1"/>
  <c r="CB394" i="1"/>
  <c r="CB395" i="1"/>
  <c r="CB396" i="1"/>
  <c r="CB397" i="1"/>
  <c r="CB398" i="1"/>
  <c r="CB399" i="1"/>
  <c r="CB400" i="1"/>
  <c r="CB401" i="1"/>
  <c r="CB402" i="1"/>
  <c r="CB403" i="1"/>
  <c r="CB404" i="1"/>
  <c r="CB405" i="1"/>
  <c r="CB406" i="1"/>
  <c r="CB407" i="1"/>
  <c r="CB408" i="1"/>
  <c r="CB409" i="1"/>
  <c r="CB410" i="1"/>
  <c r="CB411" i="1"/>
  <c r="CB412" i="1"/>
  <c r="CB413" i="1"/>
  <c r="CB414" i="1"/>
  <c r="CB415" i="1"/>
  <c r="CB416" i="1"/>
  <c r="CB417" i="1"/>
  <c r="CB418" i="1"/>
  <c r="CB419" i="1"/>
  <c r="CB420" i="1"/>
  <c r="CB421" i="1"/>
  <c r="CB422" i="1"/>
  <c r="CB423" i="1"/>
  <c r="CB424" i="1"/>
  <c r="CB425" i="1"/>
  <c r="CB426" i="1"/>
  <c r="CB427" i="1"/>
  <c r="CB428" i="1"/>
  <c r="CB429" i="1"/>
  <c r="CB430" i="1"/>
  <c r="CB431" i="1"/>
  <c r="CB432" i="1"/>
  <c r="CB433" i="1"/>
  <c r="CB434" i="1"/>
  <c r="CB435" i="1"/>
  <c r="CB436" i="1"/>
  <c r="CB437" i="1"/>
  <c r="CB438" i="1"/>
  <c r="CB439" i="1"/>
  <c r="CB440" i="1"/>
  <c r="CB441" i="1"/>
  <c r="CB442" i="1"/>
  <c r="CB443" i="1"/>
  <c r="CB444" i="1"/>
  <c r="CB445" i="1"/>
  <c r="CB446" i="1"/>
  <c r="CB447" i="1"/>
  <c r="CB448" i="1"/>
  <c r="CB449" i="1"/>
  <c r="CB450" i="1"/>
  <c r="CB451" i="1"/>
  <c r="CB452" i="1"/>
  <c r="CB453" i="1"/>
  <c r="CB454" i="1"/>
  <c r="CB455" i="1"/>
  <c r="CB456" i="1"/>
  <c r="CB457" i="1"/>
  <c r="CB458" i="1"/>
  <c r="CB459" i="1"/>
  <c r="CB460" i="1"/>
  <c r="CB461" i="1"/>
  <c r="CB462" i="1"/>
  <c r="CB463" i="1"/>
  <c r="CB464" i="1"/>
  <c r="CB465" i="1"/>
  <c r="CB466" i="1"/>
  <c r="CB467" i="1"/>
  <c r="CB468" i="1"/>
  <c r="CB469" i="1"/>
  <c r="CB470" i="1"/>
  <c r="CB471" i="1"/>
  <c r="CB472" i="1"/>
  <c r="CB473" i="1"/>
  <c r="CB474" i="1"/>
  <c r="CB475" i="1"/>
  <c r="CB476" i="1"/>
  <c r="CB477" i="1"/>
  <c r="CB478" i="1"/>
  <c r="CB479" i="1"/>
  <c r="CB480" i="1"/>
  <c r="CB481" i="1"/>
  <c r="CB482" i="1"/>
  <c r="CB483" i="1"/>
  <c r="CB484" i="1"/>
  <c r="CB485" i="1"/>
  <c r="CB486" i="1"/>
  <c r="CB487" i="1"/>
  <c r="CB488" i="1"/>
  <c r="CB489" i="1"/>
  <c r="CB490" i="1"/>
  <c r="CB491" i="1"/>
  <c r="CB492" i="1"/>
  <c r="CB493" i="1"/>
  <c r="CB494" i="1"/>
  <c r="CB495" i="1"/>
  <c r="CB496" i="1"/>
  <c r="CB497" i="1"/>
  <c r="CB498" i="1"/>
  <c r="CB499" i="1"/>
  <c r="CB500" i="1"/>
  <c r="CB501" i="1"/>
  <c r="CB502" i="1"/>
  <c r="CB503" i="1"/>
  <c r="CB504" i="1"/>
  <c r="CB505" i="1"/>
  <c r="CB506" i="1"/>
  <c r="CB507" i="1"/>
  <c r="CB508" i="1"/>
  <c r="CB509" i="1"/>
  <c r="CB510" i="1"/>
  <c r="CB511" i="1"/>
  <c r="CB512" i="1"/>
  <c r="CB513" i="1"/>
  <c r="CB514" i="1"/>
  <c r="CB515" i="1"/>
  <c r="CB516" i="1"/>
  <c r="CB517" i="1"/>
  <c r="CB518" i="1"/>
  <c r="CB519" i="1"/>
  <c r="CB520" i="1"/>
  <c r="CB521" i="1"/>
  <c r="CB522" i="1"/>
  <c r="CB523" i="1"/>
  <c r="CB524" i="1"/>
  <c r="CB525" i="1"/>
  <c r="CB526" i="1"/>
  <c r="CB527" i="1"/>
  <c r="CB528" i="1"/>
  <c r="CB529" i="1"/>
  <c r="CB530" i="1"/>
  <c r="CB531" i="1"/>
  <c r="CB532" i="1"/>
  <c r="CB533" i="1"/>
  <c r="CB534" i="1"/>
  <c r="CB535" i="1"/>
  <c r="CB536" i="1"/>
  <c r="CB537" i="1"/>
  <c r="CB538" i="1"/>
  <c r="CB539" i="1"/>
  <c r="CB540" i="1"/>
  <c r="CB541" i="1"/>
  <c r="CB542" i="1"/>
  <c r="CB543" i="1"/>
  <c r="CB544" i="1"/>
  <c r="CB545" i="1"/>
  <c r="CB546" i="1"/>
  <c r="CB547" i="1"/>
  <c r="CB548" i="1"/>
  <c r="CB549" i="1"/>
  <c r="CB550" i="1"/>
  <c r="CB551" i="1"/>
  <c r="CB552" i="1"/>
  <c r="CB553" i="1"/>
  <c r="CB554" i="1"/>
  <c r="CB555" i="1"/>
  <c r="CB556" i="1"/>
  <c r="CB557" i="1"/>
  <c r="CB558" i="1"/>
  <c r="CB559" i="1"/>
  <c r="CB560" i="1"/>
  <c r="CB561" i="1"/>
  <c r="CB562" i="1"/>
  <c r="CB563" i="1"/>
  <c r="CB564" i="1"/>
  <c r="CB565" i="1"/>
  <c r="CB566" i="1"/>
  <c r="CB567" i="1"/>
  <c r="CB568" i="1"/>
  <c r="CB569" i="1"/>
  <c r="CB570" i="1"/>
  <c r="CB571" i="1"/>
  <c r="CB572" i="1"/>
  <c r="CB573" i="1"/>
  <c r="CB574" i="1"/>
  <c r="CB575" i="1"/>
  <c r="CB576" i="1"/>
  <c r="CB577" i="1"/>
  <c r="CB578" i="1"/>
  <c r="CB579" i="1"/>
  <c r="CB580" i="1"/>
  <c r="CB581" i="1"/>
  <c r="CB582" i="1"/>
  <c r="CB583" i="1"/>
  <c r="CB584" i="1"/>
  <c r="CB585" i="1"/>
  <c r="CB586" i="1"/>
  <c r="CB587" i="1"/>
  <c r="CB588" i="1"/>
  <c r="CB589" i="1"/>
  <c r="CB590" i="1"/>
  <c r="CB591" i="1"/>
  <c r="CB592" i="1"/>
  <c r="CB593" i="1"/>
  <c r="CB594" i="1"/>
  <c r="CB595" i="1"/>
  <c r="CB596" i="1"/>
  <c r="CB597" i="1"/>
  <c r="CB598" i="1"/>
  <c r="CB599" i="1"/>
  <c r="CB600" i="1"/>
  <c r="CB601" i="1"/>
  <c r="CB602" i="1"/>
  <c r="CB603" i="1"/>
  <c r="CB604" i="1"/>
  <c r="CB605" i="1"/>
  <c r="CB606" i="1"/>
  <c r="CB607" i="1"/>
  <c r="CB608" i="1"/>
  <c r="CB609" i="1"/>
  <c r="CB610" i="1"/>
  <c r="CB611" i="1"/>
  <c r="CB612" i="1"/>
  <c r="CB613" i="1"/>
  <c r="CB614" i="1"/>
  <c r="CB615" i="1"/>
  <c r="CB616" i="1"/>
  <c r="CB617" i="1"/>
  <c r="CB618" i="1"/>
  <c r="CB619" i="1"/>
  <c r="CB620" i="1"/>
  <c r="CB621" i="1"/>
  <c r="CB622" i="1"/>
  <c r="CB623" i="1"/>
  <c r="CB624" i="1"/>
  <c r="CB625" i="1"/>
  <c r="CB626" i="1"/>
  <c r="CB627" i="1"/>
  <c r="CB628" i="1"/>
  <c r="CB629" i="1"/>
  <c r="CB630" i="1"/>
  <c r="CB631" i="1"/>
  <c r="CB632" i="1"/>
  <c r="CB633" i="1"/>
  <c r="CB634" i="1"/>
  <c r="CB635" i="1"/>
  <c r="CB636" i="1"/>
  <c r="CB637" i="1"/>
  <c r="CB638" i="1"/>
  <c r="CB639" i="1"/>
  <c r="CB640" i="1"/>
  <c r="CB641" i="1"/>
  <c r="CB642" i="1"/>
  <c r="CB643" i="1"/>
  <c r="CB644" i="1"/>
  <c r="CB645" i="1"/>
  <c r="CB646" i="1"/>
  <c r="CB647" i="1"/>
  <c r="CB648" i="1"/>
  <c r="CB649" i="1"/>
  <c r="CB650" i="1"/>
  <c r="CB651" i="1"/>
  <c r="CB652" i="1"/>
  <c r="CB653" i="1"/>
  <c r="CB654" i="1"/>
  <c r="CB655" i="1"/>
  <c r="CB656" i="1"/>
  <c r="CB657" i="1"/>
  <c r="CB658" i="1"/>
  <c r="CB659" i="1"/>
  <c r="CB660" i="1"/>
  <c r="CB661" i="1"/>
  <c r="CB662" i="1"/>
  <c r="CB663" i="1"/>
  <c r="CB664" i="1"/>
  <c r="CB665" i="1"/>
  <c r="CB666" i="1"/>
  <c r="CB667" i="1"/>
  <c r="CB668" i="1"/>
  <c r="CB669" i="1"/>
  <c r="CB670" i="1"/>
  <c r="CB671" i="1"/>
  <c r="CB672" i="1"/>
  <c r="CB673" i="1"/>
  <c r="CB674" i="1"/>
  <c r="CB675" i="1"/>
  <c r="CB676" i="1"/>
  <c r="CB677" i="1"/>
  <c r="CB678" i="1"/>
  <c r="CB679" i="1"/>
  <c r="CB680" i="1"/>
  <c r="CB681" i="1"/>
  <c r="CB682" i="1"/>
  <c r="CB683" i="1"/>
  <c r="CB684" i="1"/>
  <c r="CB685" i="1"/>
  <c r="CB686" i="1"/>
  <c r="CB687" i="1"/>
  <c r="CB688" i="1"/>
  <c r="CB689" i="1"/>
  <c r="CB690" i="1"/>
  <c r="CB691" i="1"/>
  <c r="CB692" i="1"/>
  <c r="CB693" i="1"/>
  <c r="CB694" i="1"/>
  <c r="CB695" i="1"/>
  <c r="CB696" i="1"/>
  <c r="CB697" i="1"/>
  <c r="CB698" i="1"/>
  <c r="CB699" i="1"/>
  <c r="CB700" i="1"/>
  <c r="CB701" i="1"/>
  <c r="CB702" i="1"/>
  <c r="CB703" i="1"/>
  <c r="CB704" i="1"/>
  <c r="CB705" i="1"/>
  <c r="CB706" i="1"/>
  <c r="CB707" i="1"/>
  <c r="CB708" i="1"/>
  <c r="CB709" i="1"/>
  <c r="CB710" i="1"/>
  <c r="CB711" i="1"/>
  <c r="CB712" i="1"/>
  <c r="CB713" i="1"/>
  <c r="CB714" i="1"/>
  <c r="CB715" i="1"/>
  <c r="CB716" i="1"/>
  <c r="CB717" i="1"/>
  <c r="CB718" i="1"/>
  <c r="CB719" i="1"/>
  <c r="CB720" i="1"/>
  <c r="CB721" i="1"/>
  <c r="CB722" i="1"/>
  <c r="CB723" i="1"/>
  <c r="CB724" i="1"/>
  <c r="CB725" i="1"/>
  <c r="CB726" i="1"/>
  <c r="CB727" i="1"/>
  <c r="CB728" i="1"/>
  <c r="CB729" i="1"/>
  <c r="CB730" i="1"/>
  <c r="CB731" i="1"/>
  <c r="CB732" i="1"/>
  <c r="CB733" i="1"/>
  <c r="CB734" i="1"/>
  <c r="CB735" i="1"/>
  <c r="CB736" i="1"/>
  <c r="CB737" i="1"/>
  <c r="CB738" i="1"/>
  <c r="CB739" i="1"/>
  <c r="CB740" i="1"/>
  <c r="CB741" i="1"/>
  <c r="CB742" i="1"/>
  <c r="CB743" i="1"/>
  <c r="CB744" i="1"/>
  <c r="CB745" i="1"/>
  <c r="CB746" i="1"/>
  <c r="CB747" i="1"/>
  <c r="CB748" i="1"/>
  <c r="CB749" i="1"/>
  <c r="CB750" i="1"/>
  <c r="CB751" i="1"/>
  <c r="CB752" i="1"/>
  <c r="CB753" i="1"/>
  <c r="CB754" i="1"/>
  <c r="CB755" i="1"/>
  <c r="CB756" i="1"/>
  <c r="CB757" i="1"/>
  <c r="CB758" i="1"/>
  <c r="CB759" i="1"/>
  <c r="CB760" i="1"/>
  <c r="CB761" i="1"/>
  <c r="CB762" i="1"/>
  <c r="CB763" i="1"/>
  <c r="CB764" i="1"/>
  <c r="CB765" i="1"/>
  <c r="CB766" i="1"/>
  <c r="CB767" i="1"/>
  <c r="CB768" i="1"/>
  <c r="CB769" i="1"/>
  <c r="CB770" i="1"/>
  <c r="CB771" i="1"/>
  <c r="CB772" i="1"/>
  <c r="CB773" i="1"/>
  <c r="CB774" i="1"/>
  <c r="CB775" i="1"/>
  <c r="CB776" i="1"/>
  <c r="CB777" i="1"/>
  <c r="CB778" i="1"/>
  <c r="CB779" i="1"/>
  <c r="CB780" i="1"/>
  <c r="CB781" i="1"/>
  <c r="CB782" i="1"/>
  <c r="CB783" i="1"/>
  <c r="CB784" i="1"/>
  <c r="CB785" i="1"/>
  <c r="CB786" i="1"/>
  <c r="CB787" i="1"/>
  <c r="CB788" i="1"/>
  <c r="CB789" i="1"/>
  <c r="CB790" i="1"/>
  <c r="CB791" i="1"/>
  <c r="CB792" i="1"/>
  <c r="CB793" i="1"/>
  <c r="CB794" i="1"/>
  <c r="CB795" i="1"/>
  <c r="CB796" i="1"/>
  <c r="CB797" i="1"/>
  <c r="CB798" i="1"/>
  <c r="CB799" i="1"/>
  <c r="CB800" i="1"/>
  <c r="CB801" i="1"/>
  <c r="CB802" i="1"/>
  <c r="CB803" i="1"/>
  <c r="CB804" i="1"/>
  <c r="CB805" i="1"/>
  <c r="CB806" i="1"/>
  <c r="CB807" i="1"/>
  <c r="CB808" i="1"/>
  <c r="CB809" i="1"/>
  <c r="CB810" i="1"/>
  <c r="CB811" i="1"/>
  <c r="CB812" i="1"/>
  <c r="CB813" i="1"/>
  <c r="CB814" i="1"/>
  <c r="CB815" i="1"/>
  <c r="CB816" i="1"/>
  <c r="CB817" i="1"/>
  <c r="CB818" i="1"/>
  <c r="CB819" i="1"/>
  <c r="CB820" i="1"/>
  <c r="CB821" i="1"/>
  <c r="CB822" i="1"/>
  <c r="CB823" i="1"/>
  <c r="CB824" i="1"/>
  <c r="CB825" i="1"/>
  <c r="CB826" i="1"/>
  <c r="CB827" i="1"/>
  <c r="CB828" i="1"/>
  <c r="CB829" i="1"/>
  <c r="CB830" i="1"/>
  <c r="CB831" i="1"/>
  <c r="CB832" i="1"/>
  <c r="CB833" i="1"/>
  <c r="CB834" i="1"/>
  <c r="CB835" i="1"/>
  <c r="CB836" i="1"/>
  <c r="CB837" i="1"/>
  <c r="CB838" i="1"/>
  <c r="CB839" i="1"/>
  <c r="CB840" i="1"/>
  <c r="CB841" i="1"/>
  <c r="CB842" i="1"/>
  <c r="CB843" i="1"/>
  <c r="CB844" i="1"/>
  <c r="CB845" i="1"/>
  <c r="CB846" i="1"/>
  <c r="CB847" i="1"/>
  <c r="CB848" i="1"/>
  <c r="CB849" i="1"/>
  <c r="CB850" i="1"/>
  <c r="CB851" i="1"/>
  <c r="CB852" i="1"/>
  <c r="CB853" i="1"/>
  <c r="CB854" i="1"/>
  <c r="CB855" i="1"/>
  <c r="CB856" i="1"/>
  <c r="CB857" i="1"/>
  <c r="CB858" i="1"/>
  <c r="CB859" i="1"/>
  <c r="CB860" i="1"/>
  <c r="CB861" i="1"/>
  <c r="CB862" i="1"/>
  <c r="CB863" i="1"/>
  <c r="CB864" i="1"/>
  <c r="CB865" i="1"/>
  <c r="CB866" i="1"/>
  <c r="CB867" i="1"/>
  <c r="CB868" i="1"/>
  <c r="CB869" i="1"/>
  <c r="CB870" i="1"/>
  <c r="CB871" i="1"/>
  <c r="CB872" i="1"/>
  <c r="CB873" i="1"/>
  <c r="CB874" i="1"/>
  <c r="CB875" i="1"/>
  <c r="CB876" i="1"/>
  <c r="CB877" i="1"/>
  <c r="CB878" i="1"/>
  <c r="CB879" i="1"/>
  <c r="CB880" i="1"/>
  <c r="CB881" i="1"/>
  <c r="CB882" i="1"/>
  <c r="CB883" i="1"/>
  <c r="CB884" i="1"/>
  <c r="CB885" i="1"/>
  <c r="CB886" i="1"/>
  <c r="CB887" i="1"/>
  <c r="CB888" i="1"/>
  <c r="CB889" i="1"/>
  <c r="CB890" i="1"/>
  <c r="CB891" i="1"/>
  <c r="CB892" i="1"/>
  <c r="CB893" i="1"/>
  <c r="CB894" i="1"/>
  <c r="CB895" i="1"/>
  <c r="CB896" i="1"/>
  <c r="CB897" i="1"/>
  <c r="CB898" i="1"/>
  <c r="CB899" i="1"/>
  <c r="CB900" i="1"/>
  <c r="CB901" i="1"/>
  <c r="CB902" i="1"/>
  <c r="CB903" i="1"/>
  <c r="CB904" i="1"/>
  <c r="CB905" i="1"/>
  <c r="CB906" i="1"/>
  <c r="CB907" i="1"/>
  <c r="CB908" i="1"/>
  <c r="CB909" i="1"/>
  <c r="CB910" i="1"/>
  <c r="CB911" i="1"/>
  <c r="CB912" i="1"/>
  <c r="CB913" i="1"/>
  <c r="CB914" i="1"/>
  <c r="CB915" i="1"/>
  <c r="CB916" i="1"/>
  <c r="CB917" i="1"/>
  <c r="CB918" i="1"/>
  <c r="CB919" i="1"/>
  <c r="CB920" i="1"/>
  <c r="CB921" i="1"/>
  <c r="CB922" i="1"/>
  <c r="CB923" i="1"/>
  <c r="CB924" i="1"/>
  <c r="CB925" i="1"/>
  <c r="CB926" i="1"/>
  <c r="CB927" i="1"/>
  <c r="CB928" i="1"/>
  <c r="CB929" i="1"/>
  <c r="CB930" i="1"/>
  <c r="CB931" i="1"/>
  <c r="CB932" i="1"/>
  <c r="CB933" i="1"/>
  <c r="CB934" i="1"/>
  <c r="CB935" i="1"/>
  <c r="CB936" i="1"/>
  <c r="CB937" i="1"/>
  <c r="CB938" i="1"/>
  <c r="CB939" i="1"/>
  <c r="CB940" i="1"/>
  <c r="CB941" i="1"/>
  <c r="CB942" i="1"/>
  <c r="CB943" i="1"/>
  <c r="CB944" i="1"/>
  <c r="CB945" i="1"/>
  <c r="CB946" i="1"/>
  <c r="CB947" i="1"/>
  <c r="CB948" i="1"/>
  <c r="CB949" i="1"/>
  <c r="CB950" i="1"/>
  <c r="CB951" i="1"/>
  <c r="CB952" i="1"/>
  <c r="CB953" i="1"/>
  <c r="CB954" i="1"/>
  <c r="CB955" i="1"/>
  <c r="CB956" i="1"/>
  <c r="CB957" i="1"/>
  <c r="CB958" i="1"/>
  <c r="CB959" i="1"/>
  <c r="CB960" i="1"/>
  <c r="CB961" i="1"/>
  <c r="CB962" i="1"/>
  <c r="CB963" i="1"/>
  <c r="CB964" i="1"/>
  <c r="CB965" i="1"/>
  <c r="CB966" i="1"/>
  <c r="CB967" i="1"/>
  <c r="CB968" i="1"/>
  <c r="CB969" i="1"/>
  <c r="CB970" i="1"/>
  <c r="CB971" i="1"/>
  <c r="CB972" i="1"/>
  <c r="CB973" i="1"/>
  <c r="CB974" i="1"/>
  <c r="CB975" i="1"/>
  <c r="CB976" i="1"/>
  <c r="CB977" i="1"/>
  <c r="CB978" i="1"/>
  <c r="CB979" i="1"/>
  <c r="CB980" i="1"/>
  <c r="CB981" i="1"/>
  <c r="CB982" i="1"/>
  <c r="CB983" i="1"/>
  <c r="CB984" i="1"/>
  <c r="CB985" i="1"/>
  <c r="CB986" i="1"/>
  <c r="CB987" i="1"/>
  <c r="CB988" i="1"/>
  <c r="CB989" i="1"/>
  <c r="CB990" i="1"/>
  <c r="CB991" i="1"/>
  <c r="CB992" i="1"/>
  <c r="CB993" i="1"/>
  <c r="CB994" i="1"/>
  <c r="CB995" i="1"/>
  <c r="CB996" i="1"/>
  <c r="CB997" i="1"/>
  <c r="CB998" i="1"/>
  <c r="CB999" i="1"/>
  <c r="CB1000" i="1"/>
  <c r="CB1001" i="1"/>
  <c r="CB1002" i="1"/>
  <c r="CB1003" i="1"/>
  <c r="CB1004" i="1"/>
  <c r="CB1005" i="1"/>
  <c r="CB1006" i="1"/>
  <c r="CB1007" i="1"/>
  <c r="CB1008" i="1"/>
  <c r="CB1009" i="1"/>
  <c r="CB1010" i="1"/>
  <c r="CB1011" i="1"/>
  <c r="CB1012" i="1"/>
  <c r="CB1013" i="1"/>
  <c r="CB1014" i="1"/>
  <c r="CB1015" i="1"/>
  <c r="CB1016" i="1"/>
  <c r="CB1017" i="1"/>
  <c r="CB1018" i="1"/>
  <c r="CB1019" i="1"/>
  <c r="CB1020" i="1"/>
  <c r="CB1021" i="1"/>
  <c r="CB1022" i="1"/>
  <c r="CB1023" i="1"/>
  <c r="CB1024" i="1"/>
  <c r="CB1025" i="1"/>
  <c r="CB1026" i="1"/>
  <c r="CB1027" i="1"/>
  <c r="CB1028" i="1"/>
  <c r="CB1029" i="1"/>
  <c r="CB1030" i="1"/>
  <c r="CB1031" i="1"/>
  <c r="CB1032" i="1"/>
  <c r="CB1033" i="1"/>
  <c r="CB1034" i="1"/>
  <c r="CB1035" i="1"/>
  <c r="CB1036" i="1"/>
  <c r="CB1037" i="1"/>
  <c r="CB1038" i="1"/>
  <c r="CB1039" i="1"/>
  <c r="CB1040" i="1"/>
  <c r="CB1041" i="1"/>
  <c r="CB1042" i="1"/>
  <c r="CB1043" i="1"/>
  <c r="CB1044" i="1"/>
  <c r="CB1045" i="1"/>
  <c r="CB1046" i="1"/>
  <c r="CB1047" i="1"/>
  <c r="CB1048" i="1"/>
  <c r="CB1049" i="1"/>
  <c r="CB1050" i="1"/>
  <c r="CB1051" i="1"/>
  <c r="CB1052" i="1"/>
  <c r="CB1053" i="1"/>
  <c r="CB1054" i="1"/>
  <c r="CB1055" i="1"/>
  <c r="CB1056" i="1"/>
  <c r="CB1057" i="1"/>
  <c r="CB1058" i="1"/>
  <c r="CB1059" i="1"/>
  <c r="CB1060" i="1"/>
  <c r="CB1061" i="1"/>
  <c r="CB1062" i="1"/>
  <c r="CB1063" i="1"/>
  <c r="CB1064" i="1"/>
  <c r="CB1065" i="1"/>
  <c r="CB1066" i="1"/>
  <c r="CB1067" i="1"/>
  <c r="CB1068" i="1"/>
  <c r="CB1069" i="1"/>
  <c r="CB1070" i="1"/>
  <c r="CB1071" i="1"/>
  <c r="CB1072" i="1"/>
  <c r="CB1073" i="1"/>
  <c r="CB1074" i="1"/>
  <c r="CB1075" i="1"/>
  <c r="CB1076" i="1"/>
  <c r="CB1077" i="1"/>
  <c r="CB1078" i="1"/>
  <c r="CB1079" i="1"/>
  <c r="CB1080" i="1"/>
  <c r="CB1081" i="1"/>
  <c r="CB1082" i="1"/>
  <c r="CB1083" i="1"/>
  <c r="CB1084" i="1"/>
  <c r="CB1085" i="1"/>
  <c r="CB1086" i="1"/>
  <c r="CB1087" i="1"/>
  <c r="CB1088" i="1"/>
  <c r="CB1089" i="1"/>
  <c r="CB1090" i="1"/>
  <c r="CB1091" i="1"/>
  <c r="CB1092" i="1"/>
  <c r="CB1093" i="1"/>
  <c r="CB1094" i="1"/>
  <c r="CB1095" i="1"/>
  <c r="CB1096" i="1"/>
  <c r="CB1097" i="1"/>
  <c r="CB1098" i="1"/>
  <c r="CB1099" i="1"/>
  <c r="CB1100" i="1"/>
  <c r="CB1101" i="1"/>
  <c r="CB1102" i="1"/>
  <c r="CB1103" i="1"/>
  <c r="CB1104" i="1"/>
  <c r="CB1105" i="1"/>
  <c r="CB1106" i="1"/>
  <c r="CB1107" i="1"/>
  <c r="CB1108" i="1"/>
  <c r="CB1109" i="1"/>
  <c r="CB1110" i="1"/>
  <c r="CB1111" i="1"/>
  <c r="CB1112" i="1"/>
  <c r="CB1113" i="1"/>
  <c r="CB1114" i="1"/>
  <c r="CB1115" i="1"/>
  <c r="CB1116" i="1"/>
  <c r="CB1117" i="1"/>
  <c r="CB1118" i="1"/>
  <c r="CB1119" i="1"/>
  <c r="CB1120" i="1"/>
  <c r="CB1121" i="1"/>
  <c r="CB1122" i="1"/>
  <c r="CB1123" i="1"/>
  <c r="CB1124" i="1"/>
  <c r="CB1125" i="1"/>
  <c r="CB1126" i="1"/>
  <c r="CB1127" i="1"/>
  <c r="CB1128" i="1"/>
  <c r="CB1129" i="1"/>
  <c r="CB1130" i="1"/>
  <c r="CB1131" i="1"/>
  <c r="CB1132" i="1"/>
  <c r="CB1133" i="1"/>
  <c r="CB1134" i="1"/>
  <c r="CB1135" i="1"/>
  <c r="CB1136" i="1"/>
  <c r="CB1137" i="1"/>
  <c r="CB1138" i="1"/>
  <c r="CB1139" i="1"/>
  <c r="CB1140" i="1"/>
  <c r="CB1141" i="1"/>
  <c r="CB1142" i="1"/>
  <c r="CB1143" i="1"/>
  <c r="CB1144" i="1"/>
  <c r="CB1145" i="1"/>
  <c r="CB1146" i="1"/>
  <c r="CB1147" i="1"/>
  <c r="CB1148" i="1"/>
  <c r="CB1149" i="1"/>
  <c r="CB1150" i="1"/>
  <c r="CB1151" i="1"/>
  <c r="CB1152" i="1"/>
  <c r="CB1153" i="1"/>
  <c r="CB1154" i="1"/>
  <c r="CB1155" i="1"/>
  <c r="CB1156" i="1"/>
  <c r="CB1157" i="1"/>
  <c r="CB1158" i="1"/>
  <c r="CB1159" i="1"/>
  <c r="CB1160" i="1"/>
  <c r="CB1161" i="1"/>
  <c r="CB1162" i="1"/>
  <c r="CB1163" i="1"/>
  <c r="CB1164" i="1"/>
  <c r="CB1165" i="1"/>
  <c r="CB1166" i="1"/>
  <c r="CB1167" i="1"/>
  <c r="CB1168" i="1"/>
  <c r="CB1169" i="1"/>
  <c r="CB1170" i="1"/>
  <c r="CB1171" i="1"/>
  <c r="CB1172" i="1"/>
  <c r="CB1173" i="1"/>
  <c r="CB1174" i="1"/>
  <c r="CB1175" i="1"/>
  <c r="CB1176" i="1"/>
  <c r="CB1177" i="1"/>
  <c r="CB1178" i="1"/>
  <c r="CB1179" i="1"/>
  <c r="CB1180" i="1"/>
  <c r="CB1181" i="1"/>
  <c r="CB1182" i="1"/>
  <c r="CB1183" i="1"/>
  <c r="CB1184" i="1"/>
  <c r="CB1185" i="1"/>
  <c r="CB1186" i="1"/>
  <c r="CB1187" i="1"/>
  <c r="CB1188" i="1"/>
  <c r="CB1189" i="1"/>
  <c r="CB1190" i="1"/>
  <c r="CB1191" i="1"/>
  <c r="CB1192" i="1"/>
  <c r="CB1193" i="1"/>
  <c r="CB1194" i="1"/>
  <c r="CB1195" i="1"/>
  <c r="CB1196" i="1"/>
  <c r="CB1197" i="1"/>
  <c r="CB1198" i="1"/>
  <c r="CB1199" i="1"/>
  <c r="CB1200" i="1"/>
  <c r="CB1201" i="1"/>
  <c r="CB1202" i="1"/>
  <c r="CB1203" i="1"/>
  <c r="CB1204" i="1"/>
  <c r="CB1205" i="1"/>
  <c r="CB1206" i="1"/>
  <c r="CB1207" i="1"/>
  <c r="CB1208" i="1"/>
  <c r="CB1209" i="1"/>
  <c r="CB1210" i="1"/>
  <c r="CB1211" i="1"/>
  <c r="CB1212" i="1"/>
  <c r="CB1213" i="1"/>
  <c r="CB1214" i="1"/>
  <c r="CB1215" i="1"/>
  <c r="CB1216" i="1"/>
  <c r="CB1217" i="1"/>
  <c r="CB1218" i="1"/>
  <c r="CB1219" i="1"/>
  <c r="CB1220" i="1"/>
  <c r="CB1221" i="1"/>
  <c r="CB1222" i="1"/>
  <c r="CB1223" i="1"/>
  <c r="CB1224" i="1"/>
  <c r="CB1225" i="1"/>
  <c r="CB1226" i="1"/>
  <c r="CB1227" i="1"/>
  <c r="CB1228" i="1"/>
  <c r="CB1229" i="1"/>
  <c r="CB1230" i="1"/>
  <c r="CB1231" i="1"/>
  <c r="CB1232" i="1"/>
  <c r="CB1233" i="1"/>
  <c r="CB1234" i="1"/>
  <c r="CB1235" i="1"/>
  <c r="CB1236" i="1"/>
  <c r="CB1237" i="1"/>
  <c r="CB1238" i="1"/>
  <c r="CB1239" i="1"/>
  <c r="CB1240" i="1"/>
  <c r="CB1241" i="1"/>
  <c r="CB1242" i="1"/>
  <c r="CB1243" i="1"/>
  <c r="CB1244" i="1"/>
  <c r="CB1245" i="1"/>
  <c r="CB1246" i="1"/>
  <c r="CB1247" i="1"/>
  <c r="CB1248" i="1"/>
  <c r="CB1249" i="1"/>
  <c r="CB1250" i="1"/>
  <c r="CB1251" i="1"/>
  <c r="CB1252" i="1"/>
  <c r="CB1253" i="1"/>
  <c r="CB1254" i="1"/>
  <c r="CB1255" i="1"/>
  <c r="CB1256" i="1"/>
  <c r="CB1257" i="1"/>
  <c r="CB1258" i="1"/>
  <c r="CB1259" i="1"/>
  <c r="CB1260" i="1"/>
  <c r="CB1261" i="1"/>
  <c r="CB1262" i="1"/>
  <c r="CB1263" i="1"/>
  <c r="CB1264" i="1"/>
  <c r="CB2" i="1"/>
  <c r="BZ3" i="1"/>
  <c r="CA3" i="1"/>
  <c r="BZ4" i="1"/>
  <c r="CA4" i="1"/>
  <c r="BZ5" i="1"/>
  <c r="CA5" i="1"/>
  <c r="BZ6" i="1"/>
  <c r="CA6" i="1"/>
  <c r="BZ7" i="1"/>
  <c r="CA7" i="1"/>
  <c r="BZ8" i="1"/>
  <c r="CA8" i="1"/>
  <c r="BZ9" i="1"/>
  <c r="CA9" i="1"/>
  <c r="BZ10" i="1"/>
  <c r="CA10" i="1"/>
  <c r="BZ11" i="1"/>
  <c r="CA11" i="1"/>
  <c r="BZ12" i="1"/>
  <c r="CA12" i="1"/>
  <c r="BZ13" i="1"/>
  <c r="CA13" i="1"/>
  <c r="BZ14" i="1"/>
  <c r="CA14" i="1"/>
  <c r="BZ15" i="1"/>
  <c r="CA15" i="1"/>
  <c r="BZ16" i="1"/>
  <c r="CA16" i="1"/>
  <c r="BZ17" i="1"/>
  <c r="CA17" i="1"/>
  <c r="BZ18" i="1"/>
  <c r="CA18" i="1"/>
  <c r="BZ19" i="1"/>
  <c r="CA19" i="1"/>
  <c r="BZ20" i="1"/>
  <c r="CA20" i="1"/>
  <c r="BZ21" i="1"/>
  <c r="CA21" i="1"/>
  <c r="BZ22" i="1"/>
  <c r="CA22" i="1"/>
  <c r="BZ23" i="1"/>
  <c r="CA23" i="1"/>
  <c r="BZ24" i="1"/>
  <c r="CA24" i="1"/>
  <c r="BZ25" i="1"/>
  <c r="CA25" i="1"/>
  <c r="BZ26" i="1"/>
  <c r="CA26" i="1"/>
  <c r="BZ27" i="1"/>
  <c r="CA27" i="1"/>
  <c r="BZ28" i="1"/>
  <c r="CA28" i="1"/>
  <c r="BZ29" i="1"/>
  <c r="CA29" i="1"/>
  <c r="BZ30" i="1"/>
  <c r="CA30" i="1"/>
  <c r="BZ31" i="1"/>
  <c r="CA31" i="1"/>
  <c r="BZ32" i="1"/>
  <c r="CA32" i="1"/>
  <c r="BZ33" i="1"/>
  <c r="CA33" i="1"/>
  <c r="BZ34" i="1"/>
  <c r="CA34" i="1"/>
  <c r="BZ35" i="1"/>
  <c r="CA35" i="1"/>
  <c r="BZ36" i="1"/>
  <c r="CA36" i="1"/>
  <c r="BZ37" i="1"/>
  <c r="CA37" i="1"/>
  <c r="BZ38" i="1"/>
  <c r="CA38" i="1"/>
  <c r="BZ39" i="1"/>
  <c r="CA39" i="1"/>
  <c r="BZ40" i="1"/>
  <c r="CA40" i="1"/>
  <c r="BZ41" i="1"/>
  <c r="CA41" i="1"/>
  <c r="BZ42" i="1"/>
  <c r="CA42" i="1"/>
  <c r="BZ43" i="1"/>
  <c r="CA43" i="1"/>
  <c r="BZ44" i="1"/>
  <c r="CA44" i="1"/>
  <c r="BZ45" i="1"/>
  <c r="CA45" i="1"/>
  <c r="BZ46" i="1"/>
  <c r="CA46" i="1"/>
  <c r="BZ47" i="1"/>
  <c r="CA47" i="1"/>
  <c r="BZ48" i="1"/>
  <c r="CA48" i="1"/>
  <c r="BZ49" i="1"/>
  <c r="CA49" i="1"/>
  <c r="BZ50" i="1"/>
  <c r="CA50" i="1"/>
  <c r="BZ51" i="1"/>
  <c r="CA51" i="1"/>
  <c r="BZ52" i="1"/>
  <c r="CA52" i="1"/>
  <c r="BZ53" i="1"/>
  <c r="CA53" i="1"/>
  <c r="BZ54" i="1"/>
  <c r="CA54" i="1"/>
  <c r="BZ55" i="1"/>
  <c r="CA55" i="1"/>
  <c r="BZ56" i="1"/>
  <c r="CA56" i="1"/>
  <c r="BZ57" i="1"/>
  <c r="CA57" i="1"/>
  <c r="BZ58" i="1"/>
  <c r="CA58" i="1"/>
  <c r="BZ59" i="1"/>
  <c r="CA59" i="1"/>
  <c r="BZ60" i="1"/>
  <c r="CA60" i="1"/>
  <c r="BZ61" i="1"/>
  <c r="CA61" i="1"/>
  <c r="BZ62" i="1"/>
  <c r="CA62" i="1"/>
  <c r="BZ63" i="1"/>
  <c r="CA63" i="1"/>
  <c r="BZ64" i="1"/>
  <c r="CA64" i="1"/>
  <c r="BZ65" i="1"/>
  <c r="CA65" i="1"/>
  <c r="BZ66" i="1"/>
  <c r="CA66" i="1"/>
  <c r="BZ67" i="1"/>
  <c r="CA67" i="1"/>
  <c r="BZ68" i="1"/>
  <c r="CA68" i="1"/>
  <c r="BZ69" i="1"/>
  <c r="CA69" i="1"/>
  <c r="BZ70" i="1"/>
  <c r="CA70" i="1"/>
  <c r="BZ71" i="1"/>
  <c r="CA71" i="1"/>
  <c r="BZ72" i="1"/>
  <c r="CA72" i="1"/>
  <c r="BZ73" i="1"/>
  <c r="CA73" i="1"/>
  <c r="BZ74" i="1"/>
  <c r="CA74" i="1"/>
  <c r="BZ75" i="1"/>
  <c r="CA75" i="1"/>
  <c r="BZ76" i="1"/>
  <c r="CA76" i="1"/>
  <c r="BZ77" i="1"/>
  <c r="CA77" i="1"/>
  <c r="BZ78" i="1"/>
  <c r="CA78" i="1"/>
  <c r="BZ79" i="1"/>
  <c r="CA79" i="1"/>
  <c r="BZ80" i="1"/>
  <c r="CA80" i="1"/>
  <c r="BZ81" i="1"/>
  <c r="CA81" i="1"/>
  <c r="BZ82" i="1"/>
  <c r="CA82" i="1"/>
  <c r="BZ83" i="1"/>
  <c r="CA83" i="1"/>
  <c r="BZ84" i="1"/>
  <c r="CA84" i="1"/>
  <c r="BZ85" i="1"/>
  <c r="CA85" i="1"/>
  <c r="BZ86" i="1"/>
  <c r="CA86" i="1"/>
  <c r="BZ87" i="1"/>
  <c r="CA87" i="1"/>
  <c r="BZ88" i="1"/>
  <c r="CA88" i="1"/>
  <c r="BZ89" i="1"/>
  <c r="CA89" i="1"/>
  <c r="BZ90" i="1"/>
  <c r="CA90" i="1"/>
  <c r="BZ91" i="1"/>
  <c r="CA91" i="1"/>
  <c r="BZ92" i="1"/>
  <c r="CA92" i="1"/>
  <c r="BZ93" i="1"/>
  <c r="CA93" i="1"/>
  <c r="BZ94" i="1"/>
  <c r="CA94" i="1"/>
  <c r="BZ95" i="1"/>
  <c r="CA95" i="1"/>
  <c r="BZ96" i="1"/>
  <c r="CA96" i="1"/>
  <c r="BZ97" i="1"/>
  <c r="CA97" i="1"/>
  <c r="BZ98" i="1"/>
  <c r="CA98" i="1"/>
  <c r="BZ99" i="1"/>
  <c r="CA99" i="1"/>
  <c r="BZ100" i="1"/>
  <c r="CA100" i="1"/>
  <c r="BZ101" i="1"/>
  <c r="CA101" i="1"/>
  <c r="BZ102" i="1"/>
  <c r="CA102" i="1"/>
  <c r="BZ103" i="1"/>
  <c r="CA103" i="1"/>
  <c r="BZ104" i="1"/>
  <c r="CA104" i="1"/>
  <c r="BZ105" i="1"/>
  <c r="CA105" i="1"/>
  <c r="BZ106" i="1"/>
  <c r="CA106" i="1"/>
  <c r="BZ107" i="1"/>
  <c r="CA107" i="1"/>
  <c r="BZ108" i="1"/>
  <c r="CA108" i="1"/>
  <c r="BZ109" i="1"/>
  <c r="CA109" i="1"/>
  <c r="BZ110" i="1"/>
  <c r="CA110" i="1"/>
  <c r="BZ111" i="1"/>
  <c r="CA111" i="1"/>
  <c r="BZ112" i="1"/>
  <c r="CA112" i="1"/>
  <c r="BZ113" i="1"/>
  <c r="CA113" i="1"/>
  <c r="BZ114" i="1"/>
  <c r="CA114" i="1"/>
  <c r="BZ115" i="1"/>
  <c r="CA115" i="1"/>
  <c r="BZ116" i="1"/>
  <c r="CA116" i="1"/>
  <c r="BZ117" i="1"/>
  <c r="CA117" i="1"/>
  <c r="BZ118" i="1"/>
  <c r="CA118" i="1"/>
  <c r="BZ119" i="1"/>
  <c r="CA119" i="1"/>
  <c r="BZ120" i="1"/>
  <c r="CA120" i="1"/>
  <c r="BZ121" i="1"/>
  <c r="CA121" i="1"/>
  <c r="BZ122" i="1"/>
  <c r="CA122" i="1"/>
  <c r="BZ123" i="1"/>
  <c r="CA123" i="1"/>
  <c r="BZ124" i="1"/>
  <c r="CA124" i="1"/>
  <c r="BZ125" i="1"/>
  <c r="CA125" i="1"/>
  <c r="BZ126" i="1"/>
  <c r="CA126" i="1"/>
  <c r="BZ127" i="1"/>
  <c r="CA127" i="1"/>
  <c r="BZ128" i="1"/>
  <c r="CA128" i="1"/>
  <c r="BZ129" i="1"/>
  <c r="CA129" i="1"/>
  <c r="BZ130" i="1"/>
  <c r="CA130" i="1"/>
  <c r="BZ131" i="1"/>
  <c r="CA131" i="1"/>
  <c r="BZ132" i="1"/>
  <c r="CA132" i="1"/>
  <c r="BZ133" i="1"/>
  <c r="CA133" i="1"/>
  <c r="BZ134" i="1"/>
  <c r="CA134" i="1"/>
  <c r="BZ135" i="1"/>
  <c r="CA135" i="1"/>
  <c r="BZ136" i="1"/>
  <c r="CA136" i="1"/>
  <c r="BZ137" i="1"/>
  <c r="CA137" i="1"/>
  <c r="BZ138" i="1"/>
  <c r="CA138" i="1"/>
  <c r="BZ139" i="1"/>
  <c r="CA139" i="1"/>
  <c r="BZ140" i="1"/>
  <c r="CA140" i="1"/>
  <c r="BZ141" i="1"/>
  <c r="CA141" i="1"/>
  <c r="BZ142" i="1"/>
  <c r="CA142" i="1"/>
  <c r="BZ143" i="1"/>
  <c r="CA143" i="1"/>
  <c r="BZ144" i="1"/>
  <c r="CA144" i="1"/>
  <c r="BZ145" i="1"/>
  <c r="CA145" i="1"/>
  <c r="BZ146" i="1"/>
  <c r="CA146" i="1"/>
  <c r="BZ147" i="1"/>
  <c r="CA147" i="1"/>
  <c r="BZ148" i="1"/>
  <c r="CA148" i="1"/>
  <c r="BZ149" i="1"/>
  <c r="CA149" i="1"/>
  <c r="BZ150" i="1"/>
  <c r="CA150" i="1"/>
  <c r="BZ151" i="1"/>
  <c r="CA151" i="1"/>
  <c r="BZ152" i="1"/>
  <c r="CA152" i="1"/>
  <c r="BZ153" i="1"/>
  <c r="CA153" i="1"/>
  <c r="BZ154" i="1"/>
  <c r="CA154" i="1"/>
  <c r="BZ155" i="1"/>
  <c r="CA155" i="1"/>
  <c r="BZ156" i="1"/>
  <c r="CA156" i="1"/>
  <c r="BZ157" i="1"/>
  <c r="CA157" i="1"/>
  <c r="BZ158" i="1"/>
  <c r="CA158" i="1"/>
  <c r="BZ159" i="1"/>
  <c r="CA159" i="1"/>
  <c r="BZ160" i="1"/>
  <c r="CA160" i="1"/>
  <c r="BZ161" i="1"/>
  <c r="CA161" i="1"/>
  <c r="BZ162" i="1"/>
  <c r="CA162" i="1"/>
  <c r="BZ163" i="1"/>
  <c r="CA163" i="1"/>
  <c r="BZ164" i="1"/>
  <c r="CA164" i="1"/>
  <c r="BZ165" i="1"/>
  <c r="CA165" i="1"/>
  <c r="BZ166" i="1"/>
  <c r="CA166" i="1"/>
  <c r="BZ167" i="1"/>
  <c r="CA167" i="1"/>
  <c r="BZ168" i="1"/>
  <c r="CA168" i="1"/>
  <c r="BZ169" i="1"/>
  <c r="CA169" i="1"/>
  <c r="BZ170" i="1"/>
  <c r="CA170" i="1"/>
  <c r="BZ171" i="1"/>
  <c r="CA171" i="1"/>
  <c r="BZ172" i="1"/>
  <c r="CA172" i="1"/>
  <c r="BZ173" i="1"/>
  <c r="CA173" i="1"/>
  <c r="BZ174" i="1"/>
  <c r="CA174" i="1"/>
  <c r="BZ175" i="1"/>
  <c r="CA175" i="1"/>
  <c r="BZ176" i="1"/>
  <c r="CA176" i="1"/>
  <c r="BZ177" i="1"/>
  <c r="CA177" i="1"/>
  <c r="BZ178" i="1"/>
  <c r="CA178" i="1"/>
  <c r="BZ179" i="1"/>
  <c r="CA179" i="1"/>
  <c r="BZ180" i="1"/>
  <c r="CA180" i="1"/>
  <c r="BZ181" i="1"/>
  <c r="CA181" i="1"/>
  <c r="BZ182" i="1"/>
  <c r="CA182" i="1"/>
  <c r="BZ183" i="1"/>
  <c r="CA183" i="1"/>
  <c r="BZ184" i="1"/>
  <c r="CA184" i="1"/>
  <c r="BZ185" i="1"/>
  <c r="CA185" i="1"/>
  <c r="BZ186" i="1"/>
  <c r="CA186" i="1"/>
  <c r="BZ187" i="1"/>
  <c r="CA187" i="1"/>
  <c r="BZ188" i="1"/>
  <c r="CA188" i="1"/>
  <c r="BZ189" i="1"/>
  <c r="CA189" i="1"/>
  <c r="BZ190" i="1"/>
  <c r="CA190" i="1"/>
  <c r="BZ191" i="1"/>
  <c r="CA191" i="1"/>
  <c r="BZ192" i="1"/>
  <c r="CA192" i="1"/>
  <c r="BZ193" i="1"/>
  <c r="CA193" i="1"/>
  <c r="BZ194" i="1"/>
  <c r="CA194" i="1"/>
  <c r="BZ195" i="1"/>
  <c r="CA195" i="1"/>
  <c r="BZ196" i="1"/>
  <c r="CA196" i="1"/>
  <c r="BZ197" i="1"/>
  <c r="CA197" i="1"/>
  <c r="BZ198" i="1"/>
  <c r="CA198" i="1"/>
  <c r="BZ199" i="1"/>
  <c r="CA199" i="1"/>
  <c r="BZ200" i="1"/>
  <c r="CA200" i="1"/>
  <c r="BZ201" i="1"/>
  <c r="CA201" i="1"/>
  <c r="BZ202" i="1"/>
  <c r="CA202" i="1"/>
  <c r="BZ203" i="1"/>
  <c r="CA203" i="1"/>
  <c r="BZ204" i="1"/>
  <c r="CA204" i="1"/>
  <c r="BZ205" i="1"/>
  <c r="CA205" i="1"/>
  <c r="BZ206" i="1"/>
  <c r="CA206" i="1"/>
  <c r="BZ207" i="1"/>
  <c r="CA207" i="1"/>
  <c r="BZ208" i="1"/>
  <c r="CA208" i="1"/>
  <c r="BZ209" i="1"/>
  <c r="CA209" i="1"/>
  <c r="BZ210" i="1"/>
  <c r="CA210" i="1"/>
  <c r="BZ211" i="1"/>
  <c r="CA211" i="1"/>
  <c r="BZ212" i="1"/>
  <c r="CA212" i="1"/>
  <c r="BZ213" i="1"/>
  <c r="CA213" i="1"/>
  <c r="BZ214" i="1"/>
  <c r="CA214" i="1"/>
  <c r="BZ215" i="1"/>
  <c r="CA215" i="1"/>
  <c r="BZ216" i="1"/>
  <c r="CA216" i="1"/>
  <c r="BZ217" i="1"/>
  <c r="CA217" i="1"/>
  <c r="BZ218" i="1"/>
  <c r="CA218" i="1"/>
  <c r="BZ219" i="1"/>
  <c r="CA219" i="1"/>
  <c r="BZ220" i="1"/>
  <c r="CA220" i="1"/>
  <c r="BZ221" i="1"/>
  <c r="CA221" i="1"/>
  <c r="BZ222" i="1"/>
  <c r="CA222" i="1"/>
  <c r="BZ223" i="1"/>
  <c r="CA223" i="1"/>
  <c r="BZ224" i="1"/>
  <c r="CA224" i="1"/>
  <c r="BZ225" i="1"/>
  <c r="CA225" i="1"/>
  <c r="BZ226" i="1"/>
  <c r="CA226" i="1"/>
  <c r="BZ227" i="1"/>
  <c r="CA227" i="1"/>
  <c r="BZ228" i="1"/>
  <c r="CA228" i="1"/>
  <c r="BZ229" i="1"/>
  <c r="CA229" i="1"/>
  <c r="BZ230" i="1"/>
  <c r="CA230" i="1"/>
  <c r="BZ231" i="1"/>
  <c r="CA231" i="1"/>
  <c r="BZ232" i="1"/>
  <c r="CA232" i="1"/>
  <c r="BZ233" i="1"/>
  <c r="CA233" i="1"/>
  <c r="BZ234" i="1"/>
  <c r="CA234" i="1"/>
  <c r="BZ235" i="1"/>
  <c r="CA235" i="1"/>
  <c r="BZ236" i="1"/>
  <c r="CA236" i="1"/>
  <c r="BZ237" i="1"/>
  <c r="CA237" i="1"/>
  <c r="BZ238" i="1"/>
  <c r="CA238" i="1"/>
  <c r="BZ239" i="1"/>
  <c r="CA239" i="1"/>
  <c r="BZ240" i="1"/>
  <c r="CA240" i="1"/>
  <c r="BZ241" i="1"/>
  <c r="CA241" i="1"/>
  <c r="BZ242" i="1"/>
  <c r="CA242" i="1"/>
  <c r="BZ243" i="1"/>
  <c r="CA243" i="1"/>
  <c r="BZ244" i="1"/>
  <c r="CA244" i="1"/>
  <c r="BZ245" i="1"/>
  <c r="CA245" i="1"/>
  <c r="BZ246" i="1"/>
  <c r="CA246" i="1"/>
  <c r="BZ247" i="1"/>
  <c r="CA247" i="1"/>
  <c r="BZ248" i="1"/>
  <c r="CA248" i="1"/>
  <c r="BZ249" i="1"/>
  <c r="CA249" i="1"/>
  <c r="BZ250" i="1"/>
  <c r="CA250" i="1"/>
  <c r="BZ251" i="1"/>
  <c r="CA251" i="1"/>
  <c r="BZ252" i="1"/>
  <c r="CA252" i="1"/>
  <c r="BZ253" i="1"/>
  <c r="CA253" i="1"/>
  <c r="BZ254" i="1"/>
  <c r="CA254" i="1"/>
  <c r="BZ255" i="1"/>
  <c r="CA255" i="1"/>
  <c r="BZ256" i="1"/>
  <c r="CA256" i="1"/>
  <c r="BZ257" i="1"/>
  <c r="CA257" i="1"/>
  <c r="BZ258" i="1"/>
  <c r="CA258" i="1"/>
  <c r="BZ259" i="1"/>
  <c r="CA259" i="1"/>
  <c r="BZ260" i="1"/>
  <c r="CA260" i="1"/>
  <c r="BZ261" i="1"/>
  <c r="CA261" i="1"/>
  <c r="BZ262" i="1"/>
  <c r="CA262" i="1"/>
  <c r="BZ263" i="1"/>
  <c r="CA263" i="1"/>
  <c r="BZ264" i="1"/>
  <c r="CA264" i="1"/>
  <c r="BZ265" i="1"/>
  <c r="CA265" i="1"/>
  <c r="BZ266" i="1"/>
  <c r="CA266" i="1"/>
  <c r="BZ267" i="1"/>
  <c r="CA267" i="1"/>
  <c r="BZ268" i="1"/>
  <c r="CA268" i="1"/>
  <c r="BZ269" i="1"/>
  <c r="CA269" i="1"/>
  <c r="BZ270" i="1"/>
  <c r="CA270" i="1"/>
  <c r="BZ271" i="1"/>
  <c r="CA271" i="1"/>
  <c r="BZ272" i="1"/>
  <c r="CA272" i="1"/>
  <c r="BZ273" i="1"/>
  <c r="CA273" i="1"/>
  <c r="BZ274" i="1"/>
  <c r="CA274" i="1"/>
  <c r="BZ275" i="1"/>
  <c r="CA275" i="1"/>
  <c r="BZ276" i="1"/>
  <c r="CA276" i="1"/>
  <c r="BZ277" i="1"/>
  <c r="CA277" i="1"/>
  <c r="BZ278" i="1"/>
  <c r="CA278" i="1"/>
  <c r="BZ279" i="1"/>
  <c r="CA279" i="1"/>
  <c r="BZ280" i="1"/>
  <c r="CA280" i="1"/>
  <c r="BZ281" i="1"/>
  <c r="CA281" i="1"/>
  <c r="BZ282" i="1"/>
  <c r="CA282" i="1"/>
  <c r="BZ283" i="1"/>
  <c r="CA283" i="1"/>
  <c r="BZ284" i="1"/>
  <c r="CA284" i="1"/>
  <c r="BZ285" i="1"/>
  <c r="CA285" i="1"/>
  <c r="BZ286" i="1"/>
  <c r="CA286" i="1"/>
  <c r="BZ287" i="1"/>
  <c r="CA287" i="1"/>
  <c r="BZ288" i="1"/>
  <c r="CA288" i="1"/>
  <c r="BZ289" i="1"/>
  <c r="CA289" i="1"/>
  <c r="BZ290" i="1"/>
  <c r="CA290" i="1"/>
  <c r="BZ291" i="1"/>
  <c r="CA291" i="1"/>
  <c r="BZ292" i="1"/>
  <c r="CA292" i="1"/>
  <c r="BZ293" i="1"/>
  <c r="CA293" i="1"/>
  <c r="BZ294" i="1"/>
  <c r="CA294" i="1"/>
  <c r="BZ295" i="1"/>
  <c r="CA295" i="1"/>
  <c r="BZ296" i="1"/>
  <c r="CA296" i="1"/>
  <c r="BZ297" i="1"/>
  <c r="CA297" i="1"/>
  <c r="BZ298" i="1"/>
  <c r="CA298" i="1"/>
  <c r="BZ299" i="1"/>
  <c r="CA299" i="1"/>
  <c r="BZ300" i="1"/>
  <c r="CA300" i="1"/>
  <c r="BZ301" i="1"/>
  <c r="CA301" i="1"/>
  <c r="BZ302" i="1"/>
  <c r="CA302" i="1"/>
  <c r="BZ303" i="1"/>
  <c r="CA303" i="1"/>
  <c r="BZ304" i="1"/>
  <c r="CA304" i="1"/>
  <c r="BZ305" i="1"/>
  <c r="CA305" i="1"/>
  <c r="BZ306" i="1"/>
  <c r="CA306" i="1"/>
  <c r="BZ307" i="1"/>
  <c r="CA307" i="1"/>
  <c r="BZ308" i="1"/>
  <c r="CA308" i="1"/>
  <c r="BZ309" i="1"/>
  <c r="CA309" i="1"/>
  <c r="BZ310" i="1"/>
  <c r="CA310" i="1"/>
  <c r="BZ311" i="1"/>
  <c r="CA311" i="1"/>
  <c r="BZ312" i="1"/>
  <c r="CA312" i="1"/>
  <c r="BZ313" i="1"/>
  <c r="CA313" i="1"/>
  <c r="BZ314" i="1"/>
  <c r="CA314" i="1"/>
  <c r="BZ315" i="1"/>
  <c r="CA315" i="1"/>
  <c r="BZ316" i="1"/>
  <c r="CA316" i="1"/>
  <c r="BZ317" i="1"/>
  <c r="CA317" i="1"/>
  <c r="BZ318" i="1"/>
  <c r="CA318" i="1"/>
  <c r="BZ319" i="1"/>
  <c r="CA319" i="1"/>
  <c r="BZ320" i="1"/>
  <c r="CA320" i="1"/>
  <c r="BZ321" i="1"/>
  <c r="CA321" i="1"/>
  <c r="BZ322" i="1"/>
  <c r="CA322" i="1"/>
  <c r="BZ323" i="1"/>
  <c r="CA323" i="1"/>
  <c r="BZ324" i="1"/>
  <c r="CA324" i="1"/>
  <c r="BZ325" i="1"/>
  <c r="CA325" i="1"/>
  <c r="BZ326" i="1"/>
  <c r="CA326" i="1"/>
  <c r="BZ327" i="1"/>
  <c r="CA327" i="1"/>
  <c r="BZ328" i="1"/>
  <c r="CA328" i="1"/>
  <c r="BZ329" i="1"/>
  <c r="CA329" i="1"/>
  <c r="BZ330" i="1"/>
  <c r="CA330" i="1"/>
  <c r="BZ331" i="1"/>
  <c r="CA331" i="1"/>
  <c r="BZ332" i="1"/>
  <c r="CA332" i="1"/>
  <c r="BZ333" i="1"/>
  <c r="CA333" i="1"/>
  <c r="BZ334" i="1"/>
  <c r="CA334" i="1"/>
  <c r="BZ335" i="1"/>
  <c r="CA335" i="1"/>
  <c r="BZ336" i="1"/>
  <c r="CA336" i="1"/>
  <c r="BZ337" i="1"/>
  <c r="CA337" i="1"/>
  <c r="BZ338" i="1"/>
  <c r="CA338" i="1"/>
  <c r="BZ339" i="1"/>
  <c r="CA339" i="1"/>
  <c r="BZ340" i="1"/>
  <c r="CA340" i="1"/>
  <c r="BZ341" i="1"/>
  <c r="CA341" i="1"/>
  <c r="BZ342" i="1"/>
  <c r="CA342" i="1"/>
  <c r="BZ343" i="1"/>
  <c r="CA343" i="1"/>
  <c r="BZ344" i="1"/>
  <c r="CA344" i="1"/>
  <c r="BZ345" i="1"/>
  <c r="CA345" i="1"/>
  <c r="BZ346" i="1"/>
  <c r="CA346" i="1"/>
  <c r="BZ347" i="1"/>
  <c r="CA347" i="1"/>
  <c r="BZ348" i="1"/>
  <c r="CA348" i="1"/>
  <c r="BZ349" i="1"/>
  <c r="CA349" i="1"/>
  <c r="BZ350" i="1"/>
  <c r="CA350" i="1"/>
  <c r="BZ351" i="1"/>
  <c r="CA351" i="1"/>
  <c r="BZ352" i="1"/>
  <c r="CA352" i="1"/>
  <c r="BZ353" i="1"/>
  <c r="CA353" i="1"/>
  <c r="BZ354" i="1"/>
  <c r="CA354" i="1"/>
  <c r="BZ355" i="1"/>
  <c r="CA355" i="1"/>
  <c r="BZ356" i="1"/>
  <c r="CA356" i="1"/>
  <c r="BZ357" i="1"/>
  <c r="CA357" i="1"/>
  <c r="BZ358" i="1"/>
  <c r="CA358" i="1"/>
  <c r="BZ359" i="1"/>
  <c r="CA359" i="1"/>
  <c r="BZ360" i="1"/>
  <c r="CA360" i="1"/>
  <c r="BZ361" i="1"/>
  <c r="CA361" i="1"/>
  <c r="BZ362" i="1"/>
  <c r="CA362" i="1"/>
  <c r="BZ363" i="1"/>
  <c r="CA363" i="1"/>
  <c r="BZ364" i="1"/>
  <c r="CA364" i="1"/>
  <c r="BZ365" i="1"/>
  <c r="CA365" i="1"/>
  <c r="BZ366" i="1"/>
  <c r="CA366" i="1"/>
  <c r="BZ367" i="1"/>
  <c r="CA367" i="1"/>
  <c r="BZ368" i="1"/>
  <c r="CA368" i="1"/>
  <c r="BZ369" i="1"/>
  <c r="CA369" i="1"/>
  <c r="BZ370" i="1"/>
  <c r="CA370" i="1"/>
  <c r="BZ371" i="1"/>
  <c r="CA371" i="1"/>
  <c r="BZ372" i="1"/>
  <c r="CA372" i="1"/>
  <c r="BZ373" i="1"/>
  <c r="CA373" i="1"/>
  <c r="BZ374" i="1"/>
  <c r="CA374" i="1"/>
  <c r="BZ375" i="1"/>
  <c r="CA375" i="1"/>
  <c r="BZ376" i="1"/>
  <c r="CA376" i="1"/>
  <c r="BZ377" i="1"/>
  <c r="CA377" i="1"/>
  <c r="BZ378" i="1"/>
  <c r="CA378" i="1"/>
  <c r="BZ379" i="1"/>
  <c r="CA379" i="1"/>
  <c r="BZ380" i="1"/>
  <c r="CA380" i="1"/>
  <c r="BZ381" i="1"/>
  <c r="CA381" i="1"/>
  <c r="BZ382" i="1"/>
  <c r="CA382" i="1"/>
  <c r="BZ383" i="1"/>
  <c r="CA383" i="1"/>
  <c r="BZ384" i="1"/>
  <c r="CA384" i="1"/>
  <c r="BZ385" i="1"/>
  <c r="CA385" i="1"/>
  <c r="BZ386" i="1"/>
  <c r="CA386" i="1"/>
  <c r="BZ387" i="1"/>
  <c r="CA387" i="1"/>
  <c r="BZ388" i="1"/>
  <c r="CA388" i="1"/>
  <c r="BZ389" i="1"/>
  <c r="CA389" i="1"/>
  <c r="BZ390" i="1"/>
  <c r="CA390" i="1"/>
  <c r="BZ391" i="1"/>
  <c r="CA391" i="1"/>
  <c r="BZ392" i="1"/>
  <c r="CA392" i="1"/>
  <c r="BZ393" i="1"/>
  <c r="CA393" i="1"/>
  <c r="BZ394" i="1"/>
  <c r="CA394" i="1"/>
  <c r="BZ395" i="1"/>
  <c r="CA395" i="1"/>
  <c r="BZ396" i="1"/>
  <c r="CA396" i="1"/>
  <c r="BZ397" i="1"/>
  <c r="CA397" i="1"/>
  <c r="BZ398" i="1"/>
  <c r="CA398" i="1"/>
  <c r="BZ399" i="1"/>
  <c r="CA399" i="1"/>
  <c r="BZ400" i="1"/>
  <c r="CA400" i="1"/>
  <c r="BZ401" i="1"/>
  <c r="CA401" i="1"/>
  <c r="BZ402" i="1"/>
  <c r="CA402" i="1"/>
  <c r="BZ403" i="1"/>
  <c r="CA403" i="1"/>
  <c r="BZ404" i="1"/>
  <c r="CA404" i="1"/>
  <c r="BZ405" i="1"/>
  <c r="CA405" i="1"/>
  <c r="BZ406" i="1"/>
  <c r="CA406" i="1"/>
  <c r="BZ407" i="1"/>
  <c r="CA407" i="1"/>
  <c r="BZ408" i="1"/>
  <c r="CA408" i="1"/>
  <c r="BZ409" i="1"/>
  <c r="CA409" i="1"/>
  <c r="BZ410" i="1"/>
  <c r="CA410" i="1"/>
  <c r="BZ411" i="1"/>
  <c r="CA411" i="1"/>
  <c r="BZ412" i="1"/>
  <c r="CA412" i="1"/>
  <c r="BZ413" i="1"/>
  <c r="CA413" i="1"/>
  <c r="BZ414" i="1"/>
  <c r="CA414" i="1"/>
  <c r="BZ415" i="1"/>
  <c r="CA415" i="1"/>
  <c r="BZ416" i="1"/>
  <c r="CA416" i="1"/>
  <c r="BZ417" i="1"/>
  <c r="CA417" i="1"/>
  <c r="BZ418" i="1"/>
  <c r="CA418" i="1"/>
  <c r="BZ419" i="1"/>
  <c r="CA419" i="1"/>
  <c r="BZ420" i="1"/>
  <c r="CA420" i="1"/>
  <c r="BZ421" i="1"/>
  <c r="CA421" i="1"/>
  <c r="BZ422" i="1"/>
  <c r="CA422" i="1"/>
  <c r="BZ423" i="1"/>
  <c r="CA423" i="1"/>
  <c r="BZ424" i="1"/>
  <c r="CA424" i="1"/>
  <c r="BZ425" i="1"/>
  <c r="CA425" i="1"/>
  <c r="BZ426" i="1"/>
  <c r="CA426" i="1"/>
  <c r="BZ427" i="1"/>
  <c r="CA427" i="1"/>
  <c r="BZ428" i="1"/>
  <c r="CA428" i="1"/>
  <c r="BZ429" i="1"/>
  <c r="CA429" i="1"/>
  <c r="BZ430" i="1"/>
  <c r="CA430" i="1"/>
  <c r="BZ431" i="1"/>
  <c r="CA431" i="1"/>
  <c r="BZ432" i="1"/>
  <c r="CA432" i="1"/>
  <c r="BZ433" i="1"/>
  <c r="CA433" i="1"/>
  <c r="BZ434" i="1"/>
  <c r="CA434" i="1"/>
  <c r="BZ435" i="1"/>
  <c r="CA435" i="1"/>
  <c r="BZ436" i="1"/>
  <c r="CA436" i="1"/>
  <c r="BZ437" i="1"/>
  <c r="CA437" i="1"/>
  <c r="BZ438" i="1"/>
  <c r="CA438" i="1"/>
  <c r="BZ439" i="1"/>
  <c r="CA439" i="1"/>
  <c r="BZ440" i="1"/>
  <c r="CA440" i="1"/>
  <c r="BZ441" i="1"/>
  <c r="CA441" i="1"/>
  <c r="BZ442" i="1"/>
  <c r="CA442" i="1"/>
  <c r="BZ443" i="1"/>
  <c r="CA443" i="1"/>
  <c r="BZ444" i="1"/>
  <c r="CA444" i="1"/>
  <c r="BZ445" i="1"/>
  <c r="CA445" i="1"/>
  <c r="BZ446" i="1"/>
  <c r="CA446" i="1"/>
  <c r="BZ447" i="1"/>
  <c r="CA447" i="1"/>
  <c r="BZ448" i="1"/>
  <c r="CA448" i="1"/>
  <c r="BZ449" i="1"/>
  <c r="CA449" i="1"/>
  <c r="BZ450" i="1"/>
  <c r="CA450" i="1"/>
  <c r="BZ451" i="1"/>
  <c r="CA451" i="1"/>
  <c r="BZ452" i="1"/>
  <c r="CA452" i="1"/>
  <c r="BZ453" i="1"/>
  <c r="CA453" i="1"/>
  <c r="BZ454" i="1"/>
  <c r="CA454" i="1"/>
  <c r="BZ455" i="1"/>
  <c r="CA455" i="1"/>
  <c r="BZ456" i="1"/>
  <c r="CA456" i="1"/>
  <c r="BZ457" i="1"/>
  <c r="CA457" i="1"/>
  <c r="BZ458" i="1"/>
  <c r="CA458" i="1"/>
  <c r="BZ459" i="1"/>
  <c r="CA459" i="1"/>
  <c r="BZ460" i="1"/>
  <c r="CA460" i="1"/>
  <c r="BZ461" i="1"/>
  <c r="CA461" i="1"/>
  <c r="BZ462" i="1"/>
  <c r="CA462" i="1"/>
  <c r="BZ463" i="1"/>
  <c r="CA463" i="1"/>
  <c r="BZ464" i="1"/>
  <c r="CA464" i="1"/>
  <c r="BZ465" i="1"/>
  <c r="CA465" i="1"/>
  <c r="BZ466" i="1"/>
  <c r="CA466" i="1"/>
  <c r="BZ467" i="1"/>
  <c r="CA467" i="1"/>
  <c r="BZ468" i="1"/>
  <c r="CA468" i="1"/>
  <c r="BZ469" i="1"/>
  <c r="CA469" i="1"/>
  <c r="BZ470" i="1"/>
  <c r="CA470" i="1"/>
  <c r="BZ471" i="1"/>
  <c r="CA471" i="1"/>
  <c r="BZ472" i="1"/>
  <c r="CA472" i="1"/>
  <c r="BZ473" i="1"/>
  <c r="CA473" i="1"/>
  <c r="BZ474" i="1"/>
  <c r="CA474" i="1"/>
  <c r="BZ475" i="1"/>
  <c r="CA475" i="1"/>
  <c r="BZ476" i="1"/>
  <c r="CA476" i="1"/>
  <c r="BZ477" i="1"/>
  <c r="CA477" i="1"/>
  <c r="BZ478" i="1"/>
  <c r="CA478" i="1"/>
  <c r="BZ479" i="1"/>
  <c r="CA479" i="1"/>
  <c r="BZ480" i="1"/>
  <c r="CA480" i="1"/>
  <c r="BZ481" i="1"/>
  <c r="CA481" i="1"/>
  <c r="BZ482" i="1"/>
  <c r="CA482" i="1"/>
  <c r="BZ483" i="1"/>
  <c r="CA483" i="1"/>
  <c r="BZ484" i="1"/>
  <c r="CA484" i="1"/>
  <c r="BZ485" i="1"/>
  <c r="CA485" i="1"/>
  <c r="BZ486" i="1"/>
  <c r="CA486" i="1"/>
  <c r="BZ487" i="1"/>
  <c r="CA487" i="1"/>
  <c r="BZ488" i="1"/>
  <c r="CA488" i="1"/>
  <c r="BZ489" i="1"/>
  <c r="CA489" i="1"/>
  <c r="BZ490" i="1"/>
  <c r="CA490" i="1"/>
  <c r="BZ491" i="1"/>
  <c r="CA491" i="1"/>
  <c r="BZ492" i="1"/>
  <c r="CA492" i="1"/>
  <c r="BZ493" i="1"/>
  <c r="CA493" i="1"/>
  <c r="BZ494" i="1"/>
  <c r="CA494" i="1"/>
  <c r="BZ495" i="1"/>
  <c r="CA495" i="1"/>
  <c r="BZ496" i="1"/>
  <c r="CA496" i="1"/>
  <c r="BZ497" i="1"/>
  <c r="CA497" i="1"/>
  <c r="BZ498" i="1"/>
  <c r="CA498" i="1"/>
  <c r="BZ499" i="1"/>
  <c r="CA499" i="1"/>
  <c r="BZ500" i="1"/>
  <c r="CA500" i="1"/>
  <c r="BZ501" i="1"/>
  <c r="CA501" i="1"/>
  <c r="BZ502" i="1"/>
  <c r="CA502" i="1"/>
  <c r="BZ503" i="1"/>
  <c r="CA503" i="1"/>
  <c r="BZ504" i="1"/>
  <c r="CA504" i="1"/>
  <c r="BZ505" i="1"/>
  <c r="CA505" i="1"/>
  <c r="BZ506" i="1"/>
  <c r="CA506" i="1"/>
  <c r="BZ507" i="1"/>
  <c r="CA507" i="1"/>
  <c r="BZ508" i="1"/>
  <c r="CA508" i="1"/>
  <c r="BZ509" i="1"/>
  <c r="CA509" i="1"/>
  <c r="BZ510" i="1"/>
  <c r="CA510" i="1"/>
  <c r="BZ511" i="1"/>
  <c r="CA511" i="1"/>
  <c r="BZ512" i="1"/>
  <c r="CA512" i="1"/>
  <c r="BZ513" i="1"/>
  <c r="CA513" i="1"/>
  <c r="BZ514" i="1"/>
  <c r="CA514" i="1"/>
  <c r="BZ515" i="1"/>
  <c r="CA515" i="1"/>
  <c r="BZ516" i="1"/>
  <c r="CA516" i="1"/>
  <c r="BZ517" i="1"/>
  <c r="CA517" i="1"/>
  <c r="BZ518" i="1"/>
  <c r="CA518" i="1"/>
  <c r="BZ519" i="1"/>
  <c r="CA519" i="1"/>
  <c r="BZ520" i="1"/>
  <c r="CA520" i="1"/>
  <c r="BZ521" i="1"/>
  <c r="CA521" i="1"/>
  <c r="BZ522" i="1"/>
  <c r="CA522" i="1"/>
  <c r="BZ523" i="1"/>
  <c r="CA523" i="1"/>
  <c r="BZ524" i="1"/>
  <c r="CA524" i="1"/>
  <c r="BZ525" i="1"/>
  <c r="CA525" i="1"/>
  <c r="BZ526" i="1"/>
  <c r="CA526" i="1"/>
  <c r="BZ527" i="1"/>
  <c r="CA527" i="1"/>
  <c r="BZ528" i="1"/>
  <c r="CA528" i="1"/>
  <c r="BZ529" i="1"/>
  <c r="CA529" i="1"/>
  <c r="BZ530" i="1"/>
  <c r="CA530" i="1"/>
  <c r="BZ531" i="1"/>
  <c r="CA531" i="1"/>
  <c r="BZ532" i="1"/>
  <c r="CA532" i="1"/>
  <c r="BZ533" i="1"/>
  <c r="CA533" i="1"/>
  <c r="BZ534" i="1"/>
  <c r="CA534" i="1"/>
  <c r="BZ535" i="1"/>
  <c r="CA535" i="1"/>
  <c r="BZ536" i="1"/>
  <c r="CA536" i="1"/>
  <c r="BZ537" i="1"/>
  <c r="CA537" i="1"/>
  <c r="BZ538" i="1"/>
  <c r="CA538" i="1"/>
  <c r="BZ539" i="1"/>
  <c r="CA539" i="1"/>
  <c r="BZ540" i="1"/>
  <c r="CA540" i="1"/>
  <c r="BZ541" i="1"/>
  <c r="CA541" i="1"/>
  <c r="BZ542" i="1"/>
  <c r="CA542" i="1"/>
  <c r="BZ543" i="1"/>
  <c r="CA543" i="1"/>
  <c r="BZ544" i="1"/>
  <c r="CA544" i="1"/>
  <c r="BZ545" i="1"/>
  <c r="CA545" i="1"/>
  <c r="BZ546" i="1"/>
  <c r="CA546" i="1"/>
  <c r="BZ547" i="1"/>
  <c r="CA547" i="1"/>
  <c r="BZ548" i="1"/>
  <c r="CA548" i="1"/>
  <c r="BZ549" i="1"/>
  <c r="CA549" i="1"/>
  <c r="BZ550" i="1"/>
  <c r="CA550" i="1"/>
  <c r="BZ551" i="1"/>
  <c r="CA551" i="1"/>
  <c r="BZ552" i="1"/>
  <c r="CA552" i="1"/>
  <c r="BZ553" i="1"/>
  <c r="CA553" i="1"/>
  <c r="BZ554" i="1"/>
  <c r="CA554" i="1"/>
  <c r="BZ555" i="1"/>
  <c r="CA555" i="1"/>
  <c r="BZ556" i="1"/>
  <c r="CA556" i="1"/>
  <c r="BZ557" i="1"/>
  <c r="CA557" i="1"/>
  <c r="BZ558" i="1"/>
  <c r="CA558" i="1"/>
  <c r="BZ559" i="1"/>
  <c r="CA559" i="1"/>
  <c r="BZ560" i="1"/>
  <c r="CA560" i="1"/>
  <c r="BZ561" i="1"/>
  <c r="CA561" i="1"/>
  <c r="BZ562" i="1"/>
  <c r="CA562" i="1"/>
  <c r="BZ563" i="1"/>
  <c r="CA563" i="1"/>
  <c r="BZ564" i="1"/>
  <c r="CA564" i="1"/>
  <c r="BZ565" i="1"/>
  <c r="CA565" i="1"/>
  <c r="BZ566" i="1"/>
  <c r="CA566" i="1"/>
  <c r="BZ567" i="1"/>
  <c r="CA567" i="1"/>
  <c r="BZ568" i="1"/>
  <c r="CA568" i="1"/>
  <c r="BZ569" i="1"/>
  <c r="CA569" i="1"/>
  <c r="BZ570" i="1"/>
  <c r="CA570" i="1"/>
  <c r="BZ571" i="1"/>
  <c r="CA571" i="1"/>
  <c r="BZ572" i="1"/>
  <c r="CA572" i="1"/>
  <c r="BZ573" i="1"/>
  <c r="CA573" i="1"/>
  <c r="BZ574" i="1"/>
  <c r="CA574" i="1"/>
  <c r="BZ575" i="1"/>
  <c r="CA575" i="1"/>
  <c r="BZ576" i="1"/>
  <c r="CA576" i="1"/>
  <c r="BZ577" i="1"/>
  <c r="CA577" i="1"/>
  <c r="BZ578" i="1"/>
  <c r="CA578" i="1"/>
  <c r="BZ579" i="1"/>
  <c r="CA579" i="1"/>
  <c r="BZ580" i="1"/>
  <c r="CA580" i="1"/>
  <c r="BZ581" i="1"/>
  <c r="CA581" i="1"/>
  <c r="BZ582" i="1"/>
  <c r="CA582" i="1"/>
  <c r="BZ583" i="1"/>
  <c r="CA583" i="1"/>
  <c r="BZ584" i="1"/>
  <c r="CA584" i="1"/>
  <c r="BZ585" i="1"/>
  <c r="CA585" i="1"/>
  <c r="BZ586" i="1"/>
  <c r="CA586" i="1"/>
  <c r="BZ587" i="1"/>
  <c r="CA587" i="1"/>
  <c r="BZ588" i="1"/>
  <c r="CA588" i="1"/>
  <c r="BZ589" i="1"/>
  <c r="CA589" i="1"/>
  <c r="BZ590" i="1"/>
  <c r="CA590" i="1"/>
  <c r="BZ591" i="1"/>
  <c r="CA591" i="1"/>
  <c r="BZ592" i="1"/>
  <c r="CA592" i="1"/>
  <c r="BZ593" i="1"/>
  <c r="CA593" i="1"/>
  <c r="BZ594" i="1"/>
  <c r="CA594" i="1"/>
  <c r="BZ595" i="1"/>
  <c r="CA595" i="1"/>
  <c r="BZ596" i="1"/>
  <c r="CA596" i="1"/>
  <c r="BZ597" i="1"/>
  <c r="CA597" i="1"/>
  <c r="BZ598" i="1"/>
  <c r="CA598" i="1"/>
  <c r="BZ599" i="1"/>
  <c r="CA599" i="1"/>
  <c r="BZ600" i="1"/>
  <c r="CA600" i="1"/>
  <c r="BZ601" i="1"/>
  <c r="CA601" i="1"/>
  <c r="BZ602" i="1"/>
  <c r="CA602" i="1"/>
  <c r="BZ603" i="1"/>
  <c r="CA603" i="1"/>
  <c r="BZ604" i="1"/>
  <c r="CA604" i="1"/>
  <c r="BZ605" i="1"/>
  <c r="CA605" i="1"/>
  <c r="BZ606" i="1"/>
  <c r="CA606" i="1"/>
  <c r="BZ607" i="1"/>
  <c r="CA607" i="1"/>
  <c r="BZ608" i="1"/>
  <c r="CA608" i="1"/>
  <c r="BZ609" i="1"/>
  <c r="CA609" i="1"/>
  <c r="BZ610" i="1"/>
  <c r="CA610" i="1"/>
  <c r="BZ611" i="1"/>
  <c r="CA611" i="1"/>
  <c r="BZ612" i="1"/>
  <c r="CA612" i="1"/>
  <c r="BZ613" i="1"/>
  <c r="CA613" i="1"/>
  <c r="BZ614" i="1"/>
  <c r="CA614" i="1"/>
  <c r="BZ615" i="1"/>
  <c r="CA615" i="1"/>
  <c r="BZ616" i="1"/>
  <c r="CA616" i="1"/>
  <c r="BZ617" i="1"/>
  <c r="CA617" i="1"/>
  <c r="BZ618" i="1"/>
  <c r="CA618" i="1"/>
  <c r="BZ619" i="1"/>
  <c r="CA619" i="1"/>
  <c r="BZ620" i="1"/>
  <c r="CA620" i="1"/>
  <c r="BZ621" i="1"/>
  <c r="CA621" i="1"/>
  <c r="BZ622" i="1"/>
  <c r="CA622" i="1"/>
  <c r="BZ623" i="1"/>
  <c r="CA623" i="1"/>
  <c r="BZ624" i="1"/>
  <c r="CA624" i="1"/>
  <c r="BZ625" i="1"/>
  <c r="CA625" i="1"/>
  <c r="BZ626" i="1"/>
  <c r="CA626" i="1"/>
  <c r="BZ627" i="1"/>
  <c r="CA627" i="1"/>
  <c r="BZ628" i="1"/>
  <c r="CA628" i="1"/>
  <c r="BZ629" i="1"/>
  <c r="CA629" i="1"/>
  <c r="BZ630" i="1"/>
  <c r="CA630" i="1"/>
  <c r="BZ631" i="1"/>
  <c r="CA631" i="1"/>
  <c r="BZ632" i="1"/>
  <c r="CA632" i="1"/>
  <c r="BZ633" i="1"/>
  <c r="CA633" i="1"/>
  <c r="BZ634" i="1"/>
  <c r="CA634" i="1"/>
  <c r="BZ635" i="1"/>
  <c r="CA635" i="1"/>
  <c r="BZ636" i="1"/>
  <c r="CA636" i="1"/>
  <c r="BZ637" i="1"/>
  <c r="CA637" i="1"/>
  <c r="BZ638" i="1"/>
  <c r="CA638" i="1"/>
  <c r="BZ639" i="1"/>
  <c r="CA639" i="1"/>
  <c r="BZ640" i="1"/>
  <c r="CA640" i="1"/>
  <c r="BZ641" i="1"/>
  <c r="CA641" i="1"/>
  <c r="BZ642" i="1"/>
  <c r="CA642" i="1"/>
  <c r="BZ643" i="1"/>
  <c r="CA643" i="1"/>
  <c r="BZ644" i="1"/>
  <c r="CA644" i="1"/>
  <c r="BZ645" i="1"/>
  <c r="CA645" i="1"/>
  <c r="BZ646" i="1"/>
  <c r="CA646" i="1"/>
  <c r="BZ647" i="1"/>
  <c r="CA647" i="1"/>
  <c r="BZ648" i="1"/>
  <c r="CA648" i="1"/>
  <c r="BZ649" i="1"/>
  <c r="CA649" i="1"/>
  <c r="BZ650" i="1"/>
  <c r="CA650" i="1"/>
  <c r="BZ651" i="1"/>
  <c r="CA651" i="1"/>
  <c r="BZ652" i="1"/>
  <c r="CA652" i="1"/>
  <c r="BZ653" i="1"/>
  <c r="CA653" i="1"/>
  <c r="BZ654" i="1"/>
  <c r="CA654" i="1"/>
  <c r="BZ655" i="1"/>
  <c r="CA655" i="1"/>
  <c r="BZ656" i="1"/>
  <c r="CA656" i="1"/>
  <c r="BZ657" i="1"/>
  <c r="CA657" i="1"/>
  <c r="BZ658" i="1"/>
  <c r="CA658" i="1"/>
  <c r="BZ659" i="1"/>
  <c r="CA659" i="1"/>
  <c r="BZ660" i="1"/>
  <c r="CA660" i="1"/>
  <c r="BZ661" i="1"/>
  <c r="CA661" i="1"/>
  <c r="BZ662" i="1"/>
  <c r="CA662" i="1"/>
  <c r="BZ663" i="1"/>
  <c r="CA663" i="1"/>
  <c r="BZ664" i="1"/>
  <c r="CA664" i="1"/>
  <c r="BZ665" i="1"/>
  <c r="CA665" i="1"/>
  <c r="BZ666" i="1"/>
  <c r="CA666" i="1"/>
  <c r="BZ667" i="1"/>
  <c r="CA667" i="1"/>
  <c r="BZ668" i="1"/>
  <c r="CA668" i="1"/>
  <c r="BZ669" i="1"/>
  <c r="CA669" i="1"/>
  <c r="BZ670" i="1"/>
  <c r="CA670" i="1"/>
  <c r="BZ671" i="1"/>
  <c r="CA671" i="1"/>
  <c r="BZ672" i="1"/>
  <c r="CA672" i="1"/>
  <c r="BZ673" i="1"/>
  <c r="CA673" i="1"/>
  <c r="BZ674" i="1"/>
  <c r="CA674" i="1"/>
  <c r="BZ675" i="1"/>
  <c r="CA675" i="1"/>
  <c r="BZ676" i="1"/>
  <c r="CA676" i="1"/>
  <c r="BZ677" i="1"/>
  <c r="CA677" i="1"/>
  <c r="BZ678" i="1"/>
  <c r="CA678" i="1"/>
  <c r="BZ679" i="1"/>
  <c r="CA679" i="1"/>
  <c r="BZ680" i="1"/>
  <c r="CA680" i="1"/>
  <c r="BZ681" i="1"/>
  <c r="CA681" i="1"/>
  <c r="BZ682" i="1"/>
  <c r="CA682" i="1"/>
  <c r="BZ683" i="1"/>
  <c r="CA683" i="1"/>
  <c r="BZ684" i="1"/>
  <c r="CA684" i="1"/>
  <c r="BZ685" i="1"/>
  <c r="CA685" i="1"/>
  <c r="BZ686" i="1"/>
  <c r="CA686" i="1"/>
  <c r="BZ687" i="1"/>
  <c r="CA687" i="1"/>
  <c r="BZ688" i="1"/>
  <c r="CA688" i="1"/>
  <c r="BZ689" i="1"/>
  <c r="CA689" i="1"/>
  <c r="BZ690" i="1"/>
  <c r="CA690" i="1"/>
  <c r="BZ691" i="1"/>
  <c r="CA691" i="1"/>
  <c r="BZ692" i="1"/>
  <c r="CA692" i="1"/>
  <c r="BZ693" i="1"/>
  <c r="CA693" i="1"/>
  <c r="BZ694" i="1"/>
  <c r="CA694" i="1"/>
  <c r="BZ695" i="1"/>
  <c r="CA695" i="1"/>
  <c r="BZ696" i="1"/>
  <c r="CA696" i="1"/>
  <c r="BZ697" i="1"/>
  <c r="CA697" i="1"/>
  <c r="BZ698" i="1"/>
  <c r="CA698" i="1"/>
  <c r="BZ699" i="1"/>
  <c r="CA699" i="1"/>
  <c r="BZ700" i="1"/>
  <c r="CA700" i="1"/>
  <c r="BZ701" i="1"/>
  <c r="CA701" i="1"/>
  <c r="BZ702" i="1"/>
  <c r="CA702" i="1"/>
  <c r="BZ703" i="1"/>
  <c r="CA703" i="1"/>
  <c r="BZ704" i="1"/>
  <c r="CA704" i="1"/>
  <c r="BZ705" i="1"/>
  <c r="CA705" i="1"/>
  <c r="BZ706" i="1"/>
  <c r="CA706" i="1"/>
  <c r="BZ707" i="1"/>
  <c r="CA707" i="1"/>
  <c r="BZ708" i="1"/>
  <c r="CA708" i="1"/>
  <c r="BZ709" i="1"/>
  <c r="CA709" i="1"/>
  <c r="BZ710" i="1"/>
  <c r="CA710" i="1"/>
  <c r="BZ711" i="1"/>
  <c r="CA711" i="1"/>
  <c r="BZ712" i="1"/>
  <c r="CA712" i="1"/>
  <c r="BZ713" i="1"/>
  <c r="CA713" i="1"/>
  <c r="BZ714" i="1"/>
  <c r="CA714" i="1"/>
  <c r="BZ715" i="1"/>
  <c r="CA715" i="1"/>
  <c r="BZ716" i="1"/>
  <c r="CA716" i="1"/>
  <c r="BZ717" i="1"/>
  <c r="CA717" i="1"/>
  <c r="BZ718" i="1"/>
  <c r="CA718" i="1"/>
  <c r="BZ719" i="1"/>
  <c r="CA719" i="1"/>
  <c r="BZ720" i="1"/>
  <c r="CA720" i="1"/>
  <c r="BZ721" i="1"/>
  <c r="CA721" i="1"/>
  <c r="BZ722" i="1"/>
  <c r="CA722" i="1"/>
  <c r="BZ723" i="1"/>
  <c r="CA723" i="1"/>
  <c r="BZ724" i="1"/>
  <c r="CA724" i="1"/>
  <c r="BZ725" i="1"/>
  <c r="CA725" i="1"/>
  <c r="BZ726" i="1"/>
  <c r="CA726" i="1"/>
  <c r="BZ727" i="1"/>
  <c r="CA727" i="1"/>
  <c r="BZ728" i="1"/>
  <c r="CA728" i="1"/>
  <c r="BZ729" i="1"/>
  <c r="CA729" i="1"/>
  <c r="BZ730" i="1"/>
  <c r="CA730" i="1"/>
  <c r="BZ731" i="1"/>
  <c r="CA731" i="1"/>
  <c r="BZ732" i="1"/>
  <c r="CA732" i="1"/>
  <c r="BZ733" i="1"/>
  <c r="CA733" i="1"/>
  <c r="BZ734" i="1"/>
  <c r="CA734" i="1"/>
  <c r="BZ735" i="1"/>
  <c r="CA735" i="1"/>
  <c r="BZ736" i="1"/>
  <c r="CA736" i="1"/>
  <c r="BZ737" i="1"/>
  <c r="CA737" i="1"/>
  <c r="BZ738" i="1"/>
  <c r="CA738" i="1"/>
  <c r="BZ739" i="1"/>
  <c r="CA739" i="1"/>
  <c r="BZ740" i="1"/>
  <c r="CA740" i="1"/>
  <c r="BZ741" i="1"/>
  <c r="CA741" i="1"/>
  <c r="BZ742" i="1"/>
  <c r="CA742" i="1"/>
  <c r="BZ743" i="1"/>
  <c r="CA743" i="1"/>
  <c r="BZ744" i="1"/>
  <c r="CA744" i="1"/>
  <c r="BZ745" i="1"/>
  <c r="CA745" i="1"/>
  <c r="BZ746" i="1"/>
  <c r="CA746" i="1"/>
  <c r="BZ747" i="1"/>
  <c r="CA747" i="1"/>
  <c r="BZ748" i="1"/>
  <c r="CA748" i="1"/>
  <c r="BZ749" i="1"/>
  <c r="CA749" i="1"/>
  <c r="BZ750" i="1"/>
  <c r="CA750" i="1"/>
  <c r="BZ751" i="1"/>
  <c r="CA751" i="1"/>
  <c r="BZ752" i="1"/>
  <c r="CA752" i="1"/>
  <c r="BZ753" i="1"/>
  <c r="CA753" i="1"/>
  <c r="BZ754" i="1"/>
  <c r="CA754" i="1"/>
  <c r="BZ755" i="1"/>
  <c r="CA755" i="1"/>
  <c r="BZ756" i="1"/>
  <c r="CA756" i="1"/>
  <c r="BZ757" i="1"/>
  <c r="CA757" i="1"/>
  <c r="BZ758" i="1"/>
  <c r="CA758" i="1"/>
  <c r="BZ759" i="1"/>
  <c r="CA759" i="1"/>
  <c r="BZ760" i="1"/>
  <c r="CA760" i="1"/>
  <c r="BZ761" i="1"/>
  <c r="CA761" i="1"/>
  <c r="BZ762" i="1"/>
  <c r="CA762" i="1"/>
  <c r="BZ763" i="1"/>
  <c r="CA763" i="1"/>
  <c r="BZ764" i="1"/>
  <c r="CA764" i="1"/>
  <c r="BZ765" i="1"/>
  <c r="CA765" i="1"/>
  <c r="BZ766" i="1"/>
  <c r="CA766" i="1"/>
  <c r="BZ767" i="1"/>
  <c r="CA767" i="1"/>
  <c r="BZ768" i="1"/>
  <c r="CA768" i="1"/>
  <c r="BZ769" i="1"/>
  <c r="CA769" i="1"/>
  <c r="BZ770" i="1"/>
  <c r="CA770" i="1"/>
  <c r="BZ771" i="1"/>
  <c r="CA771" i="1"/>
  <c r="BZ772" i="1"/>
  <c r="CA772" i="1"/>
  <c r="BZ773" i="1"/>
  <c r="CA773" i="1"/>
  <c r="BZ774" i="1"/>
  <c r="CA774" i="1"/>
  <c r="BZ775" i="1"/>
  <c r="CA775" i="1"/>
  <c r="BZ776" i="1"/>
  <c r="CA776" i="1"/>
  <c r="BZ777" i="1"/>
  <c r="CA777" i="1"/>
  <c r="BZ778" i="1"/>
  <c r="CA778" i="1"/>
  <c r="BZ779" i="1"/>
  <c r="CA779" i="1"/>
  <c r="BZ780" i="1"/>
  <c r="CA780" i="1"/>
  <c r="BZ781" i="1"/>
  <c r="CA781" i="1"/>
  <c r="BZ782" i="1"/>
  <c r="CA782" i="1"/>
  <c r="BZ783" i="1"/>
  <c r="CA783" i="1"/>
  <c r="BZ784" i="1"/>
  <c r="CA784" i="1"/>
  <c r="BZ785" i="1"/>
  <c r="CA785" i="1"/>
  <c r="BZ786" i="1"/>
  <c r="CA786" i="1"/>
  <c r="BZ787" i="1"/>
  <c r="CA787" i="1"/>
  <c r="BZ788" i="1"/>
  <c r="CA788" i="1"/>
  <c r="BZ789" i="1"/>
  <c r="CA789" i="1"/>
  <c r="BZ790" i="1"/>
  <c r="CA790" i="1"/>
  <c r="BZ791" i="1"/>
  <c r="CA791" i="1"/>
  <c r="BZ792" i="1"/>
  <c r="CA792" i="1"/>
  <c r="BZ793" i="1"/>
  <c r="CA793" i="1"/>
  <c r="BZ794" i="1"/>
  <c r="CA794" i="1"/>
  <c r="BZ795" i="1"/>
  <c r="CA795" i="1"/>
  <c r="BZ796" i="1"/>
  <c r="CA796" i="1"/>
  <c r="BZ797" i="1"/>
  <c r="CA797" i="1"/>
  <c r="BZ798" i="1"/>
  <c r="CA798" i="1"/>
  <c r="BZ799" i="1"/>
  <c r="CA799" i="1"/>
  <c r="BZ800" i="1"/>
  <c r="CA800" i="1"/>
  <c r="BZ801" i="1"/>
  <c r="CA801" i="1"/>
  <c r="BZ802" i="1"/>
  <c r="CA802" i="1"/>
  <c r="BZ803" i="1"/>
  <c r="CA803" i="1"/>
  <c r="BZ804" i="1"/>
  <c r="CA804" i="1"/>
  <c r="BZ805" i="1"/>
  <c r="CA805" i="1"/>
  <c r="BZ806" i="1"/>
  <c r="CA806" i="1"/>
  <c r="BZ807" i="1"/>
  <c r="CA807" i="1"/>
  <c r="BZ808" i="1"/>
  <c r="CA808" i="1"/>
  <c r="BZ809" i="1"/>
  <c r="CA809" i="1"/>
  <c r="BZ810" i="1"/>
  <c r="CA810" i="1"/>
  <c r="BZ811" i="1"/>
  <c r="CA811" i="1"/>
  <c r="BZ812" i="1"/>
  <c r="CA812" i="1"/>
  <c r="BZ813" i="1"/>
  <c r="CA813" i="1"/>
  <c r="BZ814" i="1"/>
  <c r="CA814" i="1"/>
  <c r="BZ815" i="1"/>
  <c r="CA815" i="1"/>
  <c r="BZ816" i="1"/>
  <c r="CA816" i="1"/>
  <c r="BZ817" i="1"/>
  <c r="CA817" i="1"/>
  <c r="BZ818" i="1"/>
  <c r="CA818" i="1"/>
  <c r="BZ819" i="1"/>
  <c r="CA819" i="1"/>
  <c r="BZ820" i="1"/>
  <c r="CA820" i="1"/>
  <c r="BZ821" i="1"/>
  <c r="CA821" i="1"/>
  <c r="BZ822" i="1"/>
  <c r="CA822" i="1"/>
  <c r="BZ823" i="1"/>
  <c r="CA823" i="1"/>
  <c r="BZ824" i="1"/>
  <c r="CA824" i="1"/>
  <c r="BZ825" i="1"/>
  <c r="CA825" i="1"/>
  <c r="BZ826" i="1"/>
  <c r="CA826" i="1"/>
  <c r="BZ827" i="1"/>
  <c r="CA827" i="1"/>
  <c r="BZ828" i="1"/>
  <c r="CA828" i="1"/>
  <c r="BZ829" i="1"/>
  <c r="CA829" i="1"/>
  <c r="BZ830" i="1"/>
  <c r="CA830" i="1"/>
  <c r="BZ831" i="1"/>
  <c r="CA831" i="1"/>
  <c r="BZ832" i="1"/>
  <c r="CA832" i="1"/>
  <c r="BZ833" i="1"/>
  <c r="CA833" i="1"/>
  <c r="BZ834" i="1"/>
  <c r="CA834" i="1"/>
  <c r="BZ835" i="1"/>
  <c r="CA835" i="1"/>
  <c r="BZ836" i="1"/>
  <c r="CA836" i="1"/>
  <c r="BZ837" i="1"/>
  <c r="CA837" i="1"/>
  <c r="BZ838" i="1"/>
  <c r="CA838" i="1"/>
  <c r="BZ839" i="1"/>
  <c r="CA839" i="1"/>
  <c r="BZ840" i="1"/>
  <c r="CA840" i="1"/>
  <c r="BZ841" i="1"/>
  <c r="CA841" i="1"/>
  <c r="BZ842" i="1"/>
  <c r="CA842" i="1"/>
  <c r="BZ843" i="1"/>
  <c r="CA843" i="1"/>
  <c r="BZ844" i="1"/>
  <c r="CA844" i="1"/>
  <c r="BZ845" i="1"/>
  <c r="CA845" i="1"/>
  <c r="BZ846" i="1"/>
  <c r="CA846" i="1"/>
  <c r="BZ847" i="1"/>
  <c r="CA847" i="1"/>
  <c r="BZ848" i="1"/>
  <c r="CA848" i="1"/>
  <c r="BZ849" i="1"/>
  <c r="CA849" i="1"/>
  <c r="BZ850" i="1"/>
  <c r="CA850" i="1"/>
  <c r="BZ851" i="1"/>
  <c r="CA851" i="1"/>
  <c r="BZ852" i="1"/>
  <c r="CA852" i="1"/>
  <c r="BZ853" i="1"/>
  <c r="CA853" i="1"/>
  <c r="BZ854" i="1"/>
  <c r="CA854" i="1"/>
  <c r="BZ855" i="1"/>
  <c r="CA855" i="1"/>
  <c r="BZ856" i="1"/>
  <c r="CA856" i="1"/>
  <c r="BZ857" i="1"/>
  <c r="CA857" i="1"/>
  <c r="BZ858" i="1"/>
  <c r="CA858" i="1"/>
  <c r="BZ859" i="1"/>
  <c r="CA859" i="1"/>
  <c r="BZ860" i="1"/>
  <c r="CA860" i="1"/>
  <c r="BZ861" i="1"/>
  <c r="CA861" i="1"/>
  <c r="BZ862" i="1"/>
  <c r="CA862" i="1"/>
  <c r="BZ863" i="1"/>
  <c r="CA863" i="1"/>
  <c r="BZ864" i="1"/>
  <c r="CA864" i="1"/>
  <c r="BZ865" i="1"/>
  <c r="CA865" i="1"/>
  <c r="BZ866" i="1"/>
  <c r="CA866" i="1"/>
  <c r="BZ867" i="1"/>
  <c r="CA867" i="1"/>
  <c r="BZ868" i="1"/>
  <c r="CA868" i="1"/>
  <c r="BZ869" i="1"/>
  <c r="CA869" i="1"/>
  <c r="BZ870" i="1"/>
  <c r="CA870" i="1"/>
  <c r="BZ871" i="1"/>
  <c r="CA871" i="1"/>
  <c r="BZ872" i="1"/>
  <c r="CA872" i="1"/>
  <c r="BZ873" i="1"/>
  <c r="CA873" i="1"/>
  <c r="BZ874" i="1"/>
  <c r="CA874" i="1"/>
  <c r="BZ875" i="1"/>
  <c r="CA875" i="1"/>
  <c r="BZ876" i="1"/>
  <c r="CA876" i="1"/>
  <c r="BZ877" i="1"/>
  <c r="CA877" i="1"/>
  <c r="BZ878" i="1"/>
  <c r="CA878" i="1"/>
  <c r="BZ879" i="1"/>
  <c r="CA879" i="1"/>
  <c r="BZ880" i="1"/>
  <c r="CA880" i="1"/>
  <c r="BZ881" i="1"/>
  <c r="CA881" i="1"/>
  <c r="BZ882" i="1"/>
  <c r="CA882" i="1"/>
  <c r="BZ883" i="1"/>
  <c r="CA883" i="1"/>
  <c r="BZ884" i="1"/>
  <c r="CA884" i="1"/>
  <c r="BZ885" i="1"/>
  <c r="CA885" i="1"/>
  <c r="BZ886" i="1"/>
  <c r="CA886" i="1"/>
  <c r="BZ887" i="1"/>
  <c r="CA887" i="1"/>
  <c r="BZ888" i="1"/>
  <c r="CA888" i="1"/>
  <c r="BZ889" i="1"/>
  <c r="CA889" i="1"/>
  <c r="BZ890" i="1"/>
  <c r="CA890" i="1"/>
  <c r="BZ891" i="1"/>
  <c r="CA891" i="1"/>
  <c r="BZ892" i="1"/>
  <c r="CA892" i="1"/>
  <c r="BZ893" i="1"/>
  <c r="CA893" i="1"/>
  <c r="BZ894" i="1"/>
  <c r="CA894" i="1"/>
  <c r="BZ895" i="1"/>
  <c r="CA895" i="1"/>
  <c r="BZ896" i="1"/>
  <c r="CA896" i="1"/>
  <c r="BZ897" i="1"/>
  <c r="CA897" i="1"/>
  <c r="BZ898" i="1"/>
  <c r="CA898" i="1"/>
  <c r="BZ899" i="1"/>
  <c r="CA899" i="1"/>
  <c r="BZ900" i="1"/>
  <c r="CA900" i="1"/>
  <c r="BZ901" i="1"/>
  <c r="CA901" i="1"/>
  <c r="BZ902" i="1"/>
  <c r="CA902" i="1"/>
  <c r="BZ903" i="1"/>
  <c r="CA903" i="1"/>
  <c r="BZ904" i="1"/>
  <c r="CA904" i="1"/>
  <c r="BZ905" i="1"/>
  <c r="CA905" i="1"/>
  <c r="BZ906" i="1"/>
  <c r="CA906" i="1"/>
  <c r="BZ907" i="1"/>
  <c r="CA907" i="1"/>
  <c r="BZ908" i="1"/>
  <c r="CA908" i="1"/>
  <c r="BZ909" i="1"/>
  <c r="CA909" i="1"/>
  <c r="BZ910" i="1"/>
  <c r="CA910" i="1"/>
  <c r="BZ911" i="1"/>
  <c r="CA911" i="1"/>
  <c r="BZ912" i="1"/>
  <c r="CA912" i="1"/>
  <c r="BZ913" i="1"/>
  <c r="CA913" i="1"/>
  <c r="BZ914" i="1"/>
  <c r="CA914" i="1"/>
  <c r="BZ915" i="1"/>
  <c r="CA915" i="1"/>
  <c r="BZ916" i="1"/>
  <c r="CA916" i="1"/>
  <c r="BZ917" i="1"/>
  <c r="CA917" i="1"/>
  <c r="BZ918" i="1"/>
  <c r="CA918" i="1"/>
  <c r="BZ919" i="1"/>
  <c r="CA919" i="1"/>
  <c r="BZ920" i="1"/>
  <c r="CA920" i="1"/>
  <c r="BZ921" i="1"/>
  <c r="CA921" i="1"/>
  <c r="BZ922" i="1"/>
  <c r="CA922" i="1"/>
  <c r="BZ923" i="1"/>
  <c r="CA923" i="1"/>
  <c r="BZ924" i="1"/>
  <c r="CA924" i="1"/>
  <c r="BZ925" i="1"/>
  <c r="CA925" i="1"/>
  <c r="BZ926" i="1"/>
  <c r="CA926" i="1"/>
  <c r="BZ927" i="1"/>
  <c r="CA927" i="1"/>
  <c r="BZ928" i="1"/>
  <c r="CA928" i="1"/>
  <c r="BZ929" i="1"/>
  <c r="CA929" i="1"/>
  <c r="BZ930" i="1"/>
  <c r="CA930" i="1"/>
  <c r="BZ931" i="1"/>
  <c r="CA931" i="1"/>
  <c r="BZ932" i="1"/>
  <c r="CA932" i="1"/>
  <c r="BZ933" i="1"/>
  <c r="CA933" i="1"/>
  <c r="BZ934" i="1"/>
  <c r="CA934" i="1"/>
  <c r="BZ935" i="1"/>
  <c r="CA935" i="1"/>
  <c r="BZ936" i="1"/>
  <c r="CA936" i="1"/>
  <c r="BZ937" i="1"/>
  <c r="CA937" i="1"/>
  <c r="BZ938" i="1"/>
  <c r="CA938" i="1"/>
  <c r="BZ939" i="1"/>
  <c r="CA939" i="1"/>
  <c r="BZ940" i="1"/>
  <c r="CA940" i="1"/>
  <c r="BZ941" i="1"/>
  <c r="CA941" i="1"/>
  <c r="BZ942" i="1"/>
  <c r="CA942" i="1"/>
  <c r="BZ943" i="1"/>
  <c r="CA943" i="1"/>
  <c r="BZ944" i="1"/>
  <c r="CA944" i="1"/>
  <c r="BZ945" i="1"/>
  <c r="CA945" i="1"/>
  <c r="BZ946" i="1"/>
  <c r="CA946" i="1"/>
  <c r="BZ947" i="1"/>
  <c r="CA947" i="1"/>
  <c r="BZ948" i="1"/>
  <c r="CA948" i="1"/>
  <c r="BZ949" i="1"/>
  <c r="CA949" i="1"/>
  <c r="BZ950" i="1"/>
  <c r="CA950" i="1"/>
  <c r="BZ951" i="1"/>
  <c r="CA951" i="1"/>
  <c r="BZ952" i="1"/>
  <c r="CA952" i="1"/>
  <c r="BZ953" i="1"/>
  <c r="CA953" i="1"/>
  <c r="BZ954" i="1"/>
  <c r="CA954" i="1"/>
  <c r="BZ955" i="1"/>
  <c r="CA955" i="1"/>
  <c r="BZ956" i="1"/>
  <c r="CA956" i="1"/>
  <c r="BZ957" i="1"/>
  <c r="CA957" i="1"/>
  <c r="BZ958" i="1"/>
  <c r="CA958" i="1"/>
  <c r="BZ959" i="1"/>
  <c r="CA959" i="1"/>
  <c r="BZ960" i="1"/>
  <c r="CA960" i="1"/>
  <c r="BZ961" i="1"/>
  <c r="CA961" i="1"/>
  <c r="BZ962" i="1"/>
  <c r="CA962" i="1"/>
  <c r="BZ963" i="1"/>
  <c r="CA963" i="1"/>
  <c r="BZ964" i="1"/>
  <c r="CA964" i="1"/>
  <c r="BZ965" i="1"/>
  <c r="CA965" i="1"/>
  <c r="BZ966" i="1"/>
  <c r="CA966" i="1"/>
  <c r="BZ967" i="1"/>
  <c r="CA967" i="1"/>
  <c r="BZ968" i="1"/>
  <c r="CA968" i="1"/>
  <c r="BZ969" i="1"/>
  <c r="CA969" i="1"/>
  <c r="BZ970" i="1"/>
  <c r="CA970" i="1"/>
  <c r="BZ971" i="1"/>
  <c r="CA971" i="1"/>
  <c r="BZ972" i="1"/>
  <c r="CA972" i="1"/>
  <c r="BZ973" i="1"/>
  <c r="CA973" i="1"/>
  <c r="BZ974" i="1"/>
  <c r="CA974" i="1"/>
  <c r="BZ975" i="1"/>
  <c r="CA975" i="1"/>
  <c r="BZ976" i="1"/>
  <c r="CA976" i="1"/>
  <c r="BZ977" i="1"/>
  <c r="CA977" i="1"/>
  <c r="BZ978" i="1"/>
  <c r="CA978" i="1"/>
  <c r="BZ979" i="1"/>
  <c r="CA979" i="1"/>
  <c r="BZ980" i="1"/>
  <c r="CA980" i="1"/>
  <c r="BZ981" i="1"/>
  <c r="CA981" i="1"/>
  <c r="BZ982" i="1"/>
  <c r="CA982" i="1"/>
  <c r="BZ983" i="1"/>
  <c r="CA983" i="1"/>
  <c r="BZ984" i="1"/>
  <c r="CA984" i="1"/>
  <c r="BZ985" i="1"/>
  <c r="CA985" i="1"/>
  <c r="BZ986" i="1"/>
  <c r="CA986" i="1"/>
  <c r="BZ987" i="1"/>
  <c r="CA987" i="1"/>
  <c r="BZ988" i="1"/>
  <c r="CA988" i="1"/>
  <c r="BZ989" i="1"/>
  <c r="CA989" i="1"/>
  <c r="BZ990" i="1"/>
  <c r="CA990" i="1"/>
  <c r="BZ991" i="1"/>
  <c r="CA991" i="1"/>
  <c r="BZ992" i="1"/>
  <c r="CA992" i="1"/>
  <c r="BZ993" i="1"/>
  <c r="CA993" i="1"/>
  <c r="BZ994" i="1"/>
  <c r="CA994" i="1"/>
  <c r="BZ995" i="1"/>
  <c r="CA995" i="1"/>
  <c r="BZ996" i="1"/>
  <c r="CA996" i="1"/>
  <c r="BZ997" i="1"/>
  <c r="CA997" i="1"/>
  <c r="BZ998" i="1"/>
  <c r="CA998" i="1"/>
  <c r="BZ999" i="1"/>
  <c r="CA999" i="1"/>
  <c r="BZ1000" i="1"/>
  <c r="CA1000" i="1"/>
  <c r="BZ1001" i="1"/>
  <c r="CA1001" i="1"/>
  <c r="BZ1002" i="1"/>
  <c r="CA1002" i="1"/>
  <c r="BZ1003" i="1"/>
  <c r="CA1003" i="1"/>
  <c r="BZ1004" i="1"/>
  <c r="CA1004" i="1"/>
  <c r="BZ1005" i="1"/>
  <c r="CA1005" i="1"/>
  <c r="BZ1006" i="1"/>
  <c r="CA1006" i="1"/>
  <c r="BZ1007" i="1"/>
  <c r="CA1007" i="1"/>
  <c r="BZ1008" i="1"/>
  <c r="CA1008" i="1"/>
  <c r="BZ1009" i="1"/>
  <c r="CA1009" i="1"/>
  <c r="BZ1010" i="1"/>
  <c r="CA1010" i="1"/>
  <c r="BZ1011" i="1"/>
  <c r="CA1011" i="1"/>
  <c r="BZ1012" i="1"/>
  <c r="CA1012" i="1"/>
  <c r="BZ1013" i="1"/>
  <c r="CA1013" i="1"/>
  <c r="BZ1014" i="1"/>
  <c r="CA1014" i="1"/>
  <c r="BZ1015" i="1"/>
  <c r="CA1015" i="1"/>
  <c r="BZ1016" i="1"/>
  <c r="CA1016" i="1"/>
  <c r="BZ1017" i="1"/>
  <c r="CA1017" i="1"/>
  <c r="BZ1018" i="1"/>
  <c r="CA1018" i="1"/>
  <c r="BZ1019" i="1"/>
  <c r="CA1019" i="1"/>
  <c r="BZ1020" i="1"/>
  <c r="CA1020" i="1"/>
  <c r="BZ1021" i="1"/>
  <c r="CA1021" i="1"/>
  <c r="BZ1022" i="1"/>
  <c r="CA1022" i="1"/>
  <c r="BZ1023" i="1"/>
  <c r="CA1023" i="1"/>
  <c r="BZ1024" i="1"/>
  <c r="CA1024" i="1"/>
  <c r="BZ1025" i="1"/>
  <c r="CA1025" i="1"/>
  <c r="BZ1026" i="1"/>
  <c r="CA1026" i="1"/>
  <c r="BZ1027" i="1"/>
  <c r="CA1027" i="1"/>
  <c r="BZ1028" i="1"/>
  <c r="CA1028" i="1"/>
  <c r="BZ1029" i="1"/>
  <c r="CA1029" i="1"/>
  <c r="BZ1030" i="1"/>
  <c r="CA1030" i="1"/>
  <c r="BZ1031" i="1"/>
  <c r="CA1031" i="1"/>
  <c r="BZ1032" i="1"/>
  <c r="CA1032" i="1"/>
  <c r="BZ1033" i="1"/>
  <c r="CA1033" i="1"/>
  <c r="BZ1034" i="1"/>
  <c r="CA1034" i="1"/>
  <c r="BZ1035" i="1"/>
  <c r="CA1035" i="1"/>
  <c r="BZ1036" i="1"/>
  <c r="CA1036" i="1"/>
  <c r="BZ1037" i="1"/>
  <c r="CA1037" i="1"/>
  <c r="BZ1038" i="1"/>
  <c r="CA1038" i="1"/>
  <c r="BZ1039" i="1"/>
  <c r="CA1039" i="1"/>
  <c r="BZ1040" i="1"/>
  <c r="CA1040" i="1"/>
  <c r="BZ1041" i="1"/>
  <c r="CA1041" i="1"/>
  <c r="BZ1042" i="1"/>
  <c r="CA1042" i="1"/>
  <c r="BZ1043" i="1"/>
  <c r="CA1043" i="1"/>
  <c r="BZ1044" i="1"/>
  <c r="CA1044" i="1"/>
  <c r="BZ1045" i="1"/>
  <c r="CA1045" i="1"/>
  <c r="BZ1046" i="1"/>
  <c r="CA1046" i="1"/>
  <c r="BZ1047" i="1"/>
  <c r="CA1047" i="1"/>
  <c r="BZ1048" i="1"/>
  <c r="CA1048" i="1"/>
  <c r="BZ1049" i="1"/>
  <c r="CA1049" i="1"/>
  <c r="BZ1050" i="1"/>
  <c r="CA1050" i="1"/>
  <c r="BZ1051" i="1"/>
  <c r="CA1051" i="1"/>
  <c r="BZ1052" i="1"/>
  <c r="CA1052" i="1"/>
  <c r="BZ1053" i="1"/>
  <c r="CA1053" i="1"/>
  <c r="BZ1054" i="1"/>
  <c r="CA1054" i="1"/>
  <c r="BZ1055" i="1"/>
  <c r="CA1055" i="1"/>
  <c r="BZ1056" i="1"/>
  <c r="CA1056" i="1"/>
  <c r="BZ1057" i="1"/>
  <c r="CA1057" i="1"/>
  <c r="BZ1058" i="1"/>
  <c r="CA1058" i="1"/>
  <c r="BZ1059" i="1"/>
  <c r="CA1059" i="1"/>
  <c r="BZ1060" i="1"/>
  <c r="CA1060" i="1"/>
  <c r="BZ1061" i="1"/>
  <c r="CA1061" i="1"/>
  <c r="BZ1062" i="1"/>
  <c r="CA1062" i="1"/>
  <c r="BZ1063" i="1"/>
  <c r="CA1063" i="1"/>
  <c r="BZ1064" i="1"/>
  <c r="CA1064" i="1"/>
  <c r="BZ1065" i="1"/>
  <c r="CA1065" i="1"/>
  <c r="BZ1066" i="1"/>
  <c r="CA1066" i="1"/>
  <c r="BZ1067" i="1"/>
  <c r="CA1067" i="1"/>
  <c r="BZ1068" i="1"/>
  <c r="CA1068" i="1"/>
  <c r="BZ1069" i="1"/>
  <c r="CA1069" i="1"/>
  <c r="BZ1070" i="1"/>
  <c r="CA1070" i="1"/>
  <c r="BZ1071" i="1"/>
  <c r="CA1071" i="1"/>
  <c r="BZ1072" i="1"/>
  <c r="CA1072" i="1"/>
  <c r="BZ1073" i="1"/>
  <c r="CA1073" i="1"/>
  <c r="BZ1074" i="1"/>
  <c r="CA1074" i="1"/>
  <c r="BZ1075" i="1"/>
  <c r="CA1075" i="1"/>
  <c r="BZ1076" i="1"/>
  <c r="CA1076" i="1"/>
  <c r="BZ1077" i="1"/>
  <c r="CA1077" i="1"/>
  <c r="BZ1078" i="1"/>
  <c r="CA1078" i="1"/>
  <c r="BZ1079" i="1"/>
  <c r="CA1079" i="1"/>
  <c r="BZ1080" i="1"/>
  <c r="CA1080" i="1"/>
  <c r="BZ1081" i="1"/>
  <c r="CA1081" i="1"/>
  <c r="BZ1082" i="1"/>
  <c r="CA1082" i="1"/>
  <c r="BZ1083" i="1"/>
  <c r="CA1083" i="1"/>
  <c r="BZ1084" i="1"/>
  <c r="CA1084" i="1"/>
  <c r="BZ1085" i="1"/>
  <c r="CA1085" i="1"/>
  <c r="BZ1086" i="1"/>
  <c r="CA1086" i="1"/>
  <c r="BZ1087" i="1"/>
  <c r="CA1087" i="1"/>
  <c r="BZ1088" i="1"/>
  <c r="CA1088" i="1"/>
  <c r="BZ1089" i="1"/>
  <c r="CA1089" i="1"/>
  <c r="BZ1090" i="1"/>
  <c r="CA1090" i="1"/>
  <c r="BZ1091" i="1"/>
  <c r="CA1091" i="1"/>
  <c r="BZ1092" i="1"/>
  <c r="CA1092" i="1"/>
  <c r="BZ1093" i="1"/>
  <c r="CA1093" i="1"/>
  <c r="BZ1094" i="1"/>
  <c r="CA1094" i="1"/>
  <c r="BZ1095" i="1"/>
  <c r="CA1095" i="1"/>
  <c r="BZ1096" i="1"/>
  <c r="CA1096" i="1"/>
  <c r="BZ1097" i="1"/>
  <c r="CA1097" i="1"/>
  <c r="BZ1098" i="1"/>
  <c r="CA1098" i="1"/>
  <c r="BZ1099" i="1"/>
  <c r="CA1099" i="1"/>
  <c r="BZ1100" i="1"/>
  <c r="CA1100" i="1"/>
  <c r="BZ1101" i="1"/>
  <c r="CA1101" i="1"/>
  <c r="BZ1102" i="1"/>
  <c r="CA1102" i="1"/>
  <c r="BZ1103" i="1"/>
  <c r="CA1103" i="1"/>
  <c r="BZ1104" i="1"/>
  <c r="CA1104" i="1"/>
  <c r="BZ1105" i="1"/>
  <c r="CA1105" i="1"/>
  <c r="BZ1106" i="1"/>
  <c r="CA1106" i="1"/>
  <c r="BZ1107" i="1"/>
  <c r="CA1107" i="1"/>
  <c r="BZ1108" i="1"/>
  <c r="CA1108" i="1"/>
  <c r="BZ1109" i="1"/>
  <c r="CA1109" i="1"/>
  <c r="BZ1110" i="1"/>
  <c r="CA1110" i="1"/>
  <c r="BZ1111" i="1"/>
  <c r="CA1111" i="1"/>
  <c r="BZ1112" i="1"/>
  <c r="CA1112" i="1"/>
  <c r="BZ1113" i="1"/>
  <c r="CA1113" i="1"/>
  <c r="BZ1114" i="1"/>
  <c r="CA1114" i="1"/>
  <c r="BZ1115" i="1"/>
  <c r="CA1115" i="1"/>
  <c r="BZ1116" i="1"/>
  <c r="CA1116" i="1"/>
  <c r="BZ1117" i="1"/>
  <c r="CA1117" i="1"/>
  <c r="BZ1118" i="1"/>
  <c r="CA1118" i="1"/>
  <c r="BZ1119" i="1"/>
  <c r="CA1119" i="1"/>
  <c r="BZ1120" i="1"/>
  <c r="CA1120" i="1"/>
  <c r="BZ1121" i="1"/>
  <c r="CA1121" i="1"/>
  <c r="BZ1122" i="1"/>
  <c r="CA1122" i="1"/>
  <c r="BZ1123" i="1"/>
  <c r="CA1123" i="1"/>
  <c r="BZ1124" i="1"/>
  <c r="CA1124" i="1"/>
  <c r="BZ1125" i="1"/>
  <c r="CA1125" i="1"/>
  <c r="BZ1126" i="1"/>
  <c r="CA1126" i="1"/>
  <c r="BZ1127" i="1"/>
  <c r="CA1127" i="1"/>
  <c r="BZ1128" i="1"/>
  <c r="CA1128" i="1"/>
  <c r="BZ1129" i="1"/>
  <c r="CA1129" i="1"/>
  <c r="BZ1130" i="1"/>
  <c r="CA1130" i="1"/>
  <c r="BZ1131" i="1"/>
  <c r="CA1131" i="1"/>
  <c r="BZ1132" i="1"/>
  <c r="CA1132" i="1"/>
  <c r="BZ1133" i="1"/>
  <c r="CA1133" i="1"/>
  <c r="BZ1134" i="1"/>
  <c r="CA1134" i="1"/>
  <c r="BZ1135" i="1"/>
  <c r="CA1135" i="1"/>
  <c r="BZ1136" i="1"/>
  <c r="CA1136" i="1"/>
  <c r="BZ1137" i="1"/>
  <c r="CA1137" i="1"/>
  <c r="BZ1138" i="1"/>
  <c r="CA1138" i="1"/>
  <c r="BZ1139" i="1"/>
  <c r="CA1139" i="1"/>
  <c r="BZ1140" i="1"/>
  <c r="CA1140" i="1"/>
  <c r="BZ1141" i="1"/>
  <c r="CA1141" i="1"/>
  <c r="BZ1142" i="1"/>
  <c r="CA1142" i="1"/>
  <c r="BZ1143" i="1"/>
  <c r="CA1143" i="1"/>
  <c r="BZ1144" i="1"/>
  <c r="CA1144" i="1"/>
  <c r="BZ1145" i="1"/>
  <c r="CA1145" i="1"/>
  <c r="BZ1146" i="1"/>
  <c r="CA1146" i="1"/>
  <c r="BZ1147" i="1"/>
  <c r="CA1147" i="1"/>
  <c r="BZ1148" i="1"/>
  <c r="CA1148" i="1"/>
  <c r="BZ1149" i="1"/>
  <c r="CA1149" i="1"/>
  <c r="BZ1150" i="1"/>
  <c r="CA1150" i="1"/>
  <c r="BZ1151" i="1"/>
  <c r="CA1151" i="1"/>
  <c r="BZ1152" i="1"/>
  <c r="CA1152" i="1"/>
  <c r="BZ1153" i="1"/>
  <c r="CA1153" i="1"/>
  <c r="BZ1154" i="1"/>
  <c r="CA1154" i="1"/>
  <c r="BZ1155" i="1"/>
  <c r="CA1155" i="1"/>
  <c r="BZ1156" i="1"/>
  <c r="CA1156" i="1"/>
  <c r="BZ1157" i="1"/>
  <c r="CA1157" i="1"/>
  <c r="BZ1158" i="1"/>
  <c r="CA1158" i="1"/>
  <c r="BZ1159" i="1"/>
  <c r="CA1159" i="1"/>
  <c r="BZ1160" i="1"/>
  <c r="CA1160" i="1"/>
  <c r="BZ1161" i="1"/>
  <c r="CA1161" i="1"/>
  <c r="BZ1162" i="1"/>
  <c r="CA1162" i="1"/>
  <c r="BZ1163" i="1"/>
  <c r="CA1163" i="1"/>
  <c r="BZ1164" i="1"/>
  <c r="CA1164" i="1"/>
  <c r="BZ1165" i="1"/>
  <c r="CA1165" i="1"/>
  <c r="BZ1166" i="1"/>
  <c r="CA1166" i="1"/>
  <c r="BZ1167" i="1"/>
  <c r="CA1167" i="1"/>
  <c r="BZ1168" i="1"/>
  <c r="CA1168" i="1"/>
  <c r="BZ1169" i="1"/>
  <c r="CA1169" i="1"/>
  <c r="BZ1170" i="1"/>
  <c r="CA1170" i="1"/>
  <c r="BZ1171" i="1"/>
  <c r="CA1171" i="1"/>
  <c r="BZ1172" i="1"/>
  <c r="CA1172" i="1"/>
  <c r="BZ1173" i="1"/>
  <c r="CA1173" i="1"/>
  <c r="BZ1174" i="1"/>
  <c r="CA1174" i="1"/>
  <c r="BZ1175" i="1"/>
  <c r="CA1175" i="1"/>
  <c r="BZ1176" i="1"/>
  <c r="CA1176" i="1"/>
  <c r="BZ1177" i="1"/>
  <c r="CA1177" i="1"/>
  <c r="BZ1178" i="1"/>
  <c r="CA1178" i="1"/>
  <c r="BZ1179" i="1"/>
  <c r="CA1179" i="1"/>
  <c r="BZ1180" i="1"/>
  <c r="CA1180" i="1"/>
  <c r="BZ1181" i="1"/>
  <c r="CA1181" i="1"/>
  <c r="BZ1182" i="1"/>
  <c r="CA1182" i="1"/>
  <c r="BZ1183" i="1"/>
  <c r="CA1183" i="1"/>
  <c r="BZ1184" i="1"/>
  <c r="CA1184" i="1"/>
  <c r="BZ1185" i="1"/>
  <c r="CA1185" i="1"/>
  <c r="BZ1186" i="1"/>
  <c r="CA1186" i="1"/>
  <c r="BZ1187" i="1"/>
  <c r="CA1187" i="1"/>
  <c r="BZ1188" i="1"/>
  <c r="CA1188" i="1"/>
  <c r="BZ1189" i="1"/>
  <c r="CA1189" i="1"/>
  <c r="BZ1190" i="1"/>
  <c r="CA1190" i="1"/>
  <c r="BZ1191" i="1"/>
  <c r="CA1191" i="1"/>
  <c r="BZ1192" i="1"/>
  <c r="CA1192" i="1"/>
  <c r="BZ1193" i="1"/>
  <c r="CA1193" i="1"/>
  <c r="BZ1194" i="1"/>
  <c r="CA1194" i="1"/>
  <c r="BZ1195" i="1"/>
  <c r="CA1195" i="1"/>
  <c r="BZ1196" i="1"/>
  <c r="CA1196" i="1"/>
  <c r="BZ1197" i="1"/>
  <c r="CA1197" i="1"/>
  <c r="BZ1198" i="1"/>
  <c r="CA1198" i="1"/>
  <c r="BZ1199" i="1"/>
  <c r="CA1199" i="1"/>
  <c r="BZ1200" i="1"/>
  <c r="CA1200" i="1"/>
  <c r="BZ1201" i="1"/>
  <c r="CA1201" i="1"/>
  <c r="BZ1202" i="1"/>
  <c r="CA1202" i="1"/>
  <c r="BZ1203" i="1"/>
  <c r="CA1203" i="1"/>
  <c r="BZ1204" i="1"/>
  <c r="CA1204" i="1"/>
  <c r="BZ1205" i="1"/>
  <c r="CA1205" i="1"/>
  <c r="BZ1206" i="1"/>
  <c r="CA1206" i="1"/>
  <c r="BZ1207" i="1"/>
  <c r="CA1207" i="1"/>
  <c r="BZ1208" i="1"/>
  <c r="CA1208" i="1"/>
  <c r="BZ1209" i="1"/>
  <c r="CA1209" i="1"/>
  <c r="BZ1210" i="1"/>
  <c r="CA1210" i="1"/>
  <c r="BZ1211" i="1"/>
  <c r="CA1211" i="1"/>
  <c r="BZ1212" i="1"/>
  <c r="CA1212" i="1"/>
  <c r="BZ1213" i="1"/>
  <c r="CA1213" i="1"/>
  <c r="BZ1214" i="1"/>
  <c r="CA1214" i="1"/>
  <c r="BZ1215" i="1"/>
  <c r="CA1215" i="1"/>
  <c r="BZ1216" i="1"/>
  <c r="CA1216" i="1"/>
  <c r="BZ1217" i="1"/>
  <c r="CA1217" i="1"/>
  <c r="BZ1218" i="1"/>
  <c r="CA1218" i="1"/>
  <c r="BZ1219" i="1"/>
  <c r="CA1219" i="1"/>
  <c r="BZ1220" i="1"/>
  <c r="CA1220" i="1"/>
  <c r="BZ1221" i="1"/>
  <c r="CA1221" i="1"/>
  <c r="BZ1222" i="1"/>
  <c r="CA1222" i="1"/>
  <c r="BZ1223" i="1"/>
  <c r="CA1223" i="1"/>
  <c r="BZ1224" i="1"/>
  <c r="CA1224" i="1"/>
  <c r="BZ1225" i="1"/>
  <c r="CA1225" i="1"/>
  <c r="BZ1226" i="1"/>
  <c r="CA1226" i="1"/>
  <c r="BZ1227" i="1"/>
  <c r="CA1227" i="1"/>
  <c r="BZ1228" i="1"/>
  <c r="CA1228" i="1"/>
  <c r="BZ1229" i="1"/>
  <c r="CA1229" i="1"/>
  <c r="BZ1230" i="1"/>
  <c r="CA1230" i="1"/>
  <c r="BZ1231" i="1"/>
  <c r="CA1231" i="1"/>
  <c r="BZ1232" i="1"/>
  <c r="CA1232" i="1"/>
  <c r="BZ1233" i="1"/>
  <c r="CA1233" i="1"/>
  <c r="BZ1234" i="1"/>
  <c r="CA1234" i="1"/>
  <c r="BZ1235" i="1"/>
  <c r="CA1235" i="1"/>
  <c r="BZ1236" i="1"/>
  <c r="CA1236" i="1"/>
  <c r="BZ1237" i="1"/>
  <c r="CA1237" i="1"/>
  <c r="BZ1238" i="1"/>
  <c r="CA1238" i="1"/>
  <c r="BZ1239" i="1"/>
  <c r="CA1239" i="1"/>
  <c r="BZ1240" i="1"/>
  <c r="CA1240" i="1"/>
  <c r="BZ1241" i="1"/>
  <c r="CA1241" i="1"/>
  <c r="BZ1242" i="1"/>
  <c r="CA1242" i="1"/>
  <c r="BZ1243" i="1"/>
  <c r="CA1243" i="1"/>
  <c r="BZ1244" i="1"/>
  <c r="CA1244" i="1"/>
  <c r="BZ1245" i="1"/>
  <c r="CA1245" i="1"/>
  <c r="BZ1246" i="1"/>
  <c r="CA1246" i="1"/>
  <c r="BZ1247" i="1"/>
  <c r="CA1247" i="1"/>
  <c r="BZ1248" i="1"/>
  <c r="CA1248" i="1"/>
  <c r="BZ1249" i="1"/>
  <c r="CA1249" i="1"/>
  <c r="BZ1250" i="1"/>
  <c r="CA1250" i="1"/>
  <c r="BZ1251" i="1"/>
  <c r="CA1251" i="1"/>
  <c r="BZ1252" i="1"/>
  <c r="CA1252" i="1"/>
  <c r="BZ1253" i="1"/>
  <c r="CA1253" i="1"/>
  <c r="BZ1254" i="1"/>
  <c r="CA1254" i="1"/>
  <c r="BZ1255" i="1"/>
  <c r="CA1255" i="1"/>
  <c r="BZ1256" i="1"/>
  <c r="CA1256" i="1"/>
  <c r="BZ1257" i="1"/>
  <c r="CA1257" i="1"/>
  <c r="BZ1258" i="1"/>
  <c r="CA1258" i="1"/>
  <c r="BZ1259" i="1"/>
  <c r="CA1259" i="1"/>
  <c r="BZ1260" i="1"/>
  <c r="CA1260" i="1"/>
  <c r="BZ1261" i="1"/>
  <c r="CA1261" i="1"/>
  <c r="BZ1262" i="1"/>
  <c r="CA1262" i="1"/>
  <c r="BZ1263" i="1"/>
  <c r="CA1263" i="1"/>
  <c r="BZ1264" i="1"/>
  <c r="CA1264" i="1"/>
  <c r="BZ2" i="1"/>
</calcChain>
</file>

<file path=xl/sharedStrings.xml><?xml version="1.0" encoding="utf-8"?>
<sst xmlns="http://schemas.openxmlformats.org/spreadsheetml/2006/main" count="46959" uniqueCount="9893">
  <si>
    <t>player_name</t>
  </si>
  <si>
    <t>nation</t>
  </si>
  <si>
    <t>player_url_fbref</t>
  </si>
  <si>
    <t>current age_fbref</t>
  </si>
  <si>
    <t>dob_age_fbref</t>
  </si>
  <si>
    <t>place_birth_fbref</t>
  </si>
  <si>
    <t>height_fbref</t>
  </si>
  <si>
    <t>citizenship_fbref</t>
  </si>
  <si>
    <t>position_fbref</t>
  </si>
  <si>
    <t>foot_fbref</t>
  </si>
  <si>
    <t>current_club_fbref</t>
  </si>
  <si>
    <t>debut_season_fbref</t>
  </si>
  <si>
    <t>debut_age_fbref</t>
  </si>
  <si>
    <t>first_club_fbref</t>
  </si>
  <si>
    <t>debut_year_fbref</t>
  </si>
  <si>
    <t>player_url_tra</t>
  </si>
  <si>
    <t>slug</t>
  </si>
  <si>
    <t>player_id_fbref</t>
  </si>
  <si>
    <t>home_name_fbref</t>
  </si>
  <si>
    <t>dob_age_tra</t>
  </si>
  <si>
    <t>YEAR_tra</t>
  </si>
  <si>
    <t>place_birth_tra</t>
  </si>
  <si>
    <t>height_tra</t>
  </si>
  <si>
    <t>citizenship_tra</t>
  </si>
  <si>
    <t>position_tra</t>
  </si>
  <si>
    <t>foot_tra</t>
  </si>
  <si>
    <t>current_club_tra</t>
  </si>
  <si>
    <t>joined_tra</t>
  </si>
  <si>
    <t>contract_expires_tra</t>
  </si>
  <si>
    <t>outfitter_tra</t>
  </si>
  <si>
    <t>first_tier_debut_date</t>
  </si>
  <si>
    <t>first_tier_debut_age</t>
  </si>
  <si>
    <t>first_tier_debut_competition</t>
  </si>
  <si>
    <t>second_tier_debut_date</t>
  </si>
  <si>
    <t>second_tier_debut_age</t>
  </si>
  <si>
    <t>second_tier_debut_competition</t>
  </si>
  <si>
    <t>debut_age_transfermarket</t>
  </si>
  <si>
    <t>injury_count_total_tra</t>
  </si>
  <si>
    <t>days_missed_total_tra</t>
  </si>
  <si>
    <t>games_missed_total_tra</t>
  </si>
  <si>
    <t>injury_seasons_tra</t>
  </si>
  <si>
    <t>Deceased_tra</t>
  </si>
  <si>
    <t>death_date</t>
  </si>
  <si>
    <t>death_age</t>
  </si>
  <si>
    <t>retired_tra</t>
  </si>
  <si>
    <t>retirement_date_tra</t>
  </si>
  <si>
    <t>year_retirement</t>
  </si>
  <si>
    <t>career_lenght</t>
  </si>
  <si>
    <t>career_lenght_w_actives_and_dead</t>
  </si>
  <si>
    <t>shirt_number_tra</t>
  </si>
  <si>
    <t>National_team</t>
  </si>
  <si>
    <t>total_seasons_national</t>
  </si>
  <si>
    <t>matches_national</t>
  </si>
  <si>
    <t>minutes_national</t>
  </si>
  <si>
    <t>goals_national</t>
  </si>
  <si>
    <t>CAREER Sum of matches_played</t>
  </si>
  <si>
    <t>CAREER Sum of minutes</t>
  </si>
  <si>
    <t>CAREER Sum of goals</t>
  </si>
  <si>
    <t>retirement_age</t>
  </si>
  <si>
    <t>total_matches_total</t>
  </si>
  <si>
    <t>total_minutes_total</t>
  </si>
  <si>
    <t>total_goals_total</t>
  </si>
  <si>
    <t>position_clean</t>
  </si>
  <si>
    <t>position_simple</t>
  </si>
  <si>
    <t>dob</t>
  </si>
  <si>
    <t>age_current</t>
  </si>
  <si>
    <t>retirement_date</t>
  </si>
  <si>
    <t>retirement_date_clean</t>
  </si>
  <si>
    <t>career_length</t>
  </si>
  <si>
    <t>year_birth</t>
  </si>
  <si>
    <t>Ã“liver Torres</t>
  </si>
  <si>
    <t>es ESP</t>
  </si>
  <si>
    <t>https://fbref.com/en/players/58a9a4d9/Oliver-Torres</t>
  </si>
  <si>
    <t>November 10, 1994 (Age:Â 30-350d)</t>
  </si>
  <si>
    <t>Navalmoral de la Mata, Spain</t>
  </si>
  <si>
    <t>178cm</t>
  </si>
  <si>
    <t>Spain</t>
  </si>
  <si>
    <t>FW-MF (AM-CM-WM)</t>
  </si>
  <si>
    <t>Right</t>
  </si>
  <si>
    <t>Monterrey</t>
  </si>
  <si>
    <t>2012-2013</t>
  </si>
  <si>
    <t>AtlÃ©tico Madrid</t>
  </si>
  <si>
    <t>https://www.transfermarkt.com/oliver-torres/profil/spieler/214775</t>
  </si>
  <si>
    <t>oliver-torres</t>
  </si>
  <si>
    <t>10/11/1994 (30)</t>
  </si>
  <si>
    <t>Navalmoral de la Mata</t>
  </si>
  <si>
    <t>Midfield - Central Midfield</t>
  </si>
  <si>
    <t>right</t>
  </si>
  <si>
    <t>30/06/2027</t>
  </si>
  <si>
    <t>NA</t>
  </si>
  <si>
    <t>19/08/2012</t>
  </si>
  <si>
    <t>LaLiga</t>
  </si>
  <si>
    <t>No second tier career</t>
  </si>
  <si>
    <t>No</t>
  </si>
  <si>
    <t>Midfield</t>
  </si>
  <si>
    <t>Ã“scar</t>
  </si>
  <si>
    <t>https://fbref.com/en/players/627650df/Oscar</t>
  </si>
  <si>
    <t>181cm</t>
  </si>
  <si>
    <t>MF (AM-WM)</t>
  </si>
  <si>
    <t>2001-2002</t>
  </si>
  <si>
    <t>Valladolid</t>
  </si>
  <si>
    <t>https://www.transfermarkt.com/oscar-gonzalez/profil/spieler/7818</t>
  </si>
  <si>
    <t>oscar-gonzalez</t>
  </si>
  <si>
    <t>Ã“scar GonzÃ¡lez</t>
  </si>
  <si>
    <t>12/11/1982 (42)</t>
  </si>
  <si>
    <t>Salamanca</t>
  </si>
  <si>
    <t>Midfield - Attacking Midfield</t>
  </si>
  <si>
    <t>Real Valladolid</t>
  </si>
  <si>
    <t>-</t>
  </si>
  <si>
    <t>19/09/2010</t>
  </si>
  <si>
    <t>Segunda DivisiÃ³n</t>
  </si>
  <si>
    <t>Yes</t>
  </si>
  <si>
    <t>Attack</t>
  </si>
  <si>
    <t>Ã“scar DÃ­az</t>
  </si>
  <si>
    <t>https://fbref.com/en/players/5a5ed410/Oscar-Diaz</t>
  </si>
  <si>
    <t>180cm</t>
  </si>
  <si>
    <t>FW-MF (AM-WM)</t>
  </si>
  <si>
    <t>2005-2006</t>
  </si>
  <si>
    <t>Real Madrid B</t>
  </si>
  <si>
    <t>https://www.transfermarkt.com/oscar-diaz/profil/spieler/30802</t>
  </si>
  <si>
    <t>oscar-diaz</t>
  </si>
  <si>
    <t>24/04/1984</t>
  </si>
  <si>
    <t>Madrid</t>
  </si>
  <si>
    <t>Attack - Centre-Forward</t>
  </si>
  <si>
    <t>Unknown</t>
  </si>
  <si>
    <t>19/08/2013</t>
  </si>
  <si>
    <t>20/12/2005</t>
  </si>
  <si>
    <t>Ã“scar de Marcos</t>
  </si>
  <si>
    <t>https://fbref.com/en/players/9f323c71/Oscar-de-Marcos</t>
  </si>
  <si>
    <t>DF-FW-MF (DM-FB, right)</t>
  </si>
  <si>
    <t>2008-2009</t>
  </si>
  <si>
    <t>AlavÃ©s</t>
  </si>
  <si>
    <t>https://www.transfermarkt.com/oscar-de-marcos/profil/spieler/96718</t>
  </si>
  <si>
    <t>oscar-de-marcos</t>
  </si>
  <si>
    <t>14/04/1989 (36)</t>
  </si>
  <si>
    <t>Laguardia</t>
  </si>
  <si>
    <t>Defender - Right-Back</t>
  </si>
  <si>
    <t>Athletic Club</t>
  </si>
  <si>
    <t>30/08/2009</t>
  </si>
  <si>
    <t>21/12/2008</t>
  </si>
  <si>
    <t>Defender</t>
  </si>
  <si>
    <t>Ã“scar Serrano</t>
  </si>
  <si>
    <t>https://fbref.com/en/players/c862ecc5/Oscar-Serrano</t>
  </si>
  <si>
    <t>175cm</t>
  </si>
  <si>
    <t>MF (AM-WM, left)</t>
  </si>
  <si>
    <t>2004-2005</t>
  </si>
  <si>
    <t>Espanyol</t>
  </si>
  <si>
    <t>https://www.transfermarkt.com/oscar-serrano/profil/spieler/26373</t>
  </si>
  <si>
    <t>oscar-serrano</t>
  </si>
  <si>
    <t>30/09/1981 (44)</t>
  </si>
  <si>
    <t>Blanes</t>
  </si>
  <si>
    <t>Midfield - Left Midfield</t>
  </si>
  <si>
    <t>left</t>
  </si>
  <si>
    <t>28/08/2004</t>
  </si>
  <si>
    <t>16/08/2013</t>
  </si>
  <si>
    <t>Ã“scar Trejo</t>
  </si>
  <si>
    <t>ar ARG</t>
  </si>
  <si>
    <t>https://fbref.com/en/players/fc647b34/Oscar-Trejo</t>
  </si>
  <si>
    <t>April 26, 1988 (Age:Â 37-183d)</t>
  </si>
  <si>
    <t>Santiago del Estero, Argentina</t>
  </si>
  <si>
    <t>177cm</t>
  </si>
  <si>
    <t>FW-MF (AM)</t>
  </si>
  <si>
    <t>Rayo Vallecano</t>
  </si>
  <si>
    <t>2006-2007</t>
  </si>
  <si>
    <t>Mallorca</t>
  </si>
  <si>
    <t>https://www.transfermarkt.com/oscar-trejo/profil/spieler/30321</t>
  </si>
  <si>
    <t>oscar-trejo</t>
  </si>
  <si>
    <t>26/04/1988 (37)</t>
  </si>
  <si>
    <t>Santiago del Estero</t>
  </si>
  <si>
    <t>ArgentinaÂ Â Italy</t>
  </si>
  <si>
    <t>30/06/2026</t>
  </si>
  <si>
    <t>Torneo Final</t>
  </si>
  <si>
    <t>Ã“scar Ustari</t>
  </si>
  <si>
    <t>https://fbref.com/en/players/40e417fa/Oscar-Ustari</t>
  </si>
  <si>
    <t>July 3, 1986 (Age:Â 39-115d)</t>
  </si>
  <si>
    <t>america, Argentina</t>
  </si>
  <si>
    <t>184cm</t>
  </si>
  <si>
    <t>Argentina</t>
  </si>
  <si>
    <t>GK</t>
  </si>
  <si>
    <t>Inter Miami</t>
  </si>
  <si>
    <t>2007-2008</t>
  </si>
  <si>
    <t>Getafe</t>
  </si>
  <si>
    <t>https://www.transfermarkt.com/oscar-ustari/profil/spieler/3755</t>
  </si>
  <si>
    <t>oscar-ustari</t>
  </si>
  <si>
    <t>03/07/1986 (39)</t>
  </si>
  <si>
    <t>AmÃ©rica</t>
  </si>
  <si>
    <t>Goalkeeper</t>
  </si>
  <si>
    <t>Miami</t>
  </si>
  <si>
    <t>31/12/2026</t>
  </si>
  <si>
    <t>Torneo Inicial</t>
  </si>
  <si>
    <t>Ã‰ric Abidal</t>
  </si>
  <si>
    <t>fr FRA</t>
  </si>
  <si>
    <t>https://fbref.com/en/players/016828bd/Eric-Abidal</t>
  </si>
  <si>
    <t>186cm</t>
  </si>
  <si>
    <t>France</t>
  </si>
  <si>
    <t>DF (FB, left)</t>
  </si>
  <si>
    <t>2000-2001</t>
  </si>
  <si>
    <t>Monaco</t>
  </si>
  <si>
    <t>https://www.transfermarkt.com/eric-abidal/profil/spieler/5283</t>
  </si>
  <si>
    <t>eric-abidal</t>
  </si>
  <si>
    <t>11/09/1979 (46)</t>
  </si>
  <si>
    <t>Lyon</t>
  </si>
  <si>
    <t>FranceÂ Â Martinique</t>
  </si>
  <si>
    <t>Defender - Left-Back</t>
  </si>
  <si>
    <t>Olympiacos</t>
  </si>
  <si>
    <t>16/09/2000</t>
  </si>
  <si>
    <t>Ligue 1</t>
  </si>
  <si>
    <t>Ã‰ver Banega</t>
  </si>
  <si>
    <t>https://fbref.com/en/players/fa937f7a/Ever-Banega</t>
  </si>
  <si>
    <t>June 29, 1988 (Age:Â 37-119d)</t>
  </si>
  <si>
    <t>Rosario, Argentina</t>
  </si>
  <si>
    <t>174cm</t>
  </si>
  <si>
    <t>MF (AM-CM-DM-WM)</t>
  </si>
  <si>
    <t>Newell's Old Boys</t>
  </si>
  <si>
    <t>Valencia</t>
  </si>
  <si>
    <t>https://www.transfermarkt.com/ever-banega/profil/spieler/12249</t>
  </si>
  <si>
    <t>ever-banega</t>
  </si>
  <si>
    <t>29/06/1988 (37)</t>
  </si>
  <si>
    <t>Rosario</t>
  </si>
  <si>
    <t>ArgentinaÂ Â Spain</t>
  </si>
  <si>
    <t>Newell's</t>
  </si>
  <si>
    <t>21/01/2024</t>
  </si>
  <si>
    <t>31/12/2025</t>
  </si>
  <si>
    <t>Nike</t>
  </si>
  <si>
    <t>ÃÃ±igo LÃ³pez</t>
  </si>
  <si>
    <t>https://fbref.com/en/players/8c61ca86/Inigo-Lopez</t>
  </si>
  <si>
    <t>185cm</t>
  </si>
  <si>
    <t>DF (CB)</t>
  </si>
  <si>
    <t>2010-2011</t>
  </si>
  <si>
    <t>Granada</t>
  </si>
  <si>
    <t>https://www.transfermarkt.com/inigo-lopez/profil/spieler/75238</t>
  </si>
  <si>
    <t>inigo-lopez</t>
  </si>
  <si>
    <t>IÃ±igo LÃ³pez</t>
  </si>
  <si>
    <t>23/07/1982</t>
  </si>
  <si>
    <t>LogroÃ±o</t>
  </si>
  <si>
    <t>Defender - Centre-Back</t>
  </si>
  <si>
    <t>UD Sanse</t>
  </si>
  <si>
    <t>29/08/2010</t>
  </si>
  <si>
    <t>ÃdÃ¡m PintÃ©r</t>
  </si>
  <si>
    <t>hu HUN</t>
  </si>
  <si>
    <t>https://fbref.com/en/players/fdbcd938/Adam-Pinter</t>
  </si>
  <si>
    <t>190cm</t>
  </si>
  <si>
    <t>Hungary</t>
  </si>
  <si>
    <t>DF-MF (CB-DM)</t>
  </si>
  <si>
    <t>MTK Budapest</t>
  </si>
  <si>
    <t>https://www.transfermarkt.com/adam-pinter/profil/spieler/63209</t>
  </si>
  <si>
    <t>adam-pinter</t>
  </si>
  <si>
    <t>Balassagyarmat</t>
  </si>
  <si>
    <t>29/07/2006</t>
  </si>
  <si>
    <t>Nemzeti BajnoksÃ¡g</t>
  </si>
  <si>
    <t>2.Bundesliga</t>
  </si>
  <si>
    <t>Ãlex BergantiÃ±os</t>
  </si>
  <si>
    <t>https://fbref.com/en/players/65ea8868/Alex-Bergantinos</t>
  </si>
  <si>
    <t>MF (DM)</t>
  </si>
  <si>
    <t>2009-2010</t>
  </si>
  <si>
    <t>Xerez</t>
  </si>
  <si>
    <t>https://www.transfermarkt.com/alex-bergantinos/profil/spieler/72189</t>
  </si>
  <si>
    <t>alex-bergantinos</t>
  </si>
  <si>
    <t>A CoruÃ±a</t>
  </si>
  <si>
    <t>Midfield - Defensive Midfield</t>
  </si>
  <si>
    <t>Dep. La CoruÃ±a</t>
  </si>
  <si>
    <t>14/09/2008</t>
  </si>
  <si>
    <t>Ãlex FernÃ¡ndez</t>
  </si>
  <si>
    <t>https://fbref.com/en/players/aa677a35/Alex-Fernandez</t>
  </si>
  <si>
    <t>October 15, 1992 (Age:Â 33-011d)</t>
  </si>
  <si>
    <t>Madrid, Spain</t>
  </si>
  <si>
    <t>DF-MF (AM-CM-DM)</t>
  </si>
  <si>
    <t>CÃ¡diz</t>
  </si>
  <si>
    <t>Real Madrid</t>
  </si>
  <si>
    <t>https://www.transfermarkt.com/alex-fernandez/profil/spieler/89733</t>
  </si>
  <si>
    <t>alex-fernandez</t>
  </si>
  <si>
    <t>15/10/1992</t>
  </si>
  <si>
    <t>AlcalÃ¡ de Henares</t>
  </si>
  <si>
    <t>CÃ¡diz CF</t>
  </si>
  <si>
    <t>17/08/2012</t>
  </si>
  <si>
    <t>Ãlex GÃ¡lvez</t>
  </si>
  <si>
    <t>https://fbref.com/en/players/960fb42d/Alex-Galvez</t>
  </si>
  <si>
    <t>188cm</t>
  </si>
  <si>
    <t>2011-2012</t>
  </si>
  <si>
    <t>Sporting GijÃ³n</t>
  </si>
  <si>
    <t>https://www.transfermarkt.com/alejandro-galvez/profil/spieler/128488</t>
  </si>
  <si>
    <t>alejandro-galvez</t>
  </si>
  <si>
    <t>Alejandro GÃ¡lvez</t>
  </si>
  <si>
    <t>06/06/1989 (36)</t>
  </si>
  <si>
    <t>Armilla</t>
  </si>
  <si>
    <t>15/01/2012</t>
  </si>
  <si>
    <t>Ãlex LÃ³pez</t>
  </si>
  <si>
    <t>https://fbref.com/en/players/30b44896/Alex-Lopez</t>
  </si>
  <si>
    <t>MF (CM-DM)</t>
  </si>
  <si>
    <t>Celta Vigo</t>
  </si>
  <si>
    <t>https://www.transfermarkt.com/alex-lopez/profil/spieler/127457</t>
  </si>
  <si>
    <t>alex-lopez</t>
  </si>
  <si>
    <t>Ferrol</t>
  </si>
  <si>
    <t>Racing Ferrol</t>
  </si>
  <si>
    <t>18/08/2012</t>
  </si>
  <si>
    <t>15/05/2005</t>
  </si>
  <si>
    <t>Ãlex MartÃ­nez</t>
  </si>
  <si>
    <t>https://fbref.com/en/players/e1c805cf/Alex-Martinez</t>
  </si>
  <si>
    <t>176cm</t>
  </si>
  <si>
    <t>DF-MF (FB, left)</t>
  </si>
  <si>
    <t>Left</t>
  </si>
  <si>
    <t>Betis</t>
  </si>
  <si>
    <t>https://www.transfermarkt.com/alex-martinez/profil/spieler/186891</t>
  </si>
  <si>
    <t>alex-martinez</t>
  </si>
  <si>
    <t>Sevilla</t>
  </si>
  <si>
    <t>Marbella FC</t>
  </si>
  <si>
    <t>27/08/2011</t>
  </si>
  <si>
    <t>Ãlex MenÃ©ndez</t>
  </si>
  <si>
    <t>https://fbref.com/en/players/ddab8ee4/Alex-Menendez</t>
  </si>
  <si>
    <t>July 15, 1991 (Age:Â 34-103d)</t>
  </si>
  <si>
    <t>GijÃ³n, Spain</t>
  </si>
  <si>
    <t>UP Langreo</t>
  </si>
  <si>
    <t>https://www.transfermarkt.com/alex-menendez/profil/spieler/175921</t>
  </si>
  <si>
    <t>alex-menendez</t>
  </si>
  <si>
    <t>15/07/1991</t>
  </si>
  <si>
    <t>GijÃ³n</t>
  </si>
  <si>
    <t>26/01/2013</t>
  </si>
  <si>
    <t>Ãlex Moreno</t>
  </si>
  <si>
    <t>https://fbref.com/en/players/16e9d0ea/Alex-Moreno</t>
  </si>
  <si>
    <t>June 8, 1993 (Age:Â 32-140d)</t>
  </si>
  <si>
    <t>Sant SadurnÃ­ d'Anoia, Spain</t>
  </si>
  <si>
    <t>179cm</t>
  </si>
  <si>
    <t>DF-MF (FB-WM, left)</t>
  </si>
  <si>
    <t>Girona</t>
  </si>
  <si>
    <t>2013-2014</t>
  </si>
  <si>
    <t>https://www.transfermarkt.com/alex-moreno/profil/spieler/193098</t>
  </si>
  <si>
    <t>alex-moreno</t>
  </si>
  <si>
    <t>08/06/1993 (32)</t>
  </si>
  <si>
    <t>Vilafranca Del PenedÃ¨s</t>
  </si>
  <si>
    <t>22/08/2025</t>
  </si>
  <si>
    <t>14/09/2014</t>
  </si>
  <si>
    <t>18/08/2013</t>
  </si>
  <si>
    <t>Ãlex PÃ©rez</t>
  </si>
  <si>
    <t>https://fbref.com/en/players/8dac6f70/Alex-Perez</t>
  </si>
  <si>
    <t>191cm</t>
  </si>
  <si>
    <t>https://www.transfermarkt.com/alex-perez/profil/spieler/167830</t>
  </si>
  <si>
    <t>alex-perez</t>
  </si>
  <si>
    <t>CD Lugo</t>
  </si>
  <si>
    <t>Ãlex Rubio</t>
  </si>
  <si>
    <t>https://fbref.com/en/players/c8c36c4f/Alex-Rubio</t>
  </si>
  <si>
    <t>FW-MF (WM)</t>
  </si>
  <si>
    <t>https://www.transfermarkt.com/alex-rubio/profil/spieler/221658</t>
  </si>
  <si>
    <t>alex-rubio</t>
  </si>
  <si>
    <t>23/07/1993 (32)</t>
  </si>
  <si>
    <t>San Fernando</t>
  </si>
  <si>
    <t>Tomares</t>
  </si>
  <si>
    <t>Ãlvaro Arbeloa</t>
  </si>
  <si>
    <t>https://fbref.com/en/players/6dc73abd/Alvaro-Arbeloa</t>
  </si>
  <si>
    <t>DF (FB, right)</t>
  </si>
  <si>
    <t>https://www.transfermarkt.com/alvaro-arbeloa/profil/spieler/28260</t>
  </si>
  <si>
    <t>alvaro-arbeloa</t>
  </si>
  <si>
    <t>17/01/1983 (42)</t>
  </si>
  <si>
    <t>West Ham</t>
  </si>
  <si>
    <t>16/10/2004</t>
  </si>
  <si>
    <t>27/08/2005</t>
  </si>
  <si>
    <t>Ãlvaro Arroyo</t>
  </si>
  <si>
    <t>https://fbref.com/en/players/b2fa39c5/Alvaro-Arroyo</t>
  </si>
  <si>
    <t>DF (CB-FB)</t>
  </si>
  <si>
    <t>https://www.transfermarkt.com/alvaro-arroyo/profil/spieler/138662</t>
  </si>
  <si>
    <t>alvaro-arroyo</t>
  </si>
  <si>
    <t>22/07/1988 (37)</t>
  </si>
  <si>
    <t>Albacete</t>
  </si>
  <si>
    <t>Ãlvaro Cejudo</t>
  </si>
  <si>
    <t>https://fbref.com/en/players/a39b23eb/Alvaro-Cejudo</t>
  </si>
  <si>
    <t>Las Palmas</t>
  </si>
  <si>
    <t>https://www.transfermarkt.com/alvaro-cejudo/profil/spieler/72779</t>
  </si>
  <si>
    <t>alvaro-cejudo</t>
  </si>
  <si>
    <t>29/01/1984 (41)</t>
  </si>
  <si>
    <t>Puente Genil</t>
  </si>
  <si>
    <t>Attack - Second Striker</t>
  </si>
  <si>
    <t>Racing</t>
  </si>
  <si>
    <t>29/08/2009</t>
  </si>
  <si>
    <t>Ãlvaro DomÃ­nguez</t>
  </si>
  <si>
    <t>https://fbref.com/en/players/cd0a9411/Alvaro-Dominguez</t>
  </si>
  <si>
    <t>189cm</t>
  </si>
  <si>
    <t>DF (CB-FB, left)</t>
  </si>
  <si>
    <t>https://www.transfermarkt.com/alvaro-dominguez/profil/spieler/62915</t>
  </si>
  <si>
    <t>alvaro-dominguez</t>
  </si>
  <si>
    <t>16/05/1989</t>
  </si>
  <si>
    <t>MÃ¶nchengladbach</t>
  </si>
  <si>
    <t>26/10/2008</t>
  </si>
  <si>
    <t>Ãlvaro GarcÃ­a</t>
  </si>
  <si>
    <t>https://fbref.com/en/players/90bbd822/Alvaro-Garcia</t>
  </si>
  <si>
    <t>October 27, 1992 (Age:Â 32-364d)</t>
  </si>
  <si>
    <t>Utrera, Spain</t>
  </si>
  <si>
    <t>168cm</t>
  </si>
  <si>
    <t>FW-MF (AM-WM, left)</t>
  </si>
  <si>
    <t>https://www.transfermarkt.com/alvaro-garcia/profil/spieler/257062</t>
  </si>
  <si>
    <t>alvaro-garcia</t>
  </si>
  <si>
    <t>27/10/1992</t>
  </si>
  <si>
    <t>Utrera</t>
  </si>
  <si>
    <t>Attack - Left Winger</t>
  </si>
  <si>
    <t>both</t>
  </si>
  <si>
    <t>23/08/2018</t>
  </si>
  <si>
    <t>30/06/2028</t>
  </si>
  <si>
    <t>Puma</t>
  </si>
  <si>
    <t>Ãlvaro GimÃ©nez</t>
  </si>
  <si>
    <t>https://fbref.com/en/players/18017beb/Alvaro-Gimenez</t>
  </si>
  <si>
    <t>May 19, 1991 (Age:Â 34-160d)</t>
  </si>
  <si>
    <t>Elche, Spain</t>
  </si>
  <si>
    <t>182cm</t>
  </si>
  <si>
    <t>FW-MF</t>
  </si>
  <si>
    <t>Elche</t>
  </si>
  <si>
    <t>https://www.transfermarkt.com/alvaro-gimenez/profil/spieler/57935</t>
  </si>
  <si>
    <t>alvaro-gimenez</t>
  </si>
  <si>
    <t>19/05/1991</t>
  </si>
  <si>
    <t>25/07/2023</t>
  </si>
  <si>
    <t>29/10/2011</t>
  </si>
  <si>
    <t>22/09/2007</t>
  </si>
  <si>
    <t>Ãlvaro GonzÃ¡lez</t>
  </si>
  <si>
    <t>https://fbref.com/en/players/42dcf26d/Alvaro-Gonzalez</t>
  </si>
  <si>
    <t>January 8, 1990 (Age:Â 35-291d)</t>
  </si>
  <si>
    <t>Potes, Spain</t>
  </si>
  <si>
    <t>183cm</t>
  </si>
  <si>
    <t>DF (CB, right)</t>
  </si>
  <si>
    <t>Johor Darul Ta'zim FC</t>
  </si>
  <si>
    <t>Racing Sant</t>
  </si>
  <si>
    <t>https://www.transfermarkt.com/alvaro-gonzalez/profil/spieler/183647</t>
  </si>
  <si>
    <t>alvaro-gonzalez</t>
  </si>
  <si>
    <t>Potes</t>
  </si>
  <si>
    <t>CD Tenerife</t>
  </si>
  <si>
    <t>17/08/2013</t>
  </si>
  <si>
    <t>Ãlvaro MedrÃ¡n</t>
  </si>
  <si>
    <t>https://fbref.com/en/players/31223bcf/Alvaro-Medran</t>
  </si>
  <si>
    <t>March 15, 1994 (Age:Â 31-225d)</t>
  </si>
  <si>
    <t>Dos Torres, Spain</t>
  </si>
  <si>
    <t>Al-Ettifaq</t>
  </si>
  <si>
    <t>https://www.transfermarkt.com/alvaro-medran/profil/spieler/253839</t>
  </si>
  <si>
    <t>alvaro-medran</t>
  </si>
  <si>
    <t>15/03/1994</t>
  </si>
  <si>
    <t>Dos Torres (CÃ³rdoba)</t>
  </si>
  <si>
    <t>26/01/2024</t>
  </si>
  <si>
    <t>18/10/2014</t>
  </si>
  <si>
    <t>23/02/2014</t>
  </si>
  <si>
    <t>Ãlvaro Morata</t>
  </si>
  <si>
    <t>https://fbref.com/en/players/129af0db/Alvaro-Morata</t>
  </si>
  <si>
    <t>October 23, 1992 (Age:Â 33-003d)</t>
  </si>
  <si>
    <t>FW</t>
  </si>
  <si>
    <t>Como</t>
  </si>
  <si>
    <t>https://www.transfermarkt.com/alvaro-morata/profil/spieler/128223</t>
  </si>
  <si>
    <t>alvaro-morata</t>
  </si>
  <si>
    <t>23/10/1992 (33)</t>
  </si>
  <si>
    <t>adidas</t>
  </si>
  <si>
    <t>Ãlvaro Negredo</t>
  </si>
  <si>
    <t>https://fbref.com/en/players/63b0ca6b/Alvaro-Negredo</t>
  </si>
  <si>
    <t>https://www.transfermarkt.com/alvaro-negredo/profil/spieler/18644</t>
  </si>
  <si>
    <t>alvaro-negredo</t>
  </si>
  <si>
    <t>20/08/1985 (40)</t>
  </si>
  <si>
    <t>New Balance</t>
  </si>
  <si>
    <t>26/08/2007</t>
  </si>
  <si>
    <t>27/11/2005</t>
  </si>
  <si>
    <t>Ãlvaro Rubio</t>
  </si>
  <si>
    <t>https://fbref.com/en/players/149770b8/Alvaro-Rubio</t>
  </si>
  <si>
    <t>DF-MF (CM-DM)</t>
  </si>
  <si>
    <t>https://www.transfermarkt.com/alvaro-rubio/profil/spieler/8323</t>
  </si>
  <si>
    <t>alvaro-rubio</t>
  </si>
  <si>
    <t>18/04/1979 (46)</t>
  </si>
  <si>
    <t>Bengaluru FC</t>
  </si>
  <si>
    <t>26/10/2003</t>
  </si>
  <si>
    <t>LaLiga2</t>
  </si>
  <si>
    <t>Ãlvaro VÃ¡zquez</t>
  </si>
  <si>
    <t>https://fbref.com/en/players/d2d8675a/Alvaro-Vazquez</t>
  </si>
  <si>
    <t>https://www.transfermarkt.com/alvaro-vazquez/profil/spieler/141835</t>
  </si>
  <si>
    <t>alvaro-vazquez</t>
  </si>
  <si>
    <t>27/04/1991</t>
  </si>
  <si>
    <t>Badalona</t>
  </si>
  <si>
    <t>Arenas Club</t>
  </si>
  <si>
    <t>27/08/2025</t>
  </si>
  <si>
    <t>21/09/2010</t>
  </si>
  <si>
    <t>26/08/2016</t>
  </si>
  <si>
    <t>Ãlvaro Vadillo</t>
  </si>
  <si>
    <t>https://fbref.com/en/players/61b62b33/Alvaro-Vadillo</t>
  </si>
  <si>
    <t>https://www.transfermarkt.com/alvaro-vadillo/profil/spieler/162074</t>
  </si>
  <si>
    <t>alvaro-vadillo</t>
  </si>
  <si>
    <t>12/09/1994 (31)</t>
  </si>
  <si>
    <t>Puerto Real</t>
  </si>
  <si>
    <t>Without Club</t>
  </si>
  <si>
    <t>21/02/2015</t>
  </si>
  <si>
    <t>Ãngel Dealbert</t>
  </si>
  <si>
    <t>https://fbref.com/en/players/8242a7ad/Angel-Dealbert</t>
  </si>
  <si>
    <t>CastellÃ³n</t>
  </si>
  <si>
    <t>https://www.transfermarkt.com/angel-dealbert/profil/spieler/51420</t>
  </si>
  <si>
    <t>angel-dealbert</t>
  </si>
  <si>
    <t>01/01/1983 (42)</t>
  </si>
  <si>
    <t>Benlloch</t>
  </si>
  <si>
    <t>22/12/2005</t>
  </si>
  <si>
    <t>Ãngel Di MarÃ­a</t>
  </si>
  <si>
    <t>https://fbref.com/en/players/19cda00b/Angel-Di-Maria</t>
  </si>
  <si>
    <t>February 14, 1988 (Age:Â 37-254d)</t>
  </si>
  <si>
    <t>Rosario Central</t>
  </si>
  <si>
    <t>Benfica</t>
  </si>
  <si>
    <t>https://www.transfermarkt.com/angel-di-maria/profil/spieler/45320</t>
  </si>
  <si>
    <t>angel-di-maria</t>
  </si>
  <si>
    <t>14/02/1988</t>
  </si>
  <si>
    <t>Attack - Right Winger</t>
  </si>
  <si>
    <t>15/12/2005</t>
  </si>
  <si>
    <t>Ãngel LÃ³pez</t>
  </si>
  <si>
    <t>https://fbref.com/en/players/93cdc601/Angel-Lopez</t>
  </si>
  <si>
    <t>DF-MF (FB)</t>
  </si>
  <si>
    <t>https://www.transfermarkt.com/angel-lopez/profil/spieler/15500</t>
  </si>
  <si>
    <t>angel-lopez</t>
  </si>
  <si>
    <t>10/03/1981 (44)</t>
  </si>
  <si>
    <t>Las Palmas de Gran Canaria</t>
  </si>
  <si>
    <t>UD Las Palmas</t>
  </si>
  <si>
    <t>23/09/2000</t>
  </si>
  <si>
    <t>29/08/2004</t>
  </si>
  <si>
    <t>Ãngel Lafita</t>
  </si>
  <si>
    <t>https://fbref.com/en/players/0b68c35a/Angel-Lafita</t>
  </si>
  <si>
    <t>Zaragoza</t>
  </si>
  <si>
    <t>https://www.transfermarkt.com/angel-lafita/profil/spieler/35562</t>
  </si>
  <si>
    <t>angel-lafita</t>
  </si>
  <si>
    <t>07/08/1984 (41)</t>
  </si>
  <si>
    <t>Al-Jazira</t>
  </si>
  <si>
    <t>28/08/2005</t>
  </si>
  <si>
    <t>Ãngel RodrÃ­guez</t>
  </si>
  <si>
    <t>https://fbref.com/en/players/8cfc2f69/Angel-Rodriguez</t>
  </si>
  <si>
    <t>April 26, 1987 (Age:Â 38-183d)</t>
  </si>
  <si>
    <t>Santa Cruz de Tenerife, Spain</t>
  </si>
  <si>
    <t>172cm</t>
  </si>
  <si>
    <t>Tenerife</t>
  </si>
  <si>
    <t>https://www.transfermarkt.com/angel-rodriguez/profil/spieler/51510</t>
  </si>
  <si>
    <t>angel-rodriguez</t>
  </si>
  <si>
    <t>26/04/1987</t>
  </si>
  <si>
    <t>Santa Cruz de Tenerife</t>
  </si>
  <si>
    <t>15/01/2006</t>
  </si>
  <si>
    <t>Ãngel Trujillo</t>
  </si>
  <si>
    <t>https://fbref.com/en/players/08011c9c/Angel-Trujillo</t>
  </si>
  <si>
    <t>AlmerÃ­a</t>
  </si>
  <si>
    <t>https://www.transfermarkt.com/angel-trujillo/profil/spieler/101742</t>
  </si>
  <si>
    <t>angel-trujillo</t>
  </si>
  <si>
    <t>08/09/1987 (38)</t>
  </si>
  <si>
    <t>UD AlmerÃ­a</t>
  </si>
  <si>
    <t>18/03/2012</t>
  </si>
  <si>
    <t>AarÃ³n Ã‘Ã­guez</t>
  </si>
  <si>
    <t>https://fbref.com/en/players/5d720396/Aaron-Niguez</t>
  </si>
  <si>
    <t>170cm</t>
  </si>
  <si>
    <t>https://www.transfermarkt.com/aaron-niguez/profil/spieler/57943</t>
  </si>
  <si>
    <t>aaron-niguez</t>
  </si>
  <si>
    <t>26/04/1989</t>
  </si>
  <si>
    <t>Eldense</t>
  </si>
  <si>
    <t>25/08/2007</t>
  </si>
  <si>
    <t>AbdÃ³n Prats</t>
  </si>
  <si>
    <t>https://fbref.com/en/players/d1b060e2/Abdon-Prats</t>
  </si>
  <si>
    <t>December 7, 1992 (Age:Â 32-323d)</t>
  </si>
  <si>
    <t>ArtÃ , Spain</t>
  </si>
  <si>
    <t>https://www.transfermarkt.com/abdon-prats/profil/spieler/177452</t>
  </si>
  <si>
    <t>abdon-prats</t>
  </si>
  <si>
    <t>ArtÃ </t>
  </si>
  <si>
    <t>RCD Mallorca</t>
  </si>
  <si>
    <t>28/04/2012</t>
  </si>
  <si>
    <t>31/08/2014</t>
  </si>
  <si>
    <t>Abdelaziz Barrada</t>
  </si>
  <si>
    <t>ma MAR</t>
  </si>
  <si>
    <t>https://fbref.com/en/players/89dac314/Abdelaziz-Barrada</t>
  </si>
  <si>
    <t>Morocco ma Â Other:Â France</t>
  </si>
  <si>
    <t>MF (CM)</t>
  </si>
  <si>
    <t>https://www.transfermarkt.com/abdelaziz-barrada/profil/spieler/93664</t>
  </si>
  <si>
    <t>abdelaziz-barrada</t>
  </si>
  <si>
    <t>19/06/1989</t>
  </si>
  <si>
    <t>Provins</t>
  </si>
  <si>
    <t>MoroccoÂ Â France</t>
  </si>
  <si>
    <t>23/08/2014</t>
  </si>
  <si>
    <t>27/01/2019</t>
  </si>
  <si>
    <t>24.10.2024</t>
  </si>
  <si>
    <t>Abdelkader Ghezzal</t>
  </si>
  <si>
    <t>dz ALG</t>
  </si>
  <si>
    <t>https://fbref.com/en/players/9152a181/Abdelkader-Ghezzal</t>
  </si>
  <si>
    <t>Algeria dz Â Other:Â France</t>
  </si>
  <si>
    <t>Crotone</t>
  </si>
  <si>
    <t>https://www.transfermarkt.com/abdelkader-ghezzal/profil/spieler/76406</t>
  </si>
  <si>
    <t>abdelkader-ghezzal</t>
  </si>
  <si>
    <t>DÃ©cines-Charpieu</t>
  </si>
  <si>
    <t>AlgeriaÂ Â France</t>
  </si>
  <si>
    <t>Serie A</t>
  </si>
  <si>
    <t>16/09/2005</t>
  </si>
  <si>
    <t>Serie B</t>
  </si>
  <si>
    <t>Abdelkader Oueslati</t>
  </si>
  <si>
    <t>tn TUN</t>
  </si>
  <si>
    <t>https://fbref.com/en/players/dc90d163/Abdelkader-Oueslati</t>
  </si>
  <si>
    <t>Tunisia tn Â Other:Â France</t>
  </si>
  <si>
    <t>DF-FW-MF (DM-WM)</t>
  </si>
  <si>
    <t>https://www.transfermarkt.com/abdelkader-oueslati/profil/spieler/220805</t>
  </si>
  <si>
    <t>abdelkader-oueslati</t>
  </si>
  <si>
    <t>Ollioules</t>
  </si>
  <si>
    <t>TunisiaÂ Â France</t>
  </si>
  <si>
    <t>Midfield - Right Midfield</t>
  </si>
  <si>
    <t>Abdoul Sissoko</t>
  </si>
  <si>
    <t>https://fbref.com/en/players/f7288611/Abdoul-Sissoko</t>
  </si>
  <si>
    <t>Troyes</t>
  </si>
  <si>
    <t>https://www.transfermarkt.com/abdoul-wahid-sissoko/profil/spieler/83368</t>
  </si>
  <si>
    <t>abdoul-wahid-sissoko</t>
  </si>
  <si>
    <t>Abdoul Wahid Sissoko</t>
  </si>
  <si>
    <t>20/03/1990 (35)</t>
  </si>
  <si>
    <t>MaliÂ Â France</t>
  </si>
  <si>
    <t>Abdoulay Konko</t>
  </si>
  <si>
    <t>https://fbref.com/en/players/43857861/Abdoulay-Konko</t>
  </si>
  <si>
    <t>DF-MF (FB, right)</t>
  </si>
  <si>
    <t>https://www.transfermarkt.com/abdoulay-konko/profil/spieler/22139</t>
  </si>
  <si>
    <t>abdoulay-konko</t>
  </si>
  <si>
    <t>Marseille</t>
  </si>
  <si>
    <t>FranceÂ Â Morocco</t>
  </si>
  <si>
    <t>Atalanta</t>
  </si>
  <si>
    <t>Abdoulaye Ba</t>
  </si>
  <si>
    <t>sn SEN</t>
  </si>
  <si>
    <t>https://fbref.com/en/players/1f54ed90/Abdoulaye-Ba</t>
  </si>
  <si>
    <t>197cm</t>
  </si>
  <si>
    <t>Senegal</t>
  </si>
  <si>
    <t>AcadÃ©mica</t>
  </si>
  <si>
    <t>https://www.transfermarkt.com/abdoulaye-ba/profil/spieler/106837</t>
  </si>
  <si>
    <t>abdoulaye-ba</t>
  </si>
  <si>
    <t>St. Louis</t>
  </si>
  <si>
    <t>SenegalÂ Â Portugal</t>
  </si>
  <si>
    <t>15/08/2011</t>
  </si>
  <si>
    <t>Liga Portugal</t>
  </si>
  <si>
    <t>28/08/2010</t>
  </si>
  <si>
    <t>Ledman Liga Pro</t>
  </si>
  <si>
    <t>Abel Aguilar</t>
  </si>
  <si>
    <t>co COL</t>
  </si>
  <si>
    <t>https://fbref.com/en/players/6936b41b/Abel-Aguilar</t>
  </si>
  <si>
    <t>Colombia</t>
  </si>
  <si>
    <t>Udinese</t>
  </si>
  <si>
    <t>https://www.transfermarkt.com/abel-aguilar/profil/spieler/37388</t>
  </si>
  <si>
    <t>abel-aguilar</t>
  </si>
  <si>
    <t>Santiago de Cali</t>
  </si>
  <si>
    <t>UniÃ³n Magdalena</t>
  </si>
  <si>
    <t>19/02/2020</t>
  </si>
  <si>
    <t>21/01/2007</t>
  </si>
  <si>
    <t>Abel GÃ³mez Moreno</t>
  </si>
  <si>
    <t>https://fbref.com/en/players/b09801d8/Abel-Gomez-Moreno</t>
  </si>
  <si>
    <t>MÃ¡laga B</t>
  </si>
  <si>
    <t>https://www.transfermarkt.com/abel-gomez/profil/spieler/29065</t>
  </si>
  <si>
    <t>abel-gomez</t>
  </si>
  <si>
    <t>Abel GÃ³mez</t>
  </si>
  <si>
    <t>20/02/1982</t>
  </si>
  <si>
    <t>At. SanluqueÃ±o</t>
  </si>
  <si>
    <t>22/01/2019</t>
  </si>
  <si>
    <t>16/09/2007</t>
  </si>
  <si>
    <t>Abraham GonzÃ¡lez</t>
  </si>
  <si>
    <t>https://fbref.com/en/players/682bd745/Abraham-Gonzalez</t>
  </si>
  <si>
    <t>Both</t>
  </si>
  <si>
    <t>Terrassa</t>
  </si>
  <si>
    <t>https://www.transfermarkt.com/abraham-gonzalez/profil/spieler/65243</t>
  </si>
  <si>
    <t>abraham-gonzalez</t>
  </si>
  <si>
    <t>16/07/1985</t>
  </si>
  <si>
    <t>Barcelona</t>
  </si>
  <si>
    <t>Akritas Chlor.</t>
  </si>
  <si>
    <t>30/05/2009</t>
  </si>
  <si>
    <t>Abraham Minero</t>
  </si>
  <si>
    <t>https://fbref.com/en/players/ce2c56fc/Abraham-Minero</t>
  </si>
  <si>
    <t>Barcelona B</t>
  </si>
  <si>
    <t>https://www.transfermarkt.com/abraham-minero/profil/spieler/95483</t>
  </si>
  <si>
    <t>abraham-minero</t>
  </si>
  <si>
    <t>22/02/1986</t>
  </si>
  <si>
    <t>Granollers</t>
  </si>
  <si>
    <t>28/08/2011</t>
  </si>
  <si>
    <t>Abraham Paz</t>
  </si>
  <si>
    <t>https://fbref.com/en/players/15ec0042/Abraham-Paz</t>
  </si>
  <si>
    <t>2003-2004</t>
  </si>
  <si>
    <t>https://www.transfermarkt.com/abraham-paz/profil/spieler/29137</t>
  </si>
  <si>
    <t>abraham-paz</t>
  </si>
  <si>
    <t>29/06/1979</t>
  </si>
  <si>
    <t>El Puerto de Santa MarÃ­a</t>
  </si>
  <si>
    <t>St Joseph's FC</t>
  </si>
  <si>
    <t>Adama TraorÃ©</t>
  </si>
  <si>
    <t>https://fbref.com/en/players/9a28eba4/Adama-Traore</t>
  </si>
  <si>
    <t>January 25, 1996 (Age:Â 29-274d)</t>
  </si>
  <si>
    <t>l'Hospitalet de Llobregat, Spain</t>
  </si>
  <si>
    <t>Spain es Â Other:Â Mali</t>
  </si>
  <si>
    <t>FW-MF (AM-WM, right)</t>
  </si>
  <si>
    <t>Fulham</t>
  </si>
  <si>
    <t>https://www.transfermarkt.com/adama-traore/profil/spieler/204103</t>
  </si>
  <si>
    <t>adama-traore</t>
  </si>
  <si>
    <t>25/01/1996</t>
  </si>
  <si>
    <t>L'Hospitalet de Llobregat</t>
  </si>
  <si>
    <t>SpainÂ Â Mali</t>
  </si>
  <si>
    <t>23/11/2013</t>
  </si>
  <si>
    <t>Adil Rami</t>
  </si>
  <si>
    <t>https://fbref.com/en/players/8dbff17c/Adil-Rami</t>
  </si>
  <si>
    <t>Lille</t>
  </si>
  <si>
    <t>https://www.transfermarkt.com/adil-rami/profil/spieler/51118</t>
  </si>
  <si>
    <t>adil-rami</t>
  </si>
  <si>
    <t>27/12/1985</t>
  </si>
  <si>
    <t>Bastia</t>
  </si>
  <si>
    <t>19/05/2007</t>
  </si>
  <si>
    <t>Adri Embarba</t>
  </si>
  <si>
    <t>https://fbref.com/en/players/db8f0eba/Adri-Embarba</t>
  </si>
  <si>
    <t>May 7, 1992 (Age:Â 33-172d)</t>
  </si>
  <si>
    <t>173cm</t>
  </si>
  <si>
    <t>https://www.transfermarkt.com/adrian-embarba/profil/spieler/288318</t>
  </si>
  <si>
    <t>adrian-embarba</t>
  </si>
  <si>
    <t>AdriÃ¡n Embarba</t>
  </si>
  <si>
    <t>07/05/1992 (33)</t>
  </si>
  <si>
    <t>24/08/2022</t>
  </si>
  <si>
    <t>30/08/2013</t>
  </si>
  <si>
    <t>20/08/2016</t>
  </si>
  <si>
    <t>AdriÃ  Carmona</t>
  </si>
  <si>
    <t>https://fbref.com/en/players/9e95dc9e/Adria-Carmona</t>
  </si>
  <si>
    <t>https://www.transfermarkt.com/adria-carmona/profil/spieler/73858</t>
  </si>
  <si>
    <t>adria-carmona</t>
  </si>
  <si>
    <t>Igualada</t>
  </si>
  <si>
    <t>CE L'Hospitalet</t>
  </si>
  <si>
    <t>16/02/2013</t>
  </si>
  <si>
    <t>AdriÃ¡n</t>
  </si>
  <si>
    <t>https://fbref.com/en/players/f76e6b4e/Adrian</t>
  </si>
  <si>
    <t>January 3, 1987 (Age:Â 38-296d)</t>
  </si>
  <si>
    <t>Sevilla, Spain</t>
  </si>
  <si>
    <t>Real Betis</t>
  </si>
  <si>
    <t>https://www.transfermarkt.com/adrian/profil/spieler/71271</t>
  </si>
  <si>
    <t>adrian</t>
  </si>
  <si>
    <t>03/01/1987 (38)</t>
  </si>
  <si>
    <t>29/09/2012</t>
  </si>
  <si>
    <t>AdriÃ¡n Colunga</t>
  </si>
  <si>
    <t>https://fbref.com/en/players/2212dd4e/Adrian-Colunga</t>
  </si>
  <si>
    <t>https://www.transfermarkt.com/adrian-colunga/profil/spieler/57866</t>
  </si>
  <si>
    <t>adrian-colunga</t>
  </si>
  <si>
    <t>17/11/1984</t>
  </si>
  <si>
    <t>Oviedo</t>
  </si>
  <si>
    <t>FC Goa</t>
  </si>
  <si>
    <t>29/01/2018</t>
  </si>
  <si>
    <t>31/08/2008</t>
  </si>
  <si>
    <t>AdriÃ¡n GonzÃ¡lez</t>
  </si>
  <si>
    <t>https://fbref.com/en/players/57ebd662/Adrian-Gonzalez</t>
  </si>
  <si>
    <t>MF (AM-CM)</t>
  </si>
  <si>
    <t>https://www.transfermarkt.com/adrian-gonzalez/profil/spieler/44073</t>
  </si>
  <si>
    <t>adrian-gonzalez</t>
  </si>
  <si>
    <t>25/05/1988</t>
  </si>
  <si>
    <t>CF Fuenlabrada</t>
  </si>
  <si>
    <t>27/08/2006</t>
  </si>
  <si>
    <t>AdriÃ¡n Gunino</t>
  </si>
  <si>
    <t>uy URU</t>
  </si>
  <si>
    <t>https://fbref.com/en/players/05652d7c/Adrian-Gunino</t>
  </si>
  <si>
    <t>167cm</t>
  </si>
  <si>
    <t>Uruguay</t>
  </si>
  <si>
    <t>Toulouse</t>
  </si>
  <si>
    <t>https://www.transfermarkt.com/adrian-gunino/profil/spieler/76699</t>
  </si>
  <si>
    <t>adrian-gunino</t>
  </si>
  <si>
    <t>Montevideo</t>
  </si>
  <si>
    <t>CA FÃ©nix</t>
  </si>
  <si>
    <t>Primera DivisiÃ³n Clausura</t>
  </si>
  <si>
    <t>AdriÃ¡n LÃ³pez</t>
  </si>
  <si>
    <t>https://fbref.com/en/players/88a359d4/Adrian-Lopez</t>
  </si>
  <si>
    <t>La CoruÃ±a</t>
  </si>
  <si>
    <t>https://www.transfermarkt.com/adrian-lopez/profil/spieler/45383</t>
  </si>
  <si>
    <t>adrian-lopez</t>
  </si>
  <si>
    <t>San MartÃ­n de Teverga</t>
  </si>
  <si>
    <t>MÃ¡laga CF</t>
  </si>
  <si>
    <t>29/10/2006</t>
  </si>
  <si>
    <t>13/04/2008</t>
  </si>
  <si>
    <t>AdriÃ¡n Lois</t>
  </si>
  <si>
    <t>https://fbref.com/en/players/4337da46/Adrian-Lois</t>
  </si>
  <si>
    <t>MF</t>
  </si>
  <si>
    <t>Levante</t>
  </si>
  <si>
    <t>https://www.transfermarkt.com/adrian-lois/profil/spieler/152985</t>
  </si>
  <si>
    <t>adrian-lois</t>
  </si>
  <si>
    <t>Torrent</t>
  </si>
  <si>
    <t>19/02/2011</t>
  </si>
  <si>
    <t>19/06/2010</t>
  </si>
  <si>
    <t>AdriÃ¡n MarÃ­n</t>
  </si>
  <si>
    <t>https://fbref.com/en/players/b7f2edff/Adrian-Marin</t>
  </si>
  <si>
    <t>January 9, 1997 (Age:Â 28-290d)</t>
  </si>
  <si>
    <t>Torre-Pacheco, Spain</t>
  </si>
  <si>
    <t>Orlando City SC</t>
  </si>
  <si>
    <t>2014-2015</t>
  </si>
  <si>
    <t>Villarreal</t>
  </si>
  <si>
    <t>https://www.transfermarkt.com/adrian-marin/profil/spieler/295414</t>
  </si>
  <si>
    <t>adrian-marin</t>
  </si>
  <si>
    <t>Torre-Pacheco</t>
  </si>
  <si>
    <t>Orlando</t>
  </si>
  <si>
    <t>AdriÃ¡n Sardinero</t>
  </si>
  <si>
    <t>https://fbref.com/en/players/51e9bb3f/Adrian-Sardinero</t>
  </si>
  <si>
    <t>https://www.transfermarkt.com/adrian-sardinero/profil/spieler/125870</t>
  </si>
  <si>
    <t>adrian-sardinero</t>
  </si>
  <si>
    <t>13/10/1990</t>
  </si>
  <si>
    <t>Kannur Warriors</t>
  </si>
  <si>
    <t>14/11/2010</t>
  </si>
  <si>
    <t>Adriano</t>
  </si>
  <si>
    <t>br BRA</t>
  </si>
  <si>
    <t>https://fbref.com/en/players/9d8586c4/Adriano</t>
  </si>
  <si>
    <t>Brazil</t>
  </si>
  <si>
    <t>https://www.transfermarkt.com/adriano/profil/spieler/34495</t>
  </si>
  <si>
    <t>adriano</t>
  </si>
  <si>
    <t>26/10/1984</t>
  </si>
  <si>
    <t>Curitiba</t>
  </si>
  <si>
    <t>BrazilÂ Â Spain</t>
  </si>
  <si>
    <t>KAS Eupen</t>
  </si>
  <si>
    <t>21/08/2002</t>
  </si>
  <si>
    <t>Campeonato Brasileiro SÃ©rie A</t>
  </si>
  <si>
    <t>Ager Aketxe</t>
  </si>
  <si>
    <t>https://fbref.com/en/players/c5eaff5c/Ager-Aketxe</t>
  </si>
  <si>
    <t>December 30, 1993 (Age:Â 31-300d)</t>
  </si>
  <si>
    <t>Bilbao, Spain</t>
  </si>
  <si>
    <t>MF (AM)</t>
  </si>
  <si>
    <t>https://www.transfermarkt.com/ager-aketxe/profil/spieler/158057</t>
  </si>
  <si>
    <t>ager-aketxe</t>
  </si>
  <si>
    <t>30/12/1993</t>
  </si>
  <si>
    <t>Bilbao</t>
  </si>
  <si>
    <t>Johor DT</t>
  </si>
  <si>
    <t>31/08/2025</t>
  </si>
  <si>
    <t>31/05/2026</t>
  </si>
  <si>
    <t>Skechers</t>
  </si>
  <si>
    <t>AgustÃ­n Pastoriza</t>
  </si>
  <si>
    <t>https://fbref.com/en/players/66dd8945/Agustin-Pastoriza</t>
  </si>
  <si>
    <t>(WM)</t>
  </si>
  <si>
    <t>https://www.transfermarkt.com/agustin-pastoriza/profil/spieler/336103</t>
  </si>
  <si>
    <t>agustin-pastoriza</t>
  </si>
  <si>
    <t>31/01/1996</t>
  </si>
  <si>
    <t>AdroguÃ©</t>
  </si>
  <si>
    <t>CyD Leonesa</t>
  </si>
  <si>
    <t>18/05/2014</t>
  </si>
  <si>
    <t>15/08/2025</t>
  </si>
  <si>
    <t>Aitor NÃºÃ±ez</t>
  </si>
  <si>
    <t>https://fbref.com/en/players/511e3986/Aitor-Nunez</t>
  </si>
  <si>
    <t>https://www.transfermarkt.com/aitor-nunez/profil/spieler/71989</t>
  </si>
  <si>
    <t>aitor-nunez</t>
  </si>
  <si>
    <t>Navalcarnero</t>
  </si>
  <si>
    <t>23/09/2009</t>
  </si>
  <si>
    <t>23/04/2011</t>
  </si>
  <si>
    <t>Aitor Ocio</t>
  </si>
  <si>
    <t>https://fbref.com/en/players/f1c8639b/Aitor-Ocio</t>
  </si>
  <si>
    <t>187cm</t>
  </si>
  <si>
    <t>Osasuna</t>
  </si>
  <si>
    <t>https://www.transfermarkt.com/aitor-ocio/profil/spieler/7615</t>
  </si>
  <si>
    <t>aitor-ocio</t>
  </si>
  <si>
    <t>28/11/1976</t>
  </si>
  <si>
    <t>Vitoria-Gasteiz</t>
  </si>
  <si>
    <t>Akihiro Ienaga</t>
  </si>
  <si>
    <t>jp JPN</t>
  </si>
  <si>
    <t>https://fbref.com/en/players/69dab98d/Akihiro-Ienaga</t>
  </si>
  <si>
    <t>June 13, 1986 (Age:Â 39-135d)</t>
  </si>
  <si>
    <t>NagaokakyÅ Shi, Japan</t>
  </si>
  <si>
    <t>Japan</t>
  </si>
  <si>
    <t>Kawasaki Frontale</t>
  </si>
  <si>
    <t>https://www.transfermarkt.com/akihiro-ienaga/profil/spieler/86167</t>
  </si>
  <si>
    <t>akihiro-ienaga</t>
  </si>
  <si>
    <t>13/06/1986</t>
  </si>
  <si>
    <t>Nagaokakyo, Kyoto</t>
  </si>
  <si>
    <t>Kawasaki Front.</t>
  </si>
  <si>
    <t>31/01/2026</t>
  </si>
  <si>
    <t>26/06/2004</t>
  </si>
  <si>
    <t>J1 League - First Stage</t>
  </si>
  <si>
    <t>J2 League</t>
  </si>
  <si>
    <t>Alan Hutton</t>
  </si>
  <si>
    <t>sct SCO</t>
  </si>
  <si>
    <t>https://fbref.com/en/players/688ae34c/Alan-Hutton</t>
  </si>
  <si>
    <t>Scotland sct</t>
  </si>
  <si>
    <t>2002-2003</t>
  </si>
  <si>
    <t>Rangers</t>
  </si>
  <si>
    <t>https://www.transfermarkt.com/alan-hutton/profil/spieler/9619</t>
  </si>
  <si>
    <t>alan-hutton</t>
  </si>
  <si>
    <t>30/11/1984</t>
  </si>
  <si>
    <t>Glasgow</t>
  </si>
  <si>
    <t>Scotland</t>
  </si>
  <si>
    <t>Aston Villa</t>
  </si>
  <si>
    <t>22/12/2002</t>
  </si>
  <si>
    <t>24/11/2012</t>
  </si>
  <si>
    <t>Championship</t>
  </si>
  <si>
    <t>Albert Crusat</t>
  </si>
  <si>
    <t>https://fbref.com/en/players/ba027002/Albert-Crusat</t>
  </si>
  <si>
    <t>165cm</t>
  </si>
  <si>
    <t>https://www.transfermarkt.com/albert-crusat/profil/spieler/51536</t>
  </si>
  <si>
    <t>albert-crusat</t>
  </si>
  <si>
    <t>13/05/1982</t>
  </si>
  <si>
    <t>Bnei Sakhnin</t>
  </si>
  <si>
    <t>Albert Luque</t>
  </si>
  <si>
    <t>https://fbref.com/en/players/80a6b1d8/Albert-Luque</t>
  </si>
  <si>
    <t>FW-MF (WM, left)</t>
  </si>
  <si>
    <t>1998-1999</t>
  </si>
  <si>
    <t>https://www.transfermarkt.com/albert-luque/profil/spieler/7506</t>
  </si>
  <si>
    <t>albert-luque</t>
  </si>
  <si>
    <t>30/08/1998</t>
  </si>
  <si>
    <t>Alberto BotÃ­a</t>
  </si>
  <si>
    <t>https://fbref.com/en/players/7f6bff1f/Alberto-Botia</t>
  </si>
  <si>
    <t>January 27, 1989 (Age:Â 36-272d)</t>
  </si>
  <si>
    <t>Murcia, Spain</t>
  </si>
  <si>
    <t>AO Kifisia</t>
  </si>
  <si>
    <t>https://www.transfermarkt.com/alberto-botia/profil/spieler/53077</t>
  </si>
  <si>
    <t>alberto-botia</t>
  </si>
  <si>
    <t>27/01/1989</t>
  </si>
  <si>
    <t>AlquerÃ­as</t>
  </si>
  <si>
    <t>AE Kifisias</t>
  </si>
  <si>
    <t>26/07/2023</t>
  </si>
  <si>
    <t>22/09/2024</t>
  </si>
  <si>
    <t>Super League 2</t>
  </si>
  <si>
    <t>Alberto Bueno</t>
  </si>
  <si>
    <t>https://fbref.com/en/players/9b878773/Alberto-Bueno</t>
  </si>
  <si>
    <t>https://www.transfermarkt.com/alberto-bueno/profil/spieler/45335</t>
  </si>
  <si>
    <t>alberto-bueno</t>
  </si>
  <si>
    <t>20/03/1988</t>
  </si>
  <si>
    <t>Algeciras CF</t>
  </si>
  <si>
    <t>22/11/2008</t>
  </si>
  <si>
    <t>Alberto de la Bella</t>
  </si>
  <si>
    <t>https://fbref.com/en/players/8497faf7/Alberto-de-la-Bella</t>
  </si>
  <si>
    <t>Sevilla B</t>
  </si>
  <si>
    <t>https://www.transfermarkt.com/alberto-de-la-bella/profil/spieler/73319</t>
  </si>
  <si>
    <t>alberto-de-la-bella</t>
  </si>
  <si>
    <t>Santa Coloma de Gramanet</t>
  </si>
  <si>
    <t>FC Cartagena</t>
  </si>
  <si>
    <t>Alberto Lopo</t>
  </si>
  <si>
    <t>https://fbref.com/en/players/17cd5bb7/Alberto-Lopo</t>
  </si>
  <si>
    <t>https://www.transfermarkt.com/alberto-lopo/profil/spieler/7881</t>
  </si>
  <si>
    <t>alberto-lopo</t>
  </si>
  <si>
    <t>Inter Escaldes</t>
  </si>
  <si>
    <t>19/07/2018</t>
  </si>
  <si>
    <t>Alberto Lora</t>
  </si>
  <si>
    <t>https://fbref.com/en/players/723cd8b7/Alberto-Lora</t>
  </si>
  <si>
    <t>https://www.transfermarkt.com/alberto-lora/profil/spieler/57816</t>
  </si>
  <si>
    <t>alberto-lora</t>
  </si>
  <si>
    <t>25/03/1987</t>
  </si>
  <si>
    <t>MÃ³stoles</t>
  </si>
  <si>
    <t>Marino Luanco</t>
  </si>
  <si>
    <t>14/12/2008</t>
  </si>
  <si>
    <t>28/10/2007</t>
  </si>
  <si>
    <t>Alberto Moreno</t>
  </si>
  <si>
    <t>https://fbref.com/en/players/11b9265b/Alberto-Moreno</t>
  </si>
  <si>
    <t>July 5, 1992 (Age:Â 33-113d)</t>
  </si>
  <si>
    <t>https://www.transfermarkt.com/alberto-moreno/profil/spieler/207917</t>
  </si>
  <si>
    <t>alberto-moreno</t>
  </si>
  <si>
    <t>19/07/2024</t>
  </si>
  <si>
    <t>Alberto Noguera</t>
  </si>
  <si>
    <t>https://fbref.com/en/players/8a46f4c8/Alberto-Noguera</t>
  </si>
  <si>
    <t>September 24, 1989 (Age:Â 36-032d)</t>
  </si>
  <si>
    <t>https://www.transfermarkt.com/alberto-noguera/profil/spieler/185401</t>
  </si>
  <si>
    <t>alberto-noguera</t>
  </si>
  <si>
    <t>24/09/1989</t>
  </si>
  <si>
    <t>R. Majadahonda</t>
  </si>
  <si>
    <t>15/07/2025</t>
  </si>
  <si>
    <t>24/04/2011</t>
  </si>
  <si>
    <t>25/08/2012</t>
  </si>
  <si>
    <t>Alberto Perea</t>
  </si>
  <si>
    <t>https://fbref.com/en/players/5496cc91/Alberto-Perea</t>
  </si>
  <si>
    <t>https://www.transfermarkt.com/alberto-perea/profil/spieler/99559</t>
  </si>
  <si>
    <t>alberto-perea</t>
  </si>
  <si>
    <t>19/12/1990</t>
  </si>
  <si>
    <t>22/01/2012</t>
  </si>
  <si>
    <t>17/01/2009</t>
  </si>
  <si>
    <t>Alberto Rivera</t>
  </si>
  <si>
    <t>https://fbref.com/en/players/7002b605/Alberto-Rivera</t>
  </si>
  <si>
    <t>1994-1995</t>
  </si>
  <si>
    <t>https://www.transfermarkt.com/alberto-rivera/profil/spieler/23306</t>
  </si>
  <si>
    <t>alberto-rivera</t>
  </si>
  <si>
    <t>16/02/1978</t>
  </si>
  <si>
    <t>Puertollano</t>
  </si>
  <si>
    <t>Elche CF</t>
  </si>
  <si>
    <t>23/07/2014</t>
  </si>
  <si>
    <t>Aldo Duscher</t>
  </si>
  <si>
    <t>https://fbref.com/en/players/44944ca7/Aldo-Duscher</t>
  </si>
  <si>
    <t>https://www.transfermarkt.com/aldo-duscher/profil/spieler/3954</t>
  </si>
  <si>
    <t>aldo-duscher</t>
  </si>
  <si>
    <t>22/03/1979</t>
  </si>
  <si>
    <t>Esquel</t>
  </si>
  <si>
    <t>ArgentinaÂ Â Austria</t>
  </si>
  <si>
    <t>EN Paralimniou</t>
  </si>
  <si>
    <t>24/08/1998</t>
  </si>
  <si>
    <t>Aleix Vidal</t>
  </si>
  <si>
    <t>https://fbref.com/en/players/04965583/Aleix-Vidal</t>
  </si>
  <si>
    <t>DF-MF (WM, right)</t>
  </si>
  <si>
    <t>Panthrakikos</t>
  </si>
  <si>
    <t>https://www.transfermarkt.com/aleix-vidal/profil/spieler/88490</t>
  </si>
  <si>
    <t>aleix-vidal</t>
  </si>
  <si>
    <t>21/08/1989</t>
  </si>
  <si>
    <t>Valls</t>
  </si>
  <si>
    <t>30/08/2008</t>
  </si>
  <si>
    <t>Super League 1</t>
  </si>
  <si>
    <t>21/11/2009</t>
  </si>
  <si>
    <t>Alejandro Alfaro</t>
  </si>
  <si>
    <t>https://fbref.com/en/players/7c293728/Alejandro-Alfaro</t>
  </si>
  <si>
    <t>https://www.transfermarkt.com/alejandro-alfaro/profil/spieler/39783</t>
  </si>
  <si>
    <t>alejandro-alfaro</t>
  </si>
  <si>
    <t>23/11/1986</t>
  </si>
  <si>
    <t>Huelva</t>
  </si>
  <si>
    <t>CF Intercity</t>
  </si>
  <si>
    <t>17/09/2020</t>
  </si>
  <si>
    <t>30/04/2006</t>
  </si>
  <si>
    <t>Alejandro Arribas</t>
  </si>
  <si>
    <t>https://fbref.com/en/players/cc29324e/Alejandro-Arribas</t>
  </si>
  <si>
    <t>https://www.transfermarkt.com/alejandro-arribas/profil/spieler/137174</t>
  </si>
  <si>
    <t>alejandro-arribas</t>
  </si>
  <si>
    <t>Alejandro Martinuccio</t>
  </si>
  <si>
    <t>https://fbref.com/en/players/72b206f3/Alejandro-Martinuccio</t>
  </si>
  <si>
    <t>https://www.transfermarkt.com/alejandro-martinuccio/profil/spieler/68558</t>
  </si>
  <si>
    <t>alejandro-martinuccio</t>
  </si>
  <si>
    <t>16/12/1987</t>
  </si>
  <si>
    <t>Buenos Aires</t>
  </si>
  <si>
    <t>Comunicaciones</t>
  </si>
  <si>
    <t>23/08/2009</t>
  </si>
  <si>
    <t>Primera DivisiÃ³n Apertura</t>
  </si>
  <si>
    <t>Campeonato Brasileiro SÃ©rie B</t>
  </si>
  <si>
    <t>Alejandro Pozuelo</t>
  </si>
  <si>
    <t>https://fbref.com/en/players/5e1280ff/Alejandro-Pozuelo</t>
  </si>
  <si>
    <t>September 20, 1991 (Age:Â 34-036d)</t>
  </si>
  <si>
    <t>Al-Fayha</t>
  </si>
  <si>
    <t>https://www.transfermarkt.com/alejandro-pozuelo/profil/spieler/188853</t>
  </si>
  <si>
    <t>alejandro-pozuelo</t>
  </si>
  <si>
    <t>20/09/1991</t>
  </si>
  <si>
    <t>Palm City</t>
  </si>
  <si>
    <t>15/10/2025</t>
  </si>
  <si>
    <t>Aleksandar PantiÄ‡</t>
  </si>
  <si>
    <t>rs SRB</t>
  </si>
  <si>
    <t>https://fbref.com/en/players/70e5566a/Aleksandar-Pantic</t>
  </si>
  <si>
    <t>Serbia</t>
  </si>
  <si>
    <t>Rad</t>
  </si>
  <si>
    <t>https://www.transfermarkt.com/aleksandar-pantic/profil/spieler/167093</t>
  </si>
  <si>
    <t>aleksandar-pantic</t>
  </si>
  <si>
    <t>Aleksandar Pantic</t>
  </si>
  <si>
    <t>11/04/1992 (33)</t>
  </si>
  <si>
    <t>Arandjelovac</t>
  </si>
  <si>
    <t>Linglong Tire Super liga Srbije</t>
  </si>
  <si>
    <t>Alessio Cerci</t>
  </si>
  <si>
    <t>it ITA</t>
  </si>
  <si>
    <t>https://fbref.com/en/players/5370cba7/Alessio-Cerci</t>
  </si>
  <si>
    <t>Italy</t>
  </si>
  <si>
    <t>Roma</t>
  </si>
  <si>
    <t>https://www.transfermarkt.com/alessio-cerci/profil/spieler/21748</t>
  </si>
  <si>
    <t>alessio-cerci</t>
  </si>
  <si>
    <t>23/07/1987</t>
  </si>
  <si>
    <t>Velletri</t>
  </si>
  <si>
    <t>Arezzo</t>
  </si>
  <si>
    <t>16/05/2004</t>
  </si>
  <si>
    <t>15/09/2006</t>
  </si>
  <si>
    <t>Alex Felip</t>
  </si>
  <si>
    <t>https://fbref.com/en/players/90c022f3/Alex-Felip</t>
  </si>
  <si>
    <t>https://www.transfermarkt.com/alex-felip/profil/spieler/285957</t>
  </si>
  <si>
    <t>alex-felip</t>
  </si>
  <si>
    <t>CastellÃ³n de la Plana</t>
  </si>
  <si>
    <t>lâ€™Alcora</t>
  </si>
  <si>
    <t>15/07/2022</t>
  </si>
  <si>
    <t>18/01/2015</t>
  </si>
  <si>
    <t>24/01/2016</t>
  </si>
  <si>
    <t>Alexandre Coeff</t>
  </si>
  <si>
    <t>https://fbref.com/en/players/c4065f40/Alexandre-Coeff</t>
  </si>
  <si>
    <t>February 20, 1992 (Age:Â 33-248d)</t>
  </si>
  <si>
    <t>Brest, France</t>
  </si>
  <si>
    <t>DF-MF (CB-FB)</t>
  </si>
  <si>
    <t>Valenciennes</t>
  </si>
  <si>
    <t>Lens</t>
  </si>
  <si>
    <t>https://www.transfermarkt.com/alexandre-coeff/profil/spieler/89450</t>
  </si>
  <si>
    <t>alexandre-coeff</t>
  </si>
  <si>
    <t>20/02/1992</t>
  </si>
  <si>
    <t>Brest</t>
  </si>
  <si>
    <t>FranceÂ Â Algeria</t>
  </si>
  <si>
    <t>Valenciennes FC</t>
  </si>
  <si>
    <t>26/01/2025</t>
  </si>
  <si>
    <t>29/05/2011</t>
  </si>
  <si>
    <t>13/08/2011</t>
  </si>
  <si>
    <t>Ligue 2</t>
  </si>
  <si>
    <t>Alexandre Geijo</t>
  </si>
  <si>
    <t>https://fbref.com/en/players/c0787e61/Alexandre-Geijo</t>
  </si>
  <si>
    <t>MÃ¡laga</t>
  </si>
  <si>
    <t>https://www.transfermarkt.com/alex-geijo/profil/spieler/15981</t>
  </si>
  <si>
    <t>alex-geijo</t>
  </si>
  <si>
    <t>Ãlex Geijo</t>
  </si>
  <si>
    <t>GenÃ¨ve</t>
  </si>
  <si>
    <t>SpainÂ Â Switzerland</t>
  </si>
  <si>
    <t>15/07/2000</t>
  </si>
  <si>
    <t>Raiffeisen Super League</t>
  </si>
  <si>
    <t>Alexandre Song</t>
  </si>
  <si>
    <t>cm CMR</t>
  </si>
  <si>
    <t>https://fbref.com/en/players/1c32281d/Alexandre-Song</t>
  </si>
  <si>
    <t>Cameroon</t>
  </si>
  <si>
    <t>DF-MF (AM-CB-DM)</t>
  </si>
  <si>
    <t>https://www.transfermarkt.com/alex-song/profil/spieler/27394</t>
  </si>
  <si>
    <t>alex-song</t>
  </si>
  <si>
    <t>Alex Song</t>
  </si>
  <si>
    <t>09/09/1987 (38)</t>
  </si>
  <si>
    <t>Douala</t>
  </si>
  <si>
    <t>CameroonÂ Â France</t>
  </si>
  <si>
    <t>AS Arta/Solar7</t>
  </si>
  <si>
    <t>14/11/2023</t>
  </si>
  <si>
    <t>Alexandros Tziolis</t>
  </si>
  <si>
    <t>gr GRE</t>
  </si>
  <si>
    <t>https://fbref.com/en/players/99138b2e/Alexandros-Tziolis</t>
  </si>
  <si>
    <t>Greece</t>
  </si>
  <si>
    <t>Panionios</t>
  </si>
  <si>
    <t>https://www.transfermarkt.com/alexandros-tziolis/profil/spieler/12883</t>
  </si>
  <si>
    <t>alexandros-tziolis</t>
  </si>
  <si>
    <t>13/02/1985</t>
  </si>
  <si>
    <t>Katerini</t>
  </si>
  <si>
    <t>23/05/2020</t>
  </si>
  <si>
    <t>Stoiximan Super League</t>
  </si>
  <si>
    <t>24/02/2012</t>
  </si>
  <si>
    <t>Alexis</t>
  </si>
  <si>
    <t>https://fbref.com/en/players/db0cd1ae/Alexis</t>
  </si>
  <si>
    <t>https://www.transfermarkt.com/alexis-ruano/profil/spieler/7781</t>
  </si>
  <si>
    <t>alexis-ruano</t>
  </si>
  <si>
    <t>Alexis Ruano</t>
  </si>
  <si>
    <t>04/08/1985 (40)</t>
  </si>
  <si>
    <t>21/07/2020</t>
  </si>
  <si>
    <t>15/02/2004</t>
  </si>
  <si>
    <t>Alexis SÃ¡nchez</t>
  </si>
  <si>
    <t>cl CHI</t>
  </si>
  <si>
    <t>https://fbref.com/en/players/2c0f8e9e/Alexis-Sanchez</t>
  </si>
  <si>
    <t>December 19, 1988 (Age:Â 36-311d)</t>
  </si>
  <si>
    <t>Tocopilla, Chile</t>
  </si>
  <si>
    <t>Chile</t>
  </si>
  <si>
    <t>https://www.transfermarkt.com/alexis-sanchez/profil/spieler/40433</t>
  </si>
  <si>
    <t>alexis-sanchez</t>
  </si>
  <si>
    <t>19/12/1988</t>
  </si>
  <si>
    <t>Tocopilla</t>
  </si>
  <si>
    <t>Sevilla FC</t>
  </si>
  <si>
    <t>Torneo Clausura (-2017)</t>
  </si>
  <si>
    <t>Alfonso Pedraza</t>
  </si>
  <si>
    <t>https://fbref.com/en/players/63f04c6c/Alfonso-Pedraza</t>
  </si>
  <si>
    <t>April 9, 1996 (Age:Â 29-200d)</t>
  </si>
  <si>
    <t>San SebastiÃ¡n de los Ballesteros, Spain</t>
  </si>
  <si>
    <t>DF-FW-MF (FB-WM, left)</t>
  </si>
  <si>
    <t>https://www.transfermarkt.com/alfonso-pedraza/profil/spieler/356197</t>
  </si>
  <si>
    <t>alfonso-pedraza</t>
  </si>
  <si>
    <t>San SebastiÃ¡n de los Ballesteros</t>
  </si>
  <si>
    <t>21/08/2016</t>
  </si>
  <si>
    <t>AlfreÃ° Finnbogason</t>
  </si>
  <si>
    <t>is ISL</t>
  </si>
  <si>
    <t>https://fbref.com/en/players/f9e7c4ac/Alfred-Finnbogason</t>
  </si>
  <si>
    <t>Iceland</t>
  </si>
  <si>
    <t>Lokeren</t>
  </si>
  <si>
    <t>https://www.transfermarkt.com/alfred-finnbogason/profil/spieler/90024</t>
  </si>
  <si>
    <t>alfred-finnbogason</t>
  </si>
  <si>
    <t>Alfred Finnbogason</t>
  </si>
  <si>
    <t>ReykjavÃ­k</t>
  </si>
  <si>
    <t>Augnablik</t>
  </si>
  <si>
    <t>30/06/2008</t>
  </si>
  <si>
    <t>Pepsideild</t>
  </si>
  <si>
    <t>23/08/2024</t>
  </si>
  <si>
    <t>Challenger Pro League</t>
  </si>
  <si>
    <t>Alfred N'Diaye</t>
  </si>
  <si>
    <t>https://fbref.com/en/players/7789bf63/Alfred-NDiaye</t>
  </si>
  <si>
    <t>Senegal sn Â Other:Â France</t>
  </si>
  <si>
    <t>Nancy</t>
  </si>
  <si>
    <t>https://www.transfermarkt.com/alfred-ndiaye/profil/spieler/77737</t>
  </si>
  <si>
    <t>alfred-ndiaye</t>
  </si>
  <si>
    <t>Alfredo di StÃ©fano</t>
  </si>
  <si>
    <t>Paris</t>
  </si>
  <si>
    <t>Defensive Midfield</t>
  </si>
  <si>
    <t>Alfredo OrtuÃ±o</t>
  </si>
  <si>
    <t>https://fbref.com/en/players/b5077003/Alfredo-Ortuno</t>
  </si>
  <si>
    <t>January 21, 1991 (Age:Â 34-278d)</t>
  </si>
  <si>
    <t>Yecla, Spain</t>
  </si>
  <si>
    <t>DF-FW</t>
  </si>
  <si>
    <t>Cartagena</t>
  </si>
  <si>
    <t>https://www.transfermarkt.com/alfredo-ortuno/profil/spieler/96540</t>
  </si>
  <si>
    <t>alfredo-ortuno</t>
  </si>
  <si>
    <t>21/01/1991</t>
  </si>
  <si>
    <t>Yecla</t>
  </si>
  <si>
    <t>18/07/2021</t>
  </si>
  <si>
    <t>20/12/2008</t>
  </si>
  <si>
    <t>Allan Nyom</t>
  </si>
  <si>
    <t>https://fbref.com/en/players/97572117/Allan-Nyom</t>
  </si>
  <si>
    <t>May 10, 1988 (Age:Â 37-169d)</t>
  </si>
  <si>
    <t>Neuilly-sur-Seine, France</t>
  </si>
  <si>
    <t>Cameroon cm Â Other:Â France</t>
  </si>
  <si>
    <t>https://www.transfermarkt.com/allan-nyom/profil/spieler/111508</t>
  </si>
  <si>
    <t>allan-nyom</t>
  </si>
  <si>
    <t>Neuilly-sur-Seine</t>
  </si>
  <si>
    <t>20/09/2025</t>
  </si>
  <si>
    <t>Aloys Nong</t>
  </si>
  <si>
    <t>https://fbref.com/en/players/570de35e/Aloys-Nong</t>
  </si>
  <si>
    <t>Brussels</t>
  </si>
  <si>
    <t>https://www.transfermarkt.com/aloys-nong/profil/spieler/18416</t>
  </si>
  <si>
    <t>aloys-nong</t>
  </si>
  <si>
    <t>16/10/1983</t>
  </si>
  <si>
    <t>CameroonÂ Â Belgium</t>
  </si>
  <si>
    <t>Saipa FC</t>
  </si>
  <si>
    <t>Jupiler Pro League</t>
  </si>
  <si>
    <t>31/08/2002</t>
  </si>
  <si>
    <t>Aly Cissokho</t>
  </si>
  <si>
    <t>https://fbref.com/en/players/83a2bb30/Aly-Cissokho</t>
  </si>
  <si>
    <t>September 15, 1987 (Age:Â 38-041d)</t>
  </si>
  <si>
    <t>Blois, France</t>
  </si>
  <si>
    <t>Lamphun Warrior FC</t>
  </si>
  <si>
    <t>VitÃ³ria SetÃºbal</t>
  </si>
  <si>
    <t>https://www.transfermarkt.com/aly-cissokho/profil/spieler/57515</t>
  </si>
  <si>
    <t>aly-cissokho</t>
  </si>
  <si>
    <t>15/09/1987</t>
  </si>
  <si>
    <t>Blois</t>
  </si>
  <si>
    <t>FranceÂ Â Senegal</t>
  </si>
  <si>
    <t>Lamphun Warrior</t>
  </si>
  <si>
    <t>22/08/2008</t>
  </si>
  <si>
    <t>25/05/2007</t>
  </si>
  <si>
    <t>Anaitz Arbilla</t>
  </si>
  <si>
    <t>https://fbref.com/en/players/850c0a0d/Anaitz-Arbilla</t>
  </si>
  <si>
    <t>May 15, 1987 (Age:Â 38-164d)</t>
  </si>
  <si>
    <t>Pamplona, Spain</t>
  </si>
  <si>
    <t>Eibar</t>
  </si>
  <si>
    <t>https://www.transfermarkt.com/anaitz-arbilla/profil/spieler/71548</t>
  </si>
  <si>
    <t>anaitz-arbilla</t>
  </si>
  <si>
    <t>15/05/1987</t>
  </si>
  <si>
    <t>Pamplona</t>
  </si>
  <si>
    <t>SD Eibar</t>
  </si>
  <si>
    <t>30/08/2016</t>
  </si>
  <si>
    <t>Ander Capa</t>
  </si>
  <si>
    <t>https://fbref.com/en/players/37f1cf47/Ander-Capa</t>
  </si>
  <si>
    <t>DF-MF (FB-WM, right)</t>
  </si>
  <si>
    <t>https://www.transfermarkt.com/ander-capa/profil/spieler/197545</t>
  </si>
  <si>
    <t>ander-capa</t>
  </si>
  <si>
    <t>Portugalete</t>
  </si>
  <si>
    <t>Ander Herrera</t>
  </si>
  <si>
    <t>https://fbref.com/en/players/436a9dd0/Ander-Herrera</t>
  </si>
  <si>
    <t>August 14, 1989 (Age:Â 36-073d)</t>
  </si>
  <si>
    <t>Zaragoza, Spain</t>
  </si>
  <si>
    <t>MF (AM-CM-DM-WM, right)</t>
  </si>
  <si>
    <t>Boca Juniors</t>
  </si>
  <si>
    <t>https://www.transfermarkt.com/ander-herrera/profil/spieler/99343</t>
  </si>
  <si>
    <t>ander-herrera</t>
  </si>
  <si>
    <t>14/08/1989</t>
  </si>
  <si>
    <t>17/01/2025</t>
  </si>
  <si>
    <t>Ander Iturraspe</t>
  </si>
  <si>
    <t>https://fbref.com/en/players/6dce77a5/Ander-Iturraspe</t>
  </si>
  <si>
    <t>https://www.transfermarkt.com/ander-iturraspe/profil/spieler/71571</t>
  </si>
  <si>
    <t>ander-iturraspe</t>
  </si>
  <si>
    <t>AbadiÃ±o</t>
  </si>
  <si>
    <t>20/07/2020</t>
  </si>
  <si>
    <t>Anderson ConceiÃ§Ã£o</t>
  </si>
  <si>
    <t>https://fbref.com/en/players/d50b1371/Anderson-Conceicao</t>
  </si>
  <si>
    <t>October 24, 1989 (Age:Â 36-002d)</t>
  </si>
  <si>
    <t>Caravelas, Brazil</t>
  </si>
  <si>
    <t>Boavista SC</t>
  </si>
  <si>
    <t>https://www.transfermarkt.com/anderson-conceicao/profil/spieler/187759</t>
  </si>
  <si>
    <t>anderson-conceicao</t>
  </si>
  <si>
    <t>24/10/1989</t>
  </si>
  <si>
    <t>Caravelas</t>
  </si>
  <si>
    <t>Boavista</t>
  </si>
  <si>
    <t>30/09/2025</t>
  </si>
  <si>
    <t>17/06/2011</t>
  </si>
  <si>
    <t>Andoni Iraola</t>
  </si>
  <si>
    <t>https://fbref.com/en/players/f4bbed41/Andoni-Iraola</t>
  </si>
  <si>
    <t>https://www.transfermarkt.com/andoni-iraola/profil/spieler/15804</t>
  </si>
  <si>
    <t>andoni-iraola</t>
  </si>
  <si>
    <t>22/06/1982</t>
  </si>
  <si>
    <t>Usurbil</t>
  </si>
  <si>
    <t>New York City</t>
  </si>
  <si>
    <t>30/08/2003</t>
  </si>
  <si>
    <t>AndrÃ© Castro</t>
  </si>
  <si>
    <t>pt POR</t>
  </si>
  <si>
    <t>https://fbref.com/en/players/37d0048f/Andre-Castro</t>
  </si>
  <si>
    <t>Gondomar, Portugal</t>
  </si>
  <si>
    <t>Portugal</t>
  </si>
  <si>
    <t>MF (AM-CM-DM)</t>
  </si>
  <si>
    <t>Porto</t>
  </si>
  <si>
    <t>https://www.transfermarkt.com/castro/profil/spieler/58267</t>
  </si>
  <si>
    <t>castro</t>
  </si>
  <si>
    <t>Castro</t>
  </si>
  <si>
    <t>Gondomar</t>
  </si>
  <si>
    <t>FC Porto B</t>
  </si>
  <si>
    <t>24/08/2008</t>
  </si>
  <si>
    <t>AndrÃ© Gomes</t>
  </si>
  <si>
    <t>https://fbref.com/en/players/1961b2aa/Andre-Gomes</t>
  </si>
  <si>
    <t>July 30, 1993 (Age:Â 32-088d)</t>
  </si>
  <si>
    <t>GrijÃ³, Portugal</t>
  </si>
  <si>
    <t>https://www.transfermarkt.com/andre-gomes/profil/spieler/221025</t>
  </si>
  <si>
    <t>andre-gomes</t>
  </si>
  <si>
    <t>30/07/1993</t>
  </si>
  <si>
    <t>GrijÃ³</t>
  </si>
  <si>
    <t>27/10/2012</t>
  </si>
  <si>
    <t>AndrÃ© Santos</t>
  </si>
  <si>
    <t>https://fbref.com/en/players/4e6642e1/Andre-Santos</t>
  </si>
  <si>
    <t>March 2, 1989 (Age:Â 36-238d)</t>
  </si>
  <si>
    <t>Torres Vedras, Portugal</t>
  </si>
  <si>
    <t>Varzim</t>
  </si>
  <si>
    <t>UniÃ£o de Leiria</t>
  </si>
  <si>
    <t>https://www.transfermarkt.com/andre-santos/profil/spieler/61743</t>
  </si>
  <si>
    <t>andre-santos</t>
  </si>
  <si>
    <t>02/03/1989 (36)</t>
  </si>
  <si>
    <t>Sobreiro Curvo</t>
  </si>
  <si>
    <t>30/07/2025</t>
  </si>
  <si>
    <t>16/08/2009</t>
  </si>
  <si>
    <t>AndrÃ©s FernÃ¡ndez</t>
  </si>
  <si>
    <t>https://fbref.com/en/players/307fcd26/Andres-Fernandez</t>
  </si>
  <si>
    <t>December 17, 1986 (Age:Â 38-313d)</t>
  </si>
  <si>
    <t>https://www.transfermarkt.com/andres-fernandez/profil/spieler/57522</t>
  </si>
  <si>
    <t>andres-fernandez</t>
  </si>
  <si>
    <t>16/12/1986</t>
  </si>
  <si>
    <t>Alcantarilla</t>
  </si>
  <si>
    <t>21/07/2025</t>
  </si>
  <si>
    <t>21/10/2007</t>
  </si>
  <si>
    <t>AndrÃ©s Guardado</t>
  </si>
  <si>
    <t>mx MEX</t>
  </si>
  <si>
    <t>https://fbref.com/en/players/ef322658/Andres-Guardado</t>
  </si>
  <si>
    <t>Mexico</t>
  </si>
  <si>
    <t>DF-FW-MF (CM-DM-FB-WM, left)</t>
  </si>
  <si>
    <t>Atlas</t>
  </si>
  <si>
    <t>https://www.transfermarkt.com/andres-guardado/profil/spieler/20506</t>
  </si>
  <si>
    <t>andres-guardado</t>
  </si>
  <si>
    <t>28/09/1986</t>
  </si>
  <si>
    <t>Guadalajara</t>
  </si>
  <si>
    <t>MexicoÂ Â Spain</t>
  </si>
  <si>
    <t>LeÃ³n</t>
  </si>
  <si>
    <t>21/01/2006</t>
  </si>
  <si>
    <t>Liga MX Clausura</t>
  </si>
  <si>
    <t>AndrÃ©s Iniesta</t>
  </si>
  <si>
    <t>https://fbref.com/en/players/cfd65a29/Andres-Iniesta</t>
  </si>
  <si>
    <t>171cm</t>
  </si>
  <si>
    <t>MF (AM-CM, left)</t>
  </si>
  <si>
    <t>https://www.transfermarkt.com/andres-iniesta/profil/spieler/7600</t>
  </si>
  <si>
    <t>andres-iniesta</t>
  </si>
  <si>
    <t>Fuentealbilla</t>
  </si>
  <si>
    <t>Emirates Club</t>
  </si>
  <si>
    <t>21/12/2002</t>
  </si>
  <si>
    <t>AndrÃ©s Palop</t>
  </si>
  <si>
    <t>https://fbref.com/en/players/9ab4e785/Andres-Palop</t>
  </si>
  <si>
    <t>https://www.transfermarkt.com/andres-palop/profil/spieler/7563</t>
  </si>
  <si>
    <t>andres-palop</t>
  </si>
  <si>
    <t>22/10/1973</t>
  </si>
  <si>
    <t>Alcudia de Carlet</t>
  </si>
  <si>
    <t>Leverkusen</t>
  </si>
  <si>
    <t>31/08/1998</t>
  </si>
  <si>
    <t>AndrÃ©s TÃºÃ±ez</t>
  </si>
  <si>
    <t>ve VEN</t>
  </si>
  <si>
    <t>https://fbref.com/en/players/6520cb34/Andres-Tunez</t>
  </si>
  <si>
    <t>Venezuela</t>
  </si>
  <si>
    <t>https://www.transfermarkt.com/andres-tunez/profil/spieler/72087</t>
  </si>
  <si>
    <t>andres-tunez</t>
  </si>
  <si>
    <t>Andres TuÃ±ez</t>
  </si>
  <si>
    <t>15/03/1987</t>
  </si>
  <si>
    <t>Caracas</t>
  </si>
  <si>
    <t>VenezuelaÂ Â Spain</t>
  </si>
  <si>
    <t>BG Pathum Utd.</t>
  </si>
  <si>
    <t>21/05/2023</t>
  </si>
  <si>
    <t>16/01/2010</t>
  </si>
  <si>
    <t>Andreas Ivanschitz</t>
  </si>
  <si>
    <t>at AUT</t>
  </si>
  <si>
    <t>https://fbref.com/en/players/d045ccb2/Andreas-Ivanschitz</t>
  </si>
  <si>
    <t>Austria</t>
  </si>
  <si>
    <t>Rapid Wien</t>
  </si>
  <si>
    <t>https://www.transfermarkt.com/andreas-ivanschitz/profil/spieler/2923</t>
  </si>
  <si>
    <t>andreas-ivanschitz</t>
  </si>
  <si>
    <t>15/10/1983</t>
  </si>
  <si>
    <t>Eisenstadt</t>
  </si>
  <si>
    <t>Milord BLANCO</t>
  </si>
  <si>
    <t>20/05/2000</t>
  </si>
  <si>
    <t>Bundesliga</t>
  </si>
  <si>
    <t>Andreu FontÃ s</t>
  </si>
  <si>
    <t>https://fbref.com/en/players/0f138d5a/Andreu-Fontas</t>
  </si>
  <si>
    <t>DF (CB, left)</t>
  </si>
  <si>
    <t>https://www.transfermarkt.com/andreu-fontas/profil/spieler/65237</t>
  </si>
  <si>
    <t>andreu-fontas</t>
  </si>
  <si>
    <t>14/11/1989</t>
  </si>
  <si>
    <t>Banyoles</t>
  </si>
  <si>
    <t>Kansas City</t>
  </si>
  <si>
    <t>31/08/2009</t>
  </si>
  <si>
    <t>Andrija DelibaÅ¡iÄ‡</t>
  </si>
  <si>
    <t>me MNE</t>
  </si>
  <si>
    <t>https://fbref.com/en/players/4de03033/Andrija-Delibasic</t>
  </si>
  <si>
    <t>Montenegro</t>
  </si>
  <si>
    <t>https://www.transfermarkt.com/andrija-delibasic/profil/spieler/10289</t>
  </si>
  <si>
    <t>andrija-delibasic</t>
  </si>
  <si>
    <t>Andrija Delibasic</t>
  </si>
  <si>
    <t>24/04/1981</t>
  </si>
  <si>
    <t>NikÅ¡iÄ‡</t>
  </si>
  <si>
    <t>MontenegroÂ Â Serbia</t>
  </si>
  <si>
    <t>25/01/2004</t>
  </si>
  <si>
    <t>19.03.2025</t>
  </si>
  <si>
    <t>Anthony Annan</t>
  </si>
  <si>
    <t>gh GHA</t>
  </si>
  <si>
    <t>https://fbref.com/en/players/1c524d4a/Anthony-Annan</t>
  </si>
  <si>
    <t>Ghana</t>
  </si>
  <si>
    <t>Start</t>
  </si>
  <si>
    <t>https://www.transfermarkt.com/anthony-annan/profil/spieler/29122</t>
  </si>
  <si>
    <t>anthony-annan</t>
  </si>
  <si>
    <t>21/07/1986</t>
  </si>
  <si>
    <t>Accra</t>
  </si>
  <si>
    <t>Arm. Lirich</t>
  </si>
  <si>
    <t>Eliteserien</t>
  </si>
  <si>
    <t>Antoine Griezmann</t>
  </si>
  <si>
    <t>https://fbref.com/en/players/df69b544/Antoine-Griezmann</t>
  </si>
  <si>
    <t>March 21, 1991 (Age:Â 34-219d)</t>
  </si>
  <si>
    <t>MÃ¢con, France</t>
  </si>
  <si>
    <t>Real Sociedad</t>
  </si>
  <si>
    <t>https://www.transfermarkt.com/antoine-griezmann/profil/spieler/125781</t>
  </si>
  <si>
    <t>antoine-griezmann</t>
  </si>
  <si>
    <t>21/03/1991</t>
  </si>
  <si>
    <t>MÃ¢con</t>
  </si>
  <si>
    <t>AtlÃ©tico</t>
  </si>
  <si>
    <t>Antonio AdÃ¡n</t>
  </si>
  <si>
    <t>https://fbref.com/en/players/65d62814/Antonio-Adan</t>
  </si>
  <si>
    <t>Esteghlal Khuz</t>
  </si>
  <si>
    <t>https://www.transfermarkt.com/antonio-adan/profil/spieler/44062</t>
  </si>
  <si>
    <t>antonio-adan</t>
  </si>
  <si>
    <t>13/05/1987</t>
  </si>
  <si>
    <t>Esteghlal FC</t>
  </si>
  <si>
    <t>13/02/2011</t>
  </si>
  <si>
    <t>Antonio Amaya</t>
  </si>
  <si>
    <t>https://fbref.com/en/players/cfe5ba41/Antonio-Amaya</t>
  </si>
  <si>
    <t>192cm</t>
  </si>
  <si>
    <t>https://www.transfermarkt.com/antonio-amaya/profil/spieler/71904</t>
  </si>
  <si>
    <t>antonio-amaya</t>
  </si>
  <si>
    <t>31/05/1983</t>
  </si>
  <si>
    <t>Barrio de San CristÃ³bal de Los Ãngeles</t>
  </si>
  <si>
    <t>UCAM Murcia</t>
  </si>
  <si>
    <t>Antonio BarragÃ¡n</t>
  </si>
  <si>
    <t>https://fbref.com/en/players/487d9b09/Antonio-Barragan</t>
  </si>
  <si>
    <t>https://www.transfermarkt.com/antonio-barragan/profil/spieler/32522</t>
  </si>
  <si>
    <t>antonio-barragan</t>
  </si>
  <si>
    <t>Pontedeume</t>
  </si>
  <si>
    <t>Antonio CotÃ¡n</t>
  </si>
  <si>
    <t>https://fbref.com/en/players/d92dd30e/Antonio-Cotan</t>
  </si>
  <si>
    <t>September 19, 1995 (Age:Â 30-037d)</t>
  </si>
  <si>
    <t>Olivares, Spain</t>
  </si>
  <si>
    <t>Tudelano</t>
  </si>
  <si>
    <t>https://www.transfermarkt.com/antonio-cotan/profil/spieler/199330</t>
  </si>
  <si>
    <t>antonio-cotan</t>
  </si>
  <si>
    <t>19/09/1995</t>
  </si>
  <si>
    <t>Vihren</t>
  </si>
  <si>
    <t>Antonio Floro Flores</t>
  </si>
  <si>
    <t>https://fbref.com/en/players/d6846501/Antonio-Floro-Flores</t>
  </si>
  <si>
    <t>Napoli</t>
  </si>
  <si>
    <t>https://www.transfermarkt.com/antonio-floro-flores/profil/spieler/16893</t>
  </si>
  <si>
    <t>antonio-floro-flores</t>
  </si>
  <si>
    <t>18/06/1983</t>
  </si>
  <si>
    <t>Casertana</t>
  </si>
  <si>
    <t>29/01/2020</t>
  </si>
  <si>
    <t>28/01/2001</t>
  </si>
  <si>
    <t>24/08/2001</t>
  </si>
  <si>
    <t>Antonio LÃ³pez</t>
  </si>
  <si>
    <t>https://fbref.com/en/players/e55190d5/Antonio-Lopez</t>
  </si>
  <si>
    <t>https://www.transfermarkt.com/antonio-lopez/profil/spieler/7723</t>
  </si>
  <si>
    <t>antonio-lopez</t>
  </si>
  <si>
    <t>13/09/1981</t>
  </si>
  <si>
    <t>Benidorm</t>
  </si>
  <si>
    <t>Antonio Luna</t>
  </si>
  <si>
    <t>https://fbref.com/en/players/ed239245/Antonio-Luna</t>
  </si>
  <si>
    <t>https://www.transfermarkt.com/antonio-luna/profil/spieler/126516</t>
  </si>
  <si>
    <t>antonio-luna</t>
  </si>
  <si>
    <t>17/03/1991</t>
  </si>
  <si>
    <t>Son Servera</t>
  </si>
  <si>
    <t>Antequera CF</t>
  </si>
  <si>
    <t>15/05/2010</t>
  </si>
  <si>
    <t>Antonio MarÃ­n</t>
  </si>
  <si>
    <t>https://fbref.com/en/players/27383431/Antonio-Marin</t>
  </si>
  <si>
    <t>June 17, 1996 (Age:Â 29-131d)</t>
  </si>
  <si>
    <t>BenalÃºa, Spain</t>
  </si>
  <si>
    <t>CD Estepona</t>
  </si>
  <si>
    <t>https://www.transfermarkt.com/antonio-marin/profil/spieler/217149</t>
  </si>
  <si>
    <t>antonio-marin</t>
  </si>
  <si>
    <t>17/06/1996 (29)</t>
  </si>
  <si>
    <t>Benalua</t>
  </si>
  <si>
    <t>CD Estepona FS</t>
  </si>
  <si>
    <t>25/10/2015</t>
  </si>
  <si>
    <t>Antonio Rukavina</t>
  </si>
  <si>
    <t>https://fbref.com/en/players/e12d7851/Antonio-Rukavina</t>
  </si>
  <si>
    <t>DF (CB-FB, right)</t>
  </si>
  <si>
    <t>Dortmund</t>
  </si>
  <si>
    <t>https://www.transfermarkt.com/antonio-rukavina/profil/spieler/27924</t>
  </si>
  <si>
    <t>antonio-rukavina</t>
  </si>
  <si>
    <t>26/01/1984</t>
  </si>
  <si>
    <t>Belgrade</t>
  </si>
  <si>
    <t>FC Astana</t>
  </si>
  <si>
    <t>Antonio TomÃ¡s</t>
  </si>
  <si>
    <t>https://fbref.com/en/players/668d4e93/Antonio-Tomas</t>
  </si>
  <si>
    <t>https://www.transfermarkt.com/antonio-tomas/profil/spieler/37340</t>
  </si>
  <si>
    <t>antonio-tomas</t>
  </si>
  <si>
    <t>13/01/1985</t>
  </si>
  <si>
    <t>Torrelavega</t>
  </si>
  <si>
    <t>28/08/2018</t>
  </si>
  <si>
    <t>30/10/2005</t>
  </si>
  <si>
    <t>18/11/2012</t>
  </si>
  <si>
    <t>ApoÃ±o</t>
  </si>
  <si>
    <t>https://fbref.com/en/players/02503ca3/Apono</t>
  </si>
  <si>
    <t>https://www.transfermarkt.com/apono/profil/spieler/58013</t>
  </si>
  <si>
    <t>apono</t>
  </si>
  <si>
    <t>13/02/1984 (41)</t>
  </si>
  <si>
    <t>AlhaurÃ­n</t>
  </si>
  <si>
    <t>Arda Turan</t>
  </si>
  <si>
    <t>tr TUR</t>
  </si>
  <si>
    <t>https://fbref.com/en/players/017ab4d4/Arda-Turan</t>
  </si>
  <si>
    <t>Turkey</t>
  </si>
  <si>
    <t>Manisaspor</t>
  </si>
  <si>
    <t>https://www.transfermarkt.com/arda-turan/profil/spieler/21369</t>
  </si>
  <si>
    <t>arda-turan</t>
  </si>
  <si>
    <t>30/01/1987</t>
  </si>
  <si>
    <t>Istanbul</t>
  </si>
  <si>
    <t>TÃ¼rkiye</t>
  </si>
  <si>
    <t>Galatasaray</t>
  </si>
  <si>
    <t>28/05/2005</t>
  </si>
  <si>
    <t>SÃ¼per Lig</t>
  </si>
  <si>
    <t>Ariel NahuelpÃ¡n</t>
  </si>
  <si>
    <t>https://fbref.com/en/players/3334db7c/Ariel-Nahuelpan</t>
  </si>
  <si>
    <t>Villa Luro, Argentina</t>
  </si>
  <si>
    <t>Wilstermann</t>
  </si>
  <si>
    <t>https://www.transfermarkt.com/ariel-nahuelpan/profil/spieler/68562</t>
  </si>
  <si>
    <t>ariel-nahuelpan</t>
  </si>
  <si>
    <t>15/10/1987</t>
  </si>
  <si>
    <t>ArgentinaÂ Â Chile</t>
  </si>
  <si>
    <t>Santa Cruz-PE</t>
  </si>
  <si>
    <t>24/07/2025</t>
  </si>
  <si>
    <t>14/05/2010</t>
  </si>
  <si>
    <t>Aritz Aduriz</t>
  </si>
  <si>
    <t>https://fbref.com/en/players/293211e1/Aritz-Aduriz</t>
  </si>
  <si>
    <t>https://www.transfermarkt.com/aritz-aduriz/profil/spieler/29124</t>
  </si>
  <si>
    <t>aritz-aduriz</t>
  </si>
  <si>
    <t>Donostia-San SebastiÃ¡n</t>
  </si>
  <si>
    <t>20/05/2020</t>
  </si>
  <si>
    <t>14/09/2002</t>
  </si>
  <si>
    <t>Aritz Elustondo</t>
  </si>
  <si>
    <t>https://fbref.com/en/players/f7dc2ae5/Aritz-Elustondo</t>
  </si>
  <si>
    <t>March 28, 1994 (Age:Â 31-215d)</t>
  </si>
  <si>
    <t>Donostia / San SebastiÃ¡n, Spain</t>
  </si>
  <si>
    <t>https://www.transfermarkt.com/aritz-elustondo/profil/spieler/229804</t>
  </si>
  <si>
    <t>aritz-elustondo</t>
  </si>
  <si>
    <t>28/03/1994</t>
  </si>
  <si>
    <t>Beasain</t>
  </si>
  <si>
    <t>17/01/2015</t>
  </si>
  <si>
    <t>Aritz LÃ³pez Garai</t>
  </si>
  <si>
    <t>https://fbref.com/en/players/59b0c4a0/Aritz-Lopez-Garai</t>
  </si>
  <si>
    <t>https://www.transfermarkt.com/aritz-lopez-garai/profil/spieler/51489</t>
  </si>
  <si>
    <t>aritz-lopez-garai</t>
  </si>
  <si>
    <t>Barakaldo</t>
  </si>
  <si>
    <t>Reus Deportiu</t>
  </si>
  <si>
    <t>25/08/2014</t>
  </si>
  <si>
    <t>Arouna KonÃ©</t>
  </si>
  <si>
    <t>ci CIV</t>
  </si>
  <si>
    <t>https://fbref.com/en/players/f9a72ca4/Arouna-Kone</t>
  </si>
  <si>
    <t>CÃ´te d'Ivoire</t>
  </si>
  <si>
    <t>Roda JC</t>
  </si>
  <si>
    <t>https://www.transfermarkt.com/arouna-kone/profil/spieler/8552</t>
  </si>
  <si>
    <t>arouna-kone</t>
  </si>
  <si>
    <t>Anyama</t>
  </si>
  <si>
    <t>Cote d'Ivoire</t>
  </si>
  <si>
    <t>VK Weerde</t>
  </si>
  <si>
    <t>Arthur Boka</t>
  </si>
  <si>
    <t>https://fbref.com/en/players/3abb0642/Arthur-Boka</t>
  </si>
  <si>
    <t>166cm</t>
  </si>
  <si>
    <t>Beveren</t>
  </si>
  <si>
    <t>https://www.transfermarkt.com/arthur-boka/profil/spieler/13038</t>
  </si>
  <si>
    <t>arthur-boka</t>
  </si>
  <si>
    <t>Abidjan</t>
  </si>
  <si>
    <t>Atlco. Marbella</t>
  </si>
  <si>
    <t>28/07/2006</t>
  </si>
  <si>
    <t>Asier del Horno</t>
  </si>
  <si>
    <t>https://fbref.com/en/players/eb525f4a/Asier-del-Horno</t>
  </si>
  <si>
    <t>https://www.transfermarkt.com/asier-del-horno/profil/spieler/7617</t>
  </si>
  <si>
    <t>asier-del-horno</t>
  </si>
  <si>
    <t>19/01/1981</t>
  </si>
  <si>
    <t>Asier Illarramendi</t>
  </si>
  <si>
    <t>https://fbref.com/en/players/5ce0b5ba/Asier-Illarramendi</t>
  </si>
  <si>
    <t>https://www.transfermarkt.com/asier-illarramendi/profil/spieler/59344</t>
  </si>
  <si>
    <t>asier-illarramendi</t>
  </si>
  <si>
    <t>Mutriku</t>
  </si>
  <si>
    <t>Kitchee</t>
  </si>
  <si>
    <t>16/09/2025</t>
  </si>
  <si>
    <t>23/01/2011</t>
  </si>
  <si>
    <t>Asier Riesgo</t>
  </si>
  <si>
    <t>https://fbref.com/en/players/581c5276/Asier-Riesgo</t>
  </si>
  <si>
    <t>https://www.transfermarkt.com/asier-riesgo/profil/spieler/23338</t>
  </si>
  <si>
    <t>asier-riesgo</t>
  </si>
  <si>
    <t>Deba</t>
  </si>
  <si>
    <t>CD LeganÃ©s</t>
  </si>
  <si>
    <t>13/10/2002</t>
  </si>
  <si>
    <t>Augusto FernÃ¡ndez</t>
  </si>
  <si>
    <t>https://fbref.com/en/players/78c40e94/Augusto-Fernandez</t>
  </si>
  <si>
    <t>MF (WM)</t>
  </si>
  <si>
    <t>Saint-Ã‰tienne</t>
  </si>
  <si>
    <t>https://www.transfermarkt.com/augusto-fernandez/profil/spieler/39151</t>
  </si>
  <si>
    <t>augusto-fernandez</t>
  </si>
  <si>
    <t>Pergamino</t>
  </si>
  <si>
    <t>30/01/2006</t>
  </si>
  <si>
    <t>Aymeric Laporte</t>
  </si>
  <si>
    <t>https://fbref.com/en/players/119b9a8e/Aymeric-Laporte</t>
  </si>
  <si>
    <t>May 27, 1994 (Age:Â 31-152d)</t>
  </si>
  <si>
    <t>Agen, France</t>
  </si>
  <si>
    <t>Spain es Â Other:Â France</t>
  </si>
  <si>
    <t>https://www.transfermarkt.com/aymeric-laporte/profil/spieler/176553</t>
  </si>
  <si>
    <t>aymeric-laporte</t>
  </si>
  <si>
    <t>27/05/1994</t>
  </si>
  <si>
    <t>Agen</t>
  </si>
  <si>
    <t>SpainÂ Â France</t>
  </si>
  <si>
    <t>Ayoze DÃ­az DÃ­az</t>
  </si>
  <si>
    <t>https://fbref.com/en/players/b7209bcc/Ayoze-Diaz-Diaz</t>
  </si>
  <si>
    <t>https://www.transfermarkt.com/ayoze-diaz/profil/spieler/16124</t>
  </si>
  <si>
    <t>ayoze-diaz</t>
  </si>
  <si>
    <t>Ayoze DÃ­az</t>
  </si>
  <si>
    <t>25/05/1982</t>
  </si>
  <si>
    <t>La Laguna</t>
  </si>
  <si>
    <t>Ayoze GarcÃ­a</t>
  </si>
  <si>
    <t>https://fbref.com/en/players/e94dfdc6/Ayoze-Garcia</t>
  </si>
  <si>
    <t>DF-MF (AM-FB, left)</t>
  </si>
  <si>
    <t>https://www.transfermarkt.com/ayoze-garcia/profil/spieler/51518</t>
  </si>
  <si>
    <t>ayoze-garcia</t>
  </si>
  <si>
    <t>22/11/1985</t>
  </si>
  <si>
    <t>Puerto de la Cruz</t>
  </si>
  <si>
    <t>Atl. Victoria</t>
  </si>
  <si>
    <t>19/09/2009</t>
  </si>
  <si>
    <t>Aythami Artiles</t>
  </si>
  <si>
    <t>https://fbref.com/en/players/01ae64cd/Aythami-Artiles</t>
  </si>
  <si>
    <t>https://www.transfermarkt.com/aythami-artiles/profil/spieler/44735</t>
  </si>
  <si>
    <t>aythami-artiles</t>
  </si>
  <si>
    <t>ArguineguÃ­n</t>
  </si>
  <si>
    <t>Arucas CF</t>
  </si>
  <si>
    <t>26/09/2007</t>
  </si>
  <si>
    <t>24/09/2006</t>
  </si>
  <si>
    <t>Baba Diawara</t>
  </si>
  <si>
    <t>https://fbref.com/en/players/09b7100a/Baba-Diawara</t>
  </si>
  <si>
    <t>MarÃ­timo</t>
  </si>
  <si>
    <t>https://www.transfermarkt.com/baba/profil/spieler/69819</t>
  </si>
  <si>
    <t>baba</t>
  </si>
  <si>
    <t>Baba</t>
  </si>
  <si>
    <t>Dakar</t>
  </si>
  <si>
    <t>I-League</t>
  </si>
  <si>
    <t>Bacari</t>
  </si>
  <si>
    <t>gm GAM</t>
  </si>
  <si>
    <t>https://fbref.com/en/players/318ad79c/Bacari</t>
  </si>
  <si>
    <t>Gambia gm Â Other:Â Spain</t>
  </si>
  <si>
    <t>https://www.transfermarkt.com/bacari/profil/spieler/182257</t>
  </si>
  <si>
    <t>bacari</t>
  </si>
  <si>
    <t>14/03/1988</t>
  </si>
  <si>
    <t>MatarÃ³</t>
  </si>
  <si>
    <t>The GambiaÂ Â Spain</t>
  </si>
  <si>
    <t>Martinenc</t>
  </si>
  <si>
    <t>21/03/2011</t>
  </si>
  <si>
    <t>Baltasar Rigo</t>
  </si>
  <si>
    <t>https://fbref.com/en/players/b80570db/Baltasar-Rigo</t>
  </si>
  <si>
    <t>Huesca</t>
  </si>
  <si>
    <t>https://www.transfermarkt.com/baltasar-rigo/profil/spieler/70910</t>
  </si>
  <si>
    <t>baltasar-rigo</t>
  </si>
  <si>
    <t>26/06/1985</t>
  </si>
  <si>
    <t>Campos</t>
  </si>
  <si>
    <t>CE Campos</t>
  </si>
  <si>
    <t>30/06/2025</t>
  </si>
  <si>
    <t>29/11/2008</t>
  </si>
  <si>
    <t>BartÅ‚omiej PawÅ‚owski</t>
  </si>
  <si>
    <t>pl POL</t>
  </si>
  <si>
    <t>https://fbref.com/en/players/232ac943/Bartlomiej-Pawlowski</t>
  </si>
  <si>
    <t>November 13, 1992 (Age:Â 32-347d)</t>
  </si>
  <si>
    <t>Zgierz, Poland</t>
  </si>
  <si>
    <t>Poland</t>
  </si>
  <si>
    <t>Widzew ÅÃ³dÅº</t>
  </si>
  <si>
    <t>Jagiellonia</t>
  </si>
  <si>
    <t>https://www.transfermarkt.com/bartlomiej-pawlowski/profil/spieler/153667</t>
  </si>
  <si>
    <t>bartlomiej-pawlowski</t>
  </si>
  <si>
    <t>Bartlomiej Pawlowski</t>
  </si>
  <si>
    <t>13/11/1992</t>
  </si>
  <si>
    <t>Zgierz</t>
  </si>
  <si>
    <t>Widzew Lodz</t>
  </si>
  <si>
    <t>Lotto Ekstraklasa</t>
  </si>
  <si>
    <t>BeÃ±at Etxebarria</t>
  </si>
  <si>
    <t>https://fbref.com/en/players/b037bd4f/Benat-Etxebarria</t>
  </si>
  <si>
    <t>https://www.transfermarkt.com/benat-etxebarria/profil/spieler/40888</t>
  </si>
  <si>
    <t>benat-etxebarria</t>
  </si>
  <si>
    <t>19/02/1987</t>
  </si>
  <si>
    <t>Igorre</t>
  </si>
  <si>
    <t>Macarthur</t>
  </si>
  <si>
    <t>BebÃ©</t>
  </si>
  <si>
    <t>cv CPV</t>
  </si>
  <si>
    <t>https://fbref.com/en/players/d8712bf9/Bebe</t>
  </si>
  <si>
    <t>July 12, 1990 (Age:Â 35-106d)</t>
  </si>
  <si>
    <t>CacÃ©m, Portugal</t>
  </si>
  <si>
    <t>Cape Verde cv Â Other:Â Portugal</t>
  </si>
  <si>
    <t>Ibiza</t>
  </si>
  <si>
    <t>Manchester Utd</t>
  </si>
  <si>
    <t>https://www.transfermarkt.com/bebe/profil/spieler/153427</t>
  </si>
  <si>
    <t>bebe</t>
  </si>
  <si>
    <t>12/07/1990 (35)</t>
  </si>
  <si>
    <t>Lisboa</t>
  </si>
  <si>
    <t>Cape VerdeÂ Â Portugal</t>
  </si>
  <si>
    <t>UD Ibiza</t>
  </si>
  <si>
    <t>Premier League</t>
  </si>
  <si>
    <t>BenoÃ®t TrÃ©moulinas</t>
  </si>
  <si>
    <t>https://fbref.com/en/players/37a24709/Benoit-Tremoulinas</t>
  </si>
  <si>
    <t>Bordeaux</t>
  </si>
  <si>
    <t>https://www.transfermarkt.com/benoit-tremoulinas/profil/spieler/43264</t>
  </si>
  <si>
    <t>benoit-tremoulinas</t>
  </si>
  <si>
    <t>28/12/1985</t>
  </si>
  <si>
    <t>Lormont</t>
  </si>
  <si>
    <t>14/02/2019</t>
  </si>
  <si>
    <t>15/08/2007</t>
  </si>
  <si>
    <t>Bernardo Espinosa</t>
  </si>
  <si>
    <t>https://fbref.com/en/players/4242011c/Bernardo-Espinosa</t>
  </si>
  <si>
    <t>July 11, 1989 (Age:Â 36-107d)</t>
  </si>
  <si>
    <t>Cali, Colombia</t>
  </si>
  <si>
    <t>Marbella</t>
  </si>
  <si>
    <t>https://www.transfermarkt.com/bernardo-espinosa/profil/spieler/64598</t>
  </si>
  <si>
    <t>bernardo-espinosa</t>
  </si>
  <si>
    <t>ColombiaÂ Â Spain</t>
  </si>
  <si>
    <t>22/12/2007</t>
  </si>
  <si>
    <t>Beto</t>
  </si>
  <si>
    <t>https://fbref.com/en/players/3b4941e4/Beto</t>
  </si>
  <si>
    <t>LeixÃµes</t>
  </si>
  <si>
    <t>https://www.transfermarkt.com/beto/profil/spieler/35242</t>
  </si>
  <si>
    <t>beto</t>
  </si>
  <si>
    <t>01/05/1982 (43)</t>
  </si>
  <si>
    <t>Loures</t>
  </si>
  <si>
    <t>Helsinki IFK</t>
  </si>
  <si>
    <t>21/07/2022</t>
  </si>
  <si>
    <t>18/08/2007</t>
  </si>
  <si>
    <t>25/09/2005</t>
  </si>
  <si>
    <t>Bobley Anderson</t>
  </si>
  <si>
    <t>https://fbref.com/en/players/f691678c/Bobley-Anderson</t>
  </si>
  <si>
    <t>https://www.transfermarkt.com/bobley-anderson/profil/spieler/221076</t>
  </si>
  <si>
    <t>bobley-anderson</t>
  </si>
  <si>
    <t>La Boa</t>
  </si>
  <si>
    <t>LB ChÃ¢teauroux</t>
  </si>
  <si>
    <t>19/09/2012</t>
  </si>
  <si>
    <t>Botola Pro Inwi</t>
  </si>
  <si>
    <t>Bojan JokiÄ‡</t>
  </si>
  <si>
    <t>si SVN</t>
  </si>
  <si>
    <t>https://fbref.com/en/players/8ac44cc2/Bojan-Jokic</t>
  </si>
  <si>
    <t>Slovenia</t>
  </si>
  <si>
    <t>DF-MF (CB-FB, left)</t>
  </si>
  <si>
    <t>Sochaux</t>
  </si>
  <si>
    <t>https://www.transfermarkt.com/bojan-jokic/profil/spieler/44317</t>
  </si>
  <si>
    <t>bojan-jokic</t>
  </si>
  <si>
    <t>Bojan Jokic</t>
  </si>
  <si>
    <t>17/05/1986 (39)</t>
  </si>
  <si>
    <t>Kranj</t>
  </si>
  <si>
    <t>Ufa</t>
  </si>
  <si>
    <t>Prva Liga</t>
  </si>
  <si>
    <t>Bojan KrkiÄ‡</t>
  </si>
  <si>
    <t>https://fbref.com/en/players/9fa0a0b8/Bojan-Krkic</t>
  </si>
  <si>
    <t>https://www.transfermarkt.com/bojan-krkic/profil/spieler/44675</t>
  </si>
  <si>
    <t>bojan-krkic</t>
  </si>
  <si>
    <t>Bojan Krkic</t>
  </si>
  <si>
    <t>28/08/1990 (35)</t>
  </si>
  <si>
    <t>LiÃ±ola</t>
  </si>
  <si>
    <t>SpainÂ Â Serbia</t>
  </si>
  <si>
    <t>Vissel Kobe</t>
  </si>
  <si>
    <t>23/03/2023</t>
  </si>
  <si>
    <t>Borja Ekiza</t>
  </si>
  <si>
    <t>https://fbref.com/en/players/6465e1c9/Borja-Ekiza</t>
  </si>
  <si>
    <t>https://www.transfermarkt.com/borja-ekiza/profil/spieler/89318</t>
  </si>
  <si>
    <t>borja-ekiza</t>
  </si>
  <si>
    <t>UDC Txantrea</t>
  </si>
  <si>
    <t>Borja FernÃ¡ndez</t>
  </si>
  <si>
    <t>https://fbref.com/en/players/3ebe8651/Borja-Fernandez</t>
  </si>
  <si>
    <t>August 16, 1995 (Age:Â 30-074d)</t>
  </si>
  <si>
    <t>Vigo, Spain</t>
  </si>
  <si>
    <t>Ponferradina</t>
  </si>
  <si>
    <t>https://www.transfermarkt.com/borja-fernandez/profil/spieler/271988</t>
  </si>
  <si>
    <t>borja-fernandez</t>
  </si>
  <si>
    <t>16/08/1995 (30)</t>
  </si>
  <si>
    <t>Vigo</t>
  </si>
  <si>
    <t>Lincoln FC</t>
  </si>
  <si>
    <t>24/08/2014</t>
  </si>
  <si>
    <t>27/08/2017</t>
  </si>
  <si>
    <t>https://fbref.com/en/players/9127f9ce/Borja-Fernandez</t>
  </si>
  <si>
    <t>https://www.transfermarkt.com/borja-fernandez/profil/spieler/7512</t>
  </si>
  <si>
    <t>14/01/1981</t>
  </si>
  <si>
    <t>Ourense</t>
  </si>
  <si>
    <t>Borja GÃ³mez PÃ©rez</t>
  </si>
  <si>
    <t>https://fbref.com/en/players/95abfdfd/Borja-Gomez-Perez</t>
  </si>
  <si>
    <t>https://www.transfermarkt.com/borja-gomez/profil/spieler/65060</t>
  </si>
  <si>
    <t>borja-gomez</t>
  </si>
  <si>
    <t>Borja GÃ³mez</t>
  </si>
  <si>
    <t>14/05/1988</t>
  </si>
  <si>
    <t>East Bengal FC</t>
  </si>
  <si>
    <t>Premier Liga</t>
  </si>
  <si>
    <t>Borja GarcÃ­a</t>
  </si>
  <si>
    <t>https://fbref.com/en/players/13c3bec9/Borja-Garcia</t>
  </si>
  <si>
    <t>January 7, 1990 (Age:Â 35-292d)</t>
  </si>
  <si>
    <t>Laredo, Spain</t>
  </si>
  <si>
    <t>DF</t>
  </si>
  <si>
    <t>https://www.transfermarkt.com/borja-garcia/profil/spieler/89368</t>
  </si>
  <si>
    <t>borja-garcia</t>
  </si>
  <si>
    <t>07/01/1990 (35)</t>
  </si>
  <si>
    <t>Laredo</t>
  </si>
  <si>
    <t>Barakaldo CF</t>
  </si>
  <si>
    <t>18/08/2023</t>
  </si>
  <si>
    <t>https://fbref.com/en/players/e7f4603c/Borja-Garcia</t>
  </si>
  <si>
    <t>FW-MF (AM, left)</t>
  </si>
  <si>
    <t>https://www.transfermarkt.com/borja-garcia/profil/spieler/67808</t>
  </si>
  <si>
    <t>02/11/1990 (34)</t>
  </si>
  <si>
    <t>30/08/2014</t>
  </si>
  <si>
    <t>20/06/2009</t>
  </si>
  <si>
    <t>Borja Iglesias</t>
  </si>
  <si>
    <t>https://fbref.com/en/players/75645f0e/Borja-Iglesias</t>
  </si>
  <si>
    <t>January 17, 1993 (Age:Â 32-282d)</t>
  </si>
  <si>
    <t>Santiago de Compostela, Spain</t>
  </si>
  <si>
    <t>https://www.transfermarkt.com/borja-iglesias/profil/spieler/278359</t>
  </si>
  <si>
    <t>borja-iglesias</t>
  </si>
  <si>
    <t>17/01/1993</t>
  </si>
  <si>
    <t>Santiago de Compostela</t>
  </si>
  <si>
    <t>Celta de Vigo</t>
  </si>
  <si>
    <t>18/08/2017</t>
  </si>
  <si>
    <t>Borja LÃ³pez</t>
  </si>
  <si>
    <t>https://fbref.com/en/players/d02d04ea/Borja-Lopez</t>
  </si>
  <si>
    <t>February 2, 1994 (Age:Â 31-266d)</t>
  </si>
  <si>
    <t>AC Bellinzona</t>
  </si>
  <si>
    <t>https://www.transfermarkt.com/borja-lopez/profil/spieler/214770</t>
  </si>
  <si>
    <t>borja-lopez</t>
  </si>
  <si>
    <t>17/07/2025</t>
  </si>
  <si>
    <t>20/10/2013</t>
  </si>
  <si>
    <t>16/11/2012</t>
  </si>
  <si>
    <t>Borja OubiÃ±a</t>
  </si>
  <si>
    <t>https://fbref.com/en/players/df441c0d/Borja-Oubina</t>
  </si>
  <si>
    <t>https://www.transfermarkt.com/borja-oubina/profil/spieler/15715</t>
  </si>
  <si>
    <t>borja-oubina</t>
  </si>
  <si>
    <t>17/05/1982</t>
  </si>
  <si>
    <t>29/10/2003</t>
  </si>
  <si>
    <t>Borja Valero</t>
  </si>
  <si>
    <t>https://fbref.com/en/players/0e21fc3c/Borja-Valero</t>
  </si>
  <si>
    <t>https://www.transfermarkt.com/borja-valero/profil/spieler/40372</t>
  </si>
  <si>
    <t>borja-valero</t>
  </si>
  <si>
    <t>CS Lebowski</t>
  </si>
  <si>
    <t>Borja Viguera</t>
  </si>
  <si>
    <t>https://fbref.com/en/players/d906a703/Borja-Viguera</t>
  </si>
  <si>
    <t>https://www.transfermarkt.com/borja-viguera/profil/spieler/61344</t>
  </si>
  <si>
    <t>borja-viguera</t>
  </si>
  <si>
    <t>26/03/1987</t>
  </si>
  <si>
    <t>Braian RodrÃ­guez</t>
  </si>
  <si>
    <t>https://fbref.com/en/players/ba32a26f/Braian-Rodriguez</t>
  </si>
  <si>
    <t>https://www.transfermarkt.com/braian-rodriguez/profil/spieler/76984</t>
  </si>
  <si>
    <t>braian-rodriguez</t>
  </si>
  <si>
    <t>14/08/1986</t>
  </si>
  <si>
    <t>Salto</t>
  </si>
  <si>
    <t>17/02/2007</t>
  </si>
  <si>
    <t>Brandon</t>
  </si>
  <si>
    <t>https://fbref.com/en/players/3e016e5a/Brandon</t>
  </si>
  <si>
    <t>https://www.transfermarkt.com/brandon-thomas/profil/spieler/251680</t>
  </si>
  <si>
    <t>brandon-thomas</t>
  </si>
  <si>
    <t>Brandon Thomas</t>
  </si>
  <si>
    <t>04/02/1995 (30)</t>
  </si>
  <si>
    <t>SantanyÃ­</t>
  </si>
  <si>
    <t>SpainÂ Â England</t>
  </si>
  <si>
    <t>Apol. Limassol</t>
  </si>
  <si>
    <t>31/05/2027</t>
  </si>
  <si>
    <t>15/12/2012</t>
  </si>
  <si>
    <t>31/05/2014</t>
  </si>
  <si>
    <t>Braulio NÃ³brega</t>
  </si>
  <si>
    <t>https://fbref.com/en/players/6e02869d/Braulio-Nobrega</t>
  </si>
  <si>
    <t>https://www.transfermarkt.com/braulio-nobrega/profil/spieler/27488</t>
  </si>
  <si>
    <t>braulio-nobrega</t>
  </si>
  <si>
    <t>18/09/1985</t>
  </si>
  <si>
    <t>Puerto del Rosario</t>
  </si>
  <si>
    <t>30/06/2019</t>
  </si>
  <si>
    <t>Brayan Angulo</t>
  </si>
  <si>
    <t>https://fbref.com/en/players/af31b77b/Brayan-Angulo</t>
  </si>
  <si>
    <t>https://www.transfermarkt.com/brayan-angulo/profil/spieler/67866</t>
  </si>
  <si>
    <t>brayan-angulo</t>
  </si>
  <si>
    <t>Bryan Angulo</t>
  </si>
  <si>
    <t>Guayaquil</t>
  </si>
  <si>
    <t>Colombia and Spain</t>
  </si>
  <si>
    <t>LDU Portoviejo</t>
  </si>
  <si>
    <t>Bruno</t>
  </si>
  <si>
    <t>https://fbref.com/en/players/78803d03/Bruno</t>
  </si>
  <si>
    <t>GimnÃ stic</t>
  </si>
  <si>
    <t>https://www.transfermarkt.com/bruno-saltor/profil/spieler/51528</t>
  </si>
  <si>
    <t>bruno-saltor</t>
  </si>
  <si>
    <t>Bruno Saltor</t>
  </si>
  <si>
    <t>01/10/1980 (45)</t>
  </si>
  <si>
    <t>El Masnou</t>
  </si>
  <si>
    <t>Brighton</t>
  </si>
  <si>
    <t>29/09/2001</t>
  </si>
  <si>
    <t>23/12/2001</t>
  </si>
  <si>
    <t>Bruno Gama</t>
  </si>
  <si>
    <t>https://fbref.com/en/players/6cffc9df/Bruno-Gama</t>
  </si>
  <si>
    <t>Braga</t>
  </si>
  <si>
    <t>https://www.transfermarkt.com/bruno-gama/profil/spieler/15568</t>
  </si>
  <si>
    <t>bruno-gama</t>
  </si>
  <si>
    <t>15/11/1987</t>
  </si>
  <si>
    <t>Vila Verde</t>
  </si>
  <si>
    <t>PS Kalamata</t>
  </si>
  <si>
    <t>Bruno Soriano</t>
  </si>
  <si>
    <t>https://fbref.com/en/players/09332647/Bruno-Soriano</t>
  </si>
  <si>
    <t>https://www.transfermarkt.com/bruno-soriano/profil/spieler/44412</t>
  </si>
  <si>
    <t>bruno-soriano</t>
  </si>
  <si>
    <t>Artana</t>
  </si>
  <si>
    <t>Bruno Zuculini</t>
  </si>
  <si>
    <t>https://fbref.com/en/players/17cddb4d/Bruno-Zuculini</t>
  </si>
  <si>
    <t>April 2, 1993 (Age:Â 32-207d)</t>
  </si>
  <si>
    <t>Escobar, Argentina</t>
  </si>
  <si>
    <t>Racing Club</t>
  </si>
  <si>
    <t>CÃ³rdoba</t>
  </si>
  <si>
    <t>https://www.transfermarkt.com/bruno-zuculini/profil/spieler/115507</t>
  </si>
  <si>
    <t>bruno-zuculini</t>
  </si>
  <si>
    <t>Escobar</t>
  </si>
  <si>
    <t>14/02/2010</t>
  </si>
  <si>
    <t>31/10/2015</t>
  </si>
  <si>
    <t>Bryan Rabello</t>
  </si>
  <si>
    <t>https://fbref.com/en/players/ad052490/Bryan-Rabello</t>
  </si>
  <si>
    <t>Rancagua, Chile</t>
  </si>
  <si>
    <t>O'Higgins</t>
  </si>
  <si>
    <t>https://www.transfermarkt.com/bryan-rabello/profil/spieler/160217</t>
  </si>
  <si>
    <t>bryan-rabello</t>
  </si>
  <si>
    <t>16/05/1994</t>
  </si>
  <si>
    <t>Rancagua</t>
  </si>
  <si>
    <t>ChileÂ Â Spain</t>
  </si>
  <si>
    <t>17/07/2023</t>
  </si>
  <si>
    <t>23/08/2010</t>
  </si>
  <si>
    <t>CÃ©sar SÃ¡nchez</t>
  </si>
  <si>
    <t>https://fbref.com/en/players/c6e6e5d6/Cesar-Sanchez</t>
  </si>
  <si>
    <t>1991-1992</t>
  </si>
  <si>
    <t>https://www.transfermarkt.com/cesar-sanchez/profil/spieler/7510</t>
  </si>
  <si>
    <t>cesar-sanchez</t>
  </si>
  <si>
    <t>Coria</t>
  </si>
  <si>
    <t>24/05/1992</t>
  </si>
  <si>
    <t>Cala</t>
  </si>
  <si>
    <t>https://fbref.com/en/players/8449a41e/Cala</t>
  </si>
  <si>
    <t>https://www.transfermarkt.com/cala/profil/spieler/150936</t>
  </si>
  <si>
    <t>cala</t>
  </si>
  <si>
    <t>02/03/1990 (35)</t>
  </si>
  <si>
    <t>Antequera</t>
  </si>
  <si>
    <t>https://fbref.com/en/players/fe05804b/Cala</t>
  </si>
  <si>
    <t>https://www.transfermarkt.com/juan-cala/profil/spieler/67089</t>
  </si>
  <si>
    <t>juan-cala</t>
  </si>
  <si>
    <t>Juan Cala</t>
  </si>
  <si>
    <t>26/11/1989 (35)</t>
  </si>
  <si>
    <t>Lebrija</t>
  </si>
  <si>
    <t>29/03/2008</t>
  </si>
  <si>
    <t>Cani</t>
  </si>
  <si>
    <t>https://fbref.com/en/players/b493db11/Cani</t>
  </si>
  <si>
    <t>https://www.transfermarkt.com/cani/profil/spieler/7983</t>
  </si>
  <si>
    <t>cani</t>
  </si>
  <si>
    <t>03/08/1981 (44)</t>
  </si>
  <si>
    <t>Real Zaragoza</t>
  </si>
  <si>
    <t>Carles Gil</t>
  </si>
  <si>
    <t>https://fbref.com/en/players/11c30a46/Carles-Gil</t>
  </si>
  <si>
    <t>November 22, 1992 (Age:Â 32-338d)</t>
  </si>
  <si>
    <t>Valencia, Spain</t>
  </si>
  <si>
    <t>New England Revolution</t>
  </si>
  <si>
    <t>https://www.transfermarkt.com/carles-gil/profil/spieler/127987</t>
  </si>
  <si>
    <t>carles-gil</t>
  </si>
  <si>
    <t>22/11/1992</t>
  </si>
  <si>
    <t>New England</t>
  </si>
  <si>
    <t>30/01/2019</t>
  </si>
  <si>
    <t>Carles Planas</t>
  </si>
  <si>
    <t>https://fbref.com/en/players/72b92c4e/Carles-Planas</t>
  </si>
  <si>
    <t>https://www.transfermarkt.com/carles-planas/profil/spieler/66099</t>
  </si>
  <si>
    <t>carles-planas</t>
  </si>
  <si>
    <t>Sant Celoni</t>
  </si>
  <si>
    <t>AEK Larnaca</t>
  </si>
  <si>
    <t>Carles Puyol</t>
  </si>
  <si>
    <t>https://fbref.com/en/players/7c0bda9b/Carles-Puyol</t>
  </si>
  <si>
    <t>1997-1998</t>
  </si>
  <si>
    <t>https://www.transfermarkt.com/carles-puyol/profil/spieler/7594</t>
  </si>
  <si>
    <t>carles-puyol</t>
  </si>
  <si>
    <t>13/04/1978</t>
  </si>
  <si>
    <t>La Pobla de Segur</t>
  </si>
  <si>
    <t>Carlos Aranda</t>
  </si>
  <si>
    <t>https://fbref.com/en/players/2b60c45d/Carlos-Aranda</t>
  </si>
  <si>
    <t>Numancia</t>
  </si>
  <si>
    <t>https://www.transfermarkt.com/carlos-aranda/profil/spieler/7841</t>
  </si>
  <si>
    <t>carlos-aranda</t>
  </si>
  <si>
    <t>27/07/1980</t>
  </si>
  <si>
    <t>El Palo</t>
  </si>
  <si>
    <t>15/09/2002</t>
  </si>
  <si>
    <t>Carlos Bacca</t>
  </si>
  <si>
    <t>https://fbref.com/en/players/09a9e921/Carlos-Bacca</t>
  </si>
  <si>
    <t>September 8, 1986 (Age:Â 39-048d)</t>
  </si>
  <si>
    <t>Barranquilla, Colombia</t>
  </si>
  <si>
    <t>Junior</t>
  </si>
  <si>
    <t>Club Brugge</t>
  </si>
  <si>
    <t>https://www.transfermarkt.com/carlos-bacca/profil/spieler/119235</t>
  </si>
  <si>
    <t>carlos-bacca</t>
  </si>
  <si>
    <t>Puerto Colombia</t>
  </si>
  <si>
    <t>Junior FC</t>
  </si>
  <si>
    <t>13/07/2009</t>
  </si>
  <si>
    <t>Liga Ãguila II</t>
  </si>
  <si>
    <t>Carlos BellvÃ­s</t>
  </si>
  <si>
    <t>https://fbref.com/en/players/fbe35ca3/Carlos-Bellvis</t>
  </si>
  <si>
    <t>169cm</t>
  </si>
  <si>
    <t>https://www.transfermarkt.com/carlos-bellvis/profil/spieler/51550</t>
  </si>
  <si>
    <t>carlos-bellvis</t>
  </si>
  <si>
    <t>24/04/1985</t>
  </si>
  <si>
    <t>AD AlcorcÃ³n</t>
  </si>
  <si>
    <t>Carlos Caballero</t>
  </si>
  <si>
    <t>https://fbref.com/en/players/38afdbc5/Carlos-Caballero</t>
  </si>
  <si>
    <t>https://www.transfermarkt.com/carlos-caballero/profil/spieler/71002</t>
  </si>
  <si>
    <t>carlos-caballero</t>
  </si>
  <si>
    <t>AlcorcÃ³n</t>
  </si>
  <si>
    <t>Carlos Clerc</t>
  </si>
  <si>
    <t>https://fbref.com/en/players/33a61a52/Carlos-Clerc</t>
  </si>
  <si>
    <t>Sabadell</t>
  </si>
  <si>
    <t>https://www.transfermarkt.com/carlos-clerc/profil/spieler/193784</t>
  </si>
  <si>
    <t>carlos-clerc</t>
  </si>
  <si>
    <t>21/02/1992</t>
  </si>
  <si>
    <t>31/01/2025</t>
  </si>
  <si>
    <t>26/09/2013</t>
  </si>
  <si>
    <t>15/02/2014</t>
  </si>
  <si>
    <t>Carlos Diogo</t>
  </si>
  <si>
    <t>https://fbref.com/en/players/8da138d9/Carlos-Diogo</t>
  </si>
  <si>
    <t>DF-MF (DM-FB, right)</t>
  </si>
  <si>
    <t>https://www.transfermarkt.com/carlos-diogo/profil/spieler/32233</t>
  </si>
  <si>
    <t>carlos-diogo</t>
  </si>
  <si>
    <t>18/07/1983</t>
  </si>
  <si>
    <t>UruguayÂ Â Italy</t>
  </si>
  <si>
    <t>21/01/2015</t>
  </si>
  <si>
    <t>13/02/2005</t>
  </si>
  <si>
    <t>13/10/2012</t>
  </si>
  <si>
    <t>Carlos FernÃ¡ndez</t>
  </si>
  <si>
    <t>https://fbref.com/en/players/e08647d6/Carlos-Fernandez</t>
  </si>
  <si>
    <t>May 22, 1996 (Age:Â 29-157d)</t>
  </si>
  <si>
    <t>MirandÃ©s</t>
  </si>
  <si>
    <t>https://www.transfermarkt.com/carlos-fernandez/profil/spieler/216464</t>
  </si>
  <si>
    <t>carlos-fernandez</t>
  </si>
  <si>
    <t>22/05/1996</t>
  </si>
  <si>
    <t>Castilleja de GuzmÃ¡n</t>
  </si>
  <si>
    <t>CD MirandÃ©s</t>
  </si>
  <si>
    <t>19/08/2025</t>
  </si>
  <si>
    <t>Carlos GarcÃ­a</t>
  </si>
  <si>
    <t>https://fbref.com/en/players/1e64709e/Carlos-Garcia</t>
  </si>
  <si>
    <t>September 17, 1993 (Age:Â 32-042d)</t>
  </si>
  <si>
    <t>Bruno's Magpies FC</t>
  </si>
  <si>
    <t>https://www.transfermarkt.com/carlos-garcia/profil/spieler/199134</t>
  </si>
  <si>
    <t>carlos-garcia</t>
  </si>
  <si>
    <t>17/09/1993 (32)</t>
  </si>
  <si>
    <t>AD San Jose</t>
  </si>
  <si>
    <t>26/05/2013</t>
  </si>
  <si>
    <t>https://fbref.com/en/players/2f21a57c/Carlos-Garcia</t>
  </si>
  <si>
    <t>https://www.transfermarkt.com/carlos-garcia/profil/spieler/15762</t>
  </si>
  <si>
    <t>29/04/1984</t>
  </si>
  <si>
    <t>Alanyaspor</t>
  </si>
  <si>
    <t>29/12/2017</t>
  </si>
  <si>
    <t>19/09/2004</t>
  </si>
  <si>
    <t>Carlos Gurpegui</t>
  </si>
  <si>
    <t>https://fbref.com/en/players/6920be59/Carlos-Gurpegui</t>
  </si>
  <si>
    <t>https://www.transfermarkt.com/carlos-gurpegui/profil/spieler/7631</t>
  </si>
  <si>
    <t>carlos-gurpegui</t>
  </si>
  <si>
    <t>19/08/1980</t>
  </si>
  <si>
    <t>31/03/2002</t>
  </si>
  <si>
    <t>Carlos Kameni</t>
  </si>
  <si>
    <t>https://fbref.com/en/players/867c7fb3/Carlos-Kameni</t>
  </si>
  <si>
    <t>https://www.transfermarkt.com/carlos-kameni/profil/spieler/7914</t>
  </si>
  <si>
    <t>carlos-kameni</t>
  </si>
  <si>
    <t>18/02/1984</t>
  </si>
  <si>
    <t>22/01/2024</t>
  </si>
  <si>
    <t>Carlos Marchena</t>
  </si>
  <si>
    <t>https://fbref.com/en/players/48ddb821/Carlos-Marchena</t>
  </si>
  <si>
    <t>1999-2000</t>
  </si>
  <si>
    <t>https://www.transfermarkt.com/carlos-marchena/profil/spieler/7572</t>
  </si>
  <si>
    <t>carlos-marchena</t>
  </si>
  <si>
    <t>31/07/1979</t>
  </si>
  <si>
    <t>Las Cabezas</t>
  </si>
  <si>
    <t>CD Gerena</t>
  </si>
  <si>
    <t>19/01/2016</t>
  </si>
  <si>
    <t>22/08/1999</t>
  </si>
  <si>
    <t>Carlos MartÃ­nez</t>
  </si>
  <si>
    <t>https://fbref.com/en/players/d9b0cc38/Carlos-Martinez</t>
  </si>
  <si>
    <t>https://www.transfermarkt.com/carlos-martinez/profil/spieler/58074</t>
  </si>
  <si>
    <t>carlos-martinez</t>
  </si>
  <si>
    <t>Lodosa</t>
  </si>
  <si>
    <t>Burgos CF</t>
  </si>
  <si>
    <t>15/01/2020</t>
  </si>
  <si>
    <t>Carlos Martins</t>
  </si>
  <si>
    <t>https://fbref.com/en/players/23cfa96c/Carlos-Martins</t>
  </si>
  <si>
    <t>Sporting CP</t>
  </si>
  <si>
    <t>https://www.transfermarkt.com/carlos-martins/profil/spieler/14511</t>
  </si>
  <si>
    <t>carlos-martins</t>
  </si>
  <si>
    <t>29/04/1982</t>
  </si>
  <si>
    <t>Oliveira do Hospital</t>
  </si>
  <si>
    <t>Belenenses</t>
  </si>
  <si>
    <t>Carlos PeÃ±a</t>
  </si>
  <si>
    <t>https://fbref.com/en/players/26a03602/Carlos-Pena</t>
  </si>
  <si>
    <t>https://www.transfermarkt.com/carlos-pena/profil/spieler/8746</t>
  </si>
  <si>
    <t>carlos-pena</t>
  </si>
  <si>
    <t>28/07/1983 (42)</t>
  </si>
  <si>
    <t>27/08/2012</t>
  </si>
  <si>
    <t>15/10/2006</t>
  </si>
  <si>
    <t>Carlos SÃ¡nchez</t>
  </si>
  <si>
    <t>https://fbref.com/en/players/50b51fac/Carlos-Sanchez</t>
  </si>
  <si>
    <t>https://www.transfermarkt.com/carlos-sanchez/profil/spieler/51226</t>
  </si>
  <si>
    <t>carlos-sanchez</t>
  </si>
  <si>
    <t>06/02/1986 (39)</t>
  </si>
  <si>
    <t>QuibdÃ³</t>
  </si>
  <si>
    <t>Barracas C.</t>
  </si>
  <si>
    <t>Carlos Selfa</t>
  </si>
  <si>
    <t>https://fbref.com/en/players/162b5811/Carlos-Selfa</t>
  </si>
  <si>
    <t>https://www.transfermarkt.com/carlos-selfa/profil/spieler/252688</t>
  </si>
  <si>
    <t>carlos-selfa</t>
  </si>
  <si>
    <t>25/04/1992</t>
  </si>
  <si>
    <t>Sueca</t>
  </si>
  <si>
    <t>24/11/2014</t>
  </si>
  <si>
    <t>Carlos TomÃ¡s</t>
  </si>
  <si>
    <t>https://fbref.com/en/players/c4559662/Carlos-Tomas</t>
  </si>
  <si>
    <t>Villarreal B</t>
  </si>
  <si>
    <t>https://www.transfermarkt.com/carlos-tomas/profil/spieler/125797</t>
  </si>
  <si>
    <t>carlos-tomas</t>
  </si>
  <si>
    <t>18/05/1988</t>
  </si>
  <si>
    <t>14/12/2017</t>
  </si>
  <si>
    <t>21/05/2011</t>
  </si>
  <si>
    <t>Carlos Vela</t>
  </si>
  <si>
    <t>https://fbref.com/en/players/e0cd04e0/Carlos-Vela</t>
  </si>
  <si>
    <t>https://www.transfermarkt.com/carlos-vela/profil/spieler/35773</t>
  </si>
  <si>
    <t>carlos-vela</t>
  </si>
  <si>
    <t>CancÃºn</t>
  </si>
  <si>
    <t>LAFC</t>
  </si>
  <si>
    <t>27/05/2025</t>
  </si>
  <si>
    <t>Carlos Vigaray</t>
  </si>
  <si>
    <t>https://fbref.com/en/players/f69d934e/Carlos-Vigaray</t>
  </si>
  <si>
    <t>https://www.transfermarkt.com/carlos-vigaray/profil/spieler/263627</t>
  </si>
  <si>
    <t>carlos-vigaray</t>
  </si>
  <si>
    <t>LeganÃ©s</t>
  </si>
  <si>
    <t>CD Teruel</t>
  </si>
  <si>
    <t>16/07/2025</t>
  </si>
  <si>
    <t>16/02/2014</t>
  </si>
  <si>
    <t>17/08/2019</t>
  </si>
  <si>
    <t>Carmelo GonzÃ¡lez</t>
  </si>
  <si>
    <t>https://fbref.com/en/players/27f4e837/Carmelo-Gonzalez</t>
  </si>
  <si>
    <t>https://www.transfermarkt.com/carmelo/profil/spieler/44038</t>
  </si>
  <si>
    <t>carmelo</t>
  </si>
  <si>
    <t>Carmelo</t>
  </si>
  <si>
    <t>09/07/1983 (42)</t>
  </si>
  <si>
    <t>26/08/2001</t>
  </si>
  <si>
    <t>Casemiro</t>
  </si>
  <si>
    <t>https://fbref.com/en/players/4d224fe8/Casemiro</t>
  </si>
  <si>
    <t>February 23, 1992 (Age:Â 33-245d)</t>
  </si>
  <si>
    <t>SÃ£o JosÃ© dos Campos, Brazil</t>
  </si>
  <si>
    <t>Manchester United</t>
  </si>
  <si>
    <t>https://www.transfermarkt.com/casemiro/profil/spieler/16306</t>
  </si>
  <si>
    <t>casemiro</t>
  </si>
  <si>
    <t>23/02/1992</t>
  </si>
  <si>
    <t>SÃ£o JosÃ© dos Campos</t>
  </si>
  <si>
    <t>Man Utd</t>
  </si>
  <si>
    <t>22/08/2022</t>
  </si>
  <si>
    <t>Casto</t>
  </si>
  <si>
    <t>https://fbref.com/en/players/95b4ffb3/Casto</t>
  </si>
  <si>
    <t>https://www.transfermarkt.com/casto/profil/spieler/47722</t>
  </si>
  <si>
    <t>casto</t>
  </si>
  <si>
    <t>18/06/1982</t>
  </si>
  <si>
    <t>Pueblonuevo del Guadiana</t>
  </si>
  <si>
    <t>Extremadura</t>
  </si>
  <si>
    <t>24/01/2022</t>
  </si>
  <si>
    <t>16/12/2007</t>
  </si>
  <si>
    <t>18/06/2006</t>
  </si>
  <si>
    <t>Cata DÃ­az</t>
  </si>
  <si>
    <t>https://fbref.com/en/players/c9112443/Cata-Diaz</t>
  </si>
  <si>
    <t>Cruz Azul</t>
  </si>
  <si>
    <t>https://www.transfermarkt.com/cata-diaz/profil/spieler/39087</t>
  </si>
  <si>
    <t>cata-diaz</t>
  </si>
  <si>
    <t>13/07/1979</t>
  </si>
  <si>
    <t>San Fernando del Valle</t>
  </si>
  <si>
    <t>CD MÃ³stoles</t>
  </si>
  <si>
    <t>20/06/2000</t>
  </si>
  <si>
    <t>19/08/2016</t>
  </si>
  <si>
    <t>Cedrick Mabwati</t>
  </si>
  <si>
    <t>cd COD</t>
  </si>
  <si>
    <t>https://fbref.com/en/players/6518bc18/Cedrick-Mabwati</t>
  </si>
  <si>
    <t>Congo DR</t>
  </si>
  <si>
    <t>https://www.transfermarkt.com/cedrick/profil/spieler/137162</t>
  </si>
  <si>
    <t>cedrick</t>
  </si>
  <si>
    <t>Cedrick</t>
  </si>
  <si>
    <t>Kinshasa</t>
  </si>
  <si>
    <t>DR CongoÂ Â Spain</t>
  </si>
  <si>
    <t>CA Pinto</t>
  </si>
  <si>
    <t>Celso Borges</t>
  </si>
  <si>
    <t>cr CRC</t>
  </si>
  <si>
    <t>https://fbref.com/en/players/b8836910/Celso-Borges</t>
  </si>
  <si>
    <t>May 27, 1988 (Age:Â 37-152d)</t>
  </si>
  <si>
    <t>San JosÃ©, Costa Rica</t>
  </si>
  <si>
    <t>Costa Rica</t>
  </si>
  <si>
    <t>FW-MF (AM-CM-DM)</t>
  </si>
  <si>
    <t>Alajuelense</t>
  </si>
  <si>
    <t>Fredrikstad</t>
  </si>
  <si>
    <t>https://www.transfermarkt.com/celso-borges/profil/spieler/81532</t>
  </si>
  <si>
    <t>celso-borges</t>
  </si>
  <si>
    <t>27/05/1988</t>
  </si>
  <si>
    <t>San JosÃ©</t>
  </si>
  <si>
    <t>Costa RicaÂ Â Brazil</t>
  </si>
  <si>
    <t>LD Alajuelense</t>
  </si>
  <si>
    <t>21/09/2021</t>
  </si>
  <si>
    <t>20/01/2008</t>
  </si>
  <si>
    <t>Primera DivisiÃ³n Verano</t>
  </si>
  <si>
    <t>OBOS-ligaen</t>
  </si>
  <si>
    <t>Cesc FÃ bregas</t>
  </si>
  <si>
    <t>https://fbref.com/en/players/33508c78/Cesc-Fabregas</t>
  </si>
  <si>
    <t>Arsenal</t>
  </si>
  <si>
    <t>https://www.transfermarkt.com/cesc-fabregas/profil/spieler/8806</t>
  </si>
  <si>
    <t>cesc-fabregas</t>
  </si>
  <si>
    <t>Arenys de Mar</t>
  </si>
  <si>
    <t>15/08/2004</t>
  </si>
  <si>
    <t>29/08/2022</t>
  </si>
  <si>
    <t>Cezary Wilk</t>
  </si>
  <si>
    <t>https://fbref.com/en/players/bf526c15/Cezary-Wilk</t>
  </si>
  <si>
    <t>Korona Kielce</t>
  </si>
  <si>
    <t>https://www.transfermarkt.com/cezary-wilk/profil/spieler/35448</t>
  </si>
  <si>
    <t>cezary-wilk</t>
  </si>
  <si>
    <t>Warszawa</t>
  </si>
  <si>
    <t>20/03/2018</t>
  </si>
  <si>
    <t>19/11/2005</t>
  </si>
  <si>
    <t>Nice 1 Liga</t>
  </si>
  <si>
    <t>Charles</t>
  </si>
  <si>
    <t>https://fbref.com/en/players/c4b8bcf4/Charles</t>
  </si>
  <si>
    <t>Pontevedra</t>
  </si>
  <si>
    <t>https://www.transfermarkt.com/charles/profil/spieler/154059</t>
  </si>
  <si>
    <t>charles</t>
  </si>
  <si>
    <t>04/04/1984 (41)</t>
  </si>
  <si>
    <t>Belem</t>
  </si>
  <si>
    <t>BrazilÂ Â Portugal</t>
  </si>
  <si>
    <t>Pontevedra CF</t>
  </si>
  <si>
    <t>Charlie I'Anson</t>
  </si>
  <si>
    <t>eng ENG</t>
  </si>
  <si>
    <t>https://fbref.com/en/players/907594ed/Charlie-IAnson</t>
  </si>
  <si>
    <t>Grimsby Town</t>
  </si>
  <si>
    <t>https://www.transfermarkt.com/charlie-ianson/profil/spieler/191866</t>
  </si>
  <si>
    <t>charlie-ianson</t>
  </si>
  <si>
    <t>01/07/1993 (32)</t>
  </si>
  <si>
    <t>Luton</t>
  </si>
  <si>
    <t>EnglandÂ Â Spain</t>
  </si>
  <si>
    <t>Charlie Took</t>
  </si>
  <si>
    <t>https://fbref.com/en/players/9a7434c7/Charlie-Took</t>
  </si>
  <si>
    <t>https://www.transfermarkt.com/charlie-took/profil/spieler/210142</t>
  </si>
  <si>
    <t>charlie-took</t>
  </si>
  <si>
    <t>25/05/1993</t>
  </si>
  <si>
    <t>Chechu</t>
  </si>
  <si>
    <t>https://fbref.com/en/players/e98f3a6a/Chechu</t>
  </si>
  <si>
    <t>Lleida</t>
  </si>
  <si>
    <t>https://www.transfermarkt.com/chechu-dorado/profil/spieler/70898</t>
  </si>
  <si>
    <t>chechu-dorado</t>
  </si>
  <si>
    <t>Chechu Dorado</t>
  </si>
  <si>
    <t>Santa Anastasia</t>
  </si>
  <si>
    <t>Chico Flores</t>
  </si>
  <si>
    <t>https://fbref.com/en/players/95825cf2/Chico-Flores</t>
  </si>
  <si>
    <t>https://www.transfermarkt.com/chico-flores/profil/spieler/51681</t>
  </si>
  <si>
    <t>chico-flores</t>
  </si>
  <si>
    <t>24/08/2020</t>
  </si>
  <si>
    <t>14/10/2017</t>
  </si>
  <si>
    <t>Chori DomÃ­nguez</t>
  </si>
  <si>
    <t>https://fbref.com/en/players/bbb66f34/Chori-Dominguez</t>
  </si>
  <si>
    <t>Rubin Kazan</t>
  </si>
  <si>
    <t>https://www.transfermarkt.com/alejandro-dominguez/profil/spieler/18958</t>
  </si>
  <si>
    <t>alejandro-dominguez</t>
  </si>
  <si>
    <t>Alejandro DomÃ­nguez</t>
  </si>
  <si>
    <t>LanÃºs</t>
  </si>
  <si>
    <t>17/08/2011</t>
  </si>
  <si>
    <t>Primera Nacional</t>
  </si>
  <si>
    <t>Chory Castro</t>
  </si>
  <si>
    <t>https://fbref.com/en/players/8cc3d96e/Chory-Castro</t>
  </si>
  <si>
    <t>https://www.transfermarkt.com/chory-castro/profil/spieler/28171</t>
  </si>
  <si>
    <t>chory-castro</t>
  </si>
  <si>
    <t>14/09/1984</t>
  </si>
  <si>
    <t>Trinidad</t>
  </si>
  <si>
    <t>UruguayÂ Â Spain</t>
  </si>
  <si>
    <t>Porongos</t>
  </si>
  <si>
    <t>28/06/2006</t>
  </si>
  <si>
    <t>Christian</t>
  </si>
  <si>
    <t>https://fbref.com/en/players/1d5a68fe/Christian</t>
  </si>
  <si>
    <t>https://www.transfermarkt.com/bolano/profil/spieler/48294</t>
  </si>
  <si>
    <t>bolano</t>
  </si>
  <si>
    <t>BolaÃ±o</t>
  </si>
  <si>
    <t>15/10/1985 (40)</t>
  </si>
  <si>
    <t>Santander</t>
  </si>
  <si>
    <t>GimnÃ¡stica</t>
  </si>
  <si>
    <t>18/02/2007</t>
  </si>
  <si>
    <t>Christian Alfonso</t>
  </si>
  <si>
    <t>https://fbref.com/en/players/ecfe11fd/Christian-Alfonso</t>
  </si>
  <si>
    <t>https://www.transfermarkt.com/christian-alfonso/profil/spieler/203108</t>
  </si>
  <si>
    <t>christian-alfonso</t>
  </si>
  <si>
    <t>Christian Bravo</t>
  </si>
  <si>
    <t>https://fbref.com/en/players/28024156/Christian-Bravo</t>
  </si>
  <si>
    <t>October 1, 1993 (Age:Â 32-025d)</t>
  </si>
  <si>
    <t>Iquique, Chile</t>
  </si>
  <si>
    <t>FW-MF (WM, right)</t>
  </si>
  <si>
    <t>Antofagasta</t>
  </si>
  <si>
    <t>https://www.transfermarkt.com/christian-bravo/profil/spieler/189735</t>
  </si>
  <si>
    <t>christian-bravo</t>
  </si>
  <si>
    <t>Iquique</t>
  </si>
  <si>
    <t>15/01/2025</t>
  </si>
  <si>
    <t>27/11/2011</t>
  </si>
  <si>
    <t>Primera DivisiÃ³n Clausura (-2017)</t>
  </si>
  <si>
    <t>14/02/2023</t>
  </si>
  <si>
    <t>Liga de Ascenso</t>
  </si>
  <si>
    <t>Christian Cueva</t>
  </si>
  <si>
    <t>pe PER</t>
  </si>
  <si>
    <t>https://fbref.com/en/players/57376761/Christian-Cueva</t>
  </si>
  <si>
    <t>November 23, 1991 (Age:Â 33-337d)</t>
  </si>
  <si>
    <t>Trujillo, Peru</t>
  </si>
  <si>
    <t>Peru</t>
  </si>
  <si>
    <t>Emelec</t>
  </si>
  <si>
    <t>https://www.transfermarkt.com/christian-cueva/profil/spieler/95280</t>
  </si>
  <si>
    <t>christian-cueva</t>
  </si>
  <si>
    <t>23/11/1991</t>
  </si>
  <si>
    <t>Trujillo</t>
  </si>
  <si>
    <t>CS Emelec</t>
  </si>
  <si>
    <t>14/06/2025</t>
  </si>
  <si>
    <t>Torneo Descentralizado (2009 - 2013)</t>
  </si>
  <si>
    <t>Christian Lell</t>
  </si>
  <si>
    <t>de GER</t>
  </si>
  <si>
    <t>https://fbref.com/en/players/37d7f47d/Christian-Lell</t>
  </si>
  <si>
    <t>Germany</t>
  </si>
  <si>
    <t>Bayern Munich</t>
  </si>
  <si>
    <t>https://www.transfermarkt.com/christian-lell/profil/spieler/2233</t>
  </si>
  <si>
    <t>christian-lell</t>
  </si>
  <si>
    <t>29/08/1984</t>
  </si>
  <si>
    <t>MÃ¼nchen</t>
  </si>
  <si>
    <t>GermanyÂ Â Austria</t>
  </si>
  <si>
    <t>TSV Weyarn</t>
  </si>
  <si>
    <t>1.Bundesliga</t>
  </si>
  <si>
    <t>Chuli</t>
  </si>
  <si>
    <t>https://fbref.com/en/players/24efffbf/Chuli</t>
  </si>
  <si>
    <t>January 25, 1991 (Age:Â 34-274d)</t>
  </si>
  <si>
    <t>Huelva, Spain</t>
  </si>
  <si>
    <t>Orihuela</t>
  </si>
  <si>
    <t>Recreativo</t>
  </si>
  <si>
    <t>https://www.transfermarkt.com/chuli/profil/spieler/129515</t>
  </si>
  <si>
    <t>chuli</t>
  </si>
  <si>
    <t>25/01/1991</t>
  </si>
  <si>
    <t>Orihuela CF</t>
  </si>
  <si>
    <t>Umbro</t>
  </si>
  <si>
    <t>25/08/2013</t>
  </si>
  <si>
    <t>16/05/2012</t>
  </si>
  <si>
    <t>Cicinho</t>
  </si>
  <si>
    <t>https://fbref.com/en/players/9e4e6402/Cicinho</t>
  </si>
  <si>
    <t>https://www.transfermarkt.com/cicinho/profil/spieler/26101</t>
  </si>
  <si>
    <t>cicinho</t>
  </si>
  <si>
    <t>24/06/1980</t>
  </si>
  <si>
    <t>PradÃ³polis</t>
  </si>
  <si>
    <t>BrazilÂ Â Italy</t>
  </si>
  <si>
    <t>Brasiliense-DF</t>
  </si>
  <si>
    <t>https://fbref.com/en/players/cb51774a/Cicinho</t>
  </si>
  <si>
    <t>https://www.transfermarkt.com/cicinho/profil/spieler/99632</t>
  </si>
  <si>
    <t>04/08/1986 (39)</t>
  </si>
  <si>
    <t>JundiaÃ­</t>
  </si>
  <si>
    <t>Oeste</t>
  </si>
  <si>
    <t>13/11/2019</t>
  </si>
  <si>
    <t>Ciprian Marica</t>
  </si>
  <si>
    <t>ro ROU</t>
  </si>
  <si>
    <t>https://fbref.com/en/players/3953ae4a/Ciprian-Marica</t>
  </si>
  <si>
    <t>Romania</t>
  </si>
  <si>
    <t>Shakhtar</t>
  </si>
  <si>
    <t>https://www.transfermarkt.com/ciprian-marica/profil/spieler/16833</t>
  </si>
  <si>
    <t>ciprian-marica</t>
  </si>
  <si>
    <t>Bukarest</t>
  </si>
  <si>
    <t>Steaua Bucharest</t>
  </si>
  <si>
    <t>31/10/2016</t>
  </si>
  <si>
    <t>13/04/2003</t>
  </si>
  <si>
    <t>SuperLiga</t>
  </si>
  <si>
    <t>Claudio Bravo</t>
  </si>
  <si>
    <t>https://fbref.com/en/players/10072610/Claudio-Bravo</t>
  </si>
  <si>
    <t>https://www.transfermarkt.com/claudio-bravo/profil/spieler/40423</t>
  </si>
  <si>
    <t>claudio-bravo</t>
  </si>
  <si>
    <t>13/04/1983</t>
  </si>
  <si>
    <t>Buin</t>
  </si>
  <si>
    <t>26/08/2024</t>
  </si>
  <si>
    <t>27/04/2003</t>
  </si>
  <si>
    <t>Torneo Apertura (-2016)</t>
  </si>
  <si>
    <t>Claudio Morel RodrÃ­guez</t>
  </si>
  <si>
    <t>py PAR</t>
  </si>
  <si>
    <t>https://fbref.com/en/players/2a5c8856/Claudio-Morel-Rodriguez</t>
  </si>
  <si>
    <t>Paraguay</t>
  </si>
  <si>
    <t>https://www.transfermarkt.com/claudio-morel-rodriguez/profil/spieler/7924</t>
  </si>
  <si>
    <t>claudio-morel-rodriguez</t>
  </si>
  <si>
    <t>AsunciÃ³n</t>
  </si>
  <si>
    <t>Sarmiento (L)</t>
  </si>
  <si>
    <t>28/03/1999</t>
  </si>
  <si>
    <t>17/09/2011</t>
  </si>
  <si>
    <t>Coke</t>
  </si>
  <si>
    <t>https://fbref.com/en/players/6d8f8441/Coke</t>
  </si>
  <si>
    <t>https://www.transfermarkt.com/coke/profil/spieler/71905</t>
  </si>
  <si>
    <t>coke</t>
  </si>
  <si>
    <t>Lotto</t>
  </si>
  <si>
    <t>Corona</t>
  </si>
  <si>
    <t>https://fbref.com/en/players/4798bc33/Corona</t>
  </si>
  <si>
    <t>https://www.transfermarkt.com/miguel-angel-corona/profil/spieler/7945</t>
  </si>
  <si>
    <t>miguel-angel-corona</t>
  </si>
  <si>
    <t>Miguel Ãngel Corona</t>
  </si>
  <si>
    <t>12/02/1981 (44)</t>
  </si>
  <si>
    <t>Talavera de la Reina</t>
  </si>
  <si>
    <t>24/01/2001</t>
  </si>
  <si>
    <t>CristÃ³bal</t>
  </si>
  <si>
    <t>https://fbref.com/en/players/81da94e5/Cristobal</t>
  </si>
  <si>
    <t>DF-MF (CM)</t>
  </si>
  <si>
    <t>https://www.transfermarkt.com/cristobal-marquez/profil/spieler/72281</t>
  </si>
  <si>
    <t>cristobal-marquez</t>
  </si>
  <si>
    <t>CristÃ³bal MÃ¡rquez</t>
  </si>
  <si>
    <t>21/04/1984 (41)</t>
  </si>
  <si>
    <t>15/01/2011</t>
  </si>
  <si>
    <t>Cristhian Stuani</t>
  </si>
  <si>
    <t>https://fbref.com/en/players/220c11f1/Cristhian-Stuani</t>
  </si>
  <si>
    <t>October 12, 1986 (Age:Â 39-014d)</t>
  </si>
  <si>
    <t>Reggina</t>
  </si>
  <si>
    <t>https://www.transfermarkt.com/cristhian-stuani/profil/spieler/59323</t>
  </si>
  <si>
    <t>cristhian-stuani</t>
  </si>
  <si>
    <t>Tala</t>
  </si>
  <si>
    <t>21/07/2017</t>
  </si>
  <si>
    <t>26/05/2007</t>
  </si>
  <si>
    <t>CristiÃ¡n Zapata</t>
  </si>
  <si>
    <t>https://fbref.com/en/players/b1deecf8/Cristian-Zapata</t>
  </si>
  <si>
    <t>September 30, 1986 (Age:Â 39-026d)</t>
  </si>
  <si>
    <t>Padilla, Colombia</t>
  </si>
  <si>
    <t>Atletico Bucaramanga</t>
  </si>
  <si>
    <t>https://www.transfermarkt.com/cristian-zapata/profil/spieler/34344</t>
  </si>
  <si>
    <t>cristian-zapata</t>
  </si>
  <si>
    <t>Cristian Zapata</t>
  </si>
  <si>
    <t>30/09/1986</t>
  </si>
  <si>
    <t>Padilla</t>
  </si>
  <si>
    <t>Cristian Ãlvarez</t>
  </si>
  <si>
    <t>https://fbref.com/en/players/87e89eb4/Cristian-Alvarez</t>
  </si>
  <si>
    <t>https://www.transfermarkt.com/cristian-alvarez/profil/spieler/55135</t>
  </si>
  <si>
    <t>cristian-alvarez</t>
  </si>
  <si>
    <t>13/11/1985</t>
  </si>
  <si>
    <t>29/03/2006</t>
  </si>
  <si>
    <t>15/09/2017</t>
  </si>
  <si>
    <t>Cristian Ansaldi</t>
  </si>
  <si>
    <t>https://fbref.com/en/players/bbafc0c4/Cristian-Ansaldi</t>
  </si>
  <si>
    <t>https://www.transfermarkt.com/cristian-ansaldi/profil/spieler/55854</t>
  </si>
  <si>
    <t>cristian-ansaldi</t>
  </si>
  <si>
    <t>20/09/1986</t>
  </si>
  <si>
    <t>Parma</t>
  </si>
  <si>
    <t>Cristian Bustos</t>
  </si>
  <si>
    <t>https://fbref.com/en/players/ccb6ae73/Cristian-Bustos</t>
  </si>
  <si>
    <t>https://www.transfermarkt.com/cristian-bustos/profil/spieler/57922</t>
  </si>
  <si>
    <t>cristian-bustos</t>
  </si>
  <si>
    <t>29/05/1983</t>
  </si>
  <si>
    <t>Alicante</t>
  </si>
  <si>
    <t>Cristian GÃ³mez</t>
  </si>
  <si>
    <t>https://fbref.com/en/players/d9b41da8/Cristian-Gomez</t>
  </si>
  <si>
    <t>https://www.transfermarkt.com/cristian-gomez/profil/spieler/198047</t>
  </si>
  <si>
    <t>cristian-gomez</t>
  </si>
  <si>
    <t>27/07/1989</t>
  </si>
  <si>
    <t>20/11/2011</t>
  </si>
  <si>
    <t>24/08/2013</t>
  </si>
  <si>
    <t>Cristian Herrera</t>
  </si>
  <si>
    <t>https://fbref.com/en/players/f814e5d3/Cristian-Herrera</t>
  </si>
  <si>
    <t>March 13, 1991 (Age:Â 34-227d)</t>
  </si>
  <si>
    <t>Las Palmas de Gran Canaria, Spain</t>
  </si>
  <si>
    <t>Deportivo La CoruÃ±a</t>
  </si>
  <si>
    <t>https://www.transfermarkt.com/cristian-herrera/profil/spieler/237617</t>
  </si>
  <si>
    <t>cristian-herrera</t>
  </si>
  <si>
    <t>13/03/1991</t>
  </si>
  <si>
    <t>31/08/2024</t>
  </si>
  <si>
    <t>24/11/2013</t>
  </si>
  <si>
    <t>Cristian Hidalgo</t>
  </si>
  <si>
    <t>https://fbref.com/en/players/262b9f04/Cristian-Hidalgo</t>
  </si>
  <si>
    <t>https://www.transfermarkt.com/cristian-hidalgo/profil/spieler/8155</t>
  </si>
  <si>
    <t>cristian-hidalgo</t>
  </si>
  <si>
    <t>21/09/1983</t>
  </si>
  <si>
    <t>Gramenet</t>
  </si>
  <si>
    <t>Cristian Lobato</t>
  </si>
  <si>
    <t>https://fbref.com/en/players/a7ac9c6d/Cristian-Lobato</t>
  </si>
  <si>
    <t>https://www.transfermarkt.com/cristian-lobato/profil/spieler/175787</t>
  </si>
  <si>
    <t>cristian-lobato</t>
  </si>
  <si>
    <t>Esparreguera</t>
  </si>
  <si>
    <t>CF Igualada</t>
  </si>
  <si>
    <t>Cristian Portilla</t>
  </si>
  <si>
    <t>https://fbref.com/en/players/2f09542a/Cristian-Portilla</t>
  </si>
  <si>
    <t>https://www.transfermarkt.com/cristian-portilla/profil/spieler/35538</t>
  </si>
  <si>
    <t>cristian-portilla</t>
  </si>
  <si>
    <t>28/08/1988</t>
  </si>
  <si>
    <t>CD TropezÃ³n</t>
  </si>
  <si>
    <t>27/10/2005</t>
  </si>
  <si>
    <t>13/01/2008</t>
  </si>
  <si>
    <t>Cristian Pulhac</t>
  </si>
  <si>
    <t>https://fbref.com/en/players/b68a705d/Cristian-Pulhac</t>
  </si>
  <si>
    <t>Dinamo</t>
  </si>
  <si>
    <t>https://www.transfermarkt.com/cristian-pulhac/profil/spieler/34781</t>
  </si>
  <si>
    <t>cristian-pulhac</t>
  </si>
  <si>
    <t>17/08/1984</t>
  </si>
  <si>
    <t>IaÅŸi</t>
  </si>
  <si>
    <t>Academica Clince</t>
  </si>
  <si>
    <t>31/10/2004</t>
  </si>
  <si>
    <t>25/02/2017</t>
  </si>
  <si>
    <t>Liga 2</t>
  </si>
  <si>
    <t>Cristian RodrÃ­guez</t>
  </si>
  <si>
    <t>https://fbref.com/en/players/dcd67568/Cristian-Rodriguez</t>
  </si>
  <si>
    <t>Paris S-G</t>
  </si>
  <si>
    <t>https://www.transfermarkt.com/cristian-rodriguez/profil/spieler/33448</t>
  </si>
  <si>
    <t>cristian-rodriguez</t>
  </si>
  <si>
    <t>30/09/1985</t>
  </si>
  <si>
    <t>Juan Lacaze</t>
  </si>
  <si>
    <t>Plaza Colonia</t>
  </si>
  <si>
    <t>Cristian SÄƒpunaru</t>
  </si>
  <si>
    <t>https://fbref.com/en/players/906d58bc/Cristian-Sapunaru</t>
  </si>
  <si>
    <t>Rapid BucureÈ™ti</t>
  </si>
  <si>
    <t>https://www.transfermarkt.com/cristian-sapunaru/profil/spieler/25942</t>
  </si>
  <si>
    <t>cristian-sapunaru</t>
  </si>
  <si>
    <t>FC Rapid 1923</t>
  </si>
  <si>
    <t>26/09/2003</t>
  </si>
  <si>
    <t>Cristian Tello</t>
  </si>
  <si>
    <t>https://fbref.com/en/players/72a99e38/Cristian-Tello</t>
  </si>
  <si>
    <t>August 11, 1991 (Age:Â 34-076d)</t>
  </si>
  <si>
    <t>Sabadell, Spain</t>
  </si>
  <si>
    <t>Al Oruba</t>
  </si>
  <si>
    <t>https://www.transfermarkt.com/cristian-tello/profil/spieler/141834</t>
  </si>
  <si>
    <t>cristian-tello</t>
  </si>
  <si>
    <t>28/01/2012</t>
  </si>
  <si>
    <t>Cristiano Ronaldo</t>
  </si>
  <si>
    <t>https://fbref.com/en/players/dea698d9/Cristiano-Ronaldo</t>
  </si>
  <si>
    <t>February 5, 1985 (Age:Â 40-263d)</t>
  </si>
  <si>
    <t>Funchal, Portugal</t>
  </si>
  <si>
    <t>Al Nasr (KSA)</t>
  </si>
  <si>
    <t>https://www.transfermarkt.com/cristiano-ronaldo/profil/spieler/8198</t>
  </si>
  <si>
    <t>cristiano-ronaldo</t>
  </si>
  <si>
    <t>Funchal</t>
  </si>
  <si>
    <t>Al-Nassr</t>
  </si>
  <si>
    <t>29/09/2002</t>
  </si>
  <si>
    <t>DÃ­dac VilÃ </t>
  </si>
  <si>
    <t>https://fbref.com/en/players/bad38a94/Didac-Vila</t>
  </si>
  <si>
    <t>https://www.transfermarkt.com/didac-vila/profil/spieler/67090</t>
  </si>
  <si>
    <t>didac-vila</t>
  </si>
  <si>
    <t>30/01/2010</t>
  </si>
  <si>
    <t>DamiÃ  Abella</t>
  </si>
  <si>
    <t>https://fbref.com/en/players/e35b4a15/Damia-Abella</t>
  </si>
  <si>
    <t>https://www.transfermarkt.com/damia-abella/profil/spieler/28002</t>
  </si>
  <si>
    <t>damia-abella</t>
  </si>
  <si>
    <t>15/04/1982</t>
  </si>
  <si>
    <t>Olot</t>
  </si>
  <si>
    <t>Middlesbrough</t>
  </si>
  <si>
    <t>30/10/2004</t>
  </si>
  <si>
    <t>DamiÃ¡n SuÃ¡rez</t>
  </si>
  <si>
    <t>https://fbref.com/en/players/ba5004e1/Damian-Suarez</t>
  </si>
  <si>
    <t>April 27, 1988 (Age:Â 37-182d)</t>
  </si>
  <si>
    <t>Montevideo, Uruguay</t>
  </si>
  <si>
    <t>Penarol</t>
  </si>
  <si>
    <t>https://www.transfermarkt.com/damian-suarez/profil/spieler/76746</t>
  </si>
  <si>
    <t>damian-suarez</t>
  </si>
  <si>
    <t>27/04/1988</t>
  </si>
  <si>
    <t>PeÃ±arol</t>
  </si>
  <si>
    <t>16/09/2024</t>
  </si>
  <si>
    <t>Damien Perquis</t>
  </si>
  <si>
    <t>https://fbref.com/en/players/c33b3de1/Damien-Perquis</t>
  </si>
  <si>
    <t>Poland pl Â Other:Â France</t>
  </si>
  <si>
    <t>https://www.transfermarkt.com/damien-perquis/profil/spieler/31050</t>
  </si>
  <si>
    <t>damien-perquis</t>
  </si>
  <si>
    <t>PolandÂ Â France</t>
  </si>
  <si>
    <t>G. Ajaccio</t>
  </si>
  <si>
    <t>30/07/2005</t>
  </si>
  <si>
    <t>Dani Alves</t>
  </si>
  <si>
    <t>https://fbref.com/en/players/c9e99e49/Dani-Alves</t>
  </si>
  <si>
    <t>DF-MF (CM-FB, right)</t>
  </si>
  <si>
    <t>https://www.transfermarkt.com/dani-alves/profil/spieler/15951</t>
  </si>
  <si>
    <t>dani-alves</t>
  </si>
  <si>
    <t>Juazeiro</t>
  </si>
  <si>
    <t>UNAM Pumas</t>
  </si>
  <si>
    <t>21/01/2023</t>
  </si>
  <si>
    <t>Dani Aquino</t>
  </si>
  <si>
    <t>https://fbref.com/en/players/060a66fb/Dani-Aquino</t>
  </si>
  <si>
    <t>July 27, 1990 (Age:Â 35-091d)</t>
  </si>
  <si>
    <t>AD Ceuta FC</t>
  </si>
  <si>
    <t>Real Murcia</t>
  </si>
  <si>
    <t>https://www.transfermarkt.com/dani-aquino/profil/spieler/59335</t>
  </si>
  <si>
    <t>dani-aquino</t>
  </si>
  <si>
    <t>27/07/1990</t>
  </si>
  <si>
    <t>Murcia</t>
  </si>
  <si>
    <t>SpainÂ Â Argentina</t>
  </si>
  <si>
    <t>17/06/2007</t>
  </si>
  <si>
    <t>Dani BenÃ­tez</t>
  </si>
  <si>
    <t>https://fbref.com/en/players/51c34a32/Dani-Benitez</t>
  </si>
  <si>
    <t>MF (WM, left)</t>
  </si>
  <si>
    <t>https://www.transfermarkt.com/dani-benitez/profil/spieler/63695</t>
  </si>
  <si>
    <t>dani-benitez</t>
  </si>
  <si>
    <t>Palma de Mallorca</t>
  </si>
  <si>
    <t>Dani Carvajal</t>
  </si>
  <si>
    <t>https://fbref.com/en/players/4958bfb2/Dani-Carvajal</t>
  </si>
  <si>
    <t>January 11, 1992 (Age:Â 33-288d)</t>
  </si>
  <si>
    <t>LeganÃ©s, Spain</t>
  </si>
  <si>
    <t>https://www.transfermarkt.com/daniel-carvajal/profil/spieler/138927</t>
  </si>
  <si>
    <t>daniel-carvajal</t>
  </si>
  <si>
    <t>Daniel Carvajal</t>
  </si>
  <si>
    <t>Dani Ceballos</t>
  </si>
  <si>
    <t>https://fbref.com/en/players/c0617e2b/Dani-Ceballos</t>
  </si>
  <si>
    <t>August 7, 1996 (Age:Â 29-080d)</t>
  </si>
  <si>
    <t>MF (CM-WM)</t>
  </si>
  <si>
    <t>https://www.transfermarkt.com/dani-ceballos/profil/spieler/319745</t>
  </si>
  <si>
    <t>dani-ceballos</t>
  </si>
  <si>
    <t>14/07/2017</t>
  </si>
  <si>
    <t>26/04/2014</t>
  </si>
  <si>
    <t>21/09/2014</t>
  </si>
  <si>
    <t>Dani Estrada</t>
  </si>
  <si>
    <t>https://fbref.com/en/players/519412fd/Dani-Estrada</t>
  </si>
  <si>
    <t>https://www.transfermarkt.com/dani-estrada/profil/spieler/47648</t>
  </si>
  <si>
    <t>dani-estrada</t>
  </si>
  <si>
    <t>Zarautz</t>
  </si>
  <si>
    <t>Dani GÃ¼iza</t>
  </si>
  <si>
    <t>https://fbref.com/en/players/d863ea53/Dani-Guiza</t>
  </si>
  <si>
    <t>https://www.transfermarkt.com/dani-guiza/profil/spieler/8186</t>
  </si>
  <si>
    <t>dani-guiza</t>
  </si>
  <si>
    <t>17/08/1980</t>
  </si>
  <si>
    <t>Jerez de la Frontera</t>
  </si>
  <si>
    <t>Rayo SanluqueÃ±o</t>
  </si>
  <si>
    <t>29/07/2025</t>
  </si>
  <si>
    <t>31/08/2003</t>
  </si>
  <si>
    <t>Dani GarcÃ­a</t>
  </si>
  <si>
    <t>https://fbref.com/en/players/240d3a0b/Dani-Garcia</t>
  </si>
  <si>
    <t>May 24, 1990 (Age:Â 35-155d)</t>
  </si>
  <si>
    <t>Zumarraga, Spain</t>
  </si>
  <si>
    <t>https://www.transfermarkt.com/dani-garcia/profil/spieler/178425</t>
  </si>
  <si>
    <t>dani-garcia</t>
  </si>
  <si>
    <t>24/05/1990 (35)</t>
  </si>
  <si>
    <t>Zumarraga</t>
  </si>
  <si>
    <t>Dani GimÃ©nez</t>
  </si>
  <si>
    <t>https://fbref.com/en/players/7c218bf9/Dani-Gimenez</t>
  </si>
  <si>
    <t>https://www.transfermarkt.com/dani-gimenez/profil/spieler/71801</t>
  </si>
  <si>
    <t>dani-gimenez</t>
  </si>
  <si>
    <t>30/07/1983</t>
  </si>
  <si>
    <t>UD LogroÃ±Ã©s</t>
  </si>
  <si>
    <t>Joma</t>
  </si>
  <si>
    <t>26/02/2010</t>
  </si>
  <si>
    <t>Dani HernÃ¡ndez</t>
  </si>
  <si>
    <t>https://fbref.com/en/players/ba02295e/Dani-Hernandez</t>
  </si>
  <si>
    <t>https://www.transfermarkt.com/dani-hernandez/profil/spieler/88528</t>
  </si>
  <si>
    <t>dani-hernandez</t>
  </si>
  <si>
    <t>21/10/1985</t>
  </si>
  <si>
    <t>31/01/2023</t>
  </si>
  <si>
    <t>20/10/2012</t>
  </si>
  <si>
    <t>14/01/2012</t>
  </si>
  <si>
    <t>Dani Nieto</t>
  </si>
  <si>
    <t>https://fbref.com/en/players/d7d46f3b/Dani-Nieto</t>
  </si>
  <si>
    <t>https://www.transfermarkt.com/dani-nieto/profil/spieler/67544</t>
  </si>
  <si>
    <t>dani-nieto</t>
  </si>
  <si>
    <t>Palmanova</t>
  </si>
  <si>
    <t>UD Poblense</t>
  </si>
  <si>
    <t>26/08/2011</t>
  </si>
  <si>
    <t>Dani Osvaldo</t>
  </si>
  <si>
    <t>https://fbref.com/en/players/3f0eba4f/Dani-Osvaldo</t>
  </si>
  <si>
    <t>Italy it Â Other:Â Argentina</t>
  </si>
  <si>
    <t>https://www.transfermarkt.com/daniel-osvaldo/profil/spieler/37389</t>
  </si>
  <si>
    <t>daniel-osvaldo</t>
  </si>
  <si>
    <t>Daniel Osvaldo</t>
  </si>
  <si>
    <t>ItalyÂ Â Argentina</t>
  </si>
  <si>
    <t>Banfield</t>
  </si>
  <si>
    <t>29/09/2007</t>
  </si>
  <si>
    <t>Dani Romera</t>
  </si>
  <si>
    <t>https://fbref.com/en/players/b2855ce9/Dani-Romera</t>
  </si>
  <si>
    <t>https://www.transfermarkt.com/dani-romera/profil/spieler/271451</t>
  </si>
  <si>
    <t>dani-romera</t>
  </si>
  <si>
    <t>23/08/1995</t>
  </si>
  <si>
    <t>Arenteiro</t>
  </si>
  <si>
    <t>30/11/2013</t>
  </si>
  <si>
    <t>Daniel Aranzubia</t>
  </si>
  <si>
    <t>https://fbref.com/en/players/0e9ce3e0/Daniel-Aranzubia</t>
  </si>
  <si>
    <t>https://www.transfermarkt.com/daniel-aranzubia/profil/spieler/7612</t>
  </si>
  <si>
    <t>daniel-aranzubia</t>
  </si>
  <si>
    <t>18/09/1979</t>
  </si>
  <si>
    <t>Daniel Candeias</t>
  </si>
  <si>
    <t>https://fbref.com/en/players/0366fc78/Daniel-Candeias</t>
  </si>
  <si>
    <t>February 25, 1988 (Age:Â 37-243d)</t>
  </si>
  <si>
    <t>Fornos de Algodres, Portugal</t>
  </si>
  <si>
    <t>Adanaspor</t>
  </si>
  <si>
    <t>Rio Ave</t>
  </si>
  <si>
    <t>https://www.transfermarkt.com/daniel-candeias/profil/spieler/56046</t>
  </si>
  <si>
    <t>daniel-candeias</t>
  </si>
  <si>
    <t>25/02/1988</t>
  </si>
  <si>
    <t>Fornos de Algodres</t>
  </si>
  <si>
    <t>Coimbra</t>
  </si>
  <si>
    <t>19/08/2007</t>
  </si>
  <si>
    <t>Daniel CarriÃ§o</t>
  </si>
  <si>
    <t>https://fbref.com/en/players/e1deea75/Daniel-Carrico</t>
  </si>
  <si>
    <t>https://www.transfermarkt.com/daniel-carrico/profil/spieler/37712</t>
  </si>
  <si>
    <t>daniel-carrico</t>
  </si>
  <si>
    <t>04/08/1988 (37)</t>
  </si>
  <si>
    <t>Cascais</t>
  </si>
  <si>
    <t>14/04/2023</t>
  </si>
  <si>
    <t>Protathlima Cyta</t>
  </si>
  <si>
    <t>Daniel Larsson</t>
  </si>
  <si>
    <t>se SWE</t>
  </si>
  <si>
    <t>https://fbref.com/en/players/43833b31/Daniel-Larsson</t>
  </si>
  <si>
    <t>Sweden</t>
  </si>
  <si>
    <t>HÃ¤cken</t>
  </si>
  <si>
    <t>https://www.transfermarkt.com/daniel-larsson/profil/spieler/27292</t>
  </si>
  <si>
    <t>daniel-larsson</t>
  </si>
  <si>
    <t>25/01/1987</t>
  </si>
  <si>
    <t>GÃ¶teborg</t>
  </si>
  <si>
    <t>Akropolis IF</t>
  </si>
  <si>
    <t>Allsvenskan</t>
  </si>
  <si>
    <t>15/04/2007</t>
  </si>
  <si>
    <t>Superettan</t>
  </si>
  <si>
    <t>Daniel Pacheco</t>
  </si>
  <si>
    <t>https://fbref.com/en/players/5b2a4b8d/Daniel-Pacheco</t>
  </si>
  <si>
    <t>January 5, 1991 (Age:Â 34-294d)</t>
  </si>
  <si>
    <t>MÃ¡laga, Spain</t>
  </si>
  <si>
    <t>WisÅ‚a PÅ‚ock</t>
  </si>
  <si>
    <t>Liverpool</t>
  </si>
  <si>
    <t>https://www.transfermarkt.com/dani-pacheco/profil/spieler/28285</t>
  </si>
  <si>
    <t>dani-pacheco</t>
  </si>
  <si>
    <t>Dani Pacheco</t>
  </si>
  <si>
    <t>Wisla Plock</t>
  </si>
  <si>
    <t>16/07/2024</t>
  </si>
  <si>
    <t>Daniel Parejo</t>
  </si>
  <si>
    <t>https://fbref.com/en/players/7460ca0d/Daniel-Parejo</t>
  </si>
  <si>
    <t>April 16, 1989 (Age:Â 36-193d)</t>
  </si>
  <si>
    <t>https://www.transfermarkt.com/dani-parejo/profil/spieler/59561</t>
  </si>
  <si>
    <t>dani-parejo</t>
  </si>
  <si>
    <t>Dani Parejo</t>
  </si>
  <si>
    <t>16/04/1989</t>
  </si>
  <si>
    <t>Coslada</t>
  </si>
  <si>
    <t>15/02/2009</t>
  </si>
  <si>
    <t>Daniel Pinillos</t>
  </si>
  <si>
    <t>https://fbref.com/en/players/09d26c80/Daniel-Pinillos</t>
  </si>
  <si>
    <t>https://www.transfermarkt.com/dani-pinillos/profil/spieler/240039</t>
  </si>
  <si>
    <t>dani-pinillos</t>
  </si>
  <si>
    <t>Dani Pinillos</t>
  </si>
  <si>
    <t>22/10/1992</t>
  </si>
  <si>
    <t>Daniel Sotres</t>
  </si>
  <si>
    <t>https://fbref.com/en/players/0a02a8fa/Daniel-Sotres</t>
  </si>
  <si>
    <t>https://www.transfermarkt.com/dani-sotres/profil/spieler/171170</t>
  </si>
  <si>
    <t>dani-sotres</t>
  </si>
  <si>
    <t>Dani Sotres</t>
  </si>
  <si>
    <t>21/05/1993</t>
  </si>
  <si>
    <t>Santiago de Cudeyo</t>
  </si>
  <si>
    <t>15/09/2012</t>
  </si>
  <si>
    <t>Danijel PranjiÄ‡</t>
  </si>
  <si>
    <t>hr CRO</t>
  </si>
  <si>
    <t>https://fbref.com/en/players/38929ff9/Danijel-Pranjic</t>
  </si>
  <si>
    <t>Croatia</t>
  </si>
  <si>
    <t>Heerenveen</t>
  </si>
  <si>
    <t>https://www.transfermarkt.com/danijel-pranjic/profil/spieler/25617</t>
  </si>
  <si>
    <t>danijel-pranjic</t>
  </si>
  <si>
    <t>Danijel Pranjic</t>
  </si>
  <si>
    <t>02/12/1981 (43)</t>
  </si>
  <si>
    <t>NaÅ¡ice</t>
  </si>
  <si>
    <t>Omonia Psevda</t>
  </si>
  <si>
    <t>25/07/2004</t>
  </si>
  <si>
    <t>SuperSport HNL</t>
  </si>
  <si>
    <t>Dariusz Dudka</t>
  </si>
  <si>
    <t>https://fbref.com/en/players/afe5aff7/Dariusz-Dudka</t>
  </si>
  <si>
    <t>DF-MF (DM-FB)</t>
  </si>
  <si>
    <t>Amica Wronki</t>
  </si>
  <si>
    <t>https://www.transfermarkt.com/dariusz-dudka/profil/spieler/24502</t>
  </si>
  <si>
    <t>dariusz-dudka</t>
  </si>
  <si>
    <t>Kostrzyn nad OdrÄ…</t>
  </si>
  <si>
    <t>Lech Poznan II</t>
  </si>
  <si>
    <t>15/04/2000</t>
  </si>
  <si>
    <t>PKO BP Ekstraklasa</t>
  </si>
  <si>
    <t>Darwin MachÃ­s</t>
  </si>
  <si>
    <t>https://fbref.com/en/players/ed6ea4d9/Darwin-Machis</t>
  </si>
  <si>
    <t>February 7, 1993 (Age:Â 32-261d)</t>
  </si>
  <si>
    <t>Tucupita, Venezuela</t>
  </si>
  <si>
    <t>Universidad Central de Venezuela FC</t>
  </si>
  <si>
    <t>https://www.transfermarkt.com/darwin-machis/profil/spieler/211251</t>
  </si>
  <si>
    <t>darwin-machis</t>
  </si>
  <si>
    <t>Tucupita</t>
  </si>
  <si>
    <t>UCV FC</t>
  </si>
  <si>
    <t>21/08/2011</t>
  </si>
  <si>
    <t>David Abraham</t>
  </si>
  <si>
    <t>https://fbref.com/en/players/565bf0da/David-Abraham</t>
  </si>
  <si>
    <t>https://www.transfermarkt.com/david-abraham/profil/spieler/58178</t>
  </si>
  <si>
    <t>david-abraham</t>
  </si>
  <si>
    <t>15/07/1986</t>
  </si>
  <si>
    <t>ChabÃ¡s</t>
  </si>
  <si>
    <t>CA HuracÃ¡n</t>
  </si>
  <si>
    <t>29/05/2004</t>
  </si>
  <si>
    <t>David Albelda</t>
  </si>
  <si>
    <t>https://fbref.com/en/players/def14f68/David-Albelda</t>
  </si>
  <si>
    <t>DF-MF (DM)</t>
  </si>
  <si>
    <t>https://www.transfermarkt.com/david-albelda/profil/spieler/7575</t>
  </si>
  <si>
    <t>david-albelda</t>
  </si>
  <si>
    <t>Pobla Llarga</t>
  </si>
  <si>
    <t>15/03/1998</t>
  </si>
  <si>
    <t>27/10/1996</t>
  </si>
  <si>
    <t>David Barral</t>
  </si>
  <si>
    <t>https://fbref.com/en/players/d99f9282/David-Barral</t>
  </si>
  <si>
    <t>https://www.transfermarkt.com/david-barral/profil/spieler/20346</t>
  </si>
  <si>
    <t>david-barral</t>
  </si>
  <si>
    <t>Inter de Madrid</t>
  </si>
  <si>
    <t>David CerrajerÃ­a</t>
  </si>
  <si>
    <t>https://fbref.com/en/players/2ebb9df6/David-Cerrajeria</t>
  </si>
  <si>
    <t>DF (FB, left &amp; right)</t>
  </si>
  <si>
    <t>https://www.transfermarkt.com/david-cerra/profil/spieler/25041</t>
  </si>
  <si>
    <t>david-cerra</t>
  </si>
  <si>
    <t>David Cerra</t>
  </si>
  <si>
    <t>CeahlÄƒul</t>
  </si>
  <si>
    <t>19/04/2016</t>
  </si>
  <si>
    <t>David CobeÃ±o</t>
  </si>
  <si>
    <t>https://fbref.com/en/players/df7b0840/David-Cobeno</t>
  </si>
  <si>
    <t>https://www.transfermarkt.com/david-cobeno/profil/spieler/37906</t>
  </si>
  <si>
    <t>david-cobeno</t>
  </si>
  <si>
    <t>18/03/2007</t>
  </si>
  <si>
    <t>David CortÃ©s</t>
  </si>
  <si>
    <t>https://fbref.com/en/players/99d15abd/David-Cortes</t>
  </si>
  <si>
    <t>https://www.transfermarkt.com/david-cortes/profil/spieler/7671</t>
  </si>
  <si>
    <t>david-cortes</t>
  </si>
  <si>
    <t>29/08/1979</t>
  </si>
  <si>
    <t>Llerena</t>
  </si>
  <si>
    <t>Aarhus GF</t>
  </si>
  <si>
    <t>30/06/2015</t>
  </si>
  <si>
    <t>22/09/2002</t>
  </si>
  <si>
    <t>David Costas</t>
  </si>
  <si>
    <t>https://fbref.com/en/players/545e2f01/David-Costas</t>
  </si>
  <si>
    <t>March 26, 1995 (Age:Â 30-214d)</t>
  </si>
  <si>
    <t>https://www.transfermarkt.com/david-costas/profil/spieler/276111</t>
  </si>
  <si>
    <t>david-costas</t>
  </si>
  <si>
    <t>26/03/1995</t>
  </si>
  <si>
    <t>Real Oviedo</t>
  </si>
  <si>
    <t>13/09/2015</t>
  </si>
  <si>
    <t>David de Gea</t>
  </si>
  <si>
    <t>https://fbref.com/en/players/7ba6d84e/David-de-Gea</t>
  </si>
  <si>
    <t>November 7, 1990 (Age:Â 34-353d)</t>
  </si>
  <si>
    <t>Fiorentina</t>
  </si>
  <si>
    <t>https://www.transfermarkt.com/david-de-gea/profil/spieler/59377</t>
  </si>
  <si>
    <t>david-de-gea</t>
  </si>
  <si>
    <t>David GarcÃ­a</t>
  </si>
  <si>
    <t>https://fbref.com/en/players/f47bf593/David-Garcia</t>
  </si>
  <si>
    <t>https://www.transfermarkt.com/david-garcia/profil/spieler/7878</t>
  </si>
  <si>
    <t>david-garcia</t>
  </si>
  <si>
    <t>16/01/1981 (44)</t>
  </si>
  <si>
    <t>Manresa</t>
  </si>
  <si>
    <t>David Generelo</t>
  </si>
  <si>
    <t>https://fbref.com/en/players/2ae48997/David-Generelo</t>
  </si>
  <si>
    <t>https://www.transfermarkt.com/david-generelo/profil/spieler/7985</t>
  </si>
  <si>
    <t>david-generelo</t>
  </si>
  <si>
    <t>Badajoz</t>
  </si>
  <si>
    <t>15/12/2015</t>
  </si>
  <si>
    <t>29/11/2003</t>
  </si>
  <si>
    <t>David Goldar</t>
  </si>
  <si>
    <t>https://fbref.com/en/players/56a787a6/David-Goldar</t>
  </si>
  <si>
    <t>September 15, 1994 (Age:Â 31-041d)</t>
  </si>
  <si>
    <t>Portas, Spain</t>
  </si>
  <si>
    <t>Pafos FC</t>
  </si>
  <si>
    <t>https://www.transfermarkt.com/david-goldar/profil/spieler/278357</t>
  </si>
  <si>
    <t>david-goldar</t>
  </si>
  <si>
    <t>15/09/1994</t>
  </si>
  <si>
    <t>Portas</t>
  </si>
  <si>
    <t>Pafos</t>
  </si>
  <si>
    <t>22/08/2023</t>
  </si>
  <si>
    <t>13/08/2021</t>
  </si>
  <si>
    <t>David LÃ³pez</t>
  </si>
  <si>
    <t>https://fbref.com/en/players/a698164e/David-Lopez</t>
  </si>
  <si>
    <t>https://www.transfermarkt.com/david-lopez/profil/spieler/25462</t>
  </si>
  <si>
    <t>david-lopez</t>
  </si>
  <si>
    <t>10/09/1982 (43)</t>
  </si>
  <si>
    <t>Logroño</t>
  </si>
  <si>
    <t>EDMF Churra</t>
  </si>
  <si>
    <t>17/10/2004</t>
  </si>
  <si>
    <t>14/09/2012</t>
  </si>
  <si>
    <t>https://fbref.com/en/players/f03f284b/David-Lopez</t>
  </si>
  <si>
    <t>October 9, 1989 (Age:Â 36-020d)</t>
  </si>
  <si>
    <t>Barcelona, Spain</t>
  </si>
  <si>
    <t>https://www.transfermarkt.com/david-lopez/profil/spieler/129444</t>
  </si>
  <si>
    <t>09/10/1989 (36)</t>
  </si>
  <si>
    <t>25/07/2022</t>
  </si>
  <si>
    <t>26/09/2010</t>
  </si>
  <si>
    <t>David LombÃ¡n</t>
  </si>
  <si>
    <t>https://fbref.com/en/players/b43b81f1/David-Lomban</t>
  </si>
  <si>
    <t>https://www.transfermarkt.com/david-lomban/profil/spieler/63723</t>
  </si>
  <si>
    <t>david-lomban</t>
  </si>
  <si>
    <t>AvilÃ©s</t>
  </si>
  <si>
    <t>15/12/2007</t>
  </si>
  <si>
    <t>David Mateos</t>
  </si>
  <si>
    <t>https://fbref.com/en/players/ddee7ba5/David-Mateos</t>
  </si>
  <si>
    <t>AEK Athens</t>
  </si>
  <si>
    <t>https://www.transfermarkt.com/david-mateos/profil/spieler/45304</t>
  </si>
  <si>
    <t>david-mateos</t>
  </si>
  <si>
    <t>22/04/1987</t>
  </si>
  <si>
    <t>DN United</t>
  </si>
  <si>
    <t>26/02/2025</t>
  </si>
  <si>
    <t>David Navarro</t>
  </si>
  <si>
    <t>https://fbref.com/en/players/5dbdb37b/David-Navarro</t>
  </si>
  <si>
    <t>https://www.transfermarkt.com/david-navarro/profil/spieler/7568</t>
  </si>
  <si>
    <t>david-navarro</t>
  </si>
  <si>
    <t>25/05/1980</t>
  </si>
  <si>
    <t>Puerto de Sagunto</t>
  </si>
  <si>
    <t>28/08/2016</t>
  </si>
  <si>
    <t>David Rochela</t>
  </si>
  <si>
    <t>https://fbref.com/en/players/ac3499f5/David-Rochela</t>
  </si>
  <si>
    <t>https://www.transfermarkt.com/david-rochela/profil/spieler/58904</t>
  </si>
  <si>
    <t>david-rochela</t>
  </si>
  <si>
    <t>19/02/1990</t>
  </si>
  <si>
    <t>Puentes de GarcÃ­a RodrÃ­guez</t>
  </si>
  <si>
    <t>Port FC</t>
  </si>
  <si>
    <t>David RodrÃ­guez</t>
  </si>
  <si>
    <t>https://fbref.com/en/players/bae862bf/David-Rodriguez</t>
  </si>
  <si>
    <t>Ciudad Murcia</t>
  </si>
  <si>
    <t>https://www.transfermarkt.com/david-rodriguez/profil/spieler/57950</t>
  </si>
  <si>
    <t>david-rodriguez</t>
  </si>
  <si>
    <t>14/02/1986 (39)</t>
  </si>
  <si>
    <t>Atl. Baleares</t>
  </si>
  <si>
    <t>David Timor</t>
  </si>
  <si>
    <t>https://fbref.com/en/players/174651c8/David-Timor</t>
  </si>
  <si>
    <t>October 17, 1989 (Age:Â 36-009d)</t>
  </si>
  <si>
    <t>Carcaixent, Spain</t>
  </si>
  <si>
    <t>https://www.transfermarkt.com/david-timor/profil/spieler/158795</t>
  </si>
  <si>
    <t>david-timor</t>
  </si>
  <si>
    <t>17/10/1989</t>
  </si>
  <si>
    <t>Carcaixent</t>
  </si>
  <si>
    <t>David Trezeguet</t>
  </si>
  <si>
    <t>https://fbref.com/en/players/80183cb2/David-Trezeguet</t>
  </si>
  <si>
    <t>1995-1996</t>
  </si>
  <si>
    <t>https://www.transfermarkt.com/david-trezeguet/profil/spieler/4146</t>
  </si>
  <si>
    <t>david-trezeguet</t>
  </si>
  <si>
    <t>15/10/1977</t>
  </si>
  <si>
    <t>Rouen</t>
  </si>
  <si>
    <t>FranceÂ Â Argentina</t>
  </si>
  <si>
    <t>Pune City</t>
  </si>
  <si>
    <t>20/01/2015</t>
  </si>
  <si>
    <t>16/09/2006</t>
  </si>
  <si>
    <t>David Villa</t>
  </si>
  <si>
    <t>https://fbref.com/en/players/ade08a67/David-Villa</t>
  </si>
  <si>
    <t>https://www.transfermarkt.com/david-villa/profil/spieler/7980</t>
  </si>
  <si>
    <t>david-villa</t>
  </si>
  <si>
    <t>Tuilla</t>
  </si>
  <si>
    <t>David Zurutuza</t>
  </si>
  <si>
    <t>https://fbref.com/en/players/d9bda115/David-Zurutuza</t>
  </si>
  <si>
    <t>https://www.transfermarkt.com/david-zurutuza/profil/spieler/59375</t>
  </si>
  <si>
    <t>david-zurutuza</t>
  </si>
  <si>
    <t>19/07/1986</t>
  </si>
  <si>
    <t>Rochefort</t>
  </si>
  <si>
    <t>Deivid</t>
  </si>
  <si>
    <t>https://fbref.com/en/players/c1c76662/Deivid</t>
  </si>
  <si>
    <t>DF-MF (CB)</t>
  </si>
  <si>
    <t>https://www.transfermarkt.com/deivid/profil/spieler/93330</t>
  </si>
  <si>
    <t>deivid</t>
  </si>
  <si>
    <t>27/01/1989 (36)</t>
  </si>
  <si>
    <t>Villa S.BrÃ­gida</t>
  </si>
  <si>
    <t>Dejan LekiÄ‡</t>
  </si>
  <si>
    <t>https://fbref.com/en/players/f73b1a65/Dejan-Lekic</t>
  </si>
  <si>
    <t>193cm</t>
  </si>
  <si>
    <t>Red Star</t>
  </si>
  <si>
    <t>https://www.transfermarkt.com/dejan-lekic/profil/spieler/49795</t>
  </si>
  <si>
    <t>dejan-lekic</t>
  </si>
  <si>
    <t>Dejan Lekic</t>
  </si>
  <si>
    <t>07/06/1985 (40)</t>
  </si>
  <si>
    <t>Kraljevo</t>
  </si>
  <si>
    <t>15/08/2009</t>
  </si>
  <si>
    <t>Prva liga</t>
  </si>
  <si>
    <t>Denis Cheryshev</t>
  </si>
  <si>
    <t>ru RUS</t>
  </si>
  <si>
    <t>https://fbref.com/en/players/0ac94a23/Denis-Cheryshev</t>
  </si>
  <si>
    <t>December 26, 1990 (Age:Â 34-304d)</t>
  </si>
  <si>
    <t>Nizhniy Novgorod, Russia</t>
  </si>
  <si>
    <t>Russia</t>
  </si>
  <si>
    <t>https://www.transfermarkt.com/denis-cheryshev/profil/spieler/98322</t>
  </si>
  <si>
    <t>denis-cheryshev</t>
  </si>
  <si>
    <t>26/12/1990</t>
  </si>
  <si>
    <t>Nizhniy Novgorod</t>
  </si>
  <si>
    <t>RussiaÂ Â Spain</t>
  </si>
  <si>
    <t>25/09/2013</t>
  </si>
  <si>
    <t>Denis SuÃ¡rez</t>
  </si>
  <si>
    <t>https://fbref.com/en/players/12c50af5/Denis-Suarez</t>
  </si>
  <si>
    <t>January 6, 1994 (Age:Â 31-293d)</t>
  </si>
  <si>
    <t>Salceda de Caselas, Spain</t>
  </si>
  <si>
    <t>MF (AM-CM-WM)</t>
  </si>
  <si>
    <t>https://www.transfermarkt.com/denis-suarez/profil/spieler/165007</t>
  </si>
  <si>
    <t>denis-suarez</t>
  </si>
  <si>
    <t>Salceda de Caselas</t>
  </si>
  <si>
    <t>29/08/2025</t>
  </si>
  <si>
    <t>Derek Boateng</t>
  </si>
  <si>
    <t>https://fbref.com/en/players/e9ef3a0d/Derek-Boateng</t>
  </si>
  <si>
    <t>Kalamata</t>
  </si>
  <si>
    <t>https://www.transfermarkt.com/derek-boateng/profil/spieler/18091</t>
  </si>
  <si>
    <t>derek-boateng</t>
  </si>
  <si>
    <t>OFI Crete FC</t>
  </si>
  <si>
    <t>19/09/1999</t>
  </si>
  <si>
    <t>NASL Spring Championship</t>
  </si>
  <si>
    <t>Didier Zokora</t>
  </si>
  <si>
    <t>https://fbref.com/en/players/23921ca7/Didier-Zokora</t>
  </si>
  <si>
    <t>Genk</t>
  </si>
  <si>
    <t>https://www.transfermarkt.com/didier-zokora/profil/spieler/13389</t>
  </si>
  <si>
    <t>didier-zokora</t>
  </si>
  <si>
    <t>14/12/1980</t>
  </si>
  <si>
    <t>Semen Padang</t>
  </si>
  <si>
    <t>Diego</t>
  </si>
  <si>
    <t>https://fbref.com/en/players/255a478a/Diego</t>
  </si>
  <si>
    <t>https://www.transfermarkt.com/diego/profil/spieler/4248</t>
  </si>
  <si>
    <t>diego</t>
  </si>
  <si>
    <t>28/02/1985 (40)</t>
  </si>
  <si>
    <t>RibeirÃ£o Preto</t>
  </si>
  <si>
    <t>Flamengo</t>
  </si>
  <si>
    <t>Diego Alves</t>
  </si>
  <si>
    <t>https://fbref.com/en/players/12421a7c/Diego-Alves</t>
  </si>
  <si>
    <t>https://www.transfermarkt.com/diego-alves/profil/spieler/42373</t>
  </si>
  <si>
    <t>diego-alves</t>
  </si>
  <si>
    <t>24/06/1985</t>
  </si>
  <si>
    <t>Rio de Janeiro</t>
  </si>
  <si>
    <t>21/01/2025</t>
  </si>
  <si>
    <t>Uhlsport</t>
  </si>
  <si>
    <t>Diego Benito Rey</t>
  </si>
  <si>
    <t>https://fbref.com/en/players/049c2adb/Diego-Benito-Rey</t>
  </si>
  <si>
    <t>August 25, 1988 (Age:Â 37-062d)</t>
  </si>
  <si>
    <t>Girona, Spain</t>
  </si>
  <si>
    <t>UD Salamanca B</t>
  </si>
  <si>
    <t>https://www.transfermarkt.com/diego-benito/profil/spieler/139859</t>
  </si>
  <si>
    <t>diego-benito</t>
  </si>
  <si>
    <t>Diego Benito</t>
  </si>
  <si>
    <t>25/08/1988</t>
  </si>
  <si>
    <t>29/01/2011</t>
  </si>
  <si>
    <t>Diego Buonanotte</t>
  </si>
  <si>
    <t>https://fbref.com/en/players/4680cb30/Diego-Buonanotte</t>
  </si>
  <si>
    <t>April 19, 1988 (Age:Â 37-190d)</t>
  </si>
  <si>
    <t>Teodelina, Argentina</t>
  </si>
  <si>
    <t>157cm</t>
  </si>
  <si>
    <t>Temuco</t>
  </si>
  <si>
    <t>https://www.transfermarkt.com/diego-buonanotte/profil/spieler/45646</t>
  </si>
  <si>
    <t>diego-buonanotte</t>
  </si>
  <si>
    <t>19/04/1988</t>
  </si>
  <si>
    <t>Teodelina</t>
  </si>
  <si>
    <t>Deportes Temuco</t>
  </si>
  <si>
    <t>22/02/2025</t>
  </si>
  <si>
    <t>Primera B</t>
  </si>
  <si>
    <t>Diego Capel</t>
  </si>
  <si>
    <t>https://fbref.com/en/players/4933a2f2/Diego-Capel</t>
  </si>
  <si>
    <t>https://www.transfermarkt.com/diego-capel/profil/spieler/27471</t>
  </si>
  <si>
    <t>diego-capel</t>
  </si>
  <si>
    <t>16/02/1988</t>
  </si>
  <si>
    <t>Albox</t>
  </si>
  <si>
    <t>Irodotos</t>
  </si>
  <si>
    <t>24/10/2023</t>
  </si>
  <si>
    <t>24/10/2004</t>
  </si>
  <si>
    <t>24/08/2018</t>
  </si>
  <si>
    <t>Diego Castro</t>
  </si>
  <si>
    <t>https://fbref.com/en/players/3ddc0a25/Diego-Castro</t>
  </si>
  <si>
    <t>https://www.transfermarkt.com/diego-castro/profil/spieler/57791</t>
  </si>
  <si>
    <t>diego-castro</t>
  </si>
  <si>
    <t>Perth Glory</t>
  </si>
  <si>
    <t>14/10/2021</t>
  </si>
  <si>
    <t>Diego Colotto</t>
  </si>
  <si>
    <t>https://fbref.com/en/players/d9d4e0c0/Diego-Colotto</t>
  </si>
  <si>
    <t>UAG</t>
  </si>
  <si>
    <t>https://www.transfermarkt.com/diego-colotto/profil/spieler/27453</t>
  </si>
  <si>
    <t>diego-colotto</t>
  </si>
  <si>
    <t>RÃ­o Cuarto</t>
  </si>
  <si>
    <t>Quilmes</t>
  </si>
  <si>
    <t>19/08/2001</t>
  </si>
  <si>
    <t>Diego Costa</t>
  </si>
  <si>
    <t>https://fbref.com/en/players/a190d597/Diego-Costa</t>
  </si>
  <si>
    <t>Spain es Â Other:Â Brazil</t>
  </si>
  <si>
    <t>https://www.transfermarkt.com/diego-costa/profil/spieler/44779</t>
  </si>
  <si>
    <t>diego-costa</t>
  </si>
  <si>
    <t>Lagarto</t>
  </si>
  <si>
    <t>SpainÂ Â Brazil</t>
  </si>
  <si>
    <t>Diego ForlÃ¡n</t>
  </si>
  <si>
    <t>https://fbref.com/en/players/d87d0dfc/Diego-Forlan</t>
  </si>
  <si>
    <t>https://www.transfermarkt.com/diego-forlan/profil/spieler/3408</t>
  </si>
  <si>
    <t>diego-forlan</t>
  </si>
  <si>
    <t>19/05/1979</t>
  </si>
  <si>
    <t>19/02/2000</t>
  </si>
  <si>
    <t>Diego GodÃ­n</t>
  </si>
  <si>
    <t>https://fbref.com/en/players/fc4f85b1/Diego-Godin</t>
  </si>
  <si>
    <t>https://www.transfermarkt.com/diego-godin/profil/spieler/54928</t>
  </si>
  <si>
    <t>diego-godin</t>
  </si>
  <si>
    <t>16/02/1986</t>
  </si>
  <si>
    <t>30/05/2007</t>
  </si>
  <si>
    <t>Diego IfrÃ¡n</t>
  </si>
  <si>
    <t>https://fbref.com/en/players/59e3e40f/Diego-Ifran</t>
  </si>
  <si>
    <t>https://www.transfermarkt.com/diego-ifran/profil/spieler/76701</t>
  </si>
  <si>
    <t>diego-ifran</t>
  </si>
  <si>
    <t>Sport. Cristal</t>
  </si>
  <si>
    <t>23/03/2014</t>
  </si>
  <si>
    <t>Diego LÃ³pez</t>
  </si>
  <si>
    <t>https://fbref.com/en/players/73683fa9/Diego-Lopez</t>
  </si>
  <si>
    <t>196cm</t>
  </si>
  <si>
    <t>https://www.transfermarkt.com/diego-lopez/profil/spieler/34370</t>
  </si>
  <si>
    <t>diego-lopez</t>
  </si>
  <si>
    <t>Paradela</t>
  </si>
  <si>
    <t>28/12/2023</t>
  </si>
  <si>
    <t>Diego Llorente</t>
  </si>
  <si>
    <t>https://fbref.com/en/players/bba30585/Diego-Llorente</t>
  </si>
  <si>
    <t>August 16, 1993 (Age:Â 32-071d)</t>
  </si>
  <si>
    <t>https://www.transfermarkt.com/diego-llorente/profil/spieler/246291</t>
  </si>
  <si>
    <t>diego-llorente</t>
  </si>
  <si>
    <t>16/08/1993</t>
  </si>
  <si>
    <t>24/03/2013</t>
  </si>
  <si>
    <t>Diego Lugano</t>
  </si>
  <si>
    <t>https://fbref.com/en/players/303ad7c3/Diego-Lugano</t>
  </si>
  <si>
    <t>FenerbahÃ§e</t>
  </si>
  <si>
    <t>https://www.transfermarkt.com/diego-lugano/profil/spieler/13829</t>
  </si>
  <si>
    <t>diego-lugano</t>
  </si>
  <si>
    <t>Canelones</t>
  </si>
  <si>
    <t>SÃ£o Paulo</t>
  </si>
  <si>
    <t>30/01/2018</t>
  </si>
  <si>
    <t>Diego Mainz</t>
  </si>
  <si>
    <t>https://fbref.com/en/players/95db62b7/Diego-Mainz</t>
  </si>
  <si>
    <t>https://www.transfermarkt.com/diego-mainz/profil/spieler/58070</t>
  </si>
  <si>
    <t>diego-mainz</t>
  </si>
  <si>
    <t>Diego MaÃ­nz</t>
  </si>
  <si>
    <t>29/12/1982</t>
  </si>
  <si>
    <t>Granada CF</t>
  </si>
  <si>
    <t>27/10/2001</t>
  </si>
  <si>
    <t>Diego MariÃ±o</t>
  </si>
  <si>
    <t>https://fbref.com/en/players/d9235a45/Diego-Marino</t>
  </si>
  <si>
    <t>May 9, 1990 (Age:Â 35-170d)</t>
  </si>
  <si>
    <t>https://www.transfermarkt.com/diego-marino/profil/spieler/59349</t>
  </si>
  <si>
    <t>diego-marino</t>
  </si>
  <si>
    <t>09/05/1990 (35)</t>
  </si>
  <si>
    <t>27/08/2010</t>
  </si>
  <si>
    <t>Diego Perotti</t>
  </si>
  <si>
    <t>https://fbref.com/en/players/a40d5a0c/Diego-Perotti</t>
  </si>
  <si>
    <t>https://www.transfermarkt.com/diego-perotti/profil/spieler/54984</t>
  </si>
  <si>
    <t>diego-perotti</t>
  </si>
  <si>
    <t>26/07/1988</t>
  </si>
  <si>
    <t>Moreno</t>
  </si>
  <si>
    <t>Vesta</t>
  </si>
  <si>
    <t>25/04/2025</t>
  </si>
  <si>
    <t>Diego Rivas</t>
  </si>
  <si>
    <t>https://fbref.com/en/players/eecf46bc/Diego-Rivas</t>
  </si>
  <si>
    <t>https://www.transfermarkt.com/diego-rivas/profil/spieler/9991</t>
  </si>
  <si>
    <t>diego-rivas</t>
  </si>
  <si>
    <t>27/04/1980</t>
  </si>
  <si>
    <t>Ciudad Real</t>
  </si>
  <si>
    <t>20/09/2003</t>
  </si>
  <si>
    <t>Diego Seoane</t>
  </si>
  <si>
    <t>https://fbref.com/en/players/71c7d503/Diego-Seoane</t>
  </si>
  <si>
    <t>https://www.transfermarkt.com/diego-seoane/profil/spieler/104916</t>
  </si>
  <si>
    <t>diego-seoane</t>
  </si>
  <si>
    <t>26/04/1988</t>
  </si>
  <si>
    <t>20/03/2010</t>
  </si>
  <si>
    <t>24/09/2011</t>
  </si>
  <si>
    <t>Diego Valeri</t>
  </si>
  <si>
    <t>https://fbref.com/en/players/31da63ad/Diego-Valeri</t>
  </si>
  <si>
    <t>https://www.transfermarkt.com/diego-valeri/profil/spieler/54588</t>
  </si>
  <si>
    <t>diego-valeri</t>
  </si>
  <si>
    <t>Diego VÃ¡leri</t>
  </si>
  <si>
    <t>Portland</t>
  </si>
  <si>
    <t>Dimitri Foulquier</t>
  </si>
  <si>
    <t>https://fbref.com/en/players/45e17712/Dimitri-Foulquier</t>
  </si>
  <si>
    <t>March 23, 1993 (Age:Â 32-217d)</t>
  </si>
  <si>
    <t>Sarcelles, France</t>
  </si>
  <si>
    <t>France fr Â Other:Â Guadeloupe</t>
  </si>
  <si>
    <t>Rennes</t>
  </si>
  <si>
    <t>https://www.transfermarkt.com/dimitri-foulquier/profil/spieler/170472</t>
  </si>
  <si>
    <t>dimitri-foulquier</t>
  </si>
  <si>
    <t>23/03/1993</t>
  </si>
  <si>
    <t>Sarcelles</t>
  </si>
  <si>
    <t>GuadeloupeÂ Â France</t>
  </si>
  <si>
    <t>30/08/2021</t>
  </si>
  <si>
    <t>Diogo Figueiras</t>
  </si>
  <si>
    <t>https://fbref.com/en/players/3e587547/Diogo-Figueiras</t>
  </si>
  <si>
    <t>July 1, 1991 (Age:Â 34-117d)</t>
  </si>
  <si>
    <t>Vila Franca de Xira, Portugal</t>
  </si>
  <si>
    <t>CD FAS</t>
  </si>
  <si>
    <t>PaÃ§os de Ferreira</t>
  </si>
  <si>
    <t>https://www.transfermarkt.com/diogo-figueiras/profil/spieler/172181</t>
  </si>
  <si>
    <t>diogo-figueiras</t>
  </si>
  <si>
    <t>Castanheira do Ribatejo</t>
  </si>
  <si>
    <t>FAS</t>
  </si>
  <si>
    <t>Diogo SalomÃ£o</t>
  </si>
  <si>
    <t>https://fbref.com/en/players/45e4d136/Diogo-Salomao</t>
  </si>
  <si>
    <t>https://www.transfermarkt.com/diogo-salomao/profil/spieler/145918</t>
  </si>
  <si>
    <t>diogo-salomao</t>
  </si>
  <si>
    <t>14/09/1988</t>
  </si>
  <si>
    <t>Amadora</t>
  </si>
  <si>
    <t>PortugalÂ Â Guinea-Bissau</t>
  </si>
  <si>
    <t>Dioni</t>
  </si>
  <si>
    <t>https://fbref.com/en/players/aac8c5ac/Dioni</t>
  </si>
  <si>
    <t>December 21, 1989 (Age:Â 35-309d)</t>
  </si>
  <si>
    <t>https://www.transfermarkt.com/dioni/profil/spieler/164402</t>
  </si>
  <si>
    <t>dioni</t>
  </si>
  <si>
    <t>21/12/1989 (35)</t>
  </si>
  <si>
    <t>23/09/2010</t>
  </si>
  <si>
    <t>Domingo Cisma</t>
  </si>
  <si>
    <t>https://fbref.com/en/players/4d85b73c/Domingo-Cisma</t>
  </si>
  <si>
    <t>https://www.transfermarkt.com/domingo-cisma/profil/spieler/51535</t>
  </si>
  <si>
    <t>domingo-cisma</t>
  </si>
  <si>
    <t>CÃ³rdoba CF</t>
  </si>
  <si>
    <t>18/07/2017</t>
  </si>
  <si>
    <t>23/09/2007</t>
  </si>
  <si>
    <t>18/12/2005</t>
  </si>
  <si>
    <t>Dorlan PabÃ³n</t>
  </si>
  <si>
    <t>https://fbref.com/en/players/4eb45683/Dorlan-Pabon</t>
  </si>
  <si>
    <t>January 24, 1988 (Age:Â 37-275d)</t>
  </si>
  <si>
    <t>MedellÃ­n, Colombia</t>
  </si>
  <si>
    <t>Envigado</t>
  </si>
  <si>
    <t>https://www.transfermarkt.com/dorlan-pabon/profil/spieler/74667</t>
  </si>
  <si>
    <t>dorlan-pabon</t>
  </si>
  <si>
    <t>24/01/1988</t>
  </si>
  <si>
    <t>MedellÃ­n</t>
  </si>
  <si>
    <t>18/07/2009</t>
  </si>
  <si>
    <t>Douglas</t>
  </si>
  <si>
    <t>https://fbref.com/en/players/ee0da7af/Douglas</t>
  </si>
  <si>
    <t>https://www.transfermarkt.com/douglas/profil/spieler/58426</t>
  </si>
  <si>
    <t>douglas</t>
  </si>
  <si>
    <t>06/08/1990 (35)</t>
  </si>
  <si>
    <t>Monte Alegre de GoiÃ¡s</t>
  </si>
  <si>
    <t>Besiktas</t>
  </si>
  <si>
    <t>DuÅ¡ko ToÅ¡iÄ‡</t>
  </si>
  <si>
    <t>https://fbref.com/en/players/523057ea/Dusko-Tosic</t>
  </si>
  <si>
    <t>https://www.transfermarkt.com/dusko-tosic/profil/spieler/17184</t>
  </si>
  <si>
    <t>dusko-tosic</t>
  </si>
  <si>
    <t>Dusko Tosic</t>
  </si>
  <si>
    <t>19/01/1985</t>
  </si>
  <si>
    <t>Orlovat</t>
  </si>
  <si>
    <t>Kasimpasa</t>
  </si>
  <si>
    <t>21/08/2004</t>
  </si>
  <si>
    <t>Duda</t>
  </si>
  <si>
    <t>https://fbref.com/en/players/13d41642/Duda</t>
  </si>
  <si>
    <t>https://www.transfermarkt.com/duda/profil/spieler/7782</t>
  </si>
  <si>
    <t>duda</t>
  </si>
  <si>
    <t>27/06/1980</t>
  </si>
  <si>
    <t>Dudu Aouate</t>
  </si>
  <si>
    <t>il ISR</t>
  </si>
  <si>
    <t>https://fbref.com/en/players/4d1b3701/Dudu-Aouate</t>
  </si>
  <si>
    <t>Israel</t>
  </si>
  <si>
    <t>https://www.transfermarkt.com/dudu-aouate/profil/spieler/3495</t>
  </si>
  <si>
    <t>dudu-aouate</t>
  </si>
  <si>
    <t>17/10/1977</t>
  </si>
  <si>
    <t>Nazareth Illit</t>
  </si>
  <si>
    <t>IsraelÂ Â France</t>
  </si>
  <si>
    <t>30/08/1997</t>
  </si>
  <si>
    <t>EÃ±aut Zubikarai</t>
  </si>
  <si>
    <t>https://fbref.com/en/players/5e92d0ec/Enaut-Zubikarai</t>
  </si>
  <si>
    <t>https://www.transfermarkt.com/enaut-zubikarai/profil/spieler/76076</t>
  </si>
  <si>
    <t>enaut-zubikarai</t>
  </si>
  <si>
    <t>26/02/1984</t>
  </si>
  <si>
    <t>Ondarroa</t>
  </si>
  <si>
    <t>Auckland City</t>
  </si>
  <si>
    <t>Eddy Silvestre</t>
  </si>
  <si>
    <t>az AZE</t>
  </si>
  <si>
    <t>https://fbref.com/en/players/15ac2dc2/Eddy-Silvestre</t>
  </si>
  <si>
    <t>August 2, 1992 (Age:Â 33-085d)</t>
  </si>
  <si>
    <t>Ã‰cija, Spain</t>
  </si>
  <si>
    <t>Azerbaijan az Â Other:Â Spain</t>
  </si>
  <si>
    <t>https://www.transfermarkt.com/eddy-israfilov/profil/spieler/238865</t>
  </si>
  <si>
    <t>eddy-israfilov</t>
  </si>
  <si>
    <t>Eddy Israfilov</t>
  </si>
  <si>
    <t>Roquetas de Mar</t>
  </si>
  <si>
    <t>AzerbaijanÂ Â Spain</t>
  </si>
  <si>
    <t>20/09/2014</t>
  </si>
  <si>
    <t>Eder Vilarchao</t>
  </si>
  <si>
    <t>https://fbref.com/en/players/9ea0bf80/Eder-Vilarchao</t>
  </si>
  <si>
    <t>https://www.transfermarkt.com/eder-vilarchao/profil/spieler/156892</t>
  </si>
  <si>
    <t>eder-vilarchao</t>
  </si>
  <si>
    <t>18/11/2015</t>
  </si>
  <si>
    <t>13/01/2013</t>
  </si>
  <si>
    <t>Edimar Fraga</t>
  </si>
  <si>
    <t>https://fbref.com/en/players/e1bcce4c/Edimar-Fraga</t>
  </si>
  <si>
    <t>https://www.transfermarkt.com/edimar/profil/spieler/74314</t>
  </si>
  <si>
    <t>edimar</t>
  </si>
  <si>
    <t>Edimar</t>
  </si>
  <si>
    <t>21/05/1986</t>
  </si>
  <si>
    <t>Cachoeiro de Itapemirim</t>
  </si>
  <si>
    <t>27/03/2024</t>
  </si>
  <si>
    <t>22/05/2019</t>
  </si>
  <si>
    <t>Edinho</t>
  </si>
  <si>
    <t>https://fbref.com/en/players/1955f68d/Edinho</t>
  </si>
  <si>
    <t>Gil Vicente</t>
  </si>
  <si>
    <t>https://www.transfermarkt.com/edinho/profil/spieler/29366</t>
  </si>
  <si>
    <t>edinho</t>
  </si>
  <si>
    <t>07/07/1982 (43)</t>
  </si>
  <si>
    <t>Aveiro</t>
  </si>
  <si>
    <t>CO Montijo</t>
  </si>
  <si>
    <t>17/08/2003</t>
  </si>
  <si>
    <t>EdmÃ­lson</t>
  </si>
  <si>
    <t>https://fbref.com/en/players/13853c88/Edmilson</t>
  </si>
  <si>
    <t>DF-MF (CB-CM-DM)</t>
  </si>
  <si>
    <t>https://www.transfermarkt.com/edmilson/profil/spieler/5343</t>
  </si>
  <si>
    <t>edmilson</t>
  </si>
  <si>
    <t>Taguaritinga</t>
  </si>
  <si>
    <t>CearÃ¡ SC</t>
  </si>
  <si>
    <t>Edson Ratinho</t>
  </si>
  <si>
    <t>https://fbref.com/en/players/1f59bef7/Edson-Ratinho</t>
  </si>
  <si>
    <t>https://www.transfermarkt.com/edson-ratinho/profil/spieler/50778</t>
  </si>
  <si>
    <t>edson-ratinho</t>
  </si>
  <si>
    <t>31/05/1986</t>
  </si>
  <si>
    <t>JoÃ£o Pessoa</t>
  </si>
  <si>
    <t>Edu AlbÃ¡car</t>
  </si>
  <si>
    <t>https://fbref.com/en/players/fc8a84b8/Edu-Albacar</t>
  </si>
  <si>
    <t>HÃ©rcules</t>
  </si>
  <si>
    <t>https://www.transfermarkt.com/edu-albacar/profil/spieler/57961</t>
  </si>
  <si>
    <t>edu-albacar</t>
  </si>
  <si>
    <t>Edu Albacar</t>
  </si>
  <si>
    <t>16/11/1979</t>
  </si>
  <si>
    <t>Tortosa</t>
  </si>
  <si>
    <t>Edu Bedia</t>
  </si>
  <si>
    <t>https://fbref.com/en/players/2dc8077c/Edu-Bedia</t>
  </si>
  <si>
    <t>https://www.transfermarkt.com/edu-bedia/profil/spieler/74764</t>
  </si>
  <si>
    <t>edu-bedia</t>
  </si>
  <si>
    <t>23/03/1989</t>
  </si>
  <si>
    <t>At. Albericia</t>
  </si>
  <si>
    <t>24/09/2008</t>
  </si>
  <si>
    <t>Edu Caballer</t>
  </si>
  <si>
    <t>https://fbref.com/en/players/2e7586bb/Edu-Caballer</t>
  </si>
  <si>
    <t>https://www.transfermarkt.com/edu-caballer/profil/spieler/73231</t>
  </si>
  <si>
    <t>edu-caballer</t>
  </si>
  <si>
    <t>Villarreal CF B</t>
  </si>
  <si>
    <t>17/10/2009</t>
  </si>
  <si>
    <t>Edu Oriol</t>
  </si>
  <si>
    <t>https://fbref.com/en/players/94c9f17a/Edu-Oriol</t>
  </si>
  <si>
    <t>https://www.transfermarkt.com/edu-oriol/profil/spieler/95488</t>
  </si>
  <si>
    <t>edu-oriol</t>
  </si>
  <si>
    <t>Cambrils</t>
  </si>
  <si>
    <t>Xerez Deportivo</t>
  </si>
  <si>
    <t>Edu Ramos</t>
  </si>
  <si>
    <t>https://fbref.com/en/players/e6793b40/Edu-Ramos</t>
  </si>
  <si>
    <t>https://www.transfermarkt.com/edu-ramos/profil/spieler/85365</t>
  </si>
  <si>
    <t>edu-ramos</t>
  </si>
  <si>
    <t>17/02/1992</t>
  </si>
  <si>
    <t>Churriana</t>
  </si>
  <si>
    <t>Eduardo Salvio</t>
  </si>
  <si>
    <t>https://fbref.com/en/players/5f424f35/Eduardo-Salvio</t>
  </si>
  <si>
    <t>July 13, 1990 (Age:Â 35-105d)</t>
  </si>
  <si>
    <t>Avellaneda, Argentina</t>
  </si>
  <si>
    <t>https://www.transfermarkt.com/eduardo-salvio/profil/spieler/84535</t>
  </si>
  <si>
    <t>eduardo-salvio</t>
  </si>
  <si>
    <t>13/07/1990</t>
  </si>
  <si>
    <t>Avellaneda</t>
  </si>
  <si>
    <t>25/08/2008</t>
  </si>
  <si>
    <t>Eduardo Vargas</t>
  </si>
  <si>
    <t>https://fbref.com/en/players/bd603c00/Eduardo-Vargas</t>
  </si>
  <si>
    <t>November 20, 1989 (Age:Â 35-340d)</t>
  </si>
  <si>
    <t>Santiago, Chile</t>
  </si>
  <si>
    <t>Audax Italiano</t>
  </si>
  <si>
    <t>https://www.transfermarkt.com/eduardo-vargas/profil/spieler/89718</t>
  </si>
  <si>
    <t>eduardo-vargas</t>
  </si>
  <si>
    <t>20/11/1989</t>
  </si>
  <si>
    <t>Renca</t>
  </si>
  <si>
    <t>29/04/2007</t>
  </si>
  <si>
    <t>EfraÃ­n JuÃ¡rez</t>
  </si>
  <si>
    <t>https://fbref.com/en/players/8c1b4056/Efrain-Juarez</t>
  </si>
  <si>
    <t>DF-MF (CB-DM-FB, right)</t>
  </si>
  <si>
    <t>UNAM</t>
  </si>
  <si>
    <t>https://www.transfermarkt.com/efrain-juarez/profil/spieler/66130</t>
  </si>
  <si>
    <t>efrain-juarez</t>
  </si>
  <si>
    <t>22/02/1988</t>
  </si>
  <si>
    <t>Mexico City</t>
  </si>
  <si>
    <t>VÃ¥lerenga</t>
  </si>
  <si>
    <t>27/07/2008</t>
  </si>
  <si>
    <t>Liga MX Apertura</t>
  </si>
  <si>
    <t>Liga de ExpansiÃ³n MX Clausura</t>
  </si>
  <si>
    <t>ElÃ­as</t>
  </si>
  <si>
    <t>https://fbref.com/en/players/97ce8f24/Elias</t>
  </si>
  <si>
    <t>MF (CM-DM, right)</t>
  </si>
  <si>
    <t>https://www.transfermarkt.com/elias/profil/spieler/74600</t>
  </si>
  <si>
    <t>elias</t>
  </si>
  <si>
    <t>Elias</t>
  </si>
  <si>
    <t>16/05/1985 (40)</t>
  </si>
  <si>
    <t>EC Bahia</t>
  </si>
  <si>
    <t>17/05/2009</t>
  </si>
  <si>
    <t>31/05/2008</t>
  </si>
  <si>
    <t>Eliseu</t>
  </si>
  <si>
    <t>https://fbref.com/en/players/981869fc/Eliseu</t>
  </si>
  <si>
    <t>DF-MF (AM-FB-WM, left)</t>
  </si>
  <si>
    <t>https://www.transfermarkt.com/eliseu/profil/spieler/14192</t>
  </si>
  <si>
    <t>eliseu</t>
  </si>
  <si>
    <t>Angra do HeroÃ­smo</t>
  </si>
  <si>
    <t>PortugalÂ Â Cape Verde</t>
  </si>
  <si>
    <t>21/08/2005</t>
  </si>
  <si>
    <t>Emanuel InsÃºa</t>
  </si>
  <si>
    <t>https://fbref.com/en/players/792c7b94/Emanuel-Insua</t>
  </si>
  <si>
    <t>April 10, 1991 (Age:Â 34-199d)</t>
  </si>
  <si>
    <t>Buenos Aires, Argentina</t>
  </si>
  <si>
    <t>https://www.transfermarkt.com/emanuel-insua/profil/spieler/226006</t>
  </si>
  <si>
    <t>emanuel-insua</t>
  </si>
  <si>
    <t>Kallithea</t>
  </si>
  <si>
    <t>21/05/2012</t>
  </si>
  <si>
    <t>14/02/2025</t>
  </si>
  <si>
    <t>Emi BuendÃ­a</t>
  </si>
  <si>
    <t>https://fbref.com/en/players/66b76d44/Emi-Buendia</t>
  </si>
  <si>
    <t>December 25, 1996 (Age:Â 28-305d)</t>
  </si>
  <si>
    <t>Mar del Plata, Argentina</t>
  </si>
  <si>
    <t>https://www.transfermarkt.com/emiliano-buendia/profil/spieler/321247</t>
  </si>
  <si>
    <t>emiliano-buendia</t>
  </si>
  <si>
    <t>Emiliano BuendÃ­a</t>
  </si>
  <si>
    <t>25/12/1996</t>
  </si>
  <si>
    <t>Mar del Plata</t>
  </si>
  <si>
    <t>27/11/2016</t>
  </si>
  <si>
    <t>Emiliano Armenteros</t>
  </si>
  <si>
    <t>https://fbref.com/en/players/66475fb9/Emiliano-Armenteros</t>
  </si>
  <si>
    <t>https://www.transfermarkt.com/emiliano-armenteros/profil/spieler/30747</t>
  </si>
  <si>
    <t>emiliano-armenteros</t>
  </si>
  <si>
    <t>18/01/1986</t>
  </si>
  <si>
    <t>Luis GuillÃ³n</t>
  </si>
  <si>
    <t>CD Inter Ibiza</t>
  </si>
  <si>
    <t>24/04/2004</t>
  </si>
  <si>
    <t>Emiliano InsÃºa</t>
  </si>
  <si>
    <t>https://fbref.com/en/players/f3cccffe/Emiliano-Insua</t>
  </si>
  <si>
    <t>https://www.transfermarkt.com/emiliano-insua/profil/spieler/45599</t>
  </si>
  <si>
    <t>emiliano-insua</t>
  </si>
  <si>
    <t>28/04/2007</t>
  </si>
  <si>
    <t>Emiliano VelÃ¡zquez</t>
  </si>
  <si>
    <t>https://fbref.com/en/players/5efb80d5/Emiliano-Velazquez</t>
  </si>
  <si>
    <t>April 30, 1994 (Age:Â 31-179d)</t>
  </si>
  <si>
    <t>Danubio</t>
  </si>
  <si>
    <t>https://www.transfermarkt.com/emiliano-velazquez/profil/spieler/189458</t>
  </si>
  <si>
    <t>emiliano-velazquez</t>
  </si>
  <si>
    <t>30/04/1994</t>
  </si>
  <si>
    <t>Danubio FC</t>
  </si>
  <si>
    <t>Primera Division Clausura</t>
  </si>
  <si>
    <t>Emilio Nsue</t>
  </si>
  <si>
    <t>gq EQG</t>
  </si>
  <si>
    <t>https://fbref.com/en/players/1c9bc4fa/Emilio-Nsue</t>
  </si>
  <si>
    <t>September 30, 1989 (Age:Â 36-026d)</t>
  </si>
  <si>
    <t>Palma de Mallorca, Spain</t>
  </si>
  <si>
    <t>Equatorial Guinea gq Â Other:Â Spain</t>
  </si>
  <si>
    <t>DF-FW-MF (FB, right)</t>
  </si>
  <si>
    <t>https://www.transfermarkt.com/emilio-nsue/profil/spieler/59558</t>
  </si>
  <si>
    <t>emilio-nsue</t>
  </si>
  <si>
    <t>30/09/1989</t>
  </si>
  <si>
    <t>Equatorial GuineaÂ Â Spain</t>
  </si>
  <si>
    <t>Emir SpahiÄ‡</t>
  </si>
  <si>
    <t>ba BIH</t>
  </si>
  <si>
    <t>https://fbref.com/en/players/009633c8/Emir-Spahic</t>
  </si>
  <si>
    <t>Bosnia and Herzegovina ba Â Other:Â Croatia</t>
  </si>
  <si>
    <t>Shinnik Yaroslavl</t>
  </si>
  <si>
    <t>https://www.transfermarkt.com/emir-spahic/profil/spieler/25812</t>
  </si>
  <si>
    <t>emir-spahic</t>
  </si>
  <si>
    <t>Emir Spahic</t>
  </si>
  <si>
    <t>18/08/1980 (45)</t>
  </si>
  <si>
    <t>Dubrovnik</t>
  </si>
  <si>
    <t>Bosnia-HerzegovinaÂ Â Croatia</t>
  </si>
  <si>
    <t>Hamburg</t>
  </si>
  <si>
    <t>31/01/2017</t>
  </si>
  <si>
    <t>15/03/2004</t>
  </si>
  <si>
    <t>Emmanuel Adebayor</t>
  </si>
  <si>
    <t>tg TOG</t>
  </si>
  <si>
    <t>https://fbref.com/en/players/936d9e3e/Emmanuel-Adebayor</t>
  </si>
  <si>
    <t>Togo</t>
  </si>
  <si>
    <t>Metz</t>
  </si>
  <si>
    <t>https://www.transfermarkt.com/emmanuel-adebayor/profil/spieler/8883</t>
  </si>
  <si>
    <t>emmanuel-adebayor</t>
  </si>
  <si>
    <t>LomÃ©</t>
  </si>
  <si>
    <t>TogoÂ Â Nigeria</t>
  </si>
  <si>
    <t>AC Semassi FC</t>
  </si>
  <si>
    <t>20/03/2023</t>
  </si>
  <si>
    <t>17/11/2001</t>
  </si>
  <si>
    <t>Emre BelÃ¶zoÄŸlu</t>
  </si>
  <si>
    <t>https://fbref.com/en/players/48add958/Emre-Belozoglu</t>
  </si>
  <si>
    <t>Inter</t>
  </si>
  <si>
    <t>https://www.transfermarkt.com/emre-belozoglu/profil/spieler/5782</t>
  </si>
  <si>
    <t>emre-belozoglu</t>
  </si>
  <si>
    <t>15/08/2020</t>
  </si>
  <si>
    <t>17/05/1997</t>
  </si>
  <si>
    <t>Eneko BÃ³veda</t>
  </si>
  <si>
    <t>https://fbref.com/en/players/1771f2c1/Eneko-Boveda</t>
  </si>
  <si>
    <t>https://www.transfermarkt.com/eneko-boveda/profil/spieler/89313</t>
  </si>
  <si>
    <t>eneko-boveda</t>
  </si>
  <si>
    <t>14/12/1988</t>
  </si>
  <si>
    <t>Olympiakos N.</t>
  </si>
  <si>
    <t>26/04/2009</t>
  </si>
  <si>
    <t>Eneko Capilla</t>
  </si>
  <si>
    <t>https://fbref.com/en/players/54bed007/Eneko-Capilla</t>
  </si>
  <si>
    <t>https://www.transfermarkt.com/eneko-capilla/profil/spieler/289241</t>
  </si>
  <si>
    <t>eneko-capilla</t>
  </si>
  <si>
    <t>13/06/1995</t>
  </si>
  <si>
    <t>San SebastiÃ¡n</t>
  </si>
  <si>
    <t>Eneko SatrÃºstegui</t>
  </si>
  <si>
    <t>https://fbref.com/en/players/b7ce700f/Eneko-Satrustegui</t>
  </si>
  <si>
    <t>September 25, 1990 (Age:Â 35-031d)</t>
  </si>
  <si>
    <t>Cultural y Deportiva Leonesa</t>
  </si>
  <si>
    <t>https://www.transfermarkt.com/eneko-satrustegui/profil/spieler/158792</t>
  </si>
  <si>
    <t>eneko-satrustegui</t>
  </si>
  <si>
    <t>25/09/1990</t>
  </si>
  <si>
    <t>Villava</t>
  </si>
  <si>
    <t>24/07/2024</t>
  </si>
  <si>
    <t>Enric Saborit</t>
  </si>
  <si>
    <t>https://fbref.com/en/players/eb5bc3eb/Enric-Saborit</t>
  </si>
  <si>
    <t>April 27, 1992 (Age:Â 33-182d)</t>
  </si>
  <si>
    <t>https://www.transfermarkt.com/enric-saborit/profil/spieler/85372</t>
  </si>
  <si>
    <t>enric-saborit</t>
  </si>
  <si>
    <t>27/04/1992</t>
  </si>
  <si>
    <t>23/08/2013</t>
  </si>
  <si>
    <t>13/09/2014</t>
  </si>
  <si>
    <t>Enrique Corrales</t>
  </si>
  <si>
    <t>https://fbref.com/en/players/a8dbcf66/Enrique-Corrales</t>
  </si>
  <si>
    <t>https://www.transfermarkt.com/enrique-corrales/profil/spieler/25460</t>
  </si>
  <si>
    <t>enrique-corrales</t>
  </si>
  <si>
    <t>CD Badajoz</t>
  </si>
  <si>
    <t>Enrique de Lucas</t>
  </si>
  <si>
    <t>https://fbref.com/en/players/ae61cc61/Enrique-de-Lucas</t>
  </si>
  <si>
    <t>https://www.transfermarkt.com/quique-de-lucas/profil/spieler/3172</t>
  </si>
  <si>
    <t>quique-de-lucas</t>
  </si>
  <si>
    <t>Quique de Lucas</t>
  </si>
  <si>
    <t>17/08/1978</t>
  </si>
  <si>
    <t>Biggleswade</t>
  </si>
  <si>
    <t>15/05/1998</t>
  </si>
  <si>
    <t>19/10/2003</t>
  </si>
  <si>
    <t>Enrique Sola</t>
  </si>
  <si>
    <t>https://fbref.com/en/players/bef2e50e/Enrique-Sola</t>
  </si>
  <si>
    <t>https://www.transfermarkt.com/kike-sola/profil/spieler/51532</t>
  </si>
  <si>
    <t>kike-sola</t>
  </si>
  <si>
    <t>Kike Sola</t>
  </si>
  <si>
    <t>25/02/1986</t>
  </si>
  <si>
    <t>Cascante</t>
  </si>
  <si>
    <t>Enzo Maresca</t>
  </si>
  <si>
    <t>https://fbref.com/en/players/1a899d99/Enzo-Maresca</t>
  </si>
  <si>
    <t>Juventus</t>
  </si>
  <si>
    <t>https://www.transfermarkt.com/enzo-maresca/profil/spieler/16651</t>
  </si>
  <si>
    <t>enzo-maresca</t>
  </si>
  <si>
    <t>Pontecagnano Faiano</t>
  </si>
  <si>
    <t>Hellas Verona</t>
  </si>
  <si>
    <t>13/01/2017</t>
  </si>
  <si>
    <t>25/01/2014</t>
  </si>
  <si>
    <t>Enzo PÃ©rez</t>
  </si>
  <si>
    <t>https://fbref.com/en/players/6d27cfc2/Enzo-Perez</t>
  </si>
  <si>
    <t>February 22, 1986 (Age:Â 39-246d)</t>
  </si>
  <si>
    <t>MaipÃº, Argentina</t>
  </si>
  <si>
    <t>River Plate</t>
  </si>
  <si>
    <t>https://www.transfermarkt.com/enzo-perez/profil/spieler/56066</t>
  </si>
  <si>
    <t>enzo-perez</t>
  </si>
  <si>
    <t>MaipÃº</t>
  </si>
  <si>
    <t>Under Armour</t>
  </si>
  <si>
    <t>Enzo Roco</t>
  </si>
  <si>
    <t>https://fbref.com/en/players/37f827ec/Enzo-Roco</t>
  </si>
  <si>
    <t>August 16, 1992 (Age:Â 33-071d)</t>
  </si>
  <si>
    <t>Ovalle, Chile</t>
  </si>
  <si>
    <t>Fatih KaragÃ¼mrÃ¼k SK</t>
  </si>
  <si>
    <t>Univ CatÃ³lica</t>
  </si>
  <si>
    <t>https://www.transfermarkt.com/enzo-roco/profil/spieler/186862</t>
  </si>
  <si>
    <t>enzo-roco</t>
  </si>
  <si>
    <t>16/08/1992</t>
  </si>
  <si>
    <t>Ovalle</t>
  </si>
  <si>
    <t>KaragÃ¼mrÃ¼k</t>
  </si>
  <si>
    <t>Eric Bailly</t>
  </si>
  <si>
    <t>https://fbref.com/en/players/a1232f4e/Eric-Bailly</t>
  </si>
  <si>
    <t>April 12, 1994 (Age:Â 31-197d)</t>
  </si>
  <si>
    <t>Abidjan, CÃ´te d'Ivoire</t>
  </si>
  <si>
    <t>https://www.transfermarkt.com/eric-bailly/profil/spieler/286384</t>
  </si>
  <si>
    <t>eric-bailly</t>
  </si>
  <si>
    <t>Bingerville</t>
  </si>
  <si>
    <t>18/08/2025</t>
  </si>
  <si>
    <t>Eric LÃ³pez</t>
  </si>
  <si>
    <t>https://fbref.com/en/players/45ac80b3/Eric-Lopez</t>
  </si>
  <si>
    <t>https://www.transfermarkt.com/eric-lopez/profil/spieler/176120</t>
  </si>
  <si>
    <t>eric-lopez</t>
  </si>
  <si>
    <t>Erik MorÃ¡n</t>
  </si>
  <si>
    <t>https://fbref.com/en/players/6941883f/Erik-Moran</t>
  </si>
  <si>
    <t>May 25, 1991 (Age:Â 34-154d)</t>
  </si>
  <si>
    <t>Portugalete, Spain</t>
  </si>
  <si>
    <t>Andorra</t>
  </si>
  <si>
    <t>https://www.transfermarkt.com/erik-moran/profil/spieler/67542</t>
  </si>
  <si>
    <t>erik-moran</t>
  </si>
  <si>
    <t>25/05/1991</t>
  </si>
  <si>
    <t>14/04/2013</t>
  </si>
  <si>
    <t>31/01/2015</t>
  </si>
  <si>
    <t>Ernesto GalÃ¡n</t>
  </si>
  <si>
    <t>https://fbref.com/en/players/7e4af593/Ernesto-Galan</t>
  </si>
  <si>
    <t>https://www.transfermarkt.com/ernesto-galan/profil/spieler/73009</t>
  </si>
  <si>
    <t>ernesto-galan</t>
  </si>
  <si>
    <t>17/06/1986</t>
  </si>
  <si>
    <t>AD Villaviciosa</t>
  </si>
  <si>
    <t>Esteban</t>
  </si>
  <si>
    <t>https://fbref.com/en/players/e4fc2638/Esteban</t>
  </si>
  <si>
    <t>https://www.transfermarkt.com/esteban/profil/spieler/15974</t>
  </si>
  <si>
    <t>esteban</t>
  </si>
  <si>
    <t>27/06/1975 (50)</t>
  </si>
  <si>
    <t>19/10/1997</t>
  </si>
  <si>
    <t>Esteban Granero</t>
  </si>
  <si>
    <t>https://fbref.com/en/players/1b17ed86/Esteban-Granero</t>
  </si>
  <si>
    <t>https://www.transfermarkt.com/esteban-granero/profil/spieler/44065</t>
  </si>
  <si>
    <t>esteban-granero</t>
  </si>
  <si>
    <t>Evaldo Fabiano</t>
  </si>
  <si>
    <t>https://fbref.com/en/players/74ea03bb/Evaldo-Fabiano</t>
  </si>
  <si>
    <t>https://www.transfermarkt.com/evaldo/profil/spieler/25106</t>
  </si>
  <si>
    <t>evaldo</t>
  </si>
  <si>
    <t>Evaldo</t>
  </si>
  <si>
    <t>18/03/1982</t>
  </si>
  <si>
    <t>Rio Piraciciba</t>
  </si>
  <si>
    <t>AC Malveira</t>
  </si>
  <si>
    <t>30/04/2004</t>
  </si>
  <si>
    <t>Liga Portugal 2 Sabseg</t>
  </si>
  <si>
    <t>Ezequiel Calvente</t>
  </si>
  <si>
    <t>https://fbref.com/en/players/633ea214/Ezequiel-Calvente</t>
  </si>
  <si>
    <t>https://www.transfermarkt.com/ezequiel-calvente/profil/spieler/153739</t>
  </si>
  <si>
    <t>ezequiel-calvente</t>
  </si>
  <si>
    <t>Melilla</t>
  </si>
  <si>
    <t>18/09/2011</t>
  </si>
  <si>
    <t>Ezequiel Garay</t>
  </si>
  <si>
    <t>https://fbref.com/en/players/ac3fb1be/Ezequiel-Garay</t>
  </si>
  <si>
    <t>https://www.transfermarkt.com/ezequiel-garay/profil/spieler/35939</t>
  </si>
  <si>
    <t>ezequiel-garay</t>
  </si>
  <si>
    <t>16/07/2021</t>
  </si>
  <si>
    <t>Ezequiel Rescaldani</t>
  </si>
  <si>
    <t>https://fbref.com/en/players/fa1042a6/Ezequiel-Rescaldani</t>
  </si>
  <si>
    <t>https://www.transfermarkt.com/ezequiel-rescaldani/profil/spieler/164477</t>
  </si>
  <si>
    <t>ezequiel-rescaldani</t>
  </si>
  <si>
    <t>Leones</t>
  </si>
  <si>
    <t>Dep. MorÃ³n</t>
  </si>
  <si>
    <t>24/03/2012</t>
  </si>
  <si>
    <t>FÃ¡bio CoentrÃ£o</t>
  </si>
  <si>
    <t>https://fbref.com/en/players/0f8bd0a6/Fabio-Coentrao</t>
  </si>
  <si>
    <t>https://www.transfermarkt.com/fabio-coentrao/profil/spieler/33648</t>
  </si>
  <si>
    <t>fabio-coentrao</t>
  </si>
  <si>
    <t>Vila do Conde</t>
  </si>
  <si>
    <t>14/10/2005</t>
  </si>
  <si>
    <t>FabiÃ¡n Orellana</t>
  </si>
  <si>
    <t>https://fbref.com/en/players/c90977db/Fabian-Orellana</t>
  </si>
  <si>
    <t>https://www.transfermarkt.com/fabian-orellana/profil/spieler/60890</t>
  </si>
  <si>
    <t>fabian-orellana</t>
  </si>
  <si>
    <t>27/01/1986</t>
  </si>
  <si>
    <t>San JoaquÃ­n</t>
  </si>
  <si>
    <t>U. CatÃ³lica</t>
  </si>
  <si>
    <t>20/03/2005</t>
  </si>
  <si>
    <t>FabiÃ¡n Vargas</t>
  </si>
  <si>
    <t>https://fbref.com/en/players/37a8a372/Fabian-Vargas</t>
  </si>
  <si>
    <t>https://www.transfermarkt.com/fabian-vargas/profil/spieler/20006</t>
  </si>
  <si>
    <t>fabian-vargas</t>
  </si>
  <si>
    <t>17/04/1980</t>
  </si>
  <si>
    <t>BogotÃ¡</t>
  </si>
  <si>
    <t>CD La Equidad</t>
  </si>
  <si>
    <t>Fabinho</t>
  </si>
  <si>
    <t>https://fbref.com/en/players/7f3b388c/Fabinho</t>
  </si>
  <si>
    <t>October 23, 1993 (Age:Â 32-003d)</t>
  </si>
  <si>
    <t>Campinas, Brazil</t>
  </si>
  <si>
    <t>DF-MF (CM-DM-FB)</t>
  </si>
  <si>
    <t>Al Ittihad Jeddah</t>
  </si>
  <si>
    <t>https://www.transfermarkt.com/fabinho/profil/spieler/225693</t>
  </si>
  <si>
    <t>fabinho</t>
  </si>
  <si>
    <t>23/10/1993</t>
  </si>
  <si>
    <t>Campinas</t>
  </si>
  <si>
    <t>Al-Ittihad</t>
  </si>
  <si>
    <t>31/07/2023</t>
  </si>
  <si>
    <t>Fabrice Olinga</t>
  </si>
  <si>
    <t>https://fbref.com/en/players/cb82cc9a/Fabrice-Olinga</t>
  </si>
  <si>
    <t>https://www.transfermarkt.com/fabrice-olinga/profil/spieler/238291</t>
  </si>
  <si>
    <t>fabrice-olinga</t>
  </si>
  <si>
    <t>Liga Portugal 2</t>
  </si>
  <si>
    <t>Fabricio</t>
  </si>
  <si>
    <t>https://fbref.com/en/players/af245161/Fabricio</t>
  </si>
  <si>
    <t>https://www.transfermarkt.com/fabri/profil/spieler/45882</t>
  </si>
  <si>
    <t>fabri</t>
  </si>
  <si>
    <t>Fabri</t>
  </si>
  <si>
    <t>31/12/1987 (37)</t>
  </si>
  <si>
    <t>Vecindario</t>
  </si>
  <si>
    <t>SpainÂ Â Uruguay</t>
  </si>
  <si>
    <t>Fausto Rossi</t>
  </si>
  <si>
    <t>https://fbref.com/en/players/79a8fa04/Fausto-Rossi</t>
  </si>
  <si>
    <t>December 3, 1990 (Age:Â 34-327d)</t>
  </si>
  <si>
    <t>Turin, Italy</t>
  </si>
  <si>
    <t>MF (CM-DM-WM, left)</t>
  </si>
  <si>
    <t>Vicenza</t>
  </si>
  <si>
    <t>https://www.transfermarkt.com/fausto-rossi/profil/spieler/81743</t>
  </si>
  <si>
    <t>fausto-rossi</t>
  </si>
  <si>
    <t>Torino</t>
  </si>
  <si>
    <t>Fossano</t>
  </si>
  <si>
    <t>30/08/2025</t>
  </si>
  <si>
    <t>Fausto Tienza</t>
  </si>
  <si>
    <t>https://fbref.com/en/players/039783d3/Fausto-Tienza</t>
  </si>
  <si>
    <t>Talavera La Real, Spain</t>
  </si>
  <si>
    <t>https://www.transfermarkt.com/fausto-tienza/profil/spieler/174859</t>
  </si>
  <si>
    <t>fausto-tienza</t>
  </si>
  <si>
    <t>Talavera la Real</t>
  </si>
  <si>
    <t>SD Amorebieta</t>
  </si>
  <si>
    <t>FayÃ§al Fajr</t>
  </si>
  <si>
    <t>https://fbref.com/en/players/79135368/Faycal-Fajr</t>
  </si>
  <si>
    <t>August 1, 1988 (Age:Â 37-086d)</t>
  </si>
  <si>
    <t>Rouen, France</t>
  </si>
  <si>
    <t>Al Jubail Saudi Club</t>
  </si>
  <si>
    <t>Caen</t>
  </si>
  <si>
    <t>https://www.transfermarkt.com/faycal-fajr/profil/spieler/174344</t>
  </si>
  <si>
    <t>faycal-fajr</t>
  </si>
  <si>
    <t>Al-Jubail</t>
  </si>
  <si>
    <t>23/09/2025</t>
  </si>
  <si>
    <t>27/07/2012</t>
  </si>
  <si>
    <t>Fede Vico</t>
  </si>
  <si>
    <t>https://fbref.com/en/players/f681a8ef/Fede-Vico</t>
  </si>
  <si>
    <t>July 4, 1994 (Age:Â 31-114d)</t>
  </si>
  <si>
    <t>CÃ³rdoba, Spain</t>
  </si>
  <si>
    <t>https://www.transfermarkt.com/fede-vico/profil/spieler/162079</t>
  </si>
  <si>
    <t>fede-vico</t>
  </si>
  <si>
    <t>Federico Cartabia</t>
  </si>
  <si>
    <t>https://fbref.com/en/players/a8e6bebf/Federico-Cartabia</t>
  </si>
  <si>
    <t>January 20, 1993 (Age:Â 32-279d)</t>
  </si>
  <si>
    <t>MF (WM, right)</t>
  </si>
  <si>
    <t>Al Ahli</t>
  </si>
  <si>
    <t>https://www.transfermarkt.com/fede-cartabia/profil/spieler/242548</t>
  </si>
  <si>
    <t>fede-cartabia</t>
  </si>
  <si>
    <t>Fede Cartabia</t>
  </si>
  <si>
    <t>20/01/1993 (32)</t>
  </si>
  <si>
    <t>ArgentinaÂ Â United Arab Emirates</t>
  </si>
  <si>
    <t>Shabab Al-Ahli</t>
  </si>
  <si>
    <t>17/08/2018</t>
  </si>
  <si>
    <t>Federico Fazio</t>
  </si>
  <si>
    <t>https://fbref.com/en/players/4e358a2d/Federico-Fazio</t>
  </si>
  <si>
    <t>195cm</t>
  </si>
  <si>
    <t>https://www.transfermarkt.com/federico-fazio/profil/spieler/45314</t>
  </si>
  <si>
    <t>federico-fazio</t>
  </si>
  <si>
    <t>17/03/1987</t>
  </si>
  <si>
    <t>Salernitana</t>
  </si>
  <si>
    <t>Federico FernÃ¡ndez</t>
  </si>
  <si>
    <t>https://fbref.com/en/players/f25b010f/Federico-Fernandez</t>
  </si>
  <si>
    <t>https://www.transfermarkt.com/federico-fernandez/profil/spieler/85475</t>
  </si>
  <si>
    <t>federico-fernandez</t>
  </si>
  <si>
    <t>21/02/1989</t>
  </si>
  <si>
    <t>Tres Algarrobos</t>
  </si>
  <si>
    <t>Estudiantes LP</t>
  </si>
  <si>
    <t>22/03/2009</t>
  </si>
  <si>
    <t>Federico Piovaccari</t>
  </si>
  <si>
    <t>https://fbref.com/en/players/fa49f136/Federico-Piovaccari</t>
  </si>
  <si>
    <t>September 1, 1984 (Age:Â 41-055d)</t>
  </si>
  <si>
    <t>Gallarate, Italy</t>
  </si>
  <si>
    <t>AC Virtus</t>
  </si>
  <si>
    <t>Triestina</t>
  </si>
  <si>
    <t>https://www.transfermarkt.com/federico-piovaccari/profil/spieler/44514</t>
  </si>
  <si>
    <t>federico-piovaccari</t>
  </si>
  <si>
    <t>Gallarate</t>
  </si>
  <si>
    <t>Virtus</t>
  </si>
  <si>
    <t>Felipe Caicedo</t>
  </si>
  <si>
    <t>ec ECU</t>
  </si>
  <si>
    <t>https://fbref.com/en/players/93b891d1/Felipe-Caicedo</t>
  </si>
  <si>
    <t>September 5, 1988 (Age:Â 37-051d)</t>
  </si>
  <si>
    <t>Esmeraldas, Ecuador</t>
  </si>
  <si>
    <t>Ecuador</t>
  </si>
  <si>
    <t>Basel</t>
  </si>
  <si>
    <t>https://www.transfermarkt.com/felipe-caicedo/profil/spieler/37834</t>
  </si>
  <si>
    <t>felipe-caicedo</t>
  </si>
  <si>
    <t>EcuadorÂ Â Spain</t>
  </si>
  <si>
    <t>Barcelona SC</t>
  </si>
  <si>
    <t>Felipe Mattioni</t>
  </si>
  <si>
    <t>https://fbref.com/en/players/8dbe6343/Felipe-Mattioni</t>
  </si>
  <si>
    <t>Milan</t>
  </si>
  <si>
    <t>https://www.transfermarkt.com/felipe-mattioni/profil/spieler/52432</t>
  </si>
  <si>
    <t>felipe-mattioni</t>
  </si>
  <si>
    <t>15/10/1988</t>
  </si>
  <si>
    <t>IjuÃ­</t>
  </si>
  <si>
    <t>Novo Hamburgo</t>
  </si>
  <si>
    <t>30/04/2021</t>
  </si>
  <si>
    <t>24/05/2008</t>
  </si>
  <si>
    <t>Fernando</t>
  </si>
  <si>
    <t>https://fbref.com/en/players/2a81fa5d/Fernando</t>
  </si>
  <si>
    <t>https://www.transfermarkt.com/fernando/profil/spieler/15721</t>
  </si>
  <si>
    <t>fernando</t>
  </si>
  <si>
    <t>02/06/1979 (46)</t>
  </si>
  <si>
    <t>DiÃ³sgyÅ‘r</t>
  </si>
  <si>
    <t>Fernando Amorebieta</t>
  </si>
  <si>
    <t>https://fbref.com/en/players/b2bbc0ec/Fernando-Amorebieta</t>
  </si>
  <si>
    <t>Venezuela ve Â Other:Â Spain</t>
  </si>
  <si>
    <t>https://www.transfermarkt.com/fernando-amorebieta/profil/spieler/35548</t>
  </si>
  <si>
    <t>fernando-amorebieta</t>
  </si>
  <si>
    <t>29/03/1985</t>
  </si>
  <si>
    <t>Cantaura</t>
  </si>
  <si>
    <t>Iurretako</t>
  </si>
  <si>
    <t>17/09/2014</t>
  </si>
  <si>
    <t>Fernando Cavenaghi</t>
  </si>
  <si>
    <t>https://fbref.com/en/players/d34453a9/Fernando-Cavenaghi</t>
  </si>
  <si>
    <t>Spartak Moscow</t>
  </si>
  <si>
    <t>https://www.transfermarkt.com/fernando-cavenaghi/profil/spieler/3852</t>
  </si>
  <si>
    <t>fernando-cavenaghi</t>
  </si>
  <si>
    <t>APOEL Nicosia</t>
  </si>
  <si>
    <t>Fernando Gago</t>
  </si>
  <si>
    <t>https://fbref.com/en/players/e86337bd/Fernando-Gago</t>
  </si>
  <si>
    <t>MF (DM-WM)</t>
  </si>
  <si>
    <t>https://www.transfermarkt.com/fernando-gago/profil/spieler/38954</t>
  </si>
  <si>
    <t>fernando-gago</t>
  </si>
  <si>
    <t>Ciudadela</t>
  </si>
  <si>
    <t>VÃ©lez Sarsfield</t>
  </si>
  <si>
    <t>Fernando Llorente</t>
  </si>
  <si>
    <t>https://fbref.com/en/players/82dbf623/Fernando-Llorente</t>
  </si>
  <si>
    <t>https://www.transfermarkt.com/fernando-llorente/profil/spieler/35564</t>
  </si>
  <si>
    <t>fernando-llorente</t>
  </si>
  <si>
    <t>26/02/1985</t>
  </si>
  <si>
    <t>15/05/2023</t>
  </si>
  <si>
    <t>16/01/2005</t>
  </si>
  <si>
    <t>Fernando Meira</t>
  </si>
  <si>
    <t>https://fbref.com/en/players/415bd344/Fernando-Meira</t>
  </si>
  <si>
    <t>https://www.transfermarkt.com/fernando-meira/profil/spieler/1432</t>
  </si>
  <si>
    <t>fernando-meira</t>
  </si>
  <si>
    <t>GuimarÃ£es</t>
  </si>
  <si>
    <t>17/11/1996</t>
  </si>
  <si>
    <t>Fernando Navarro</t>
  </si>
  <si>
    <t>https://fbref.com/en/players/5a3f6fae/Fernando-Navarro</t>
  </si>
  <si>
    <t>https://www.transfermarkt.com/fernando-navarro/profil/spieler/7593</t>
  </si>
  <si>
    <t>fernando-navarro</t>
  </si>
  <si>
    <t>25/06/1982</t>
  </si>
  <si>
    <t>Fernando Soriano</t>
  </si>
  <si>
    <t>https://fbref.com/en/players/1aa72854/Fernando-Soriano</t>
  </si>
  <si>
    <t>https://www.transfermarkt.com/fernando-soriano/profil/spieler/7989</t>
  </si>
  <si>
    <t>fernando-soriano</t>
  </si>
  <si>
    <t>24/09/1979</t>
  </si>
  <si>
    <t>Fernando Tissone</t>
  </si>
  <si>
    <t>https://fbref.com/en/players/e224238d/Fernando-Tissone</t>
  </si>
  <si>
    <t>https://www.transfermarkt.com/fernando-tissone/profil/spieler/35871</t>
  </si>
  <si>
    <t>fernando-tissone</t>
  </si>
  <si>
    <t>24/07/1986</t>
  </si>
  <si>
    <t>Fernando Torres</t>
  </si>
  <si>
    <t>https://fbref.com/en/players/bdf7b97d/Fernando-Torres</t>
  </si>
  <si>
    <t>https://www.transfermarkt.com/fernando-torres/profil/spieler/7767</t>
  </si>
  <si>
    <t>fernando-torres</t>
  </si>
  <si>
    <t>20/03/1984</t>
  </si>
  <si>
    <t>Fuenlabrada (Madrid)</t>
  </si>
  <si>
    <t>Sagan Tosu</t>
  </si>
  <si>
    <t>26/08/2019</t>
  </si>
  <si>
    <t>Mizuno</t>
  </si>
  <si>
    <t>27/05/2001</t>
  </si>
  <si>
    <t>Ferran Corominas</t>
  </si>
  <si>
    <t>https://fbref.com/en/players/46d0c528/Ferran-Corominas</t>
  </si>
  <si>
    <t>https://www.transfermarkt.com/ferran-corominas/profil/spieler/15790</t>
  </si>
  <si>
    <t>ferran-corominas</t>
  </si>
  <si>
    <t>FerrÃ¡n Corominas</t>
  </si>
  <si>
    <t>Fidel</t>
  </si>
  <si>
    <t>https://fbref.com/en/players/eb82b6f1/Fidel</t>
  </si>
  <si>
    <t>https://www.transfermarkt.com/fidel/profil/spieler/149231</t>
  </si>
  <si>
    <t>fidel</t>
  </si>
  <si>
    <t>27/10/1989 (36)</t>
  </si>
  <si>
    <t>Dehesa de Riotinto</t>
  </si>
  <si>
    <t>25/07/2025</t>
  </si>
  <si>
    <t>Filipe Augusto</t>
  </si>
  <si>
    <t>https://fbref.com/en/players/0e34de55/Filipe-Augusto</t>
  </si>
  <si>
    <t>August 12, 1993 (Age:Â 32-075d)</t>
  </si>
  <si>
    <t>ItambÃ©, Brazil</t>
  </si>
  <si>
    <t>Qingdao Jonoon</t>
  </si>
  <si>
    <t>https://www.transfermarkt.com/filipe-augusto/profil/spieler/212899</t>
  </si>
  <si>
    <t>filipe-augusto</t>
  </si>
  <si>
    <t>ItambÃ©</t>
  </si>
  <si>
    <t>QD Hainiu</t>
  </si>
  <si>
    <t>Filipe LuÃ­s</t>
  </si>
  <si>
    <t>https://fbref.com/en/players/e4ed2628/Filipe-Luis</t>
  </si>
  <si>
    <t>https://www.transfermarkt.com/filipe-luis/profil/spieler/21725</t>
  </si>
  <si>
    <t>filipe-luis</t>
  </si>
  <si>
    <t>JaraguÃ¡ do Sul</t>
  </si>
  <si>
    <t>BrazilÂ Â Poland</t>
  </si>
  <si>
    <t>FlÃ¡vio Ferreira</t>
  </si>
  <si>
    <t>https://fbref.com/en/players/e867f734/Flavio-Ferreira</t>
  </si>
  <si>
    <t>https://www.transfermarkt.com/flavio-ferreira/profil/spieler/109008</t>
  </si>
  <si>
    <t>flavio-ferreira</t>
  </si>
  <si>
    <t>19/10/1991</t>
  </si>
  <si>
    <t>30/01/2016</t>
  </si>
  <si>
    <t>Florent Sinama Pongolle</t>
  </si>
  <si>
    <t>https://fbref.com/en/players/f222974d/Florent-Sinama-Pongolle</t>
  </si>
  <si>
    <t>France fr Â Other:Â RÃ©union</t>
  </si>
  <si>
    <t>Le Havre</t>
  </si>
  <si>
    <t>https://www.transfermarkt.com/florent-sinama-pongolle/profil/spieler/4216</t>
  </si>
  <si>
    <t>florent-sinama-pongolle</t>
  </si>
  <si>
    <t>Florent Sinama-Pongolle</t>
  </si>
  <si>
    <t>20/10/1984 (41)</t>
  </si>
  <si>
    <t>Saint-Pierre</t>
  </si>
  <si>
    <t>FranceÂ Â RÃ©union</t>
  </si>
  <si>
    <t>Saint-Pierroise</t>
  </si>
  <si>
    <t>18/08/2001</t>
  </si>
  <si>
    <t>Florian Lejeune</t>
  </si>
  <si>
    <t>https://fbref.com/en/players/6eaed4eb/Florian-Lejeune</t>
  </si>
  <si>
    <t>May 20, 1991 (Age:Â 34-159d)</t>
  </si>
  <si>
    <t>Paris, France</t>
  </si>
  <si>
    <t>Istres</t>
  </si>
  <si>
    <t>https://www.transfermarkt.com/florian-lejeune/profil/spieler/127108</t>
  </si>
  <si>
    <t>florian-lejeune</t>
  </si>
  <si>
    <t>20/05/1991</t>
  </si>
  <si>
    <t>28/07/2023</t>
  </si>
  <si>
    <t>19/01/2010</t>
  </si>
  <si>
    <t>Florin Andone</t>
  </si>
  <si>
    <t>https://fbref.com/en/players/dc008610/Florin-Andone</t>
  </si>
  <si>
    <t>https://www.transfermarkt.com/florin-andone/profil/spieler/177065</t>
  </si>
  <si>
    <t>florin-andone</t>
  </si>
  <si>
    <t>JoldeÈ™ti</t>
  </si>
  <si>
    <t>RomaniaÂ Â Spain</t>
  </si>
  <si>
    <t>22/08/2015</t>
  </si>
  <si>
    <t>Formose Mendy</t>
  </si>
  <si>
    <t>gw GNB</t>
  </si>
  <si>
    <t>https://fbref.com/en/players/eeee0542/Formose-Mendy</t>
  </si>
  <si>
    <t>Guinea-Bissau gw Â Other:Â Senegal</t>
  </si>
  <si>
    <t>https://www.transfermarkt.com/formose-mendy/profil/spieler/98313</t>
  </si>
  <si>
    <t>formose-mendy</t>
  </si>
  <si>
    <t>23/03/1989 (36)</t>
  </si>
  <si>
    <t>Guediawaye</t>
  </si>
  <si>
    <t>Guinea-BissauÂ Â France</t>
  </si>
  <si>
    <t>Nappersdorf</t>
  </si>
  <si>
    <t>25/02/2012</t>
  </si>
  <si>
    <t>FrÃ©dÃ©ric KanoutÃ©</t>
  </si>
  <si>
    <t>ml MLI</t>
  </si>
  <si>
    <t>https://fbref.com/en/players/1a24d5b6/Frederic-Kanoute</t>
  </si>
  <si>
    <t>Mali ml Â Other:Â France</t>
  </si>
  <si>
    <t>https://www.transfermarkt.com/frederic-kanoute/profil/spieler/3700</t>
  </si>
  <si>
    <t>frederic-kanoute</t>
  </si>
  <si>
    <t>Sainte-Foy-lÃ¨s-Lyon</t>
  </si>
  <si>
    <t>BJ Guoan</t>
  </si>
  <si>
    <t>31/12/2013</t>
  </si>
  <si>
    <t>Fran MÃ©rida</t>
  </si>
  <si>
    <t>https://fbref.com/en/players/0e50f929/Fran-Merida</t>
  </si>
  <si>
    <t>https://www.transfermarkt.com/fran-merida/profil/spieler/42920</t>
  </si>
  <si>
    <t>fran-merida</t>
  </si>
  <si>
    <t>25/09/2024</t>
  </si>
  <si>
    <t>Fran Rico</t>
  </si>
  <si>
    <t>https://fbref.com/en/players/eda29127/Fran-Rico</t>
  </si>
  <si>
    <t>https://www.transfermarkt.com/fran-rico/profil/spieler/63689</t>
  </si>
  <si>
    <t>fran-rico</t>
  </si>
  <si>
    <t>Portonovo</t>
  </si>
  <si>
    <t>16/07/2019</t>
  </si>
  <si>
    <t>20/09/2011</t>
  </si>
  <si>
    <t>Fran Serrano</t>
  </si>
  <si>
    <t>https://fbref.com/en/players/a1eeef2c/Fran-Serrano</t>
  </si>
  <si>
    <t>https://www.transfermarkt.com/fran-serrano/profil/spieler/309007</t>
  </si>
  <si>
    <t>fran-serrano</t>
  </si>
  <si>
    <t>20/04/1995</t>
  </si>
  <si>
    <t>17/05/2015</t>
  </si>
  <si>
    <t>Fran Sol</t>
  </si>
  <si>
    <t>https://fbref.com/en/players/9bd3b683/Fran-Sol</t>
  </si>
  <si>
    <t>Lugo</t>
  </si>
  <si>
    <t>https://www.transfermarkt.com/fran-sol/profil/spieler/164292</t>
  </si>
  <si>
    <t>fran-sol</t>
  </si>
  <si>
    <t>13/03/1992</t>
  </si>
  <si>
    <t>HÃ©rcules CF</t>
  </si>
  <si>
    <t>28/07/2025</t>
  </si>
  <si>
    <t>25/04/2015</t>
  </si>
  <si>
    <t>Fran VÃ©lez</t>
  </si>
  <si>
    <t>https://fbref.com/en/players/9d619e08/Fran-Velez</t>
  </si>
  <si>
    <t>June 23, 1991 (Age:Â 34-125d)</t>
  </si>
  <si>
    <t>Tarragona, Spain</t>
  </si>
  <si>
    <t>https://www.transfermarkt.com/fran-velez/profil/spieler/147078</t>
  </si>
  <si>
    <t>fran-velez</t>
  </si>
  <si>
    <t>23/06/1991</t>
  </si>
  <si>
    <t>Tarragona</t>
  </si>
  <si>
    <t>27/04/2014</t>
  </si>
  <si>
    <t>Francesc Arnau</t>
  </si>
  <si>
    <t>https://fbref.com/en/players/23ab8dc9/Francesc-Arnau</t>
  </si>
  <si>
    <t>1996-1997</t>
  </si>
  <si>
    <t>https://www.transfermarkt.com/francesc-arnau/profil/spieler/7770</t>
  </si>
  <si>
    <t>francesc-arnau</t>
  </si>
  <si>
    <t>23/03/1975</t>
  </si>
  <si>
    <t>Les Planes d'Hostoles</t>
  </si>
  <si>
    <t>21.05.2021</t>
  </si>
  <si>
    <t>Francis</t>
  </si>
  <si>
    <t>https://fbref.com/en/players/ee4c7c24/Francis</t>
  </si>
  <si>
    <t>https://www.transfermarkt.com/francis-perez/profil/spieler/29156</t>
  </si>
  <si>
    <t>francis-perez</t>
  </si>
  <si>
    <t>Francis PÃ©rez</t>
  </si>
  <si>
    <t>17/12/1981 (43)</t>
  </si>
  <si>
    <t>Barbate</t>
  </si>
  <si>
    <t>24/09/2000</t>
  </si>
  <si>
    <t>Francisco Portillo</t>
  </si>
  <si>
    <t>https://fbref.com/en/players/8e010ff4/Francisco-Portillo</t>
  </si>
  <si>
    <t>June 13, 1990 (Age:Â 35-135d)</t>
  </si>
  <si>
    <t>MF (AM-WM, right)</t>
  </si>
  <si>
    <t>https://www.transfermarkt.com/francisco-portillo/profil/spieler/138803</t>
  </si>
  <si>
    <t>francisco-portillo</t>
  </si>
  <si>
    <t>13/06/1990</t>
  </si>
  <si>
    <t>SD Huesca</t>
  </si>
  <si>
    <t>24/01/2010</t>
  </si>
  <si>
    <t>Francisco PuÃ±al</t>
  </si>
  <si>
    <t>https://fbref.com/en/players/408ec22e/Francisco-Punal</t>
  </si>
  <si>
    <t>https://www.transfermarkt.com/patxi-punal/profil/spieler/7739</t>
  </si>
  <si>
    <t>patxi-punal</t>
  </si>
  <si>
    <t>Patxi PuÃ±al</t>
  </si>
  <si>
    <t>CA Osasuna</t>
  </si>
  <si>
    <t>Francisco Rufete</t>
  </si>
  <si>
    <t>https://fbref.com/en/players/95aca6cd/Francisco-Rufete</t>
  </si>
  <si>
    <t>https://www.transfermarkt.com/francisco-rufete/profil/spieler/7580</t>
  </si>
  <si>
    <t>francisco-rufete</t>
  </si>
  <si>
    <t>20/11/1976</t>
  </si>
  <si>
    <t>BenejÃºzar</t>
  </si>
  <si>
    <t>26/05/1996</t>
  </si>
  <si>
    <t>Francisco Silva</t>
  </si>
  <si>
    <t>https://fbref.com/en/players/11d68e60/Francisco-Silva</t>
  </si>
  <si>
    <t>https://www.transfermarkt.com/francisco-silva/profil/spieler/84870</t>
  </si>
  <si>
    <t>francisco-silva</t>
  </si>
  <si>
    <t>Quillota</t>
  </si>
  <si>
    <t>UD Montijo</t>
  </si>
  <si>
    <t>Francisco Sutil</t>
  </si>
  <si>
    <t>https://fbref.com/en/players/51b44d11/Francisco-Sutil</t>
  </si>
  <si>
    <t>DF-FW-MF (AM-WM)</t>
  </si>
  <si>
    <t>https://www.transfermarkt.com/paco-sutil/profil/spieler/71211</t>
  </si>
  <si>
    <t>paco-sutil</t>
  </si>
  <si>
    <t>Paco Sutil</t>
  </si>
  <si>
    <t>21/12/1984</t>
  </si>
  <si>
    <t>JaÃ©n</t>
  </si>
  <si>
    <t>Baeza CF</t>
  </si>
  <si>
    <t>13/09/2008</t>
  </si>
  <si>
    <t>Franco Fragapane</t>
  </si>
  <si>
    <t>https://fbref.com/en/players/09538c47/Franco-Fragapane</t>
  </si>
  <si>
    <t>February 6, 1993 (Age:Â 32-262d)</t>
  </si>
  <si>
    <t>Las Heras, Argentina</t>
  </si>
  <si>
    <t>Union de Santa Fe</t>
  </si>
  <si>
    <t>https://www.transfermarkt.com/franco-fragapane/profil/spieler/226005</t>
  </si>
  <si>
    <t>franco-fragapane</t>
  </si>
  <si>
    <t>Godoy Cruz</t>
  </si>
  <si>
    <t>UniÃ³n Santa Fe</t>
  </si>
  <si>
    <t>Franco Jara</t>
  </si>
  <si>
    <t>https://fbref.com/en/players/413cce14/Franco-Jara</t>
  </si>
  <si>
    <t>July 15, 1988 (Age:Â 37-103d)</t>
  </si>
  <si>
    <t>Villa MarÃ­a, Argentina</t>
  </si>
  <si>
    <t>Belgrano</t>
  </si>
  <si>
    <t>https://www.transfermarkt.com/franco-jara/profil/spieler/75035</t>
  </si>
  <si>
    <t>franco-jara</t>
  </si>
  <si>
    <t>15/07/1988</t>
  </si>
  <si>
    <t>Villa MarÃ­a</t>
  </si>
  <si>
    <t>Franco VÃ¡zquez</t>
  </si>
  <si>
    <t>https://fbref.com/en/players/467bae22/Franco-Vazquez</t>
  </si>
  <si>
    <t>Tanti, Argentina</t>
  </si>
  <si>
    <t>Argentina ar Â Other:Â Italy</t>
  </si>
  <si>
    <t>FW-MF (AM-CM)</t>
  </si>
  <si>
    <t>Cremonese</t>
  </si>
  <si>
    <t>Palermo</t>
  </si>
  <si>
    <t>https://www.transfermarkt.com/franco-vazquez/profil/spieler/76163</t>
  </si>
  <si>
    <t>franco-vazquez</t>
  </si>
  <si>
    <t>22/02/1989</t>
  </si>
  <si>
    <t>Tanti</t>
  </si>
  <si>
    <t>31/03/2009</t>
  </si>
  <si>
    <t>Franco Zuculini</t>
  </si>
  <si>
    <t>https://fbref.com/en/players/9c31bb89/Franco-Zuculini</t>
  </si>
  <si>
    <t>Hoffenheim</t>
  </si>
  <si>
    <t>https://www.transfermarkt.com/franco-zuculini/profil/spieler/73083</t>
  </si>
  <si>
    <t>franco-zuculini</t>
  </si>
  <si>
    <t>La Rioja</t>
  </si>
  <si>
    <t>SPAL</t>
  </si>
  <si>
    <t>29/08/2014</t>
  </si>
  <si>
    <t>Fredy Hinestroza</t>
  </si>
  <si>
    <t>https://fbref.com/en/players/ac330d8c/Fredy-Hinestroza</t>
  </si>
  <si>
    <t>April 5, 1990 (Age:Â 35-204d)</t>
  </si>
  <si>
    <t>https://www.transfermarkt.com/fredy-hinestroza/profil/spieler/208715</t>
  </si>
  <si>
    <t>fredy-hinestroza</t>
  </si>
  <si>
    <t>A. Bucaramanga</t>
  </si>
  <si>
    <t>23/08/2015</t>
  </si>
  <si>
    <t>GaÃ«l Kakuta</t>
  </si>
  <si>
    <t>https://fbref.com/en/players/5b1bf5e3/Gael-Kakuta</t>
  </si>
  <si>
    <t>June 21, 1991 (Age:Â 34-127d)</t>
  </si>
  <si>
    <t>Lille, France</t>
  </si>
  <si>
    <t>Congo DR cd Â Other:Â France</t>
  </si>
  <si>
    <t>Sakaryaspor</t>
  </si>
  <si>
    <t>Chelsea</t>
  </si>
  <si>
    <t>https://www.transfermarkt.com/gael-kakuta/profil/spieler/74297</t>
  </si>
  <si>
    <t>gael-kakuta</t>
  </si>
  <si>
    <t>21/06/1991</t>
  </si>
  <si>
    <t>DR CongoÂ Â France</t>
  </si>
  <si>
    <t>Gabi</t>
  </si>
  <si>
    <t>https://fbref.com/en/players/65d750b5/Gabi</t>
  </si>
  <si>
    <t>https://www.transfermarkt.com/gabi/profil/spieler/22969</t>
  </si>
  <si>
    <t>gabi</t>
  </si>
  <si>
    <t>10/07/1983 (42)</t>
  </si>
  <si>
    <t>Al-Sadd</t>
  </si>
  <si>
    <t>27/09/2008</t>
  </si>
  <si>
    <t>Gabriel Milito</t>
  </si>
  <si>
    <t>https://fbref.com/en/players/095009cc/Gabriel-Milito</t>
  </si>
  <si>
    <t>https://www.transfermarkt.com/gabriel-milito/profil/spieler/7968</t>
  </si>
  <si>
    <t>gabriel-milito</t>
  </si>
  <si>
    <t>Bernal</t>
  </si>
  <si>
    <t>Independiente</t>
  </si>
  <si>
    <t>20/09/1998</t>
  </si>
  <si>
    <t>Gabriel Paulista</t>
  </si>
  <si>
    <t>https://fbref.com/en/players/b7ca5c51/Gabriel-Paulista</t>
  </si>
  <si>
    <t>November 26, 1990 (Age:Â 34-334d)</t>
  </si>
  <si>
    <t>Fortaleza, Brazil</t>
  </si>
  <si>
    <t>BeÅŸiktaÅŸ</t>
  </si>
  <si>
    <t>https://www.transfermarkt.com/gabriel-paulista/profil/spieler/149498</t>
  </si>
  <si>
    <t>gabriel-paulista</t>
  </si>
  <si>
    <t>26/11/1990</t>
  </si>
  <si>
    <t>25/06/2011</t>
  </si>
  <si>
    <t>Gabriel Torje</t>
  </si>
  <si>
    <t>https://fbref.com/en/players/9ef94c26/Gabriel-Torje</t>
  </si>
  <si>
    <t>Politehnica TimiÈ™oara</t>
  </si>
  <si>
    <t>https://www.transfermarkt.com/gabriel-torje/profil/spieler/47184</t>
  </si>
  <si>
    <t>gabriel-torje</t>
  </si>
  <si>
    <t>22/11/1989</t>
  </si>
  <si>
    <t>TimiÈ™oara</t>
  </si>
  <si>
    <t>29/04/2006</t>
  </si>
  <si>
    <t>1.Lig</t>
  </si>
  <si>
    <t>Gaizka Toquero</t>
  </si>
  <si>
    <t>https://fbref.com/en/players/b78144a6/Gaizka-Toquero</t>
  </si>
  <si>
    <t>https://www.transfermarkt.com/gaizka-toquero/profil/spieler/71840</t>
  </si>
  <si>
    <t>gaizka-toquero</t>
  </si>
  <si>
    <t>Gareth Bale</t>
  </si>
  <si>
    <t>wls WAL</t>
  </si>
  <si>
    <t>https://fbref.com/en/players/a58bb1e1/Gareth-Bale</t>
  </si>
  <si>
    <t>Wales wls</t>
  </si>
  <si>
    <t>Southampton</t>
  </si>
  <si>
    <t>https://www.transfermarkt.com/gareth-bale/profil/spieler/39381</t>
  </si>
  <si>
    <t>gareth-bale</t>
  </si>
  <si>
    <t>16/07/1989</t>
  </si>
  <si>
    <t>Cardiff</t>
  </si>
  <si>
    <t>Wales</t>
  </si>
  <si>
    <t>17/04/2006</t>
  </si>
  <si>
    <t>Garry Rodrigues</t>
  </si>
  <si>
    <t>https://fbref.com/en/players/149895bf/Garry-Rodrigues</t>
  </si>
  <si>
    <t>November 27, 1990 (Age:Â 34-333d)</t>
  </si>
  <si>
    <t>Rotterdam, Netherlands</t>
  </si>
  <si>
    <t>Cape Verde cv Â Other:Â Netherlands</t>
  </si>
  <si>
    <t>Apollon Limassol</t>
  </si>
  <si>
    <t>Dordrecht</t>
  </si>
  <si>
    <t>https://www.transfermarkt.com/garry-rodrigues/profil/spieler/170895</t>
  </si>
  <si>
    <t>garry-rodrigues</t>
  </si>
  <si>
    <t>27/11/1990</t>
  </si>
  <si>
    <t>Rotterdam</t>
  </si>
  <si>
    <t>Cape VerdeÂ Â Netherlands</t>
  </si>
  <si>
    <t>efbet Liga</t>
  </si>
  <si>
    <t>Keuken Kampioen Divisie</t>
  </si>
  <si>
    <t>Gary Medel</t>
  </si>
  <si>
    <t>https://fbref.com/en/players/563a68ad/Gary-Medel</t>
  </si>
  <si>
    <t>August 3, 1987 (Age:Â 38-084d)</t>
  </si>
  <si>
    <t>Universidad CatÃ³lica</t>
  </si>
  <si>
    <t>https://www.transfermarkt.com/gary-medel/profil/spieler/60889</t>
  </si>
  <si>
    <t>gary-medel</t>
  </si>
  <si>
    <t>ConchalÃ­</t>
  </si>
  <si>
    <t>Gaspar Panadero</t>
  </si>
  <si>
    <t>https://fbref.com/en/players/39b011f1/Gaspar-Panadero</t>
  </si>
  <si>
    <t>https://www.transfermarkt.com/gaspar-panadero/profil/spieler/251883</t>
  </si>
  <si>
    <t>gaspar-panadero</t>
  </si>
  <si>
    <t>Tarazona de la Mancha</t>
  </si>
  <si>
    <t>HuracÃ¡n de Bal</t>
  </si>
  <si>
    <t>29/01/2017</t>
  </si>
  <si>
    <t>GastÃ³n Sangoy</t>
  </si>
  <si>
    <t>https://fbref.com/en/players/e1f3d532/Gaston-Sangoy</t>
  </si>
  <si>
    <t>https://www.transfermarkt.com/gaston-sangoy/profil/spieler/19999</t>
  </si>
  <si>
    <t>gaston-sangoy</t>
  </si>
  <si>
    <t>ParanÃ¡, Entre RÃ­os</t>
  </si>
  <si>
    <t>Atl. ParanÃ¡</t>
  </si>
  <si>
    <t>Geoffrey Kondogbia</t>
  </si>
  <si>
    <t>cf CTA</t>
  </si>
  <si>
    <t>https://fbref.com/en/players/cce181df/Geoffrey-Kondogbia</t>
  </si>
  <si>
    <t>February 15, 1993 (Age:Â 32-253d)</t>
  </si>
  <si>
    <t>Nemours, France</t>
  </si>
  <si>
    <t>Central African Republic cf Â Other:Â France</t>
  </si>
  <si>
    <t>https://www.transfermarkt.com/geoffrey-kondogbia/profil/spieler/127189</t>
  </si>
  <si>
    <t>geoffrey-kondogbia</t>
  </si>
  <si>
    <t>15/02/1993</t>
  </si>
  <si>
    <t>Nemours</t>
  </si>
  <si>
    <t>Central African RepublicÂ Â France</t>
  </si>
  <si>
    <t>21/11/2010</t>
  </si>
  <si>
    <t>30/07/2011</t>
  </si>
  <si>
    <t>GerÃ³nimo Rulli</t>
  </si>
  <si>
    <t>https://fbref.com/en/players/625c144a/Geronimo-Rulli</t>
  </si>
  <si>
    <t>May 20, 1992 (Age:Â 33-159d)</t>
  </si>
  <si>
    <t>La Plata, Argentina</t>
  </si>
  <si>
    <t>https://www.transfermarkt.com/geronimo-rulli/profil/spieler/229604</t>
  </si>
  <si>
    <t>geronimo-rulli</t>
  </si>
  <si>
    <t>20/05/1992</t>
  </si>
  <si>
    <t>La Plata</t>
  </si>
  <si>
    <t>Gerard Bordas</t>
  </si>
  <si>
    <t>https://fbref.com/en/players/56ef2fd7/Gerard-Bordas</t>
  </si>
  <si>
    <t>https://www.transfermarkt.com/gerard-bordas/profil/spieler/73204</t>
  </si>
  <si>
    <t>gerard-bordas</t>
  </si>
  <si>
    <t>30/03/2003</t>
  </si>
  <si>
    <t>Gerard Deulofeu</t>
  </si>
  <si>
    <t>https://fbref.com/en/players/39583cfd/Gerard-Deulofeu</t>
  </si>
  <si>
    <t>https://www.transfermarkt.com/gerard-deulofeu/profil/spieler/129476</t>
  </si>
  <si>
    <t>gerard-deulofeu</t>
  </si>
  <si>
    <t>13/03/1994</t>
  </si>
  <si>
    <t>Riudarenes</t>
  </si>
  <si>
    <t>16/01/2025</t>
  </si>
  <si>
    <t>Gerard Moreno</t>
  </si>
  <si>
    <t>https://fbref.com/en/players/81f0781e/Gerard-Moreno</t>
  </si>
  <si>
    <t>April 7, 1992 (Age:Â 33-202d)</t>
  </si>
  <si>
    <t>Santa PerpÃ¨tua de Mogoda, Spain</t>
  </si>
  <si>
    <t>https://www.transfermarkt.com/gerard-moreno/profil/spieler/177467</t>
  </si>
  <si>
    <t>gerard-moreno</t>
  </si>
  <si>
    <t>Santa PerpÃ¨tua de Mogoda</t>
  </si>
  <si>
    <t>Gerard PiquÃ©</t>
  </si>
  <si>
    <t>https://fbref.com/en/players/adfc9123/Gerard-Pique</t>
  </si>
  <si>
    <t>https://www.transfermarkt.com/gerard-pique/profil/spieler/18944</t>
  </si>
  <si>
    <t>gerard-pique</t>
  </si>
  <si>
    <t>15/10/2005</t>
  </si>
  <si>
    <t>GermÃ¡n Lux</t>
  </si>
  <si>
    <t>https://fbref.com/en/players/14ed837f/German-Lux</t>
  </si>
  <si>
    <t>https://www.transfermarkt.com/german-lux/profil/spieler/19979</t>
  </si>
  <si>
    <t>german-lux</t>
  </si>
  <si>
    <t>CarcaraÃ±Ã¡</t>
  </si>
  <si>
    <t>GermÃ¡n ParreÃ±o</t>
  </si>
  <si>
    <t>https://fbref.com/en/players/1561cd53/German-Parreno</t>
  </si>
  <si>
    <t>February 16, 1993 (Age:Â 32-252d)</t>
  </si>
  <si>
    <t>https://www.transfermarkt.com/german-parreno/profil/spieler/126746</t>
  </si>
  <si>
    <t>german-parreno</t>
  </si>
  <si>
    <t>16/02/1993</t>
  </si>
  <si>
    <t>15/02/2015</t>
  </si>
  <si>
    <t>Gianni Zuiverloon</t>
  </si>
  <si>
    <t>nl NED</t>
  </si>
  <si>
    <t>https://fbref.com/en/players/22d7fe43/Gianni-Zuiverloon</t>
  </si>
  <si>
    <t>Netherlands</t>
  </si>
  <si>
    <t>Feyenoord</t>
  </si>
  <si>
    <t>https://www.transfermarkt.com/gianni-zuiverloon/profil/spieler/27304</t>
  </si>
  <si>
    <t>gianni-zuiverloon</t>
  </si>
  <si>
    <t>30/12/1986</t>
  </si>
  <si>
    <t>NetherlandsÂ Â Suriname</t>
  </si>
  <si>
    <t>ADO Den Haag</t>
  </si>
  <si>
    <t>22/08/2004</t>
  </si>
  <si>
    <t>Eredivisie</t>
  </si>
  <si>
    <t>Gilberto GarcÃ­a</t>
  </si>
  <si>
    <t>https://fbref.com/en/players/d283458e/Gilberto-Garcia</t>
  </si>
  <si>
    <t>https://www.transfermarkt.com/gilberto-garcia/profil/spieler/77207</t>
  </si>
  <si>
    <t>gilberto-garcia</t>
  </si>
  <si>
    <t>27/01/1987</t>
  </si>
  <si>
    <t>Santa Marta</t>
  </si>
  <si>
    <t>Deportivo Pasto</t>
  </si>
  <si>
    <t>Giovani dos Santos</t>
  </si>
  <si>
    <t>https://fbref.com/en/players/7dba6233/Giovani-dos-Santos</t>
  </si>
  <si>
    <t>https://www.transfermarkt.com/giovani-dos-santos/profil/spieler/44674</t>
  </si>
  <si>
    <t>giovani-dos-santos</t>
  </si>
  <si>
    <t>14/03/2009</t>
  </si>
  <si>
    <t>Giuseppe Rossi</t>
  </si>
  <si>
    <t>https://fbref.com/en/players/fe48a073/Giuseppe-Rossi</t>
  </si>
  <si>
    <t>Italy it Â Other:Â United States</t>
  </si>
  <si>
    <t>https://www.transfermarkt.com/giuseppe-rossi/profil/spieler/19104</t>
  </si>
  <si>
    <t>giuseppe-rossi</t>
  </si>
  <si>
    <t>Teaneck, New Jersey</t>
  </si>
  <si>
    <t>ItalyÂ Â United States</t>
  </si>
  <si>
    <t>22/07/2023</t>
  </si>
  <si>
    <t>Glenn Loovens</t>
  </si>
  <si>
    <t>https://fbref.com/en/players/3245e023/Glenn-Loovens</t>
  </si>
  <si>
    <t>https://www.transfermarkt.com/glenn-loovens/profil/spieler/4371</t>
  </si>
  <si>
    <t>glenn-loovens</t>
  </si>
  <si>
    <t>22/10/1983</t>
  </si>
  <si>
    <t>Doetinchem</t>
  </si>
  <si>
    <t>Sunderland</t>
  </si>
  <si>
    <t>22/08/2019</t>
  </si>
  <si>
    <t>25/11/2001</t>
  </si>
  <si>
    <t>29/08/2003</t>
  </si>
  <si>
    <t>Gonzalo Castellani</t>
  </si>
  <si>
    <t>https://fbref.com/en/players/a089163c/Gonzalo-Castellani</t>
  </si>
  <si>
    <t>Union Espanola</t>
  </si>
  <si>
    <t>https://www.transfermarkt.com/gonzalo-castellani/profil/spieler/87840</t>
  </si>
  <si>
    <t>gonzalo-castellani</t>
  </si>
  <si>
    <t>Union EspaÃ±ola</t>
  </si>
  <si>
    <t>18/12/2011</t>
  </si>
  <si>
    <t>Gonzalo Colsa</t>
  </si>
  <si>
    <t>https://fbref.com/en/players/6fa12b44/Gonzalo-Colsa</t>
  </si>
  <si>
    <t>https://www.transfermarkt.com/gonzalo-colsa/profil/spieler/7813</t>
  </si>
  <si>
    <t>gonzalo-colsa</t>
  </si>
  <si>
    <t>Ramales de la Victoria</t>
  </si>
  <si>
    <t>16/01/2013</t>
  </si>
  <si>
    <t>22/02/1998</t>
  </si>
  <si>
    <t>16/01/1999</t>
  </si>
  <si>
    <t>Gonzalo HiguaÃ­n</t>
  </si>
  <si>
    <t>https://fbref.com/en/players/8a08491a/Gonzalo-Higuain</t>
  </si>
  <si>
    <t>Argentina ar Â Other:Â France</t>
  </si>
  <si>
    <t>https://www.transfermarkt.com/gonzalo-higuain/profil/spieler/39153</t>
  </si>
  <si>
    <t>gonzalo-higuain</t>
  </si>
  <si>
    <t>ArgentinaÂ Â France</t>
  </si>
  <si>
    <t>29/05/2005</t>
  </si>
  <si>
    <t>Gonzalo RodrÃ­guez</t>
  </si>
  <si>
    <t>https://fbref.com/en/players/46e6fea3/Gonzalo-Rodriguez</t>
  </si>
  <si>
    <t>https://www.transfermarkt.com/gonzalo-rodriguez/profil/spieler/19998</t>
  </si>
  <si>
    <t>gonzalo-rodriguez</t>
  </si>
  <si>
    <t>San Lorenzo</t>
  </si>
  <si>
    <t>27/07/2002</t>
  </si>
  <si>
    <t>Gorka Elustondo</t>
  </si>
  <si>
    <t>https://fbref.com/en/players/7b309e55/Gorka-Elustondo</t>
  </si>
  <si>
    <t>https://www.transfermarkt.com/gorka-elustondo/profil/spieler/47647</t>
  </si>
  <si>
    <t>gorka-elustondo</t>
  </si>
  <si>
    <t>18/03/1987</t>
  </si>
  <si>
    <t>20/12/2006</t>
  </si>
  <si>
    <t>Gorka Iraizoz</t>
  </si>
  <si>
    <t>https://fbref.com/en/players/26f2473f/Gorka-Iraizoz</t>
  </si>
  <si>
    <t>https://www.transfermarkt.com/gorka-iraizoz/profil/spieler/7874</t>
  </si>
  <si>
    <t>gorka-iraizoz</t>
  </si>
  <si>
    <t>21/12/2005</t>
  </si>
  <si>
    <t>Gorka Larrea</t>
  </si>
  <si>
    <t>https://fbref.com/en/players/242e09b6/Gorka-Larrea</t>
  </si>
  <si>
    <t>https://www.transfermarkt.com/gorka-larrea/profil/spieler/35563</t>
  </si>
  <si>
    <t>gorka-larrea</t>
  </si>
  <si>
    <t>Indy Eleven</t>
  </si>
  <si>
    <t>23/05/2004</t>
  </si>
  <si>
    <t>26/08/2006</t>
  </si>
  <si>
    <t>GrÃ©gory Arnolin</t>
  </si>
  <si>
    <t>mq MTQ</t>
  </si>
  <si>
    <t>https://fbref.com/en/players/e35dba25/Gregory-Arnolin</t>
  </si>
  <si>
    <t>https://www.transfermarkt.com/gregory-arnolin/profil/spieler/25825</t>
  </si>
  <si>
    <t>gregory-arnolin</t>
  </si>
  <si>
    <t>Livry-Gargan</t>
  </si>
  <si>
    <t>MartiniqueÂ Â France</t>
  </si>
  <si>
    <t>Grzegorz Krychowiak</t>
  </si>
  <si>
    <t>https://fbref.com/en/players/580d52dd/Grzegorz-Krychowiak</t>
  </si>
  <si>
    <t>Reims</t>
  </si>
  <si>
    <t>https://www.transfermarkt.com/grzegorz-krychowiak/profil/spieler/45184</t>
  </si>
  <si>
    <t>grzegorz-krychowiak</t>
  </si>
  <si>
    <t>29/01/1990</t>
  </si>
  <si>
    <t>Gryfice</t>
  </si>
  <si>
    <t>Anorthosis</t>
  </si>
  <si>
    <t>27/10/2025</t>
  </si>
  <si>
    <t>Guilherme Siqueira</t>
  </si>
  <si>
    <t>https://fbref.com/en/players/3770a135/Guilherme-Siqueira</t>
  </si>
  <si>
    <t>https://www.transfermarkt.com/guilherme-siqueira/profil/spieler/44373</t>
  </si>
  <si>
    <t>guilherme-siqueira</t>
  </si>
  <si>
    <t>28/04/1986</t>
  </si>
  <si>
    <t>FlorianÃ³polis</t>
  </si>
  <si>
    <t>29/08/2018</t>
  </si>
  <si>
    <t>Guillermo</t>
  </si>
  <si>
    <t>https://fbref.com/en/players/15107141/Guillermo</t>
  </si>
  <si>
    <t>May 23, 1993 (Age:Â 32-156d)</t>
  </si>
  <si>
    <t>NorthEast United</t>
  </si>
  <si>
    <t>https://www.transfermarkt.com/guillermo-fernandez/profil/spieler/142023</t>
  </si>
  <si>
    <t>guillermo-fernandez</t>
  </si>
  <si>
    <t>Guillermo FernÃ¡ndez</t>
  </si>
  <si>
    <t>23/05/1993 (32)</t>
  </si>
  <si>
    <t>Guillermo MÃ©ndez</t>
  </si>
  <si>
    <t>https://fbref.com/en/players/c8e7f6f2/Guillermo-Mendez</t>
  </si>
  <si>
    <t>https://www.transfermarkt.com/guillermo-mendez/profil/spieler/92952</t>
  </si>
  <si>
    <t>guillermo-mendez</t>
  </si>
  <si>
    <t>31/01/1992</t>
  </si>
  <si>
    <t>San Esteban de Pravia</t>
  </si>
  <si>
    <t>Puerto de Vega</t>
  </si>
  <si>
    <t>Guillermo Molins</t>
  </si>
  <si>
    <t>https://fbref.com/en/players/cda49f68/Guillermo-Molins</t>
  </si>
  <si>
    <t>Sweden se Â Other:Â Uruguay</t>
  </si>
  <si>
    <t>MalmÃ¶</t>
  </si>
  <si>
    <t>https://www.transfermarkt.com/guillermo-molins/profil/spieler/51457</t>
  </si>
  <si>
    <t>guillermo-molins</t>
  </si>
  <si>
    <t>26/09/1988</t>
  </si>
  <si>
    <t>SwedenÂ Â Uruguay</t>
  </si>
  <si>
    <t>Sarpsborg 08</t>
  </si>
  <si>
    <t>15/05/2007</t>
  </si>
  <si>
    <t>16/07/2016</t>
  </si>
  <si>
    <t>China League One</t>
  </si>
  <si>
    <t>Guillermo Sara</t>
  </si>
  <si>
    <t>https://fbref.com/en/players/efd66e36/Guillermo-Sara</t>
  </si>
  <si>
    <t>https://www.transfermarkt.com/guillermo-sara/profil/spieler/87409</t>
  </si>
  <si>
    <t>guillermo-sara</t>
  </si>
  <si>
    <t>30/09/1987</t>
  </si>
  <si>
    <t>Rafaela</t>
  </si>
  <si>
    <t>Atl. Rafaela</t>
  </si>
  <si>
    <t>21/08/2009</t>
  </si>
  <si>
    <t>Guirane N'Daw</t>
  </si>
  <si>
    <t>https://fbref.com/en/players/cc61ee7a/Guirane-NDaw</t>
  </si>
  <si>
    <t>https://www.transfermarkt.com/guirane-ndaw/profil/spieler/12515</t>
  </si>
  <si>
    <t>guirane-ndaw</t>
  </si>
  <si>
    <t>Rufisque</t>
  </si>
  <si>
    <t>SenegalÂ Â France</t>
  </si>
  <si>
    <t>20/10/2016</t>
  </si>
  <si>
    <t>22/03/2003</t>
  </si>
  <si>
    <t>Gustavo Cabral</t>
  </si>
  <si>
    <t>https://fbref.com/en/players/92b4a127/Gustavo-Cabral</t>
  </si>
  <si>
    <t>October 14, 1985 (Age:Â 40-012d)</t>
  </si>
  <si>
    <t>Isidro Casanova, Argentina</t>
  </si>
  <si>
    <t>Tecos</t>
  </si>
  <si>
    <t>https://www.transfermarkt.com/gustavo-cabral/profil/spieler/30677</t>
  </si>
  <si>
    <t>gustavo-cabral</t>
  </si>
  <si>
    <t>14/10/1985</t>
  </si>
  <si>
    <t>Isidro Casanova</t>
  </si>
  <si>
    <t>Pachuca</t>
  </si>
  <si>
    <t>Gustavo MunÃºa</t>
  </si>
  <si>
    <t>https://fbref.com/en/players/7e384992/Gustavo-Munua</t>
  </si>
  <si>
    <t>https://www.transfermarkt.com/gustavo-munua/profil/spieler/9091</t>
  </si>
  <si>
    <t>gustavo-munua</t>
  </si>
  <si>
    <t>27/01/1978</t>
  </si>
  <si>
    <t>Nacional</t>
  </si>
  <si>
    <t>18/04/2004</t>
  </si>
  <si>
    <t>HÃ©ctor</t>
  </si>
  <si>
    <t>https://fbref.com/en/players/6294bc9d/Hector</t>
  </si>
  <si>
    <t>September 14, 1995 (Age:Â 30-042d)</t>
  </si>
  <si>
    <t>DF-FW (FB)</t>
  </si>
  <si>
    <t>Corinthians</t>
  </si>
  <si>
    <t>https://www.transfermarkt.com/hector-hernandez/profil/spieler/273738</t>
  </si>
  <si>
    <t>hector-hernandez</t>
  </si>
  <si>
    <t>HÃ©ctor HernÃ¡ndez</t>
  </si>
  <si>
    <t>14/09/1995 (30)</t>
  </si>
  <si>
    <t>27/08/2024</t>
  </si>
  <si>
    <t>https://fbref.com/en/players/76ee80ee/Hector-Hernandez</t>
  </si>
  <si>
    <t>May 23, 1991 (Age:Â 34-156d)</t>
  </si>
  <si>
    <t>Valladolid, Spain</t>
  </si>
  <si>
    <t>https://www.transfermarkt.com/hector-hernandez/profil/spieler/221986</t>
  </si>
  <si>
    <t>23/05/1991 (34)</t>
  </si>
  <si>
    <t>15/09/2018</t>
  </si>
  <si>
    <t>HÃ©ctor Moreno</t>
  </si>
  <si>
    <t>https://fbref.com/en/players/5d311e8d/Hector-Moreno</t>
  </si>
  <si>
    <t>January 17, 1988 (Age:Â 37-282d)</t>
  </si>
  <si>
    <t>CuliacÃ¡n, Estado de Sinaloa, Mexico</t>
  </si>
  <si>
    <t>https://www.transfermarkt.com/hector-moreno/profil/spieler/51046</t>
  </si>
  <si>
    <t>hector-moreno</t>
  </si>
  <si>
    <t>17/01/1988</t>
  </si>
  <si>
    <t>CuliacÃ¡n Rosales</t>
  </si>
  <si>
    <t>22/01/2006</t>
  </si>
  <si>
    <t>HÃ©ctor Rodas</t>
  </si>
  <si>
    <t>https://fbref.com/en/players/dcdd3a95/Hector-Rodas</t>
  </si>
  <si>
    <t>https://www.transfermarkt.com/hector-rodas/profil/spieler/72286</t>
  </si>
  <si>
    <t>hector-rodas</t>
  </si>
  <si>
    <t>At. Saguntino</t>
  </si>
  <si>
    <t>HÃ©ctor Yuste</t>
  </si>
  <si>
    <t>https://fbref.com/en/players/f50a668a/Hector-Yuste</t>
  </si>
  <si>
    <t>January 12, 1988 (Age:Â 37-287d)</t>
  </si>
  <si>
    <t>Cartagena, Spain</t>
  </si>
  <si>
    <t>East Bengal</t>
  </si>
  <si>
    <t>https://www.transfermarkt.com/hector-yuste/profil/spieler/94414</t>
  </si>
  <si>
    <t>hector-yuste</t>
  </si>
  <si>
    <t>HÃ©lder Barbosa</t>
  </si>
  <si>
    <t>https://fbref.com/en/players/e0fd942a/Helder-Barbosa</t>
  </si>
  <si>
    <t>https://www.transfermarkt.com/helder-barbosa/profil/spieler/39784</t>
  </si>
  <si>
    <t>helder-barbosa</t>
  </si>
  <si>
    <t>25/05/1987</t>
  </si>
  <si>
    <t>Paredes</t>
  </si>
  <si>
    <t>29/01/2024</t>
  </si>
  <si>
    <t>Football League South</t>
  </si>
  <si>
    <t>HÃ©lder Costa</t>
  </si>
  <si>
    <t>ao ANG</t>
  </si>
  <si>
    <t>https://fbref.com/en/players/f13d02a6/Helder-Costa</t>
  </si>
  <si>
    <t>January 12, 1994 (Age:Â 31-287d)</t>
  </si>
  <si>
    <t>Luanda, Angola</t>
  </si>
  <si>
    <t>Angola ao Â Other:Â Portugal</t>
  </si>
  <si>
    <t>Yunnan Yukun</t>
  </si>
  <si>
    <t>https://www.transfermarkt.com/helder-costa/profil/spieler/173900</t>
  </si>
  <si>
    <t>helder-costa</t>
  </si>
  <si>
    <t>Luanda</t>
  </si>
  <si>
    <t>AngolaÂ Â Portugal</t>
  </si>
  <si>
    <t>HÃ©lder Postiga</t>
  </si>
  <si>
    <t>https://fbref.com/en/players/c8504093/Helder-Postiga</t>
  </si>
  <si>
    <t>https://www.transfermarkt.com/helder-postiga/profil/spieler/5169</t>
  </si>
  <si>
    <t>helder-postiga</t>
  </si>
  <si>
    <t>Atl. Kolkata</t>
  </si>
  <si>
    <t>HÃ©lder RosÃ¡rio</t>
  </si>
  <si>
    <t>https://fbref.com/en/players/f0d5e080/Helder-Rosario</t>
  </si>
  <si>
    <t>https://www.transfermarkt.com/helder-rosario/profil/spieler/14196</t>
  </si>
  <si>
    <t>helder-rosario</t>
  </si>
  <si>
    <t>Lissabon</t>
  </si>
  <si>
    <t>23/08/2003</t>
  </si>
  <si>
    <t>24/08/2002</t>
  </si>
  <si>
    <t>HÃ©ldon Ramos</t>
  </si>
  <si>
    <t>https://fbref.com/en/players/64ded08c/Heldon-Ramos</t>
  </si>
  <si>
    <t>Cape Verde</t>
  </si>
  <si>
    <t>https://www.transfermarkt.com/heldon/profil/spieler/90660</t>
  </si>
  <si>
    <t>heldon</t>
  </si>
  <si>
    <t>HÃ©ldon</t>
  </si>
  <si>
    <t>14/11/1988</t>
  </si>
  <si>
    <t>Ilha do Sal</t>
  </si>
  <si>
    <t>Cape VerdeÂ Â South Africa</t>
  </si>
  <si>
    <t>Aeroporto</t>
  </si>
  <si>
    <t>14/01/2024</t>
  </si>
  <si>
    <t>Hamit AltÄ±ntop</t>
  </si>
  <si>
    <t>https://fbref.com/en/players/98e33da5/Hamit-Altintop</t>
  </si>
  <si>
    <t>Turkey tr Â Other:Â Germany</t>
  </si>
  <si>
    <t>Schalke 04</t>
  </si>
  <si>
    <t>https://www.transfermarkt.com/hamit-altintop/profil/spieler/1792</t>
  </si>
  <si>
    <t>hamit-altintop</t>
  </si>
  <si>
    <t>Gelsenkirchen</t>
  </si>
  <si>
    <t>TÃ¼rkiyeÂ Â Germany</t>
  </si>
  <si>
    <t>Darmstadt 98</t>
  </si>
  <si>
    <t>29/07/2017</t>
  </si>
  <si>
    <t>Hans MartÃ­nez</t>
  </si>
  <si>
    <t>https://fbref.com/en/players/75128a26/Hans-Martinez</t>
  </si>
  <si>
    <t>https://www.transfermarkt.com/hans-martinez/profil/spieler/72883</t>
  </si>
  <si>
    <t>hans-martinez</t>
  </si>
  <si>
    <t>Santiago de Chile</t>
  </si>
  <si>
    <t>Lautaro Buin</t>
  </si>
  <si>
    <t>14/02/2021</t>
  </si>
  <si>
    <t>Haris Medunjanin</t>
  </si>
  <si>
    <t>https://fbref.com/en/players/de5d5d41/Haris-Medunjanin</t>
  </si>
  <si>
    <t>Bosnia and Herzegovina ba Â Other:Â Netherlands</t>
  </si>
  <si>
    <t>AZ Alkmaar</t>
  </si>
  <si>
    <t>https://www.transfermarkt.com/haris-medunjanin/profil/spieler/30666</t>
  </si>
  <si>
    <t>haris-medunjanin</t>
  </si>
  <si>
    <t>Sarajevo</t>
  </si>
  <si>
    <t>Bosnia-HerzegovinaÂ Â Netherlands</t>
  </si>
  <si>
    <t>20/02/2005</t>
  </si>
  <si>
    <t>21/08/2022</t>
  </si>
  <si>
    <t>Haris SeferoviÄ‡</t>
  </si>
  <si>
    <t>ch SUI</t>
  </si>
  <si>
    <t>https://fbref.com/en/players/a45eac1f/Haris-Seferovic</t>
  </si>
  <si>
    <t>Sursee, Switzerland</t>
  </si>
  <si>
    <t>Switzerland</t>
  </si>
  <si>
    <t>Grasshopper</t>
  </si>
  <si>
    <t>https://www.transfermarkt.com/haris-seferovic/profil/spieler/109256</t>
  </si>
  <si>
    <t>haris-seferovic</t>
  </si>
  <si>
    <t>Haris Seferovic</t>
  </si>
  <si>
    <t>22/02/1992</t>
  </si>
  <si>
    <t>Sursee</t>
  </si>
  <si>
    <t>SwitzerlandÂ Â Bosnia-Herzegovina</t>
  </si>
  <si>
    <t>United FC</t>
  </si>
  <si>
    <t>14/08/2025</t>
  </si>
  <si>
    <t>Hassan Yebda</t>
  </si>
  <si>
    <t>https://fbref.com/en/players/4907d688/Hassan-Yebda</t>
  </si>
  <si>
    <t>Le Mans</t>
  </si>
  <si>
    <t>https://www.transfermarkt.com/hassan-yebda/profil/spieler/12351</t>
  </si>
  <si>
    <t>hassan-yebda</t>
  </si>
  <si>
    <t>14/05/1984</t>
  </si>
  <si>
    <t>Saint-Maurice</t>
  </si>
  <si>
    <t>Hedwiges Maduro</t>
  </si>
  <si>
    <t>https://fbref.com/en/players/5918cc84/Hedwiges-Maduro</t>
  </si>
  <si>
    <t>Ajax</t>
  </si>
  <si>
    <t>https://www.transfermarkt.com/hedwiges-maduro/profil/spieler/19057</t>
  </si>
  <si>
    <t>hedwiges-maduro</t>
  </si>
  <si>
    <t>Almere</t>
  </si>
  <si>
    <t>NetherlandsÂ Â Aruba</t>
  </si>
  <si>
    <t>Omonia Nicosia</t>
  </si>
  <si>
    <t>27/02/2005</t>
  </si>
  <si>
    <t>Heinz Barmettler</t>
  </si>
  <si>
    <t>do DOM</t>
  </si>
  <si>
    <t>https://fbref.com/en/players/cf153d8e/Heinz-Barmettler</t>
  </si>
  <si>
    <t>Dominican Republic do Â Other:Â Switzerland</t>
  </si>
  <si>
    <t>ZÃ¼rich</t>
  </si>
  <si>
    <t>https://www.transfermarkt.com/heinz-barmettler/profil/spieler/38124</t>
  </si>
  <si>
    <t>heinz-barmettler</t>
  </si>
  <si>
    <t>21/07/1987</t>
  </si>
  <si>
    <t>Dominican RepublicÂ Â Switzerland</t>
  </si>
  <si>
    <t>SC Freiburg II</t>
  </si>
  <si>
    <t>24/08/2016</t>
  </si>
  <si>
    <t>Henok Goitom</t>
  </si>
  <si>
    <t>er ERI</t>
  </si>
  <si>
    <t>https://fbref.com/en/players/c3680236/Henok-Goitom</t>
  </si>
  <si>
    <t>Eritrea er Â Other:Â Sweden</t>
  </si>
  <si>
    <t>https://www.transfermarkt.com/henok-goitom/profil/spieler/6838</t>
  </si>
  <si>
    <t>henok-goitom</t>
  </si>
  <si>
    <t>22/09/1984</t>
  </si>
  <si>
    <t>Solna</t>
  </si>
  <si>
    <t>EritreaÂ Â Sweden</t>
  </si>
  <si>
    <t>AIK</t>
  </si>
  <si>
    <t>19/02/2005</t>
  </si>
  <si>
    <t>Henri Bienvenu</t>
  </si>
  <si>
    <t>https://fbref.com/en/players/df6b9707/Henri-Bienvenu</t>
  </si>
  <si>
    <t>Young Boys</t>
  </si>
  <si>
    <t>https://www.transfermarkt.com/henri-bienvenu/profil/spieler/65921</t>
  </si>
  <si>
    <t>henri-bienvenu</t>
  </si>
  <si>
    <t>YaoundÃ©</t>
  </si>
  <si>
    <t>FCM Troyes</t>
  </si>
  <si>
    <t>18/10/2006</t>
  </si>
  <si>
    <t>Ligue Professionelle 1</t>
  </si>
  <si>
    <t>15/09/2014</t>
  </si>
  <si>
    <t>Henrique</t>
  </si>
  <si>
    <t>https://fbref.com/en/players/429163de/Henrique</t>
  </si>
  <si>
    <t>https://www.transfermarkt.com/henrique/profil/spieler/52513</t>
  </si>
  <si>
    <t>henrique</t>
  </si>
  <si>
    <t>14/10/1986 (39)</t>
  </si>
  <si>
    <t>Marechal CÃ¢ndido Rondon</t>
  </si>
  <si>
    <t>Coritiba FC</t>
  </si>
  <si>
    <t>25/05/2013</t>
  </si>
  <si>
    <t>Henrique Almeida</t>
  </si>
  <si>
    <t>https://fbref.com/en/players/8aa2f2e3/Henrique-Almeida</t>
  </si>
  <si>
    <t>May 27, 1991 (Age:Â 34-152d)</t>
  </si>
  <si>
    <t>BrasÃ­lia, Brazil</t>
  </si>
  <si>
    <t>Amazonas FC</t>
  </si>
  <si>
    <t>https://www.transfermarkt.com/henrique-almeida/profil/spieler/103743</t>
  </si>
  <si>
    <t>henrique-almeida</t>
  </si>
  <si>
    <t>27/05/1991 (34)</t>
  </si>
  <si>
    <t>BrasÃ­lia</t>
  </si>
  <si>
    <t>Amazonas</t>
  </si>
  <si>
    <t>30/11/2025</t>
  </si>
  <si>
    <t>22/11/2009</t>
  </si>
  <si>
    <t>20/06/2015</t>
  </si>
  <si>
    <t>Henrique Sereno</t>
  </si>
  <si>
    <t>https://fbref.com/en/players/70b198d8/Henrique-Sereno</t>
  </si>
  <si>
    <t>VitÃ³ria</t>
  </si>
  <si>
    <t>https://www.transfermarkt.com/sereno/profil/spieler/48931</t>
  </si>
  <si>
    <t>sereno</t>
  </si>
  <si>
    <t>Sereno</t>
  </si>
  <si>
    <t>18/05/1985</t>
  </si>
  <si>
    <t>Elvas</t>
  </si>
  <si>
    <t>Chennaiyin FC</t>
  </si>
  <si>
    <t>14/01/2007</t>
  </si>
  <si>
    <t>HernÃ¡n Bernardello</t>
  </si>
  <si>
    <t>https://fbref.com/en/players/dec04537/Hernan-Bernardello</t>
  </si>
  <si>
    <t>https://www.transfermarkt.com/hernan-bernardello/profil/spieler/55860</t>
  </si>
  <si>
    <t>hernan-bernardello</t>
  </si>
  <si>
    <t>HernÃ¡n PÃ©rez</t>
  </si>
  <si>
    <t>https://fbref.com/en/players/e1cea3f7/Hernan-Perez</t>
  </si>
  <si>
    <t>February 25, 1989 (Age:Â 36-243d)</t>
  </si>
  <si>
    <t>Nemby, Paraguay</t>
  </si>
  <si>
    <t>Deportivo Recoleta</t>
  </si>
  <si>
    <t>https://www.transfermarkt.com/hernan-perez/profil/spieler/73636</t>
  </si>
  <si>
    <t>hernan-perez</t>
  </si>
  <si>
    <t>25/02/1989 (36)</t>
  </si>
  <si>
    <t>Fernando de la Mora</t>
  </si>
  <si>
    <t>ParaguayÂ Â Spain</t>
  </si>
  <si>
    <t>Recoleta FC</t>
  </si>
  <si>
    <t>20/02/2025</t>
  </si>
  <si>
    <t>HernÃ¡n Pellerano</t>
  </si>
  <si>
    <t>https://fbref.com/en/players/027f513e/Hernan-Pellerano</t>
  </si>
  <si>
    <t>https://www.transfermarkt.com/hernan-pellerano/profil/spieler/26801</t>
  </si>
  <si>
    <t>hernan-pellerano</t>
  </si>
  <si>
    <t>Gimnasia (J)</t>
  </si>
  <si>
    <t>Hicham Khaloua</t>
  </si>
  <si>
    <t>https://fbref.com/en/players/f383d568/Hicham-Khaloua</t>
  </si>
  <si>
    <t>Morocco ma Â Other:Â Spain</t>
  </si>
  <si>
    <t>https://www.transfermarkt.com/hicham-khaloua/profil/spieler/186796</t>
  </si>
  <si>
    <t>hicham-khaloua</t>
  </si>
  <si>
    <t>San Javier</t>
  </si>
  <si>
    <t>MoroccoÂ Â Spain</t>
  </si>
  <si>
    <t>24/03/2014</t>
  </si>
  <si>
    <t>20/08/2017</t>
  </si>
  <si>
    <t>Hiroshi Ibusuki</t>
  </si>
  <si>
    <t>https://fbref.com/en/players/715bdbe9/Hiroshi-Ibusuki</t>
  </si>
  <si>
    <t>February 27, 1991 (Age:Â 34-241d)</t>
  </si>
  <si>
    <t>Nagareyama-shi, Japan</t>
  </si>
  <si>
    <t>Western United FC</t>
  </si>
  <si>
    <t>https://www.transfermarkt.com/hiroshi-ibusuki/profil/spieler/98074</t>
  </si>
  <si>
    <t>hiroshi-ibusuki</t>
  </si>
  <si>
    <t>27/02/1991</t>
  </si>
  <si>
    <t>Nagareyama, Chiba</t>
  </si>
  <si>
    <t>17/09/2025</t>
  </si>
  <si>
    <t>21/01/2012</t>
  </si>
  <si>
    <t>19/04/2009</t>
  </si>
  <si>
    <t>Hugo Fraile</t>
  </si>
  <si>
    <t>https://fbref.com/en/players/168ec9a3/Hugo-Fraile</t>
  </si>
  <si>
    <t>https://www.transfermarkt.com/hugo-fraile/profil/spieler/72201</t>
  </si>
  <si>
    <t>hugo-fraile</t>
  </si>
  <si>
    <t>16/03/1987</t>
  </si>
  <si>
    <t>Hugo Mallo</t>
  </si>
  <si>
    <t>https://fbref.com/en/players/cb574619/Hugo-Mallo</t>
  </si>
  <si>
    <t>https://www.transfermarkt.com/hugo-mallo/profil/spieler/119905</t>
  </si>
  <si>
    <t>hugo-mallo</t>
  </si>
  <si>
    <t>22/06/1991</t>
  </si>
  <si>
    <t>MarÃ­n</t>
  </si>
  <si>
    <t>Humberto Osorio</t>
  </si>
  <si>
    <t>https://fbref.com/en/players/72ada906/Humberto-Osorio</t>
  </si>
  <si>
    <t>June 24, 1988 (Age:Â 37-124d)</t>
  </si>
  <si>
    <t>Valledupar, Colombia</t>
  </si>
  <si>
    <t>Jaguares de UPNFM</t>
  </si>
  <si>
    <t>https://www.transfermarkt.com/humberto-osorio/profil/spieler/84133</t>
  </si>
  <si>
    <t>humberto-osorio</t>
  </si>
  <si>
    <t>24/06/1988</t>
  </si>
  <si>
    <t>Valledupar</t>
  </si>
  <si>
    <t>Lobos UPNFM</t>
  </si>
  <si>
    <t>31/07/2024</t>
  </si>
  <si>
    <t>27/01/2008</t>
  </si>
  <si>
    <t>Liga de ExpansiÃ³n MX Apertura</t>
  </si>
  <si>
    <t>IÃ±aki Goitia</t>
  </si>
  <si>
    <t>https://fbref.com/en/players/2f10b901/Inaki-Goitia</t>
  </si>
  <si>
    <t>https://www.transfermarkt.com/inaki-goitia/profil/spieler/29050</t>
  </si>
  <si>
    <t>inaki-goitia</t>
  </si>
  <si>
    <t>31/08/2015</t>
  </si>
  <si>
    <t>19/02/2006</t>
  </si>
  <si>
    <t>IÃ±aki Williams</t>
  </si>
  <si>
    <t>https://fbref.com/en/players/6a99e0b1/Inaki-Williams</t>
  </si>
  <si>
    <t>June 15, 1994 (Age:Â 31-133d)</t>
  </si>
  <si>
    <t>Ghana gh Â Other:Â Spain</t>
  </si>
  <si>
    <t>https://www.transfermarkt.com/inaki-williams/profil/spieler/255508</t>
  </si>
  <si>
    <t>inaki-williams</t>
  </si>
  <si>
    <t>15/06/1994</t>
  </si>
  <si>
    <t>GhanaÂ Â Spain</t>
  </si>
  <si>
    <t>IÃ±igo DÃ­az de Cerio</t>
  </si>
  <si>
    <t>https://fbref.com/en/players/757bd109/Inigo-Diaz-de-Cerio</t>
  </si>
  <si>
    <t>https://www.transfermarkt.com/inigo-diaz-de-cerio/profil/spieler/38193</t>
  </si>
  <si>
    <t>inigo-diaz-de-cerio</t>
  </si>
  <si>
    <t>15/05/1984</t>
  </si>
  <si>
    <t>IÃ±igo MartÃ­nez</t>
  </si>
  <si>
    <t>https://fbref.com/en/players/3fc45c73/Inigo-Martinez</t>
  </si>
  <si>
    <t>May 17, 1991 (Age:Â 34-162d)</t>
  </si>
  <si>
    <t>Ondarroa, Spain</t>
  </si>
  <si>
    <t>https://www.transfermarkt.com/inigo-martinez/profil/spieler/158863</t>
  </si>
  <si>
    <t>inigo-martinez</t>
  </si>
  <si>
    <t>17/05/1991</t>
  </si>
  <si>
    <t>IÃ±igo PÃ©rez</t>
  </si>
  <si>
    <t>https://fbref.com/en/players/bc61cc65/Inigo-Perez</t>
  </si>
  <si>
    <t>MF (CM-DM, left)</t>
  </si>
  <si>
    <t>https://www.transfermarkt.com/inigo-perez/profil/spieler/71579</t>
  </si>
  <si>
    <t>inigo-perez</t>
  </si>
  <si>
    <t>18/01/1988</t>
  </si>
  <si>
    <t>31/10/2009</t>
  </si>
  <si>
    <t>IÃ±igo Ruiz de Galarreta</t>
  </si>
  <si>
    <t>https://fbref.com/en/players/91f7631f/Inigo-Ruiz-de-Galarreta</t>
  </si>
  <si>
    <t>August 6, 1993 (Age:Â 32-081d)</t>
  </si>
  <si>
    <t>https://www.transfermarkt.com/inigo-ruiz-de-galarreta/profil/spieler/126751</t>
  </si>
  <si>
    <t>inigo-ruiz-de-galarreta</t>
  </si>
  <si>
    <t>Iago Aspas</t>
  </si>
  <si>
    <t>https://fbref.com/en/players/7dcf86f6/Iago-Aspas</t>
  </si>
  <si>
    <t>August 1, 1987 (Age:Â 38-086d)</t>
  </si>
  <si>
    <t>MoaÃ±a, Spain</t>
  </si>
  <si>
    <t>https://www.transfermarkt.com/iago-aspas/profil/spieler/72047</t>
  </si>
  <si>
    <t>iago-aspas</t>
  </si>
  <si>
    <t>MoaÃ±a</t>
  </si>
  <si>
    <t>Iago BouzÃ³n</t>
  </si>
  <si>
    <t>https://fbref.com/en/players/2b687c98/Iago-Bouzon</t>
  </si>
  <si>
    <t>https://www.transfermarkt.com/iago-bouzon/profil/spieler/14535</t>
  </si>
  <si>
    <t>iago-bouzon</t>
  </si>
  <si>
    <t>16/06/1983</t>
  </si>
  <si>
    <t>Redondela</t>
  </si>
  <si>
    <t>Iago Falque</t>
  </si>
  <si>
    <t>https://fbref.com/en/players/440c84ed/Iago-Falque</t>
  </si>
  <si>
    <t>https://www.transfermarkt.com/iago-falque/profil/spieler/59340</t>
  </si>
  <si>
    <t>iago-falque</t>
  </si>
  <si>
    <t>Iago HerrerÃ­n</t>
  </si>
  <si>
    <t>https://fbref.com/en/players/9109185e/Iago-Herrerin</t>
  </si>
  <si>
    <t>January 25, 1988 (Age:Â 37-274d)</t>
  </si>
  <si>
    <t>Olympic Charleroi</t>
  </si>
  <si>
    <t>https://www.transfermarkt.com/iago-herrerin/profil/spieler/71570</t>
  </si>
  <si>
    <t>iago-herrerin</t>
  </si>
  <si>
    <t>25/01/1988</t>
  </si>
  <si>
    <t>Olym. Charleroi</t>
  </si>
  <si>
    <t>Ibai GÃ³mez</t>
  </si>
  <si>
    <t>https://fbref.com/en/players/9d2a3d5f/Ibai-Gomez</t>
  </si>
  <si>
    <t>https://www.transfermarkt.com/ibai-gomez/profil/spieler/127837</t>
  </si>
  <si>
    <t>ibai-gomez</t>
  </si>
  <si>
    <t>Santutxu</t>
  </si>
  <si>
    <t>17/10/2010</t>
  </si>
  <si>
    <t>Ibrahim Afellay</t>
  </si>
  <si>
    <t>https://fbref.com/en/players/9a8c6673/Ibrahim-Afellay</t>
  </si>
  <si>
    <t>PSV Eindhoven</t>
  </si>
  <si>
    <t>https://www.transfermarkt.com/ibrahim-afellay/profil/spieler/15760</t>
  </si>
  <si>
    <t>ibrahim-afellay</t>
  </si>
  <si>
    <t>Utrecht</t>
  </si>
  <si>
    <t>NetherlandsÂ Â Morocco</t>
  </si>
  <si>
    <t>PSV</t>
  </si>
  <si>
    <t>31/01/2021</t>
  </si>
  <si>
    <t>14/02/2004</t>
  </si>
  <si>
    <t>Ibrahima BaldÃ©</t>
  </si>
  <si>
    <t>https://fbref.com/en/players/573b6680/Ibrahima-Balde</t>
  </si>
  <si>
    <t>https://www.transfermarkt.com/ibrahima-balde/profil/spieler/134497</t>
  </si>
  <si>
    <t>ibrahima-balde</t>
  </si>
  <si>
    <t>Ibrahima Balde</t>
  </si>
  <si>
    <t>Pikine</t>
  </si>
  <si>
    <t>Degirmenlik SK</t>
  </si>
  <si>
    <t>30/05/2026</t>
  </si>
  <si>
    <t>Ignacio Camacho</t>
  </si>
  <si>
    <t>https://fbref.com/en/players/8ed9b33a/Ignacio-Camacho</t>
  </si>
  <si>
    <t>https://www.transfermarkt.com/ignacio-camacho/profil/spieler/58874</t>
  </si>
  <si>
    <t>ignacio-camacho</t>
  </si>
  <si>
    <t>Wolfsburg</t>
  </si>
  <si>
    <t>14/09/2020</t>
  </si>
  <si>
    <t>Igor Gabilondo</t>
  </si>
  <si>
    <t>https://fbref.com/en/players/4ce0dff0/Igor-Gabilondo</t>
  </si>
  <si>
    <t>https://www.transfermarkt.com/igor-gabilondo/profil/spieler/7471</t>
  </si>
  <si>
    <t>igor-gabilondo</t>
  </si>
  <si>
    <t>22/01/2013</t>
  </si>
  <si>
    <t>Igor MartÃ­nez</t>
  </si>
  <si>
    <t>https://fbref.com/en/players/c68990c2/Igor-Martinez</t>
  </si>
  <si>
    <t>https://www.transfermarkt.com/igor-martinez/profil/spieler/60779</t>
  </si>
  <si>
    <t>igor-martinez</t>
  </si>
  <si>
    <t>19/07/1989</t>
  </si>
  <si>
    <t>R. B. Linense</t>
  </si>
  <si>
    <t>14/07/2020</t>
  </si>
  <si>
    <t>18/09/2010</t>
  </si>
  <si>
    <t>Ikechukwu Uche</t>
  </si>
  <si>
    <t>ng NGA</t>
  </si>
  <si>
    <t>https://fbref.com/en/players/ba7c6d25/Ikechukwu-Uche</t>
  </si>
  <si>
    <t>Nigeria</t>
  </si>
  <si>
    <t>https://www.transfermarkt.com/ikechukwu-uche/profil/spieler/44027</t>
  </si>
  <si>
    <t>ikechukwu-uche</t>
  </si>
  <si>
    <t>Aba</t>
  </si>
  <si>
    <t>NigeriaÂ Â Spain</t>
  </si>
  <si>
    <t>Iker Casillas</t>
  </si>
  <si>
    <t>https://fbref.com/en/players/1ddbb0da/Iker-Casillas</t>
  </si>
  <si>
    <t>https://www.transfermarkt.com/iker-casillas/profil/spieler/3979</t>
  </si>
  <si>
    <t>iker-casillas</t>
  </si>
  <si>
    <t>20/05/1981</t>
  </si>
  <si>
    <t>Iker HernÃ¡ndez</t>
  </si>
  <si>
    <t>https://fbref.com/en/players/c9ee1793/Iker-Hernandez</t>
  </si>
  <si>
    <t>https://www.transfermarkt.com/iker-hernandez/profil/spieler/162043</t>
  </si>
  <si>
    <t>iker-hernandez</t>
  </si>
  <si>
    <t>Urnieta</t>
  </si>
  <si>
    <t>Palencia CF</t>
  </si>
  <si>
    <t>20/12/2014</t>
  </si>
  <si>
    <t>16/09/2018</t>
  </si>
  <si>
    <t>Iker Muniain</t>
  </si>
  <si>
    <t>https://fbref.com/en/players/c05dfb74/Iker-Muniain</t>
  </si>
  <si>
    <t>December 19, 1992 (Age:Â 32-311d)</t>
  </si>
  <si>
    <t>https://www.transfermarkt.com/iker-muniain/profil/spieler/54235</t>
  </si>
  <si>
    <t>iker-muniain</t>
  </si>
  <si>
    <t>19/12/1992</t>
  </si>
  <si>
    <t>Imanol Agirretxe</t>
  </si>
  <si>
    <t>https://fbref.com/en/players/c84c1afc/Imanol-Agirretxe</t>
  </si>
  <si>
    <t>https://www.transfermarkt.com/imanol-agirretxe/profil/spieler/37501</t>
  </si>
  <si>
    <t>imanol-agirretxe</t>
  </si>
  <si>
    <t>24/02/1987</t>
  </si>
  <si>
    <t>Ion Ansotegi</t>
  </si>
  <si>
    <t>https://fbref.com/en/players/72b26e8e/Ion-Ansotegi</t>
  </si>
  <si>
    <t>https://www.transfermarkt.com/ion-ansotegi/profil/spieler/37892</t>
  </si>
  <si>
    <t>ion-ansotegi</t>
  </si>
  <si>
    <t>13/07/1982</t>
  </si>
  <si>
    <t>Berriatua</t>
  </si>
  <si>
    <t>17/11/2007</t>
  </si>
  <si>
    <t>Ion Echaide</t>
  </si>
  <si>
    <t>https://fbref.com/en/players/2ad367bb/Ion-Echaide</t>
  </si>
  <si>
    <t>https://www.transfermarkt.com/jon-echaide/profil/spieler/59527</t>
  </si>
  <si>
    <t>jon-echaide</t>
  </si>
  <si>
    <t>Jon Echaide</t>
  </si>
  <si>
    <t>BaraÃ±ain</t>
  </si>
  <si>
    <t>Sant Julia</t>
  </si>
  <si>
    <t>Ion VÃ©lez</t>
  </si>
  <si>
    <t>https://fbref.com/en/players/3a6c16de/Ion-Velez</t>
  </si>
  <si>
    <t>https://www.transfermarkt.com/ion-velez/profil/spieler/54789</t>
  </si>
  <si>
    <t>ion-velez</t>
  </si>
  <si>
    <t>17/02/1985</t>
  </si>
  <si>
    <t>Tafalla</t>
  </si>
  <si>
    <t>PeÃ±a Sport FC</t>
  </si>
  <si>
    <t>Iriney</t>
  </si>
  <si>
    <t>https://fbref.com/en/players/09296fcc/Iriney</t>
  </si>
  <si>
    <t>https://www.transfermarkt.com/iriney/profil/spieler/35515</t>
  </si>
  <si>
    <t>iriney</t>
  </si>
  <si>
    <t>23/04/1981</t>
  </si>
  <si>
    <t>HumaitÃ¡</t>
  </si>
  <si>
    <t>Watford</t>
  </si>
  <si>
    <t>IsaÃ­as SÃ¡nchez</t>
  </si>
  <si>
    <t>https://fbref.com/en/players/30059de4/Isaias-Sanchez</t>
  </si>
  <si>
    <t>https://www.transfermarkt.com/isaias-sanchez/profil/spieler/73037</t>
  </si>
  <si>
    <t>isaias-sanchez</t>
  </si>
  <si>
    <t>SpainÂ Â Australia</t>
  </si>
  <si>
    <t>Adelaide United</t>
  </si>
  <si>
    <t>Isaac Cuenca</t>
  </si>
  <si>
    <t>https://fbref.com/en/players/24e9421b/Isaac-Cuenca</t>
  </si>
  <si>
    <t>https://www.transfermarkt.com/isaac-cuenca/profil/spieler/176285</t>
  </si>
  <si>
    <t>isaac-cuenca</t>
  </si>
  <si>
    <t>Reus</t>
  </si>
  <si>
    <t>Vegalta Sendai</t>
  </si>
  <si>
    <t>Isaac GÃ³mez</t>
  </si>
  <si>
    <t>https://fbref.com/en/players/2f235f73/Isaac-Gomez</t>
  </si>
  <si>
    <t>https://www.transfermarkt.com/isi-gomez/profil/spieler/263214</t>
  </si>
  <si>
    <t>isi-gomez</t>
  </si>
  <si>
    <t>Isi GÃ³mez</t>
  </si>
  <si>
    <t>28/10/1995</t>
  </si>
  <si>
    <t>17/03/2013</t>
  </si>
  <si>
    <t>Isaac Success</t>
  </si>
  <si>
    <t>https://fbref.com/en/players/f573a8bf/Isaac-Success</t>
  </si>
  <si>
    <t>January 7, 1996 (Age:Â 29-292d)</t>
  </si>
  <si>
    <t>Benin City, Nigeria</t>
  </si>
  <si>
    <t>Al Wasl SC</t>
  </si>
  <si>
    <t>https://www.transfermarkt.com/isaac-success/profil/spieler/295331</t>
  </si>
  <si>
    <t>isaac-success</t>
  </si>
  <si>
    <t>Benin City</t>
  </si>
  <si>
    <t>Isco</t>
  </si>
  <si>
    <t>https://fbref.com/en/players/a0b4bb3e/Isco</t>
  </si>
  <si>
    <t>April 21, 1992 (Age:Â 33-188d)</t>
  </si>
  <si>
    <t>BenalmÃ¡dena, Spain</t>
  </si>
  <si>
    <t>https://www.transfermarkt.com/isco/profil/spieler/85288</t>
  </si>
  <si>
    <t>isco</t>
  </si>
  <si>
    <t>21/04/1992</t>
  </si>
  <si>
    <t>BenalmÃ¡dena</t>
  </si>
  <si>
    <t>Isma LÃ³pez</t>
  </si>
  <si>
    <t>https://fbref.com/en/players/e644a7f5/Isma-Lopez</t>
  </si>
  <si>
    <t>DF-FW-MF (FB, left)</t>
  </si>
  <si>
    <t>https://www.transfermarkt.com/isma-lopez/profil/spieler/54231</t>
  </si>
  <si>
    <t>isma-lopez</t>
  </si>
  <si>
    <t>Israel Puerto</t>
  </si>
  <si>
    <t>https://fbref.com/en/players/c657b98d/Israel-Puerto</t>
  </si>
  <si>
    <t>June 15, 1993 (Age:Â 32-133d)</t>
  </si>
  <si>
    <t>El Viso del Alcor, Spain</t>
  </si>
  <si>
    <t>Stal Mielec</t>
  </si>
  <si>
    <t>https://www.transfermarkt.com/israel-puerto/profil/spieler/126748</t>
  </si>
  <si>
    <t>israel-puerto</t>
  </si>
  <si>
    <t>15/06/1993</t>
  </si>
  <si>
    <t>El Viso del Alcor</t>
  </si>
  <si>
    <t>21/08/2025</t>
  </si>
  <si>
    <t>28/04/2013</t>
  </si>
  <si>
    <t>Issam El Adoua</t>
  </si>
  <si>
    <t>https://fbref.com/en/players/16edc522/Issam-El-Adoua</t>
  </si>
  <si>
    <t>Morocco</t>
  </si>
  <si>
    <t>Nantes</t>
  </si>
  <si>
    <t>https://www.transfermarkt.com/issam-el-adoua/profil/spieler/64992</t>
  </si>
  <si>
    <t>issam-el-adoua</t>
  </si>
  <si>
    <t>Casablanca</t>
  </si>
  <si>
    <t>IvÃ¡n Alonso</t>
  </si>
  <si>
    <t>https://fbref.com/en/players/80084c87/Ivan-Alonso</t>
  </si>
  <si>
    <t>https://www.transfermarkt.com/ivan-alonso/profil/spieler/51583</t>
  </si>
  <si>
    <t>ivan-alonso</t>
  </si>
  <si>
    <t>IvÃ¡n Bolado</t>
  </si>
  <si>
    <t>https://fbref.com/en/players/5686e45d/Ivan-Bolado</t>
  </si>
  <si>
    <t>https://www.transfermarkt.com/ivan-bolado/profil/spieler/57675</t>
  </si>
  <si>
    <t>ivan-bolado</t>
  </si>
  <si>
    <t>Rayo Cantabria</t>
  </si>
  <si>
    <t>28/09/2008</t>
  </si>
  <si>
    <t>IvÃ¡n CuÃ©llar</t>
  </si>
  <si>
    <t>https://fbref.com/en/players/75751c99/Ivan-Cuellar</t>
  </si>
  <si>
    <t>May 27, 1984 (Age:Â 41-152d)</t>
  </si>
  <si>
    <t>https://www.transfermarkt.com/ivan-cuellar/profil/spieler/27493</t>
  </si>
  <si>
    <t>ivan-cuellar</t>
  </si>
  <si>
    <t>27/05/1984</t>
  </si>
  <si>
    <t>MÃ©rida</t>
  </si>
  <si>
    <t>28/08/2023</t>
  </si>
  <si>
    <t>IvÃ¡n de la PeÃ±a</t>
  </si>
  <si>
    <t>https://fbref.com/en/players/96a4976d/Ivan-de-la-Pena</t>
  </si>
  <si>
    <t>https://www.transfermarkt.com/ivan-de-la-pena/profil/spieler/8037</t>
  </si>
  <si>
    <t>ivan-de-la-pena</t>
  </si>
  <si>
    <t>IvÃ¡n GonzÃ¡lez</t>
  </si>
  <si>
    <t>https://fbref.com/en/players/36587dc3/Ivan-Gonzalez</t>
  </si>
  <si>
    <t>https://www.transfermarkt.com/ivan-gonzalez/profil/spieler/131942</t>
  </si>
  <si>
    <t>ivan-gonzalez</t>
  </si>
  <si>
    <t>15/02/1988 (37)</t>
  </si>
  <si>
    <t>Recr. Huelva</t>
  </si>
  <si>
    <t>IvÃ¡n HernÃ¡ndez</t>
  </si>
  <si>
    <t>https://fbref.com/en/players/09a1ed52/Ivan-Hernandez</t>
  </si>
  <si>
    <t>https://www.transfermarkt.com/ivan-hernandez/profil/spieler/29066</t>
  </si>
  <si>
    <t>ivan-hernandez</t>
  </si>
  <si>
    <t>27/02/1980</t>
  </si>
  <si>
    <t>IvÃ¡n LÃ³pez</t>
  </si>
  <si>
    <t>https://fbref.com/en/players/576575e5/Ivan-Lopez</t>
  </si>
  <si>
    <t>https://www.transfermarkt.com/ivan-lopez/profil/spieler/203778</t>
  </si>
  <si>
    <t>ivan-lopez</t>
  </si>
  <si>
    <t>_x000D_
Iván López Mendoza</t>
  </si>
  <si>
    <t>_x000D_
23/08/1993</t>
  </si>
  <si>
    <t>_x000D_
Defender - Right-Back</t>
  </si>
  <si>
    <t>14/09/2013</t>
  </si>
  <si>
    <t>IvÃ¡n Marcano</t>
  </si>
  <si>
    <t>https://fbref.com/en/players/7a20d90a/Ivan-Marcano</t>
  </si>
  <si>
    <t>June 23, 1987 (Age:Â 38-125d)</t>
  </si>
  <si>
    <t>Santander, Spain</t>
  </si>
  <si>
    <t>https://www.transfermarkt.com/ivan-marcano/profil/spieler/57723</t>
  </si>
  <si>
    <t>ivan-marcano</t>
  </si>
  <si>
    <t>23/06/1987</t>
  </si>
  <si>
    <t>30/09/2007</t>
  </si>
  <si>
    <t>27/02/2021</t>
  </si>
  <si>
    <t>IvÃ¡n Ramis</t>
  </si>
  <si>
    <t>https://fbref.com/en/players/d2be40f2/Ivan-Ramis</t>
  </si>
  <si>
    <t>https://www.transfermarkt.com/ivan-ramis/profil/spieler/26066</t>
  </si>
  <si>
    <t>ivan-ramis</t>
  </si>
  <si>
    <t>25/10/1984</t>
  </si>
  <si>
    <t>Sa Pobla</t>
  </si>
  <si>
    <t>Ivan Cavaleiro</t>
  </si>
  <si>
    <t>https://fbref.com/en/players/979b811d/Ivan-Cavaleiro</t>
  </si>
  <si>
    <t>October 18, 1993 (Age:Â 32-008d)</t>
  </si>
  <si>
    <t>Portugal pt Â Other:Â Angola</t>
  </si>
  <si>
    <t>Tondela</t>
  </si>
  <si>
    <t>https://www.transfermarkt.com/ivan-cavaleiro/profil/spieler/149716</t>
  </si>
  <si>
    <t>ivan-cavaleiro</t>
  </si>
  <si>
    <t>18/10/1993 (32)</t>
  </si>
  <si>
    <t>Vila Franca de Xira</t>
  </si>
  <si>
    <t>27/10/2013</t>
  </si>
  <si>
    <t>Ivan ObradoviÄ‡</t>
  </si>
  <si>
    <t>https://fbref.com/en/players/f6ddac8f/Ivan-Obradovic</t>
  </si>
  <si>
    <t>Partizan</t>
  </si>
  <si>
    <t>https://www.transfermarkt.com/ivan-obradovic/profil/spieler/49802</t>
  </si>
  <si>
    <t>ivan-obradovic</t>
  </si>
  <si>
    <t>Ivan Obradovic</t>
  </si>
  <si>
    <t>25/07/1988</t>
  </si>
  <si>
    <t>Obrenovac</t>
  </si>
  <si>
    <t>22/04/2007</t>
  </si>
  <si>
    <t>Ivan RakitiÄ‡</t>
  </si>
  <si>
    <t>https://fbref.com/en/players/89f951b5/Ivan-Rakitic</t>
  </si>
  <si>
    <t>Croatia hr Â Other:Â Switzerland</t>
  </si>
  <si>
    <t>https://www.transfermarkt.com/ivan-rakitic/profil/spieler/32467</t>
  </si>
  <si>
    <t>ivan-rakitic</t>
  </si>
  <si>
    <t>Ivan Rakitic</t>
  </si>
  <si>
    <t>MÃ¶hlin</t>
  </si>
  <si>
    <t>CroatiaÂ Â Switzerland</t>
  </si>
  <si>
    <t>Hajduk Split</t>
  </si>
  <si>
    <t>15/04/2006</t>
  </si>
  <si>
    <t>Ivi</t>
  </si>
  <si>
    <t>https://fbref.com/en/players/d2fa73e7/Ivi</t>
  </si>
  <si>
    <t>June 29, 1994 (Age:Â 31-119d)</t>
  </si>
  <si>
    <t>RakÃ³w CzÄ™stochowa</t>
  </si>
  <si>
    <t>https://www.transfermarkt.com/ivi-lopez/profil/spieler/282371</t>
  </si>
  <si>
    <t>ivi-lopez</t>
  </si>
  <si>
    <t>Ivi LÃ³pez</t>
  </si>
  <si>
    <t>29/06/1994 (31)</t>
  </si>
  <si>
    <t>RakÃ³w</t>
  </si>
  <si>
    <t>27/03/2014</t>
  </si>
  <si>
    <t>Ivica DragutinoviÄ‡</t>
  </si>
  <si>
    <t>https://fbref.com/en/players/7ab82833/Ivica-Dragutinovic</t>
  </si>
  <si>
    <t>Standard LiÃ¨ge</t>
  </si>
  <si>
    <t>https://www.transfermarkt.com/ivica-dragutinovic/profil/spieler/13453</t>
  </si>
  <si>
    <t>ivica-dragutinovic</t>
  </si>
  <si>
    <t>Ivica Dragutinovic</t>
  </si>
  <si>
    <t>13/11/1975</t>
  </si>
  <si>
    <t>Prijepolje</t>
  </si>
  <si>
    <t>SerbiaÂ Â Belgium</t>
  </si>
  <si>
    <t>JÃ©rÃ©my Mathieu</t>
  </si>
  <si>
    <t>https://fbref.com/en/players/5b887c7a/Jeremy-Mathieu</t>
  </si>
  <si>
    <t>https://www.transfermarkt.com/jeremy-mathieu/profil/spieler/5404</t>
  </si>
  <si>
    <t>jeremy-mathieu</t>
  </si>
  <si>
    <t>29/10/1983</t>
  </si>
  <si>
    <t>Luxeuil-les-Bains</t>
  </si>
  <si>
    <t>Luynes</t>
  </si>
  <si>
    <t>23/10/2023</t>
  </si>
  <si>
    <t>JÃ©rÃ©my Perbet</t>
  </si>
  <si>
    <t>https://fbref.com/en/players/dfe2f225/Jeremy-Perbet</t>
  </si>
  <si>
    <t>Charleroi</t>
  </si>
  <si>
    <t>https://www.transfermarkt.com/jeremy-perbet/profil/spieler/23966</t>
  </si>
  <si>
    <t>jeremy-perbet</t>
  </si>
  <si>
    <t>Le Puy-en-Velay</t>
  </si>
  <si>
    <t>RCS Braine</t>
  </si>
  <si>
    <t>20/01/2007</t>
  </si>
  <si>
    <t>JÃ©rÃ©my Toulalan</t>
  </si>
  <si>
    <t>https://fbref.com/en/players/7adea561/Jeremy-Toulalan</t>
  </si>
  <si>
    <t>https://www.transfermarkt.com/jeremy-toulalan/profil/spieler/5513</t>
  </si>
  <si>
    <t>jeremy-toulalan</t>
  </si>
  <si>
    <t>G. Bordeaux</t>
  </si>
  <si>
    <t>18/01/2018</t>
  </si>
  <si>
    <t>23/03/2002</t>
  </si>
  <si>
    <t>Jaime</t>
  </si>
  <si>
    <t>https://fbref.com/en/players/d7f052c3/Jaime</t>
  </si>
  <si>
    <t>https://www.transfermarkt.com/jaime-jimenez/profil/spieler/51504</t>
  </si>
  <si>
    <t>jaime-jimenez</t>
  </si>
  <si>
    <t>Jaime JimÃ©nez</t>
  </si>
  <si>
    <t>10/12/1980 (44)</t>
  </si>
  <si>
    <t>ValdepeÃ±as</t>
  </si>
  <si>
    <t>20/08/2012</t>
  </si>
  <si>
    <t>Jaime GavilÃ¡n</t>
  </si>
  <si>
    <t>https://fbref.com/en/players/95de0931/Jaime-Gavilan</t>
  </si>
  <si>
    <t>https://www.transfermarkt.com/jaime-gavilan/profil/spieler/15461</t>
  </si>
  <si>
    <t>jaime-gavilan</t>
  </si>
  <si>
    <t>19/04/2003</t>
  </si>
  <si>
    <t>Jaime Isuardi</t>
  </si>
  <si>
    <t>https://fbref.com/en/players/eb844581/Jaime-Isuardi</t>
  </si>
  <si>
    <t>https://www.transfermarkt.com/jaime-isuardi/profil/spieler/225627</t>
  </si>
  <si>
    <t>jaime-isuardi</t>
  </si>
  <si>
    <t>Jaime Romero</t>
  </si>
  <si>
    <t>https://fbref.com/en/players/e28205f4/Jaime-Romero</t>
  </si>
  <si>
    <t>https://www.transfermarkt.com/jaime-romero/profil/spieler/81998</t>
  </si>
  <si>
    <t>jaime-romero</t>
  </si>
  <si>
    <t>31/07/1990</t>
  </si>
  <si>
    <t>Jairo Morillas</t>
  </si>
  <si>
    <t>https://fbref.com/en/players/a0414cb4/Jairo-Morillas</t>
  </si>
  <si>
    <t>https://www.transfermarkt.com/jairo-morillas/profil/spieler/126741</t>
  </si>
  <si>
    <t>jairo-morillas</t>
  </si>
  <si>
    <t>Gilena</t>
  </si>
  <si>
    <t>24/08/2015</t>
  </si>
  <si>
    <t>Jairo Samperio</t>
  </si>
  <si>
    <t>https://fbref.com/en/players/c0a0c18f/Jairo-Samperio</t>
  </si>
  <si>
    <t>https://www.transfermarkt.com/jairo-samperio/profil/spieler/171167</t>
  </si>
  <si>
    <t>jairo-samperio</t>
  </si>
  <si>
    <t>CabezÃ³n de la Sal</t>
  </si>
  <si>
    <t>NorthEast Utd.</t>
  </si>
  <si>
    <t>13/07/2025</t>
  </si>
  <si>
    <t>James RodrÃ­guez</t>
  </si>
  <si>
    <t>https://fbref.com/en/players/715bf047/James-Rodriguez</t>
  </si>
  <si>
    <t>July 12, 1991 (Age:Â 34-106d)</t>
  </si>
  <si>
    <t>CÃºcuta, Colombia</t>
  </si>
  <si>
    <t>https://www.transfermarkt.com/james-rodriguez/profil/spieler/88103</t>
  </si>
  <si>
    <t>james-rodriguez</t>
  </si>
  <si>
    <t>CÃºcuta</t>
  </si>
  <si>
    <t>13/01/2025</t>
  </si>
  <si>
    <t>Jan Oblak</t>
  </si>
  <si>
    <t>https://fbref.com/en/players/ee8508c0/Jan-Oblak</t>
  </si>
  <si>
    <t>January 7, 1993 (Age:Â 32-292d)</t>
  </si>
  <si>
    <t>Å kofja Loka, Slovenia</t>
  </si>
  <si>
    <t>https://www.transfermarkt.com/jan-oblak/profil/spieler/121483</t>
  </si>
  <si>
    <t>jan-oblak</t>
  </si>
  <si>
    <t>Å kofja Loka</t>
  </si>
  <si>
    <t>16/07/2014</t>
  </si>
  <si>
    <t>25/07/2009</t>
  </si>
  <si>
    <t>JÃºlio Baptista</t>
  </si>
  <si>
    <t>https://fbref.com/en/players/44557475/Julio-Baptista</t>
  </si>
  <si>
    <t>https://www.transfermarkt.com/julio-baptista/profil/spieler/15952</t>
  </si>
  <si>
    <t>julio-baptista</t>
  </si>
  <si>
    <t>CFR Cluj</t>
  </si>
  <si>
    <t>23/05/2019</t>
  </si>
  <si>
    <t>JÃºlio CÃ©sar</t>
  </si>
  <si>
    <t>https://fbref.com/en/players/f4213f59/Julio-Cesar</t>
  </si>
  <si>
    <t>https://www.transfermarkt.com/julio-cesar/profil/spieler/52647</t>
  </si>
  <si>
    <t>julio-cesar</t>
  </si>
  <si>
    <t>02/09/1986 (39)</t>
  </si>
  <si>
    <t>Guaramirin</t>
  </si>
  <si>
    <t>Itabirito</t>
  </si>
  <si>
    <t>26/11/2006</t>
  </si>
  <si>
    <t>25/11/2023</t>
  </si>
  <si>
    <t>Jason</t>
  </si>
  <si>
    <t>https://fbref.com/en/players/9038c2a1/Jason</t>
  </si>
  <si>
    <t>July 6, 1994 (Age:Â 31-112d)</t>
  </si>
  <si>
    <t>A CoruÃ±a, Spain</t>
  </si>
  <si>
    <t>https://www.transfermarkt.com/jason-remeseiro/profil/spieler/263860</t>
  </si>
  <si>
    <t>jason-remeseiro</t>
  </si>
  <si>
    <t>Jason Remeseiro</t>
  </si>
  <si>
    <t>06/07/1994 (31)</t>
  </si>
  <si>
    <t>Jaume Costa</t>
  </si>
  <si>
    <t>https://fbref.com/en/players/808d48f3/Jaume-Costa</t>
  </si>
  <si>
    <t>https://www.transfermarkt.com/jaume-costa/profil/spieler/65318</t>
  </si>
  <si>
    <t>jaume-costa</t>
  </si>
  <si>
    <t>18/03/1988</t>
  </si>
  <si>
    <t>Javad Nekounam</t>
  </si>
  <si>
    <t>ir IRN</t>
  </si>
  <si>
    <t>https://fbref.com/en/players/baccd726/Javad-Nekounam</t>
  </si>
  <si>
    <t>Iran</t>
  </si>
  <si>
    <t>https://www.transfermarkt.com/javad-nekounam/profil/spieler/24619</t>
  </si>
  <si>
    <t>javad-nekounam</t>
  </si>
  <si>
    <t>Shar Rey, Tehran</t>
  </si>
  <si>
    <t>Al-Arabi SC</t>
  </si>
  <si>
    <t>Javi Ãlamo</t>
  </si>
  <si>
    <t>https://fbref.com/en/players/ffd69308/Javi-Alamo</t>
  </si>
  <si>
    <t>https://www.transfermarkt.com/javi-alamo/profil/spieler/164816</t>
  </si>
  <si>
    <t>javi-alamo</t>
  </si>
  <si>
    <t>18/08/1988</t>
  </si>
  <si>
    <t>GÃ¡ldar</t>
  </si>
  <si>
    <t>CD Brea</t>
  </si>
  <si>
    <t>16/09/2012</t>
  </si>
  <si>
    <t>Javi Flores</t>
  </si>
  <si>
    <t>https://fbref.com/en/players/867f9ede/Javi-Flores</t>
  </si>
  <si>
    <t>https://www.transfermarkt.com/javi-flores/profil/spieler/58009</t>
  </si>
  <si>
    <t>javi-flores</t>
  </si>
  <si>
    <t>16/03/2008</t>
  </si>
  <si>
    <t>Javi Fuego</t>
  </si>
  <si>
    <t>https://fbref.com/en/players/2e8fc160/Javi-Fuego</t>
  </si>
  <si>
    <t>https://www.transfermarkt.com/javi-fuego/profil/spieler/56134</t>
  </si>
  <si>
    <t>javi-fuego</t>
  </si>
  <si>
    <t>Pola de Siero</t>
  </si>
  <si>
    <t>Javi Guerra</t>
  </si>
  <si>
    <t>https://fbref.com/en/players/aa386464/Javi-Guerra</t>
  </si>
  <si>
    <t>https://www.transfermarkt.com/javi-guerra/profil/spieler/46215</t>
  </si>
  <si>
    <t>javi-guerra</t>
  </si>
  <si>
    <t>15/03/1982 (43)</t>
  </si>
  <si>
    <t>VÃ©lez-MÃ¡laga</t>
  </si>
  <si>
    <t>20/12/2003</t>
  </si>
  <si>
    <t>Javi JimÃ©nez</t>
  </si>
  <si>
    <t>https://fbref.com/en/players/9fe99e45/Javi-Jimenez</t>
  </si>
  <si>
    <t>https://www.transfermarkt.com/javi-jimenez/profil/spieler/69611</t>
  </si>
  <si>
    <t>javi-jimenez</t>
  </si>
  <si>
    <t>Javi LÃ³pez</t>
  </si>
  <si>
    <t>https://fbref.com/en/players/ffad706e/Javi-Lopez</t>
  </si>
  <si>
    <t>https://www.transfermarkt.com/javi-lopez/profil/spieler/72310</t>
  </si>
  <si>
    <t>javi-lopez</t>
  </si>
  <si>
    <t>21/01/1986 (39)</t>
  </si>
  <si>
    <t>Osuna</t>
  </si>
  <si>
    <t>Javi Lara</t>
  </si>
  <si>
    <t>https://fbref.com/en/players/bd1babf1/Javi-Lara</t>
  </si>
  <si>
    <t>https://www.transfermarkt.com/javi-lara/profil/spieler/119622</t>
  </si>
  <si>
    <t>javi-lara</t>
  </si>
  <si>
    <t>Montoro</t>
  </si>
  <si>
    <t>Linares</t>
  </si>
  <si>
    <t>Hero Indian Super League</t>
  </si>
  <si>
    <t>Javi MÃ¡rquez</t>
  </si>
  <si>
    <t>https://fbref.com/en/players/40c7cdd2/Javi-Marquez</t>
  </si>
  <si>
    <t>https://www.transfermarkt.com/javi-marquez/profil/spieler/72315</t>
  </si>
  <si>
    <t>javi-marquez</t>
  </si>
  <si>
    <t>Javi MartÃ­nez</t>
  </si>
  <si>
    <t>https://fbref.com/en/players/7f97771d/Javi-Martinez</t>
  </si>
  <si>
    <t>September 2, 1988 (Age:Â 37-054d)</t>
  </si>
  <si>
    <t>Estella-Lizarra, Spain</t>
  </si>
  <si>
    <t>https://www.transfermarkt.com/javi-martinez/profil/spieler/44017</t>
  </si>
  <si>
    <t>javi-martinez</t>
  </si>
  <si>
    <t>Estella-Lizarra</t>
  </si>
  <si>
    <t>Al-Bidda SC</t>
  </si>
  <si>
    <t>27/07/2025</t>
  </si>
  <si>
    <t>Javi Poves</t>
  </si>
  <si>
    <t>https://fbref.com/en/players/fb15bf58/Javi-Poves</t>
  </si>
  <si>
    <t>https://www.transfermarkt.com/javi-poves/profil/spieler/89515</t>
  </si>
  <si>
    <t>javi-poves</t>
  </si>
  <si>
    <t>Javi Varas</t>
  </si>
  <si>
    <t>https://fbref.com/en/players/6db3da37/Javi-Varas</t>
  </si>
  <si>
    <t>https://www.transfermarkt.com/javi-varas/profil/spieler/58341</t>
  </si>
  <si>
    <t>javi-varas</t>
  </si>
  <si>
    <t>22/10/2019</t>
  </si>
  <si>
    <t>Javi Venta</t>
  </si>
  <si>
    <t>https://fbref.com/en/players/fc3efd36/Javi-Venta</t>
  </si>
  <si>
    <t>https://www.transfermarkt.com/javi-venta/profil/spieler/7831</t>
  </si>
  <si>
    <t>javi-venta</t>
  </si>
  <si>
    <t>13/12/1975</t>
  </si>
  <si>
    <t>La Pola Siero</t>
  </si>
  <si>
    <t>Brentford</t>
  </si>
  <si>
    <t>Javier AcuÃ±a</t>
  </si>
  <si>
    <t>https://fbref.com/en/players/993ff7aa/Javier-Acuna</t>
  </si>
  <si>
    <t>https://www.transfermarkt.com/javi-acuna/profil/spieler/35532</t>
  </si>
  <si>
    <t>javi-acuna</t>
  </si>
  <si>
    <t>Javi AcuÃ±a</t>
  </si>
  <si>
    <t>23/06/1988 (37)</t>
  </si>
  <si>
    <t>EncarnaciÃ³n</t>
  </si>
  <si>
    <t>AC Torrellano</t>
  </si>
  <si>
    <t>Javier Aquino</t>
  </si>
  <si>
    <t>https://fbref.com/en/players/215104cc/Javier-Aquino</t>
  </si>
  <si>
    <t>February 11, 1990 (Age:Â 35-257d)</t>
  </si>
  <si>
    <t>Oaxaca, Estado de Oaxaca, Mexico</t>
  </si>
  <si>
    <t>DF-FW-MF (AM-FB-WM)</t>
  </si>
  <si>
    <t>Tigres UANL</t>
  </si>
  <si>
    <t>https://www.transfermarkt.com/javier-aquino/profil/spieler/111082</t>
  </si>
  <si>
    <t>javier-aquino</t>
  </si>
  <si>
    <t>Oaxaca</t>
  </si>
  <si>
    <t>16/01/2011</t>
  </si>
  <si>
    <t>20/07/2008</t>
  </si>
  <si>
    <t>Javier Arizmendi</t>
  </si>
  <si>
    <t>https://fbref.com/en/players/14a6c075/Javier-Arizmendi</t>
  </si>
  <si>
    <t>https://www.transfermarkt.com/javier-arizmendi/profil/spieler/25411</t>
  </si>
  <si>
    <t>javier-arizmendi</t>
  </si>
  <si>
    <t>22/08/2014</t>
  </si>
  <si>
    <t>Javier Baraja</t>
  </si>
  <si>
    <t>https://fbref.com/en/players/6514cd55/Javier-Baraja</t>
  </si>
  <si>
    <t>https://www.transfermarkt.com/javi-baraja/profil/spieler/29061</t>
  </si>
  <si>
    <t>javi-baraja</t>
  </si>
  <si>
    <t>Javi Baraja</t>
  </si>
  <si>
    <t>24/08/1980</t>
  </si>
  <si>
    <t>Javier Calleja</t>
  </si>
  <si>
    <t>https://fbref.com/en/players/3c99e7de/Javier-Calleja</t>
  </si>
  <si>
    <t>https://www.transfermarkt.com/javier-calleja/profil/spieler/7842</t>
  </si>
  <si>
    <t>javier-calleja</t>
  </si>
  <si>
    <t>26/03/2000</t>
  </si>
  <si>
    <t>Javier CamuÃ±as</t>
  </si>
  <si>
    <t>https://fbref.com/en/players/bbc1db07/Javier-Camunas</t>
  </si>
  <si>
    <t>https://www.transfermarkt.com/javier-camunas/profil/spieler/29170</t>
  </si>
  <si>
    <t>javier-camunas</t>
  </si>
  <si>
    <t>17/07/1980</t>
  </si>
  <si>
    <t>22/08/2013</t>
  </si>
  <si>
    <t>Javier Casquero</t>
  </si>
  <si>
    <t>https://fbref.com/en/players/ab6daa16/Javier-Casquero</t>
  </si>
  <si>
    <t>https://www.transfermarkt.com/javi-casquero/profil/spieler/7705</t>
  </si>
  <si>
    <t>javi-casquero</t>
  </si>
  <si>
    <t>Javi Casquero</t>
  </si>
  <si>
    <t>Talavera</t>
  </si>
  <si>
    <t>Javier Chica</t>
  </si>
  <si>
    <t>https://fbref.com/en/players/991b2cec/Javier-Chica</t>
  </si>
  <si>
    <t>DF (FB)</t>
  </si>
  <si>
    <t>https://www.transfermarkt.com/javi-chica/profil/spieler/44860</t>
  </si>
  <si>
    <t>javi-chica</t>
  </si>
  <si>
    <t>Javi Chica</t>
  </si>
  <si>
    <t>17/05/1985</t>
  </si>
  <si>
    <t>FE Grama</t>
  </si>
  <si>
    <t>Javier Espinosa</t>
  </si>
  <si>
    <t>https://fbref.com/en/players/8e08d88c/Javier-Espinosa</t>
  </si>
  <si>
    <t>https://www.transfermarkt.com/javier-espinosa/profil/spieler/128219</t>
  </si>
  <si>
    <t>javier-espinosa</t>
  </si>
  <si>
    <t>19/09/1992</t>
  </si>
  <si>
    <t>30/08/2022</t>
  </si>
  <si>
    <t>26/02/2011</t>
  </si>
  <si>
    <t>Javier FarinÃ³s</t>
  </si>
  <si>
    <t>https://fbref.com/en/players/d9b0f08e/Javier-Farinos</t>
  </si>
  <si>
    <t>https://www.transfermarkt.com/javier-farinos/profil/spieler/5785</t>
  </si>
  <si>
    <t>javier-farinos</t>
  </si>
  <si>
    <t>29/03/1978</t>
  </si>
  <si>
    <t>Javier HernÃ¡ndez</t>
  </si>
  <si>
    <t>https://fbref.com/en/players/189cee7b/Javier-Hernandez</t>
  </si>
  <si>
    <t>June 1, 1988 (Age:Â 37-147d)</t>
  </si>
  <si>
    <t>Guadalajara, Estado de Jalisco, Mexico</t>
  </si>
  <si>
    <t>https://www.transfermarkt.com/chicharito/profil/spieler/50935</t>
  </si>
  <si>
    <t>chicharito</t>
  </si>
  <si>
    <t>Chicharito</t>
  </si>
  <si>
    <t>Chivas</t>
  </si>
  <si>
    <t>24/01/2024</t>
  </si>
  <si>
    <t>13/05/2007</t>
  </si>
  <si>
    <t>Liguilla Clausura</t>
  </si>
  <si>
    <t>Liguilla de ExpansiÃ³n Clausura</t>
  </si>
  <si>
    <t>Javier HervÃ¡s</t>
  </si>
  <si>
    <t>https://fbref.com/en/players/04b8d5c8/Javier-Hervas</t>
  </si>
  <si>
    <t>June 9, 1989 (Age:Â 36-139d)</t>
  </si>
  <si>
    <t>CD Ciudad de Lucena</t>
  </si>
  <si>
    <t>https://www.transfermarkt.com/javi-hervas/profil/spieler/184218</t>
  </si>
  <si>
    <t>javi-hervas</t>
  </si>
  <si>
    <t>Javi HervÃ¡s</t>
  </si>
  <si>
    <t>Javier Manquillo</t>
  </si>
  <si>
    <t>https://fbref.com/en/players/758dd7f0/Javier-Manquillo</t>
  </si>
  <si>
    <t>https://www.transfermarkt.com/javier-manquillo/profil/spieler/162029</t>
  </si>
  <si>
    <t>javier-manquillo</t>
  </si>
  <si>
    <t>Javier Mascherano</t>
  </si>
  <si>
    <t>https://fbref.com/en/players/5070881b/Javier-Mascherano</t>
  </si>
  <si>
    <t>https://www.transfermarkt.com/javier-mascherano/profil/spieler/19981</t>
  </si>
  <si>
    <t>javier-mascherano</t>
  </si>
  <si>
    <t>16/11/2020</t>
  </si>
  <si>
    <t>Javier Matilla</t>
  </si>
  <si>
    <t>https://fbref.com/en/players/35fa45cc/Javier-Matilla</t>
  </si>
  <si>
    <t>Quero, Spain</t>
  </si>
  <si>
    <t>https://www.transfermarkt.com/javier-matilla/profil/spieler/73269</t>
  </si>
  <si>
    <t>javier-matilla</t>
  </si>
  <si>
    <t>16/08/1988</t>
  </si>
  <si>
    <t>Quero</t>
  </si>
  <si>
    <t>Javier Paredes</t>
  </si>
  <si>
    <t>https://fbref.com/en/players/488a9ade/Javier-Paredes</t>
  </si>
  <si>
    <t>https://www.transfermarkt.com/javier-paredes/profil/spieler/35512</t>
  </si>
  <si>
    <t>javier-paredes</t>
  </si>
  <si>
    <t>CD Ebro</t>
  </si>
  <si>
    <t>23/09/2017</t>
  </si>
  <si>
    <t>Javier Portillo</t>
  </si>
  <si>
    <t>https://fbref.com/en/players/99058498/Javier-Portillo</t>
  </si>
  <si>
    <t>https://www.transfermarkt.com/javier-portillo/profil/spieler/7532</t>
  </si>
  <si>
    <t>javier-portillo</t>
  </si>
  <si>
    <t>30/03/1982</t>
  </si>
  <si>
    <t>Aranjuez</t>
  </si>
  <si>
    <t>28/12/2015</t>
  </si>
  <si>
    <t>Javier Ros</t>
  </si>
  <si>
    <t>https://fbref.com/en/players/6b2f1a78/Javier-Ros</t>
  </si>
  <si>
    <t>https://www.transfermarkt.com/javi-ros/profil/spieler/89330</t>
  </si>
  <si>
    <t>javi-ros</t>
  </si>
  <si>
    <t>Javi Ros</t>
  </si>
  <si>
    <t>16/02/1990 (35)</t>
  </si>
  <si>
    <t>Tudela</t>
  </si>
  <si>
    <t>23/05/2009</t>
  </si>
  <si>
    <t>Javier Saviola</t>
  </si>
  <si>
    <t>https://fbref.com/en/players/de544fdb/Javier-Saviola</t>
  </si>
  <si>
    <t>https://www.transfermarkt.com/javier-saviola/profil/spieler/7611</t>
  </si>
  <si>
    <t>javier-saviola</t>
  </si>
  <si>
    <t>Jean Marie Dongou</t>
  </si>
  <si>
    <t>https://fbref.com/en/players/fd0bb7d2/Jean-Marie-Dongou</t>
  </si>
  <si>
    <t>https://www.transfermarkt.com/jean-marie-dongou/profil/spieler/166666</t>
  </si>
  <si>
    <t>jean-marie-dongou</t>
  </si>
  <si>
    <t>FC Osaka</t>
  </si>
  <si>
    <t>17/08/2023</t>
  </si>
  <si>
    <t>19/01/2014</t>
  </si>
  <si>
    <t>Jean-Sylvain Babin</t>
  </si>
  <si>
    <t>https://fbref.com/en/players/ba998e22/Jean-Sylvain-Babin</t>
  </si>
  <si>
    <t>Martinique mq Â Other:Â France</t>
  </si>
  <si>
    <t>https://www.transfermarkt.com/jean-sylvain-babin/profil/spieler/45256</t>
  </si>
  <si>
    <t>jean-sylvain-babin</t>
  </si>
  <si>
    <t>Corbeil-Essonnes</t>
  </si>
  <si>
    <t>Real AvilÃ©s</t>
  </si>
  <si>
    <t>Jefferson Montero</t>
  </si>
  <si>
    <t>https://fbref.com/en/players/fa6561bf/Jefferson-Montero</t>
  </si>
  <si>
    <t>https://www.transfermarkt.com/jefferson-montero/profil/spieler/77932</t>
  </si>
  <si>
    <t>jefferson-montero</t>
  </si>
  <si>
    <t>Babahoyo</t>
  </si>
  <si>
    <t>FC St Helens</t>
  </si>
  <si>
    <t>18/10/2008</t>
  </si>
  <si>
    <t>JeffrÃ©n SuÃ¡rez</t>
  </si>
  <si>
    <t>https://fbref.com/en/players/01e9c0a6/Jeffren-Suarez</t>
  </si>
  <si>
    <t>https://www.transfermarkt.com/jeffren/profil/spieler/53309</t>
  </si>
  <si>
    <t>jeffren</t>
  </si>
  <si>
    <t>JeffrÃ©n</t>
  </si>
  <si>
    <t>20/01/1988</t>
  </si>
  <si>
    <t>Ciudad BolÃ­var</t>
  </si>
  <si>
    <t>Chiangmai Utd.</t>
  </si>
  <si>
    <t>26/07/2024</t>
  </si>
  <si>
    <t>Jeffrey Sarpong</t>
  </si>
  <si>
    <t>https://fbref.com/en/players/cabfd01c/Jeffrey-Sarpong</t>
  </si>
  <si>
    <t>https://www.transfermarkt.com/jeffrey-sarpong/profil/spieler/35529</t>
  </si>
  <si>
    <t>jeffrey-sarpong</t>
  </si>
  <si>
    <t>Amsterdam</t>
  </si>
  <si>
    <t>NetherlandsÂ Â Ghana</t>
  </si>
  <si>
    <t>VriendenLoterij Eredivisie</t>
  </si>
  <si>
    <t>Jeison Murillo</t>
  </si>
  <si>
    <t>https://fbref.com/en/players/b233e8e4/Jeison-Murillo</t>
  </si>
  <si>
    <t>May 27, 1992 (Age:Â 33-152d)</t>
  </si>
  <si>
    <t>Al Shamal</t>
  </si>
  <si>
    <t>https://www.transfermarkt.com/jeison-murillo/profil/spieler/131102</t>
  </si>
  <si>
    <t>jeison-murillo</t>
  </si>
  <si>
    <t>27/05/1992</t>
  </si>
  <si>
    <t>Barranquilla</t>
  </si>
  <si>
    <t>Al-Shamal SC</t>
  </si>
  <si>
    <t>Jerzy Dudek</t>
  </si>
  <si>
    <t>https://fbref.com/en/players/1064659d/Jerzy-Dudek</t>
  </si>
  <si>
    <t>https://www.transfermarkt.com/jerzy-dudek/profil/spieler/3209</t>
  </si>
  <si>
    <t>jerzy-dudek</t>
  </si>
  <si>
    <t>23/03/1973</t>
  </si>
  <si>
    <t>Rybnik</t>
  </si>
  <si>
    <t>JesÃ©</t>
  </si>
  <si>
    <t>https://fbref.com/en/players/4a537185/Jese</t>
  </si>
  <si>
    <t>February 26, 1993 (Age:Â 32-242d)</t>
  </si>
  <si>
    <t>https://www.transfermarkt.com/jese/profil/spieler/134936</t>
  </si>
  <si>
    <t>jese</t>
  </si>
  <si>
    <t>26/02/1993 (32)</t>
  </si>
  <si>
    <t>JesÃºs</t>
  </si>
  <si>
    <t>https://fbref.com/en/players/fba3c8c1/Jesus</t>
  </si>
  <si>
    <t>June 11, 1988 (Age:Â 37-137d)</t>
  </si>
  <si>
    <t>Politehnica IaÈ™i</t>
  </si>
  <si>
    <t>https://www.transfermarkt.com/jesus-fernandez/profil/spieler/91885</t>
  </si>
  <si>
    <t>jesus-fernandez</t>
  </si>
  <si>
    <t>JesÃºs FernÃ¡ndez</t>
  </si>
  <si>
    <t>11/06/1988 (37)</t>
  </si>
  <si>
    <t>ACSM Poli Iasi</t>
  </si>
  <si>
    <t>22/05/2010</t>
  </si>
  <si>
    <t>JesÃºs DÃ¡tolo</t>
  </si>
  <si>
    <t>https://fbref.com/en/players/49e7b005/Jesus-Datolo</t>
  </si>
  <si>
    <t>https://www.transfermarkt.com/jesus-datolo/profil/spieler/30759</t>
  </si>
  <si>
    <t>jesus-datolo</t>
  </si>
  <si>
    <t>19/05/1984</t>
  </si>
  <si>
    <t>Carlos Spegazzini</t>
  </si>
  <si>
    <t>Tristan Suarez</t>
  </si>
  <si>
    <t>19/02/2023</t>
  </si>
  <si>
    <t>JesÃºs GÃ¡mez</t>
  </si>
  <si>
    <t>https://fbref.com/en/players/bd1d1cbb/Jesus-Gamez</t>
  </si>
  <si>
    <t>https://www.transfermarkt.com/jesus-gamez/profil/spieler/29055</t>
  </si>
  <si>
    <t>jesus-gamez</t>
  </si>
  <si>
    <t>Fuengirola</t>
  </si>
  <si>
    <t>Newcastle</t>
  </si>
  <si>
    <t>JesÃºs Navas</t>
  </si>
  <si>
    <t>https://fbref.com/en/players/3f10bd22/Jesus-Navas</t>
  </si>
  <si>
    <t>DF-FW-MF (AM-FB-WM, right)</t>
  </si>
  <si>
    <t>https://www.transfermarkt.com/jesus-navas/profil/spieler/15956</t>
  </si>
  <si>
    <t>jesus-navas</t>
  </si>
  <si>
    <t>21/11/1985</t>
  </si>
  <si>
    <t>Los Palacios y Villafranca</t>
  </si>
  <si>
    <t>23/11/2003</t>
  </si>
  <si>
    <t>JesÃºs Rueda</t>
  </si>
  <si>
    <t>https://fbref.com/en/players/9d8ba8ec/Jesus-Rueda</t>
  </si>
  <si>
    <t>https://www.transfermarkt.com/jesus-rueda/profil/spieler/56543</t>
  </si>
  <si>
    <t>jesus-rueda</t>
  </si>
  <si>
    <t>Corte de Peleas</t>
  </si>
  <si>
    <t>CD Zafra</t>
  </si>
  <si>
    <t>JesÃºs VÃ¡zquez</t>
  </si>
  <si>
    <t>https://fbref.com/en/players/96b3239f/Jesus-Vazquez</t>
  </si>
  <si>
    <t>https://www.transfermarkt.com/jesus-vazquez/profil/spieler/27683</t>
  </si>
  <si>
    <t>jesus-vazquez</t>
  </si>
  <si>
    <t>18/01/1980 (45)</t>
  </si>
  <si>
    <t>Santa Olalla del Cala</t>
  </si>
  <si>
    <t>Jhon CÃ³rdoba</t>
  </si>
  <si>
    <t>https://fbref.com/en/players/9f381d8b/Jhon-Cordoba</t>
  </si>
  <si>
    <t>May 11, 1993 (Age:Â 32-168d)</t>
  </si>
  <si>
    <t>Istmina, Colombia</t>
  </si>
  <si>
    <t>Krasnodar</t>
  </si>
  <si>
    <t>Chiapas</t>
  </si>
  <si>
    <t>https://www.transfermarkt.com/jhon-cordoba/profil/spieler/185245</t>
  </si>
  <si>
    <t>jhon-cordoba</t>
  </si>
  <si>
    <t>Istmina</t>
  </si>
  <si>
    <t>23/07/2021</t>
  </si>
  <si>
    <t>Liga Dimayor I</t>
  </si>
  <si>
    <t>JiÅ™Ã­ JaroÅ¡Ã­k</t>
  </si>
  <si>
    <t>cz CZE</t>
  </si>
  <si>
    <t>https://fbref.com/en/players/55ea6bb4/Jiri-Jarosik</t>
  </si>
  <si>
    <t>Czech Republic</t>
  </si>
  <si>
    <t>DF-MF</t>
  </si>
  <si>
    <t>CSKA Moscow</t>
  </si>
  <si>
    <t>https://www.transfermarkt.com/jiri-jarosik/profil/spieler/15581</t>
  </si>
  <si>
    <t>jiri-jarosik</t>
  </si>
  <si>
    <t>Jiri Jarosik</t>
  </si>
  <si>
    <t>27/10/1977</t>
  </si>
  <si>
    <t>ÃšstÃ­ nad Labem</t>
  </si>
  <si>
    <t>22/09/2013</t>
  </si>
  <si>
    <t>JoÃ£o Cancelo</t>
  </si>
  <si>
    <t>https://fbref.com/en/players/bd6351cd/Joao-Cancelo</t>
  </si>
  <si>
    <t>Barreiro, Portugal</t>
  </si>
  <si>
    <t>DF-MF (CB-FB, right)</t>
  </si>
  <si>
    <t>Al-Hilal</t>
  </si>
  <si>
    <t>https://www.transfermarkt.com/joao-cancelo/profil/spieler/182712</t>
  </si>
  <si>
    <t>joao-cancelo</t>
  </si>
  <si>
    <t>Barreiro</t>
  </si>
  <si>
    <t>JoÃ£o Pereira</t>
  </si>
  <si>
    <t>https://fbref.com/en/players/aefd0c5b/Joao-Pereira</t>
  </si>
  <si>
    <t>https://www.transfermarkt.com/joao-pereira/profil/spieler/13217</t>
  </si>
  <si>
    <t>joao-pereira</t>
  </si>
  <si>
    <t>25/02/1984 (41)</t>
  </si>
  <si>
    <t>Sporting</t>
  </si>
  <si>
    <t>JoÃ£o Victor</t>
  </si>
  <si>
    <t>https://fbref.com/en/players/dbc94b4c/Joao-Victor</t>
  </si>
  <si>
    <t>https://www.transfermarkt.com/joao-victor/profil/spieler/54996</t>
  </si>
  <si>
    <t>joao-victor</t>
  </si>
  <si>
    <t>07/11/1988 (36)</t>
  </si>
  <si>
    <t>Olinda</t>
  </si>
  <si>
    <t>Joan Ã€ngel RomÃ¡n</t>
  </si>
  <si>
    <t>https://fbref.com/en/players/150a54c2/Joan-Angel-Roman</t>
  </si>
  <si>
    <t>May 18, 1993 (Age:Â 32-161d)</t>
  </si>
  <si>
    <t>Reus, Spain</t>
  </si>
  <si>
    <t>KS Wieczysta KrakÃ³w</t>
  </si>
  <si>
    <t>https://www.transfermarkt.com/joan-roman/profil/spieler/121411</t>
  </si>
  <si>
    <t>joan-roman</t>
  </si>
  <si>
    <t>Joan RomÃ¡n</t>
  </si>
  <si>
    <t>18/05/1993</t>
  </si>
  <si>
    <t>Wieczysta</t>
  </si>
  <si>
    <t>25/07/2024</t>
  </si>
  <si>
    <t>Joan Capdevila</t>
  </si>
  <si>
    <t>https://fbref.com/en/players/69697a6d/Joan-Capdevila</t>
  </si>
  <si>
    <t>https://www.transfermarkt.com/joan-capdevila/profil/spieler/7486</t>
  </si>
  <si>
    <t>joan-capdevila</t>
  </si>
  <si>
    <t>TÃ rrega</t>
  </si>
  <si>
    <t>FC Santa Coloma</t>
  </si>
  <si>
    <t>31/10/1998</t>
  </si>
  <si>
    <t>Joan JordÃ¡n</t>
  </si>
  <si>
    <t>https://fbref.com/en/players/2a0c8ba4/Joan-Jordan</t>
  </si>
  <si>
    <t>PalamÃ³s, Spain</t>
  </si>
  <si>
    <t>MF (CM-DM-WM)</t>
  </si>
  <si>
    <t>https://www.transfermarkt.com/joan-jordan/profil/spieler/263727</t>
  </si>
  <si>
    <t>joan-jordan</t>
  </si>
  <si>
    <t>RegencÃ³s</t>
  </si>
  <si>
    <t>Joan Oriol</t>
  </si>
  <si>
    <t>https://fbref.com/en/players/7ccb2ef6/Joan-Oriol</t>
  </si>
  <si>
    <t>November 5, 1986 (Age:Â 38-355d)</t>
  </si>
  <si>
    <t>Cambrils, Spain</t>
  </si>
  <si>
    <t>https://www.transfermarkt.com/joan-oriol/profil/spieler/73215</t>
  </si>
  <si>
    <t>joan-oriol</t>
  </si>
  <si>
    <t>27/11/2010</t>
  </si>
  <si>
    <t>Joan TomÃ s</t>
  </si>
  <si>
    <t>https://fbref.com/en/players/9ada6f1d/Joan-Tomas</t>
  </si>
  <si>
    <t>https://www.transfermarkt.com/joan-tomas/profil/spieler/64419</t>
  </si>
  <si>
    <t>joan-tomas</t>
  </si>
  <si>
    <t>Joan TomÃ¡s</t>
  </si>
  <si>
    <t>CF Peralada</t>
  </si>
  <si>
    <t>Joan VerdÃº</t>
  </si>
  <si>
    <t>https://fbref.com/en/players/61508522/Joan-Verdu</t>
  </si>
  <si>
    <t>https://www.transfermarkt.com/joan-verdu/profil/spieler/28005</t>
  </si>
  <si>
    <t>joan-verdu</t>
  </si>
  <si>
    <t>JoaquÃ­n</t>
  </si>
  <si>
    <t>https://fbref.com/en/players/4c5b14d2/Joaquin</t>
  </si>
  <si>
    <t>https://www.transfermarkt.com/joaquin/profil/spieler/7663</t>
  </si>
  <si>
    <t>joaquin</t>
  </si>
  <si>
    <t>21/07/1981 (44)</t>
  </si>
  <si>
    <t>JoaquÃ­n Larrivey</t>
  </si>
  <si>
    <t>https://fbref.com/en/players/7ae94e67/Joaquin-Larrivey</t>
  </si>
  <si>
    <t>August 20, 1984 (Age:Â 41-067d)</t>
  </si>
  <si>
    <t>Gualeguay, Argentina</t>
  </si>
  <si>
    <t>Deportes Concepcion</t>
  </si>
  <si>
    <t>Cagliari</t>
  </si>
  <si>
    <t>https://www.transfermarkt.com/joaquin-larrivey/profil/spieler/52428</t>
  </si>
  <si>
    <t>joaquin-larrivey</t>
  </si>
  <si>
    <t>20/08/1984</t>
  </si>
  <si>
    <t>Gualeguay</t>
  </si>
  <si>
    <t>D. ConcepciÃ³n</t>
  </si>
  <si>
    <t>26/02/2017</t>
  </si>
  <si>
    <t>Joel Campbell</t>
  </si>
  <si>
    <t>https://fbref.com/en/players/895ff3ca/Joel-Campbell</t>
  </si>
  <si>
    <t>June 26, 1992 (Age:Â 33-122d)</t>
  </si>
  <si>
    <t>Lorient</t>
  </si>
  <si>
    <t>https://www.transfermarkt.com/joel-campbell/profil/spieler/131248</t>
  </si>
  <si>
    <t>joel-campbell</t>
  </si>
  <si>
    <t>26/06/1992</t>
  </si>
  <si>
    <t>15/11/2009</t>
  </si>
  <si>
    <t>Primera DivisiÃ³n Invierno</t>
  </si>
  <si>
    <t>Joel Robles</t>
  </si>
  <si>
    <t>https://fbref.com/en/players/cda0b317/Joel-Robles</t>
  </si>
  <si>
    <t>June 17, 1990 (Age:Â 35-131d)</t>
  </si>
  <si>
    <t>Getafe, Spain</t>
  </si>
  <si>
    <t>Estoril</t>
  </si>
  <si>
    <t>https://www.transfermarkt.com/joel-robles/profil/spieler/101118</t>
  </si>
  <si>
    <t>joel-robles</t>
  </si>
  <si>
    <t>17/06/1990</t>
  </si>
  <si>
    <t>15/08/2023</t>
  </si>
  <si>
    <t>Joel Valencia</t>
  </si>
  <si>
    <t>https://fbref.com/en/players/03904ca0/Joel-Valencia</t>
  </si>
  <si>
    <t>November 16, 1994 (Age:Â 30-344d)</t>
  </si>
  <si>
    <t>Quininde, Ecuador</t>
  </si>
  <si>
    <t>Znicz PruszkÃ³w</t>
  </si>
  <si>
    <t>https://www.transfermarkt.com/joel-valencia/profil/spieler/175451</t>
  </si>
  <si>
    <t>joel-valencia</t>
  </si>
  <si>
    <t>16/11/1994</t>
  </si>
  <si>
    <t>QuinindÃ©</t>
  </si>
  <si>
    <t>Znicz Pruszkow</t>
  </si>
  <si>
    <t>31/08/2019</t>
  </si>
  <si>
    <t>Johan Mojica</t>
  </si>
  <si>
    <t>https://fbref.com/en/players/608f2092/Johan-Mojica</t>
  </si>
  <si>
    <t>August 21, 1992 (Age:Â 33-066d)</t>
  </si>
  <si>
    <t>https://www.transfermarkt.com/johan-mojica/profil/spieler/262939</t>
  </si>
  <si>
    <t>johan-mojica</t>
  </si>
  <si>
    <t>21/08/1992</t>
  </si>
  <si>
    <t>23/07/2024</t>
  </si>
  <si>
    <t>30/03/2013</t>
  </si>
  <si>
    <t>Jon Aurtenetxe</t>
  </si>
  <si>
    <t>https://fbref.com/en/players/74b0e3ce/Jon-Aurtenetxe</t>
  </si>
  <si>
    <t>January 3, 1992 (Age:Â 33-296d)</t>
  </si>
  <si>
    <t>Amorebieta, Spain</t>
  </si>
  <si>
    <t>Amorebieta</t>
  </si>
  <si>
    <t>https://www.transfermarkt.com/jon-aurtenetxe/profil/spieler/89726</t>
  </si>
  <si>
    <t>jon-aurtenetxe</t>
  </si>
  <si>
    <t>Amorebieta-Etxano</t>
  </si>
  <si>
    <t>Jon Errasti</t>
  </si>
  <si>
    <t>https://fbref.com/en/players/4243631a/Jon-Errasti</t>
  </si>
  <si>
    <t>https://www.transfermarkt.com/jon-errasti/profil/spieler/158849</t>
  </si>
  <si>
    <t>jon-errasti</t>
  </si>
  <si>
    <t>21/09/2013</t>
  </si>
  <si>
    <t>Jon GaztaÃ±aga</t>
  </si>
  <si>
    <t>https://fbref.com/en/players/806872d2/Jon-Gaztanaga</t>
  </si>
  <si>
    <t>June 28, 1991 (Age:Â 34-120d)</t>
  </si>
  <si>
    <t>Andoain, Spain</t>
  </si>
  <si>
    <t>SD Beasain</t>
  </si>
  <si>
    <t>https://www.transfermarkt.com/jon-gaztanaga/profil/spieler/66110</t>
  </si>
  <si>
    <t>jon-gaztanaga</t>
  </si>
  <si>
    <t>28/06/1991</t>
  </si>
  <si>
    <t>Andoain</t>
  </si>
  <si>
    <t>22/08/2024</t>
  </si>
  <si>
    <t>JonÃ¡s Ramalho</t>
  </si>
  <si>
    <t>https://fbref.com/en/players/be3a0121/Jonas-Ramalho</t>
  </si>
  <si>
    <t>June 10, 1993 (Age:Â 32-138d)</t>
  </si>
  <si>
    <t>Barakaldo, Spain</t>
  </si>
  <si>
    <t>Spain es Â Other:Â Angola</t>
  </si>
  <si>
    <t>https://www.transfermarkt.com/jonas-ramalho/profil/spieler/69660</t>
  </si>
  <si>
    <t>jonas-ramalho</t>
  </si>
  <si>
    <t>SpainÂ Â Angola</t>
  </si>
  <si>
    <t>25/09/2025</t>
  </si>
  <si>
    <t>Jonas</t>
  </si>
  <si>
    <t>https://fbref.com/en/players/9bcd6455/Jonas</t>
  </si>
  <si>
    <t>https://www.transfermarkt.com/jonas/profil/spieler/50143</t>
  </si>
  <si>
    <t>jonas</t>
  </si>
  <si>
    <t>01/04/1984 (41)</t>
  </si>
  <si>
    <t>Bebedouro</t>
  </si>
  <si>
    <t>Jonathan de GuzmÃ¡n</t>
  </si>
  <si>
    <t>https://fbref.com/en/players/1bcca8b8/Jonathan-de-Guzman</t>
  </si>
  <si>
    <t>September 13, 1987 (Age:Â 38-043d)</t>
  </si>
  <si>
    <t>Toronto, Ontario, Canada</t>
  </si>
  <si>
    <t>Netherlands nl Â Other:Â Canada</t>
  </si>
  <si>
    <t>Sparta Rotterdam</t>
  </si>
  <si>
    <t>https://www.transfermarkt.com/jonathan-de-guzman/profil/spieler/31067</t>
  </si>
  <si>
    <t>jonathan-de-guzman</t>
  </si>
  <si>
    <t>13/09/1987</t>
  </si>
  <si>
    <t>Toronto, Ontario</t>
  </si>
  <si>
    <t>NetherlandsÂ Â Canada</t>
  </si>
  <si>
    <t>Sparta R.</t>
  </si>
  <si>
    <t>22/07/2022</t>
  </si>
  <si>
    <t>18/09/2005</t>
  </si>
  <si>
    <t>Jonathan dos Santos</t>
  </si>
  <si>
    <t>https://fbref.com/en/players/91872dec/Jonathan-dos-Santos</t>
  </si>
  <si>
    <t>April 26, 1990 (Age:Â 35-183d)</t>
  </si>
  <si>
    <t>Monterrey, Estado de Nuevo LeÃ³n, Mexico</t>
  </si>
  <si>
    <t>https://www.transfermarkt.com/jonathan-dos-santos/profil/spieler/60445</t>
  </si>
  <si>
    <t>jonathan-dos-santos</t>
  </si>
  <si>
    <t>26/04/1990</t>
  </si>
  <si>
    <t>Jonathan LÃ³pez</t>
  </si>
  <si>
    <t>https://fbref.com/en/players/5f872f11/Jonathan-Lopez</t>
  </si>
  <si>
    <t>https://www.transfermarkt.com/jonathan-lopez/profil/spieler/58064</t>
  </si>
  <si>
    <t>jonathan-lopez</t>
  </si>
  <si>
    <t>16/04/1981</t>
  </si>
  <si>
    <t>RiaÃ±o</t>
  </si>
  <si>
    <t>Apollon Pontou</t>
  </si>
  <si>
    <t>Jonathan Pereira</t>
  </si>
  <si>
    <t>https://fbref.com/en/players/806ab4b6/Jonathan-Pereira</t>
  </si>
  <si>
    <t>https://www.transfermarkt.com/jonathan-pereira/profil/spieler/53239</t>
  </si>
  <si>
    <t>jonathan-pereira</t>
  </si>
  <si>
    <t>24/07/2021</t>
  </si>
  <si>
    <t>21/10/2006</t>
  </si>
  <si>
    <t>Jonathan Urretaviscaya</t>
  </si>
  <si>
    <t>https://fbref.com/en/players/6465d159/Jonathan-Urretaviscaya</t>
  </si>
  <si>
    <t>March 19, 1990 (Age:Â 35-221d)</t>
  </si>
  <si>
    <t>194cm</t>
  </si>
  <si>
    <t>Juventud (Uru)</t>
  </si>
  <si>
    <t>https://www.transfermarkt.com/jonathan-urretaviscaya/profil/spieler/74621</t>
  </si>
  <si>
    <t>jonathan-urretaviscaya</t>
  </si>
  <si>
    <t>19/03/1990</t>
  </si>
  <si>
    <t>Juventud</t>
  </si>
  <si>
    <t>24/01/2025</t>
  </si>
  <si>
    <t>Liguilla Pre-Libertadores</t>
  </si>
  <si>
    <t>Jonathan Viera</t>
  </si>
  <si>
    <t>https://fbref.com/en/players/efa708aa/Jonathan-Viera</t>
  </si>
  <si>
    <t>October 21, 1989 (Age:Â 36-005d)</t>
  </si>
  <si>
    <t>https://www.transfermarkt.com/jonathan-viera/profil/spieler/153238</t>
  </si>
  <si>
    <t>jonathan-viera</t>
  </si>
  <si>
    <t>21/10/1989</t>
  </si>
  <si>
    <t>Jonathan Vila</t>
  </si>
  <si>
    <t>https://fbref.com/en/players/7c3a3425/Jonathan-Vila</t>
  </si>
  <si>
    <t>https://www.transfermarkt.com/jonathan-vila/profil/spieler/44859</t>
  </si>
  <si>
    <t>jonathan-vila</t>
  </si>
  <si>
    <t>PorriÃ±o</t>
  </si>
  <si>
    <t>Coruxo FC</t>
  </si>
  <si>
    <t>Jonathan Zongo</t>
  </si>
  <si>
    <t>bf BFA</t>
  </si>
  <si>
    <t>https://fbref.com/en/players/a5dbef51/Jonathan-Zongo</t>
  </si>
  <si>
    <t>Burkina Faso</t>
  </si>
  <si>
    <t>https://www.transfermarkt.com/jonathan-zongo/profil/spieler/174706</t>
  </si>
  <si>
    <t>jonathan-zongo</t>
  </si>
  <si>
    <t>Ouagadougou</t>
  </si>
  <si>
    <t>23/12/2020</t>
  </si>
  <si>
    <t>Jonathas</t>
  </si>
  <si>
    <t>https://fbref.com/en/players/531807b3/Jonathas</t>
  </si>
  <si>
    <t>https://www.transfermarkt.com/jonathas/profil/spieler/58345</t>
  </si>
  <si>
    <t>jonathas</t>
  </si>
  <si>
    <t>Belo Horizonte</t>
  </si>
  <si>
    <t>AmÃ©rica-MG</t>
  </si>
  <si>
    <t>31/03/2025</t>
  </si>
  <si>
    <t>23/08/2006</t>
  </si>
  <si>
    <t>Jonny Castro</t>
  </si>
  <si>
    <t>https://fbref.com/en/players/e28868f3/Jonny-Castro</t>
  </si>
  <si>
    <t>March 3, 1994 (Age:Â 31-237d)</t>
  </si>
  <si>
    <t>DF-MF (FB-WM)</t>
  </si>
  <si>
    <t>https://www.transfermarkt.com/jonny-otto/profil/spieler/175446</t>
  </si>
  <si>
    <t>jonny-otto</t>
  </si>
  <si>
    <t>Jonny Otto</t>
  </si>
  <si>
    <t>Jordan LotiÃ¨s</t>
  </si>
  <si>
    <t>https://fbref.com/en/players/64864d05/Jordan-Loties</t>
  </si>
  <si>
    <t>https://www.transfermarkt.com/jordan-loties/profil/spieler/49804</t>
  </si>
  <si>
    <t>jordan-loties</t>
  </si>
  <si>
    <t>Clermont-Ferrand</t>
  </si>
  <si>
    <t>FC ChamaliÃ¨res</t>
  </si>
  <si>
    <t>Jordi</t>
  </si>
  <si>
    <t>https://fbref.com/en/players/744a8a7c/Jordi</t>
  </si>
  <si>
    <t>https://www.transfermarkt.com/jordi-figueras/profil/spieler/62941</t>
  </si>
  <si>
    <t>jordi-figueras</t>
  </si>
  <si>
    <t>Jordi Figueras</t>
  </si>
  <si>
    <t>16/05/1987 (38)</t>
  </si>
  <si>
    <t>14/03/2010</t>
  </si>
  <si>
    <t>Jordi Alba</t>
  </si>
  <si>
    <t>https://fbref.com/en/players/4601e194/Jordi-Alba</t>
  </si>
  <si>
    <t>Marmolejo, Spain</t>
  </si>
  <si>
    <t>https://www.transfermarkt.com/jordi-alba/profil/spieler/69751</t>
  </si>
  <si>
    <t>jordi-alba</t>
  </si>
  <si>
    <t>21/03/1989</t>
  </si>
  <si>
    <t>20/07/2023</t>
  </si>
  <si>
    <t>31/12/2027</t>
  </si>
  <si>
    <t>13/09/2009</t>
  </si>
  <si>
    <t>Jordi Amat</t>
  </si>
  <si>
    <t>id IDN</t>
  </si>
  <si>
    <t>https://fbref.com/en/players/d70a2141/Jordi-Amat</t>
  </si>
  <si>
    <t>March 21, 1992 (Age:Â 33-219d)</t>
  </si>
  <si>
    <t>Canet de Mar, Spain</t>
  </si>
  <si>
    <t>Indonesia id Â Other:Â Spain</t>
  </si>
  <si>
    <t>Persija Jakarta</t>
  </si>
  <si>
    <t>https://www.transfermarkt.com/jordi-amat/profil/spieler/85289</t>
  </si>
  <si>
    <t>jordi-amat</t>
  </si>
  <si>
    <t>21/03/1992</t>
  </si>
  <si>
    <t>IndonesiaÂ Â Spain</t>
  </si>
  <si>
    <t>Persija</t>
  </si>
  <si>
    <t>Jordi Codina</t>
  </si>
  <si>
    <t>https://fbref.com/en/players/812088cd/Jordi-Codina</t>
  </si>
  <si>
    <t>https://www.transfermarkt.com/jordi-codina/profil/spieler/35462</t>
  </si>
  <si>
    <t>jordi-codina</t>
  </si>
  <si>
    <t>27/04/1982</t>
  </si>
  <si>
    <t>31/01/2019</t>
  </si>
  <si>
    <t>18/05/2008</t>
  </si>
  <si>
    <t>Jordi Masip</t>
  </si>
  <si>
    <t>https://fbref.com/en/players/8fae77ea/Jordi-Masip</t>
  </si>
  <si>
    <t>https://www.transfermarkt.com/jordi-masip/profil/spieler/65263</t>
  </si>
  <si>
    <t>jordi-masip</t>
  </si>
  <si>
    <t>23/05/2015</t>
  </si>
  <si>
    <t>31/10/2010</t>
  </si>
  <si>
    <t>Jordi Xumetra</t>
  </si>
  <si>
    <t>https://fbref.com/en/players/3b79dbdb/Jordi-Xumetra</t>
  </si>
  <si>
    <t>https://www.transfermarkt.com/jordi-xumetra/profil/spieler/73314</t>
  </si>
  <si>
    <t>jordi-xumetra</t>
  </si>
  <si>
    <t>24/10/1985</t>
  </si>
  <si>
    <t>L'Estartit</t>
  </si>
  <si>
    <t>L'Escala</t>
  </si>
  <si>
    <t>Jorge GarcÃ­a</t>
  </si>
  <si>
    <t>https://fbref.com/en/players/d1bd08ef/Jorge-Garcia</t>
  </si>
  <si>
    <t>https://www.transfermarkt.com/jorge-garcia/profil/spieler/57804</t>
  </si>
  <si>
    <t>jorge-garcia</t>
  </si>
  <si>
    <t>13/01/1984 (41)</t>
  </si>
  <si>
    <t>UD Llanera</t>
  </si>
  <si>
    <t>Jorge LÃ³pez</t>
  </si>
  <si>
    <t>https://fbref.com/en/players/cf66479e/Jorge-Lopez</t>
  </si>
  <si>
    <t>https://www.transfermarkt.com/jorge-lopez/profil/spieler/7844</t>
  </si>
  <si>
    <t>jorge-lopez</t>
  </si>
  <si>
    <t>19/09/1978</t>
  </si>
  <si>
    <t>30/11/1997</t>
  </si>
  <si>
    <t>Jorge Molina</t>
  </si>
  <si>
    <t>https://fbref.com/en/players/43f71e77/Jorge-Molina</t>
  </si>
  <si>
    <t>Poli Ejido</t>
  </si>
  <si>
    <t>https://www.transfermarkt.com/jorge-molina/profil/spieler/57825</t>
  </si>
  <si>
    <t>jorge-molina</t>
  </si>
  <si>
    <t>22/04/1982</t>
  </si>
  <si>
    <t>Alcoy</t>
  </si>
  <si>
    <t>Jorge Morcillo</t>
  </si>
  <si>
    <t>https://fbref.com/en/players/ebbbf1dd/Jorge-Morcillo</t>
  </si>
  <si>
    <t>Alcoyano</t>
  </si>
  <si>
    <t>https://www.transfermarkt.com/jorge-morcillo/profil/spieler/65239</t>
  </si>
  <si>
    <t>jorge-morcillo</t>
  </si>
  <si>
    <t>CD Mosconia</t>
  </si>
  <si>
    <t>Jorge OrtÃ­</t>
  </si>
  <si>
    <t>https://fbref.com/en/players/5d67b085/Jorge-Orti</t>
  </si>
  <si>
    <t>https://www.transfermarkt.com/jorge-orti/profil/spieler/129495</t>
  </si>
  <si>
    <t>jorge-orti</t>
  </si>
  <si>
    <t>28/04/1993 (32)</t>
  </si>
  <si>
    <t>Pegasus</t>
  </si>
  <si>
    <t>18/10/2019</t>
  </si>
  <si>
    <t>26/10/2011</t>
  </si>
  <si>
    <t>Jorge Pulido</t>
  </si>
  <si>
    <t>https://fbref.com/en/players/978cd030/Jorge-Pulido</t>
  </si>
  <si>
    <t>April 8, 1991 (Age:Â 34-201d)</t>
  </si>
  <si>
    <t>Talavera de la Reina, Spain</t>
  </si>
  <si>
    <t>https://www.transfermarkt.com/jorge-pulido/profil/spieler/67546</t>
  </si>
  <si>
    <t>jorge-pulido</t>
  </si>
  <si>
    <t>15/05/2011</t>
  </si>
  <si>
    <t>Joris Mathijsen</t>
  </si>
  <si>
    <t>https://fbref.com/en/players/5758c29f/Joris-Mathijsen</t>
  </si>
  <si>
    <t>Willem II</t>
  </si>
  <si>
    <t>https://www.transfermarkt.com/joris-mathijsen/profil/spieler/4563</t>
  </si>
  <si>
    <t>joris-mathijsen</t>
  </si>
  <si>
    <t>Goirle</t>
  </si>
  <si>
    <t>27/02/1999</t>
  </si>
  <si>
    <t>JosÃ© Ãngel</t>
  </si>
  <si>
    <t>https://fbref.com/en/players/3024e383/Jose-Angel</t>
  </si>
  <si>
    <t>https://www.transfermarkt.com/cote/profil/spieler/87469</t>
  </si>
  <si>
    <t>cote</t>
  </si>
  <si>
    <t>Cote</t>
  </si>
  <si>
    <t>05/09/1989 (36)</t>
  </si>
  <si>
    <t>13/08/2022</t>
  </si>
  <si>
    <t>JosÃ© Ãngel Alonso</t>
  </si>
  <si>
    <t>https://fbref.com/en/players/1950ed97/Jose-Angel-Alonso</t>
  </si>
  <si>
    <t>https://www.transfermarkt.com/jose-angel/profil/spieler/160182</t>
  </si>
  <si>
    <t>jose-angel</t>
  </si>
  <si>
    <t>JosÃ© Ãngel Crespo</t>
  </si>
  <si>
    <t>https://fbref.com/en/players/8ec4c2f7/Jose-Angel-Crespo</t>
  </si>
  <si>
    <t>https://www.transfermarkt.com/jose-crespo/profil/spieler/37397</t>
  </si>
  <si>
    <t>jose-crespo</t>
  </si>
  <si>
    <t>JosÃ© Crespo</t>
  </si>
  <si>
    <t>Lora del RÃ­o</t>
  </si>
  <si>
    <t>JosÃ© Antonio Caro</t>
  </si>
  <si>
    <t>https://fbref.com/en/players/02e4da70/Jose-Antonio-Caro</t>
  </si>
  <si>
    <t>March 8, 1993 (Age:Â 32-232d)</t>
  </si>
  <si>
    <t>Estepa, Spain</t>
  </si>
  <si>
    <t>https://www.transfermarkt.com/jose-antonio-caro/profil/spieler/254039</t>
  </si>
  <si>
    <t>jose-antonio-caro</t>
  </si>
  <si>
    <t>José Antonio Caro Martínez</t>
  </si>
  <si>
    <t>_x000D_
08/03/1993</t>
  </si>
  <si>
    <t>_x000D_
Estepa</t>
  </si>
  <si>
    <t>_x000D_
Defender - Centre-Back</t>
  </si>
  <si>
    <t>_x000D_
CD Estepona FS</t>
  </si>
  <si>
    <t>_x000D_
13/08/2024</t>
  </si>
  <si>
    <t>16/11/2014</t>
  </si>
  <si>
    <t>JosÃ© Antonio Reyes</t>
  </si>
  <si>
    <t>https://fbref.com/en/players/19058f02/Jose-Antonio-Reyes</t>
  </si>
  <si>
    <t>https://www.transfermarkt.com/jose-antonio-reyes/profil/spieler/7717</t>
  </si>
  <si>
    <t>jose-antonio-reyes</t>
  </si>
  <si>
    <t>30/01/2000</t>
  </si>
  <si>
    <t>22/10/2000</t>
  </si>
  <si>
    <t>01.06.2019</t>
  </si>
  <si>
    <t>JosÃ© Ariel NÃºÃ±ez</t>
  </si>
  <si>
    <t>https://fbref.com/en/players/c98a821e/Jose-Ariel-Nunez</t>
  </si>
  <si>
    <t>September 12, 1988 (Age:Â 37-044d)</t>
  </si>
  <si>
    <t>AsunciÃ³n, Paraguay</t>
  </si>
  <si>
    <t>Club AtlÃ©tico Tembetary</t>
  </si>
  <si>
    <t>https://www.transfermarkt.com/jose-nunez/profil/spieler/139440</t>
  </si>
  <si>
    <t>jose-nunez</t>
  </si>
  <si>
    <t>JosÃ© NÃºÃ±ez</t>
  </si>
  <si>
    <t>12 de Octubre</t>
  </si>
  <si>
    <t>Superligaen</t>
  </si>
  <si>
    <t>JosÃ© Barkero</t>
  </si>
  <si>
    <t>https://fbref.com/en/players/89a1b23c/Jose-Barkero</t>
  </si>
  <si>
    <t>https://www.transfermarkt.com/jose-javier-barkero/profil/spieler/7468</t>
  </si>
  <si>
    <t>jose-javier-barkero</t>
  </si>
  <si>
    <t>JosÃ© Javier Barkero</t>
  </si>
  <si>
    <t>27/04/1979 (46)</t>
  </si>
  <si>
    <t>Aretxabaleta</t>
  </si>
  <si>
    <t>25/10/1998</t>
  </si>
  <si>
    <t>15/04/2001</t>
  </si>
  <si>
    <t>JosÃ© CaÃ±as</t>
  </si>
  <si>
    <t>https://fbref.com/en/players/ab77f2d9/Jose-Canas</t>
  </si>
  <si>
    <t>May 27, 1987 (Age:Â 38-152d)</t>
  </si>
  <si>
    <t>Rota, Spain</t>
  </si>
  <si>
    <t>Manchester 62 FC</t>
  </si>
  <si>
    <t>https://www.transfermarkt.com/jose-alberto-canas/profil/spieler/69609</t>
  </si>
  <si>
    <t>jose-alberto-canas</t>
  </si>
  <si>
    <t>JosÃ© Alberto CaÃ±as</t>
  </si>
  <si>
    <t>27/05/1987 (38)</t>
  </si>
  <si>
    <t>Rota</t>
  </si>
  <si>
    <t>Manchester 62</t>
  </si>
  <si>
    <t>28/08/2024</t>
  </si>
  <si>
    <t>JosÃ© CallejÃ³n</t>
  </si>
  <si>
    <t>https://fbref.com/en/players/78841da9/Jose-Callejon</t>
  </si>
  <si>
    <t>February 11, 1987 (Age:Â 38-257d)</t>
  </si>
  <si>
    <t>Motril, Spain</t>
  </si>
  <si>
    <t>https://www.transfermarkt.com/jose-callejon/profil/spieler/61253</t>
  </si>
  <si>
    <t>jose-callejon</t>
  </si>
  <si>
    <t>Motril</t>
  </si>
  <si>
    <t>20/09/2008</t>
  </si>
  <si>
    <t>JosÃ© CampaÃ±a</t>
  </si>
  <si>
    <t>https://fbref.com/en/players/61220da2/Jose-Campana</t>
  </si>
  <si>
    <t>https://www.transfermarkt.com/jose-campana/profil/spieler/120095</t>
  </si>
  <si>
    <t>jose-campana</t>
  </si>
  <si>
    <t>31/05/1993</t>
  </si>
  <si>
    <t>JosÃ© Carlos</t>
  </si>
  <si>
    <t>https://fbref.com/en/players/6738f3c6/Jose-Carlos</t>
  </si>
  <si>
    <t>https://www.transfermarkt.com/jose-carlos/profil/spieler/73244</t>
  </si>
  <si>
    <t>jose-carlos</t>
  </si>
  <si>
    <t>17/07/1987 (38)</t>
  </si>
  <si>
    <t>Minas de RÃ­otinto</t>
  </si>
  <si>
    <t>JosÃ© CatalÃ¡</t>
  </si>
  <si>
    <t>https://fbref.com/en/players/ac0a9088/Jose-Catala</t>
  </si>
  <si>
    <t>https://www.transfermarkt.com/jose-manuel-catala/profil/spieler/64385</t>
  </si>
  <si>
    <t>jose-manuel-catala</t>
  </si>
  <si>
    <t>JosÃ© Manuel CatalÃ¡</t>
  </si>
  <si>
    <t>01/01/1985 (40)</t>
  </si>
  <si>
    <t>Villajoyosa</t>
  </si>
  <si>
    <t>A. Dos Hermanas</t>
  </si>
  <si>
    <t>JosÃ© GarcÃ­a</t>
  </si>
  <si>
    <t>https://fbref.com/en/players/9463b38c/Jose-Garcia</t>
  </si>
  <si>
    <t>https://www.transfermarkt.com/jose-garcia/profil/spieler/298276</t>
  </si>
  <si>
    <t>jose-garcia</t>
  </si>
  <si>
    <t>13/01/1997 (28)</t>
  </si>
  <si>
    <t>JosÃ© HigÃ³n</t>
  </si>
  <si>
    <t>https://fbref.com/en/players/562194e6/Jose-Higon</t>
  </si>
  <si>
    <t>https://www.transfermarkt.com/jose-higon/profil/spieler/169004</t>
  </si>
  <si>
    <t>jose-higon</t>
  </si>
  <si>
    <t>22/05/1991</t>
  </si>
  <si>
    <t>31/01/2022</t>
  </si>
  <si>
    <t>JosÃ© Isidoro</t>
  </si>
  <si>
    <t>https://fbref.com/en/players/bb00a819/Jose-Isidoro</t>
  </si>
  <si>
    <t>https://www.transfermarkt.com/isidoro/profil/spieler/48291</t>
  </si>
  <si>
    <t>isidoro</t>
  </si>
  <si>
    <t>Isidoro</t>
  </si>
  <si>
    <t>Pedrera</t>
  </si>
  <si>
    <t>Junkeren II</t>
  </si>
  <si>
    <t>25/01/2023</t>
  </si>
  <si>
    <t>JosÃ© LÃ³pez Silva</t>
  </si>
  <si>
    <t>https://fbref.com/en/players/60d6ed20/Jose-Lopez-Silva</t>
  </si>
  <si>
    <t>https://www.transfermarkt.com/jose-maria-lopez-silva/profil/spieler/73076</t>
  </si>
  <si>
    <t>jose-maria-lopez-silva</t>
  </si>
  <si>
    <t>JosÃ© MarÃ­a LÃ³pez Silva</t>
  </si>
  <si>
    <t>02/01/1983 (42)</t>
  </si>
  <si>
    <t>UD Tamaraceite</t>
  </si>
  <si>
    <t>JosÃ© Luis GayÃ </t>
  </si>
  <si>
    <t>https://fbref.com/en/players/b05e2dbd/Jose-Luis-Gaya</t>
  </si>
  <si>
    <t>May 25, 1995 (Age:Â 30-154d)</t>
  </si>
  <si>
    <t>Pedreguer, Spain</t>
  </si>
  <si>
    <t>https://www.transfermarkt.com/jose-gaya/profil/spieler/221322</t>
  </si>
  <si>
    <t>jose-gaya</t>
  </si>
  <si>
    <t>JosÃ© GayÃ </t>
  </si>
  <si>
    <t>25/05/1995</t>
  </si>
  <si>
    <t>Pedreguer</t>
  </si>
  <si>
    <t>JosÃ© Luis MartÃ­</t>
  </si>
  <si>
    <t>https://fbref.com/en/players/111c668a/Jose-Luis-Marti</t>
  </si>
  <si>
    <t>https://www.transfermarkt.com/josep-lluis-marti/profil/spieler/15955</t>
  </si>
  <si>
    <t>josep-lluis-marti</t>
  </si>
  <si>
    <t>Josep LluÃ­s MartÃ­</t>
  </si>
  <si>
    <t>28/04/1975 (50)</t>
  </si>
  <si>
    <t>16/04/2000</t>
  </si>
  <si>
    <t>JosÃ© Luis Morales</t>
  </si>
  <si>
    <t>https://fbref.com/en/players/4a478107/Jose-Luis-Morales</t>
  </si>
  <si>
    <t>July 23, 1987 (Age:Â 38-095d)</t>
  </si>
  <si>
    <t>https://www.transfermarkt.com/jose-luis-morales/profil/spieler/252677</t>
  </si>
  <si>
    <t>jose-luis-morales</t>
  </si>
  <si>
    <t>JosÃ© Manuel Casado</t>
  </si>
  <si>
    <t>https://fbref.com/en/players/d0b6d20e/Jose-Manuel-Casado</t>
  </si>
  <si>
    <t>https://www.transfermarkt.com/jose-manuel-casado/profil/spieler/58774</t>
  </si>
  <si>
    <t>jose-manuel-casado</t>
  </si>
  <si>
    <t>Coria CF</t>
  </si>
  <si>
    <t>30/06/2020</t>
  </si>
  <si>
    <t>JosÃ© Manuel FernÃ¡ndez</t>
  </si>
  <si>
    <t>https://fbref.com/en/players/4af68c24/Jose-Manuel-Fernandez</t>
  </si>
  <si>
    <t>https://www.transfermarkt.com/jose-manuel-fernandez/profil/spieler/172128</t>
  </si>
  <si>
    <t>jose-manuel-fernandez</t>
  </si>
  <si>
    <t>18/11/1989</t>
  </si>
  <si>
    <t>Betis Florida</t>
  </si>
  <si>
    <t>20/01/2013</t>
  </si>
  <si>
    <t>JosÃ© Manuel Jurado</t>
  </si>
  <si>
    <t>https://fbref.com/en/players/71d4e271/Jose-Manuel-Jurado</t>
  </si>
  <si>
    <t>https://www.transfermarkt.com/jose-manuel-jurado/profil/spieler/28261</t>
  </si>
  <si>
    <t>jose-manuel-jurado</t>
  </si>
  <si>
    <t>29/06/1986</t>
  </si>
  <si>
    <t>SanlÃºcar de Barrameda (CÃ¡diz)</t>
  </si>
  <si>
    <t>29/10/2005</t>
  </si>
  <si>
    <t>JosÃ© Manuel Pinto</t>
  </si>
  <si>
    <t>https://fbref.com/en/players/4a3cd9b7/Jose-Manuel-Pinto</t>
  </si>
  <si>
    <t>https://www.transfermarkt.com/jose-manuel-pinto/profil/spieler/7537</t>
  </si>
  <si>
    <t>jose-manuel-pinto</t>
  </si>
  <si>
    <t>JosÃ© MarÃ­a GimÃ©nez</t>
  </si>
  <si>
    <t>https://fbref.com/en/players/f0da930c/Jose-Maria-Gimenez</t>
  </si>
  <si>
    <t>January 20, 1995 (Age:Â 30-279d)</t>
  </si>
  <si>
    <t>Toledo, Uruguay</t>
  </si>
  <si>
    <t>https://www.transfermarkt.com/jose-maria-gimenez/profil/spieler/250845</t>
  </si>
  <si>
    <t>jose-maria-gimenez</t>
  </si>
  <si>
    <t>20/01/1995</t>
  </si>
  <si>
    <t>Toledo</t>
  </si>
  <si>
    <t>25/04/2013</t>
  </si>
  <si>
    <t>JosÃ© MarÃ­a Movilla</t>
  </si>
  <si>
    <t>https://fbref.com/en/players/1ac170a8/Jose-Maria-Movilla</t>
  </si>
  <si>
    <t>https://www.transfermarkt.com/jose-maria-movilla/profil/spieler/7763</t>
  </si>
  <si>
    <t>jose-maria-movilla</t>
  </si>
  <si>
    <t>25/02/2014</t>
  </si>
  <si>
    <t>31/08/1997</t>
  </si>
  <si>
    <t>JosÃ© Mari</t>
  </si>
  <si>
    <t>https://fbref.com/en/players/6f4c734d/Jose-Mari</t>
  </si>
  <si>
    <t>https://www.transfermarkt.com/jose-mari/profil/spieler/225462</t>
  </si>
  <si>
    <t>jose-mari</t>
  </si>
  <si>
    <t>06/12/1987 (37)</t>
  </si>
  <si>
    <t>19/11/2024</t>
  </si>
  <si>
    <t>JosÃ© Nunes</t>
  </si>
  <si>
    <t>https://fbref.com/en/players/adacff32/Jose-Nunes</t>
  </si>
  <si>
    <t>SC Salgueiros</t>
  </si>
  <si>
    <t>https://www.transfermarkt.com/jose-nunes/profil/spieler/14342</t>
  </si>
  <si>
    <t>jose-nunes</t>
  </si>
  <si>
    <t>Castelo de Paiva</t>
  </si>
  <si>
    <t>JosÃ© Ortiz Bernal</t>
  </si>
  <si>
    <t>https://fbref.com/en/players/60393076/Jose-Ortiz-Bernal</t>
  </si>
  <si>
    <t>FW-MF (AM, right)</t>
  </si>
  <si>
    <t>https://www.transfermarkt.com/jose-ortiz/profil/spieler/51527</t>
  </si>
  <si>
    <t>jose-ortiz</t>
  </si>
  <si>
    <t>JosÃ© Ortiz</t>
  </si>
  <si>
    <t>AlmerÃ­a CF</t>
  </si>
  <si>
    <t>31/01/2000</t>
  </si>
  <si>
    <t>JosÃ© PicÃ³n</t>
  </si>
  <si>
    <t>https://fbref.com/en/players/6960a69e/Jose-Picon</t>
  </si>
  <si>
    <t>https://www.transfermarkt.com/jose-picon/profil/spieler/89379</t>
  </si>
  <si>
    <t>jose-picon</t>
  </si>
  <si>
    <t>13/05/1988</t>
  </si>
  <si>
    <t>UM Escobedo</t>
  </si>
  <si>
    <t>23/04/2009</t>
  </si>
  <si>
    <t>30/09/2013</t>
  </si>
  <si>
    <t>JosÃ© RodrÃ­guez</t>
  </si>
  <si>
    <t>https://fbref.com/en/players/55e81c76/Jose-Rodriguez</t>
  </si>
  <si>
    <t>December 16, 1994 (Age:Â 30-314d)</t>
  </si>
  <si>
    <t>Villajoyosa, Spain</t>
  </si>
  <si>
    <t>Flamurtari VlorÃ«</t>
  </si>
  <si>
    <t>https://www.transfermarkt.com/jose-rodriguez/profil/spieler/165012</t>
  </si>
  <si>
    <t>jose-rodriguez</t>
  </si>
  <si>
    <t>16/12/1994 (30)</t>
  </si>
  <si>
    <t>Flamurtari FC</t>
  </si>
  <si>
    <t>14/07/2025</t>
  </si>
  <si>
    <t>JosÃ© Sand</t>
  </si>
  <si>
    <t>https://fbref.com/en/players/29cf8777/Jose-Sand</t>
  </si>
  <si>
    <t>https://www.transfermarkt.com/jose-sand/profil/spieler/26269</t>
  </si>
  <si>
    <t>jose-sand</t>
  </si>
  <si>
    <t>Bella Vista</t>
  </si>
  <si>
    <t>Argentino BV</t>
  </si>
  <si>
    <t>28/02/2026</t>
  </si>
  <si>
    <t>JosÃ© Sosa</t>
  </si>
  <si>
    <t>https://fbref.com/en/players/1eecc0c6/Jose-Sosa</t>
  </si>
  <si>
    <t>June 19, 1985 (Age:Â 40-129d)</t>
  </si>
  <si>
    <t>CarcaraÃ±Ã¡, Argentina</t>
  </si>
  <si>
    <t>MF (AM-DM)</t>
  </si>
  <si>
    <t>Estudiantes (LP)</t>
  </si>
  <si>
    <t>https://www.transfermarkt.com/jose-sosa/profil/spieler/20137</t>
  </si>
  <si>
    <t>jose-sosa</t>
  </si>
  <si>
    <t>19/06/1985</t>
  </si>
  <si>
    <t>Joseba Llorente</t>
  </si>
  <si>
    <t>https://fbref.com/en/players/ddb98947/Joseba-Llorente</t>
  </si>
  <si>
    <t>https://www.transfermarkt.com/joseba-llorente/profil/spieler/7480</t>
  </si>
  <si>
    <t>joseba-llorente</t>
  </si>
  <si>
    <t>24/11/1979</t>
  </si>
  <si>
    <t>Hondarribia</t>
  </si>
  <si>
    <t>Joseba ZaldÃºa</t>
  </si>
  <si>
    <t>https://fbref.com/en/players/5ca20b7a/Joseba-Zaldua</t>
  </si>
  <si>
    <t>https://www.transfermarkt.com/joseba-zaldua/profil/spieler/197135</t>
  </si>
  <si>
    <t>joseba-zaldua</t>
  </si>
  <si>
    <t>Joseba Zaldua</t>
  </si>
  <si>
    <t>24/06/1992</t>
  </si>
  <si>
    <t>16/08/2024</t>
  </si>
  <si>
    <t>Joselu</t>
  </si>
  <si>
    <t>https://fbref.com/en/players/6265208f/Joselu</t>
  </si>
  <si>
    <t>March 27, 1990 (Age:Â 35-213d)</t>
  </si>
  <si>
    <t>Stuttgart, Germany</t>
  </si>
  <si>
    <t>Spain es Â Other:Â Germany</t>
  </si>
  <si>
    <t>Al Gharrafa</t>
  </si>
  <si>
    <t>https://www.transfermarkt.com/joselu/profil/spieler/81999</t>
  </si>
  <si>
    <t>joselu</t>
  </si>
  <si>
    <t>27/03/1990</t>
  </si>
  <si>
    <t>Stuttgart</t>
  </si>
  <si>
    <t>SpainÂ Â Germany</t>
  </si>
  <si>
    <t>Al-Gharafa</t>
  </si>
  <si>
    <t>Josetxo</t>
  </si>
  <si>
    <t>https://fbref.com/en/players/c1a297b4/Josetxo</t>
  </si>
  <si>
    <t>https://www.transfermarkt.com/josetxo/profil/spieler/7726</t>
  </si>
  <si>
    <t>josetxo</t>
  </si>
  <si>
    <t>Centre-Back</t>
  </si>
  <si>
    <t>Josuha Guilavogui</t>
  </si>
  <si>
    <t>https://fbref.com/en/players/e6c43eec/Josuha-Guilavogui</t>
  </si>
  <si>
    <t>https://www.transfermarkt.com/josuha-guilavogui/profil/spieler/93704</t>
  </si>
  <si>
    <t>josuha-guilavogui</t>
  </si>
  <si>
    <t>19/09/1990</t>
  </si>
  <si>
    <t>Toulon</t>
  </si>
  <si>
    <t>FranceÂ Â Guinea</t>
  </si>
  <si>
    <t>Jozabed</t>
  </si>
  <si>
    <t>https://fbref.com/en/players/9b337c7c/Jozabed</t>
  </si>
  <si>
    <t>https://www.transfermarkt.com/jozabed-sanchez/profil/spieler/207924</t>
  </si>
  <si>
    <t>jozabed-sanchez</t>
  </si>
  <si>
    <t>Jozabed SÃ¡nchez</t>
  </si>
  <si>
    <t>Mairena del Alcor</t>
  </si>
  <si>
    <t>Jozy Altidore</t>
  </si>
  <si>
    <t>us USA</t>
  </si>
  <si>
    <t>https://fbref.com/en/players/8db8ad1e/Jozy-Altidore</t>
  </si>
  <si>
    <t>United States</t>
  </si>
  <si>
    <t>NY Red Bulls</t>
  </si>
  <si>
    <t>https://www.transfermarkt.com/jozy-altidore/profil/spieler/39378</t>
  </si>
  <si>
    <t>jozy-altidore</t>
  </si>
  <si>
    <t>Livingston, New Jersey</t>
  </si>
  <si>
    <t>United StatesÂ Â Haiti</t>
  </si>
  <si>
    <t>Major League Soccer</t>
  </si>
  <si>
    <t>Juan Ãngel AlbÃ­n</t>
  </si>
  <si>
    <t>https://fbref.com/en/players/6be43cc9/Juan-Angel-Albin</t>
  </si>
  <si>
    <t>https://www.transfermarkt.com/juan-albin/profil/spieler/44139</t>
  </si>
  <si>
    <t>juan-albin</t>
  </si>
  <si>
    <t>Juan AlbÃ­n</t>
  </si>
  <si>
    <t>17/07/1986</t>
  </si>
  <si>
    <t>Juan Bernat</t>
  </si>
  <si>
    <t>https://fbref.com/en/players/433dc9a2/Juan-Bernat</t>
  </si>
  <si>
    <t>https://www.transfermarkt.com/juan-bernat/profil/spieler/126719</t>
  </si>
  <si>
    <t>juan-bernat</t>
  </si>
  <si>
    <t>Cullera</t>
  </si>
  <si>
    <t>Juan Calatayud</t>
  </si>
  <si>
    <t>https://fbref.com/en/players/f1714283/Juan-Calatayud</t>
  </si>
  <si>
    <t>https://www.transfermarkt.com/juan-calatayud/profil/spieler/15980</t>
  </si>
  <si>
    <t>juan-calatayud</t>
  </si>
  <si>
    <t>21/12/1979</t>
  </si>
  <si>
    <t>Juan Carlos</t>
  </si>
  <si>
    <t>https://fbref.com/en/players/688b96e3/Juan-Carlos</t>
  </si>
  <si>
    <t>https://www.transfermarkt.com/juan-carlos/profil/spieler/120705</t>
  </si>
  <si>
    <t>juan-carlos</t>
  </si>
  <si>
    <t>20/01/1988 (37)</t>
  </si>
  <si>
    <t>https://fbref.com/en/players/82803509/Juan-Carlos</t>
  </si>
  <si>
    <t>https://www.transfermarkt.com/juan-carlos-real/profil/spieler/201861</t>
  </si>
  <si>
    <t>juan-carlos-real</t>
  </si>
  <si>
    <t>Juan Carlos Real</t>
  </si>
  <si>
    <t>15/03/1991 (34)</t>
  </si>
  <si>
    <t>18/08/2024</t>
  </si>
  <si>
    <t>19/10/2014</t>
  </si>
  <si>
    <t>https://fbref.com/en/players/bc5adc98/Juan-Carlos</t>
  </si>
  <si>
    <t>https://www.transfermarkt.com/juan-carlos/profil/spieler/39004</t>
  </si>
  <si>
    <t>Juan Carlos GonzÃ¡lez</t>
  </si>
  <si>
    <t>27/07/1987</t>
  </si>
  <si>
    <t>Colonia del Sacramento</t>
  </si>
  <si>
    <t>Juan Carlos ValerÃ³n</t>
  </si>
  <si>
    <t>https://fbref.com/en/players/71e8d6b0/Juan-Carlos-Valeron</t>
  </si>
  <si>
    <t>https://www.transfermarkt.com/juan-carlos-valeron/profil/spieler/7501</t>
  </si>
  <si>
    <t>juan-carlos-valeron</t>
  </si>
  <si>
    <t>17/06/1975</t>
  </si>
  <si>
    <t>31/08/1996</t>
  </si>
  <si>
    <t>Juan DomÃ­nguez</t>
  </si>
  <si>
    <t>https://fbref.com/en/players/b85adf53/Juan-Dominguez</t>
  </si>
  <si>
    <t>https://www.transfermarkt.com/juan-dominguez/profil/spieler/72195</t>
  </si>
  <si>
    <t>juan-dominguez</t>
  </si>
  <si>
    <t>Asteras Tripoli</t>
  </si>
  <si>
    <t>13/12/2009</t>
  </si>
  <si>
    <t>Juan ForlÃ­n</t>
  </si>
  <si>
    <t>https://fbref.com/en/players/ab9ca65d/Juan-Forlin</t>
  </si>
  <si>
    <t>https://www.transfermarkt.com/juan-forlin/profil/spieler/53332</t>
  </si>
  <si>
    <t>juan-forlin</t>
  </si>
  <si>
    <t>Reconquista</t>
  </si>
  <si>
    <t>CF Badalona</t>
  </si>
  <si>
    <t>19/04/2008</t>
  </si>
  <si>
    <t>Juan Manuel Ortiz</t>
  </si>
  <si>
    <t>https://fbref.com/en/players/77513881/Juan-Manuel-Ortiz</t>
  </si>
  <si>
    <t>https://www.transfermarkt.com/juanma-ortiz/profil/spieler/7353</t>
  </si>
  <si>
    <t>juanma-ortiz</t>
  </si>
  <si>
    <t>Juanma Ortiz</t>
  </si>
  <si>
    <t>Guardamar del Segura</t>
  </si>
  <si>
    <t>Juan Mata</t>
  </si>
  <si>
    <t>https://fbref.com/en/players/29733c72/Juan-Mata</t>
  </si>
  <si>
    <t>April 28, 1988 (Age:Â 37-181d)</t>
  </si>
  <si>
    <t>Villafranca Montes de Oca, Spain</t>
  </si>
  <si>
    <t>Melbourne Victory</t>
  </si>
  <si>
    <t>https://www.transfermarkt.com/juan-mata/profil/spieler/44068</t>
  </si>
  <si>
    <t>juan-mata</t>
  </si>
  <si>
    <t>28/04/1988</t>
  </si>
  <si>
    <t>Burgos</t>
  </si>
  <si>
    <t>Melb. Victory</t>
  </si>
  <si>
    <t>Juan MuÃ±iz</t>
  </si>
  <si>
    <t>https://fbref.com/en/players/1533d658/Juan-Muniz</t>
  </si>
  <si>
    <t>March 14, 1992 (Age:Â 33-226d)</t>
  </si>
  <si>
    <t>https://www.transfermarkt.com/juan-muniz/profil/spieler/85357</t>
  </si>
  <si>
    <t>juan-muniz</t>
  </si>
  <si>
    <t>14/03/1992 (33)</t>
  </si>
  <si>
    <t>15/09/2025</t>
  </si>
  <si>
    <t>16/05/2010</t>
  </si>
  <si>
    <t>Juan MuÃ±oz</t>
  </si>
  <si>
    <t>https://fbref.com/en/players/25018d62/Juan-Munoz</t>
  </si>
  <si>
    <t>November 12, 1995 (Age:Â 29-348d)</t>
  </si>
  <si>
    <t>198cm</t>
  </si>
  <si>
    <t>https://www.transfermarkt.com/juan-munoz/profil/spieler/268958</t>
  </si>
  <si>
    <t>juan-munoz</t>
  </si>
  <si>
    <t>Leiria</t>
  </si>
  <si>
    <t>Juan Neira</t>
  </si>
  <si>
    <t>https://fbref.com/en/players/12d25112/Juan-Neira</t>
  </si>
  <si>
    <t>February 21, 1989 (Age:Â 36-247d)</t>
  </si>
  <si>
    <t>OFI Crete</t>
  </si>
  <si>
    <t>https://www.transfermarkt.com/juan-neira/profil/spieler/56831</t>
  </si>
  <si>
    <t>juan-neira</t>
  </si>
  <si>
    <t>Azul</t>
  </si>
  <si>
    <t>25/02/2007</t>
  </si>
  <si>
    <t>Final de ExpansiÃ³n</t>
  </si>
  <si>
    <t>Juan Pablo Colinas</t>
  </si>
  <si>
    <t>https://fbref.com/en/players/b2cab8f4/Juan-Pablo-Colinas</t>
  </si>
  <si>
    <t>https://www.transfermarkt.com/juan-pablo-colinas/profil/spieler/27685</t>
  </si>
  <si>
    <t>juan-pablo-colinas</t>
  </si>
  <si>
    <t>Juan Rafael Fuentes</t>
  </si>
  <si>
    <t>https://fbref.com/en/players/5b54a75f/Juan-Rafael-Fuentes</t>
  </si>
  <si>
    <t>https://www.transfermarkt.com/juan-rafael-fuentes/profil/spieler/126252</t>
  </si>
  <si>
    <t>juan-rafael-fuentes</t>
  </si>
  <si>
    <t>Nott'm Forest</t>
  </si>
  <si>
    <t>Juan RodrÃ­guez</t>
  </si>
  <si>
    <t>https://fbref.com/en/players/25c3c939/Juan-Rodriguez</t>
  </si>
  <si>
    <t>https://www.transfermarkt.com/juan-rodriguez/profil/spieler/15983</t>
  </si>
  <si>
    <t>juan-rodriguez</t>
  </si>
  <si>
    <t>01/04/1982 (43)</t>
  </si>
  <si>
    <t>28/09/2003</t>
  </si>
  <si>
    <t>Juan Valera EspÃ­n</t>
  </si>
  <si>
    <t>https://fbref.com/en/players/947fa33c/Juan-Valera-Espin</t>
  </si>
  <si>
    <t>https://www.transfermarkt.com/juan-valera/profil/spieler/16595</t>
  </si>
  <si>
    <t>juan-valera</t>
  </si>
  <si>
    <t>Juan Valera</t>
  </si>
  <si>
    <t>Bullas</t>
  </si>
  <si>
    <t>14/06/2003</t>
  </si>
  <si>
    <t>Juanfran</t>
  </si>
  <si>
    <t>https://fbref.com/en/players/9ba48d64/Juanfran</t>
  </si>
  <si>
    <t>DF-FW-MF (FB-WM, right)</t>
  </si>
  <si>
    <t>https://www.transfermarkt.com/juanfran-moreno/profil/spieler/64411</t>
  </si>
  <si>
    <t>juanfran-moreno</t>
  </si>
  <si>
    <t>Juanfran Moreno</t>
  </si>
  <si>
    <t>11/09/1988 (37)</t>
  </si>
  <si>
    <t>23/03/2008</t>
  </si>
  <si>
    <t>https://fbref.com/en/players/cfd8d664/Juanfran</t>
  </si>
  <si>
    <t>https://www.transfermarkt.com/juanfran-torres/profil/spieler/16635</t>
  </si>
  <si>
    <t>juanfran-torres</t>
  </si>
  <si>
    <t>Juanfran Torres</t>
  </si>
  <si>
    <t>Crevillente</t>
  </si>
  <si>
    <t>24/01/2004</t>
  </si>
  <si>
    <t>https://fbref.com/en/players/d8a22e59/Juanfran</t>
  </si>
  <si>
    <t>https://www.transfermarkt.com/juanfran/profil/spieler/7542</t>
  </si>
  <si>
    <t>juanfran</t>
  </si>
  <si>
    <t>15/07/1976 (49)</t>
  </si>
  <si>
    <t>22/09/1996</t>
  </si>
  <si>
    <t>Juanito</t>
  </si>
  <si>
    <t>https://fbref.com/en/players/47176127/Juanito</t>
  </si>
  <si>
    <t>https://www.transfermarkt.com/juanito/profil/spieler/7795</t>
  </si>
  <si>
    <t>juanito</t>
  </si>
  <si>
    <t>17/02/1980 (45)</t>
  </si>
  <si>
    <t>Juankar</t>
  </si>
  <si>
    <t>https://fbref.com/en/players/e9a12436/Juankar</t>
  </si>
  <si>
    <t>DF-FW-MF (AM-FB-WM, left)</t>
  </si>
  <si>
    <t>https://www.transfermarkt.com/juankar/profil/spieler/126625</t>
  </si>
  <si>
    <t>juankar</t>
  </si>
  <si>
    <t>30/03/1990</t>
  </si>
  <si>
    <t>Boadilla del Monte</t>
  </si>
  <si>
    <t>18/08/2018</t>
  </si>
  <si>
    <t>Juanlu</t>
  </si>
  <si>
    <t>https://fbref.com/en/players/94b88487/Juanlu</t>
  </si>
  <si>
    <t>https://www.transfermarkt.com/juanlu/profil/spieler/22568</t>
  </si>
  <si>
    <t>juanlu</t>
  </si>
  <si>
    <t>18/05/1980 (45)</t>
  </si>
  <si>
    <t>Juanma</t>
  </si>
  <si>
    <t>https://fbref.com/en/players/51437e43/Juanma</t>
  </si>
  <si>
    <t>https://www.transfermarkt.com/juanma-garcia/profil/spieler/315312</t>
  </si>
  <si>
    <t>juanma-garcia</t>
  </si>
  <si>
    <t>Juanma GarcÃ­a</t>
  </si>
  <si>
    <t>20/02/1993 (32)</t>
  </si>
  <si>
    <t>San JosÃ© de la Rinconada</t>
  </si>
  <si>
    <t>15/08/2021</t>
  </si>
  <si>
    <t>https://fbref.com/en/players/f4f22926/Juanma</t>
  </si>
  <si>
    <t>https://www.transfermarkt.com/juanma/profil/spieler/23220</t>
  </si>
  <si>
    <t>Juan Manuel Gómez Sánchez</t>
  </si>
  <si>
    <t>_x000D_
29/05/1981</t>
  </si>
  <si>
    <t>Don Benito</t>
  </si>
  <si>
    <t>Alavés</t>
  </si>
  <si>
    <t>_x000D_
01/07/2015</t>
  </si>
  <si>
    <t>26/09/2004</t>
  </si>
  <si>
    <t>Juanmi</t>
  </si>
  <si>
    <t>https://fbref.com/en/players/84399660/Juanmi</t>
  </si>
  <si>
    <t>May 20, 1993 (Age:Â 32-159d)</t>
  </si>
  <si>
    <t>CoÃ­n, Spain</t>
  </si>
  <si>
    <t>https://www.transfermarkt.com/juanmi/profil/spieler/126737</t>
  </si>
  <si>
    <t>juanmi</t>
  </si>
  <si>
    <t>20/05/1993</t>
  </si>
  <si>
    <t>CoÃ­n</t>
  </si>
  <si>
    <t>17/01/2010</t>
  </si>
  <si>
    <t>19/01/2013</t>
  </si>
  <si>
    <t>Juanpi</t>
  </si>
  <si>
    <t>https://fbref.com/en/players/d79afcfc/Juanpi</t>
  </si>
  <si>
    <t>January 24, 1994 (Age:Â 31-275d)</t>
  </si>
  <si>
    <t>Caracas, Venezuela</t>
  </si>
  <si>
    <t>Volos N.F.C.</t>
  </si>
  <si>
    <t>https://www.transfermarkt.com/juanpi/profil/spieler/256680</t>
  </si>
  <si>
    <t>juanpi</t>
  </si>
  <si>
    <t>24/01/1994</t>
  </si>
  <si>
    <t>Volos NPS</t>
  </si>
  <si>
    <t>30/09/2018</t>
  </si>
  <si>
    <t>Juanra</t>
  </si>
  <si>
    <t>https://fbref.com/en/players/616d9a30/Juanra</t>
  </si>
  <si>
    <t>https://www.transfermarkt.com/juanra/profil/spieler/51560</t>
  </si>
  <si>
    <t>juanra</t>
  </si>
  <si>
    <t>24/04/1980</t>
  </si>
  <si>
    <t>Estivella</t>
  </si>
  <si>
    <t>21/05/2000</t>
  </si>
  <si>
    <t>Juca</t>
  </si>
  <si>
    <t>https://fbref.com/en/players/ecb0057e/Juca</t>
  </si>
  <si>
    <t>https://www.transfermarkt.com/juca/profil/spieler/51675</t>
  </si>
  <si>
    <t>juca</t>
  </si>
  <si>
    <t>19/11/1979</t>
  </si>
  <si>
    <t>Passo Fundo</t>
  </si>
  <si>
    <t>16/01/2014</t>
  </si>
  <si>
    <t>26/05/2012</t>
  </si>
  <si>
    <t>Jukka Raitala</t>
  </si>
  <si>
    <t>fi FIN</t>
  </si>
  <si>
    <t>https://fbref.com/en/players/67b054d1/Jukka-Raitala</t>
  </si>
  <si>
    <t>September 15, 1988 (Age:Â 37-041d)</t>
  </si>
  <si>
    <t>Kerava, Finland</t>
  </si>
  <si>
    <t>Finland</t>
  </si>
  <si>
    <t>IF Gnistan</t>
  </si>
  <si>
    <t>HJK</t>
  </si>
  <si>
    <t>https://www.transfermarkt.com/jukka-raitala/profil/spieler/47785</t>
  </si>
  <si>
    <t>jukka-raitala</t>
  </si>
  <si>
    <t>15/09/1988</t>
  </si>
  <si>
    <t>Kerava</t>
  </si>
  <si>
    <t>26/04/2007</t>
  </si>
  <si>
    <t>Veikkausliiga</t>
  </si>
  <si>
    <t>24/07/2006</t>
  </si>
  <si>
    <t>YkkÃ¶sliiga</t>
  </si>
  <si>
    <t>JuliÃ¡n Cuesta</t>
  </si>
  <si>
    <t>https://fbref.com/en/players/c7b52b90/Julian-Cuesta</t>
  </si>
  <si>
    <t>March 28, 1991 (Age:Â 34-212d)</t>
  </si>
  <si>
    <t>Granada, Spain</t>
  </si>
  <si>
    <t>Antalyaspor</t>
  </si>
  <si>
    <t>https://www.transfermarkt.com/julian-cuesta/profil/spieler/176936</t>
  </si>
  <si>
    <t>julian-cuesta</t>
  </si>
  <si>
    <t>28/03/1991</t>
  </si>
  <si>
    <t>CampotÃ©jar</t>
  </si>
  <si>
    <t>28/01/2013</t>
  </si>
  <si>
    <t>JuliÃ¡n Luque Conde</t>
  </si>
  <si>
    <t>https://fbref.com/en/players/61d8d347/Julian-Luque-Conde</t>
  </si>
  <si>
    <t>https://www.transfermarkt.com/julian-luque/profil/spieler/99349</t>
  </si>
  <si>
    <t>julian-luque</t>
  </si>
  <si>
    <t>JuliÃ¡n Luque</t>
  </si>
  <si>
    <t>27/03/1992</t>
  </si>
  <si>
    <t>Real UniÃ³n</t>
  </si>
  <si>
    <t>22/01/2011</t>
  </si>
  <si>
    <t>26/08/2012</t>
  </si>
  <si>
    <t>Julien EscudÃ©</t>
  </si>
  <si>
    <t>https://fbref.com/en/players/6aa5bd41/Julien-Escude</t>
  </si>
  <si>
    <t>https://www.transfermarkt.com/julien-escude/profil/spieler/3573</t>
  </si>
  <si>
    <t>julien-escude</t>
  </si>
  <si>
    <t>17/08/1979</t>
  </si>
  <si>
    <t>Chartres</t>
  </si>
  <si>
    <t>15/08/1998</t>
  </si>
  <si>
    <t>KÃ©vin Gameiro</t>
  </si>
  <si>
    <t>https://fbref.com/en/players/42276181/Kevin-Gameiro</t>
  </si>
  <si>
    <t>Strasbourg</t>
  </si>
  <si>
    <t>https://www.transfermarkt.com/kevin-gameiro/profil/spieler/27389</t>
  </si>
  <si>
    <t>kevin-gameiro</t>
  </si>
  <si>
    <t>Senlis</t>
  </si>
  <si>
    <t>R. Strasbourg</t>
  </si>
  <si>
    <t>16/03/2025</t>
  </si>
  <si>
    <t>13/10/2006</t>
  </si>
  <si>
    <t>KakÃ¡</t>
  </si>
  <si>
    <t>https://fbref.com/en/players/9ca27339/Kaka</t>
  </si>
  <si>
    <t>https://www.transfermarkt.com/kaka/profil/spieler/41234</t>
  </si>
  <si>
    <t>kaka</t>
  </si>
  <si>
    <t>16/05/1981</t>
  </si>
  <si>
    <t>São José do Belmonte</t>
  </si>
  <si>
    <t>BrazilÂ</t>
  </si>
  <si>
    <t>_x000D_
01/07/2020</t>
  </si>
  <si>
    <t>https://fbref.com/en/players/b2d6ea70/Kaka</t>
  </si>
  <si>
    <t>https://www.transfermarkt.com/kaka/profil/spieler/3366</t>
  </si>
  <si>
    <t>Gama</t>
  </si>
  <si>
    <t>17/12/2017</t>
  </si>
  <si>
    <t>Kalu Uche</t>
  </si>
  <si>
    <t>https://fbref.com/en/players/6cc97b1d/Kalu-Uche</t>
  </si>
  <si>
    <t>WisÅ‚a KrakÃ³w</t>
  </si>
  <si>
    <t>https://www.transfermarkt.com/kalu-uche/profil/spieler/6585</t>
  </si>
  <si>
    <t>kalu-uche</t>
  </si>
  <si>
    <t>15/11/1982</t>
  </si>
  <si>
    <t>Ãguilas FC</t>
  </si>
  <si>
    <t>30/09/2001</t>
  </si>
  <si>
    <t>Karim Benzema</t>
  </si>
  <si>
    <t>https://fbref.com/en/players/70d74ece/Karim-Benzema</t>
  </si>
  <si>
    <t>December 19, 1987 (Age:Â 37-311d)</t>
  </si>
  <si>
    <t>Lyon, France</t>
  </si>
  <si>
    <t>https://www.transfermarkt.com/karim-benzema/profil/spieler/18922</t>
  </si>
  <si>
    <t>karim-benzema</t>
  </si>
  <si>
    <t>19/12/1987</t>
  </si>
  <si>
    <t>15/01/2005</t>
  </si>
  <si>
    <t>Karim Yoda</t>
  </si>
  <si>
    <t>https://fbref.com/en/players/a7893629/Karim-Yoda</t>
  </si>
  <si>
    <t>October 25, 1988 (Age:Â 37-001d)</t>
  </si>
  <si>
    <t>Annemasse, France</t>
  </si>
  <si>
    <t>Al-Ra'ed</t>
  </si>
  <si>
    <t>Sion</t>
  </si>
  <si>
    <t>https://www.transfermarkt.com/karim-yoda/profil/spieler/61464</t>
  </si>
  <si>
    <t>karim-yoda</t>
  </si>
  <si>
    <t>25/10/1988</t>
  </si>
  <si>
    <t>Annemasse</t>
  </si>
  <si>
    <t>FranceÂ Â Cote d'Ivoire</t>
  </si>
  <si>
    <t>Al-Raed</t>
  </si>
  <si>
    <t>19/07/2009</t>
  </si>
  <si>
    <t>Brack.ch Challenge League</t>
  </si>
  <si>
    <t>Kennedy BakircioglÃ¼</t>
  </si>
  <si>
    <t>https://fbref.com/en/players/f6792b79/Kennedy-Bakircioglu</t>
  </si>
  <si>
    <t>Hammarby</t>
  </si>
  <si>
    <t>https://www.transfermarkt.com/kennedy/profil/spieler/17221</t>
  </si>
  <si>
    <t>kennedy</t>
  </si>
  <si>
    <t>Kennedy</t>
  </si>
  <si>
    <t>SÃ¶dertÃ¤lje</t>
  </si>
  <si>
    <t>SwedenÂ Â TÃ¼rkiye</t>
  </si>
  <si>
    <t>Kevin</t>
  </si>
  <si>
    <t>https://fbref.com/en/players/38ccaadc/Kevin</t>
  </si>
  <si>
    <t>NÃ®mes</t>
  </si>
  <si>
    <t>https://www.transfermarkt.com/kevin-garcia/profil/spieler/163654</t>
  </si>
  <si>
    <t>kevin-garcia</t>
  </si>
  <si>
    <t>Kevin GarcÃ­a</t>
  </si>
  <si>
    <t>08/09/1989 (36)</t>
  </si>
  <si>
    <t>Peguera</t>
  </si>
  <si>
    <t>CE Andratx</t>
  </si>
  <si>
    <t>Kevin Lacruz</t>
  </si>
  <si>
    <t>https://fbref.com/en/players/b930ede6/Kevin-Lacruz</t>
  </si>
  <si>
    <t>https://www.transfermarkt.com/kevin-lacruz/profil/spieler/89743</t>
  </si>
  <si>
    <t>kevin-lacruz</t>
  </si>
  <si>
    <t>13/02/1992</t>
  </si>
  <si>
    <t>SD Ejea</t>
  </si>
  <si>
    <t>Keylor Navas</t>
  </si>
  <si>
    <t>https://fbref.com/en/players/ecada4fc/Keylor-Navas</t>
  </si>
  <si>
    <t>December 15, 1986 (Age:Â 38-315d)</t>
  </si>
  <si>
    <t>San Isidro, Costa Rica</t>
  </si>
  <si>
    <t>Pumas UNAM</t>
  </si>
  <si>
    <t>https://www.transfermarkt.com/keylor-navas/profil/spieler/79422</t>
  </si>
  <si>
    <t>keylor-navas</t>
  </si>
  <si>
    <t>15/12/1986</t>
  </si>
  <si>
    <t>San Isidro de El General</t>
  </si>
  <si>
    <t>Costa RicaÂ Â Spain</t>
  </si>
  <si>
    <t>13/02/2008</t>
  </si>
  <si>
    <t>Khouma Babacar</t>
  </si>
  <si>
    <t>https://fbref.com/en/players/422ec08a/Khouma-Babacar</t>
  </si>
  <si>
    <t>March 17, 1993 (Age:Â 32-223d)</t>
  </si>
  <si>
    <t>Thies, Senegal</t>
  </si>
  <si>
    <t>SarÄ±yer SK</t>
  </si>
  <si>
    <t>https://www.transfermarkt.com/khouma-babacar/profil/spieler/124902</t>
  </si>
  <si>
    <t>khouma-babacar</t>
  </si>
  <si>
    <t>17/03/1993</t>
  </si>
  <si>
    <t>ThiÃ¨s</t>
  </si>
  <si>
    <t>SenegalÂ Â Italy</t>
  </si>
  <si>
    <t>Sariyer</t>
  </si>
  <si>
    <t>27/02/2010</t>
  </si>
  <si>
    <t>Kiko Casilla</t>
  </si>
  <si>
    <t>https://fbref.com/en/players/58bc7d18/Kiko-Casilla</t>
  </si>
  <si>
    <t>https://www.transfermarkt.com/kiko-casilla/profil/spieler/27486</t>
  </si>
  <si>
    <t>kiko-casilla</t>
  </si>
  <si>
    <t>Alcover</t>
  </si>
  <si>
    <t>21/05/2006</t>
  </si>
  <si>
    <t>Kiko FemenÃ­a</t>
  </si>
  <si>
    <t>https://fbref.com/en/players/e5d01ecf/Kiko-Femenia</t>
  </si>
  <si>
    <t>February 2, 1991 (Age:Â 34-266d)</t>
  </si>
  <si>
    <t>Sanet y Negrals, Spain</t>
  </si>
  <si>
    <t>https://www.transfermarkt.com/kiko-femenia/profil/spieler/76467</t>
  </si>
  <si>
    <t>kiko-femenia</t>
  </si>
  <si>
    <t>Sanet y Negrals</t>
  </si>
  <si>
    <t>15/06/2008</t>
  </si>
  <si>
    <t>Kiko Olivas</t>
  </si>
  <si>
    <t>https://fbref.com/en/players/72b07a9c/Kiko-Olivas</t>
  </si>
  <si>
    <t>August 21, 1988 (Age:Â 37-066d)</t>
  </si>
  <si>
    <t>Antequera, Spain</t>
  </si>
  <si>
    <t>https://www.transfermarkt.com/kiko-olivas/profil/spieler/51667</t>
  </si>
  <si>
    <t>kiko-olivas</t>
  </si>
  <si>
    <t>21/08/1988</t>
  </si>
  <si>
    <t>Kiu</t>
  </si>
  <si>
    <t>kr KOR</t>
  </si>
  <si>
    <t>https://fbref.com/en/players/d18372dd/Kiu</t>
  </si>
  <si>
    <t>Korea Republic</t>
  </si>
  <si>
    <t>https://www.transfermarkt.com/kiutm/profil/spieler/271446</t>
  </si>
  <si>
    <t>kiutm</t>
  </si>
  <si>
    <t>Yeongju, Gyeongbuk</t>
  </si>
  <si>
    <t>Korea, South</t>
  </si>
  <si>
    <t>Paju Citizen</t>
  </si>
  <si>
    <t>Knut Olav RindarÃ¸y</t>
  </si>
  <si>
    <t>no NOR</t>
  </si>
  <si>
    <t>https://fbref.com/en/players/9609a506/Knut-Olav-Rindaroy</t>
  </si>
  <si>
    <t>Norway</t>
  </si>
  <si>
    <t>Molde</t>
  </si>
  <si>
    <t>https://www.transfermarkt.com/knut-olav-rindaroy/profil/spieler/37190</t>
  </si>
  <si>
    <t>knut-olav-rindaroy</t>
  </si>
  <si>
    <t>17/07/1985</t>
  </si>
  <si>
    <t>Molde FK</t>
  </si>
  <si>
    <t>Koikili Lertxundi</t>
  </si>
  <si>
    <t>https://fbref.com/en/players/066272e4/Koikili-Lertxundi</t>
  </si>
  <si>
    <t>https://www.transfermarkt.com/koikili/profil/spieler/57024</t>
  </si>
  <si>
    <t>koikili</t>
  </si>
  <si>
    <t>Koikili</t>
  </si>
  <si>
    <t>23/12/1980</t>
  </si>
  <si>
    <t>Otxandio</t>
  </si>
  <si>
    <t>Koke</t>
  </si>
  <si>
    <t>https://fbref.com/en/players/55126f3b/Koke</t>
  </si>
  <si>
    <t>January 8, 1992 (Age:Â 33-291d)</t>
  </si>
  <si>
    <t>https://www.transfermarkt.com/koke/profil/spieler/74229</t>
  </si>
  <si>
    <t>koke</t>
  </si>
  <si>
    <t>https://fbref.com/en/players/9ce4fff8/Koke</t>
  </si>
  <si>
    <t>Málaga</t>
  </si>
  <si>
    <t>https://www.transfermarkt.com/koke/profil/spieler/16132</t>
  </si>
  <si>
    <t>27/04/1983 (42)</t>
  </si>
  <si>
    <t>Aris Saloniki</t>
  </si>
  <si>
    <t>Kris Stadsgaard</t>
  </si>
  <si>
    <t>dk DEN</t>
  </si>
  <si>
    <t>https://fbref.com/en/players/97d65d8e/Kris-Stadsgaard</t>
  </si>
  <si>
    <t>Denmark</t>
  </si>
  <si>
    <t>NordsjÃ¦lland</t>
  </si>
  <si>
    <t>https://www.transfermarkt.com/kris-stadsgaard/profil/spieler/22931</t>
  </si>
  <si>
    <t>kris-stadsgaard</t>
  </si>
  <si>
    <t>Kopenhagen</t>
  </si>
  <si>
    <t>Copenhagen</t>
  </si>
  <si>
    <t>22/10/2003</t>
  </si>
  <si>
    <t>KrisztiÃ¡n VadÃ³cz</t>
  </si>
  <si>
    <t>https://fbref.com/en/players/b4b0e333/Krisztian-Vadocz</t>
  </si>
  <si>
    <t>HonvÃ©d</t>
  </si>
  <si>
    <t>https://www.transfermarkt.com/krisztian-vadocz/profil/spieler/34116</t>
  </si>
  <si>
    <t>krisztian-vadocz</t>
  </si>
  <si>
    <t>30/05/1985</t>
  </si>
  <si>
    <t>Budapest</t>
  </si>
  <si>
    <t>Hilalspor</t>
  </si>
  <si>
    <t>26/09/2025</t>
  </si>
  <si>
    <t>LÃ©o BaptistÃ£o</t>
  </si>
  <si>
    <t>https://fbref.com/en/players/35f6db55/Leo-Baptistao</t>
  </si>
  <si>
    <t>August 26, 1992 (Age:Â 33-061d)</t>
  </si>
  <si>
    <t>Santos, Brazil</t>
  </si>
  <si>
    <t>https://www.transfermarkt.com/leo-baptistao/profil/spieler/221899</t>
  </si>
  <si>
    <t>leo-baptistao</t>
  </si>
  <si>
    <t>26/08/1992</t>
  </si>
  <si>
    <t>Santos</t>
  </si>
  <si>
    <t>LÃ©vy Madinda</t>
  </si>
  <si>
    <t>ga GAB</t>
  </si>
  <si>
    <t>https://fbref.com/en/players/ea26e99f/Levy-Madinda</t>
  </si>
  <si>
    <t>June 22, 1992 (Age:Â 33-126d)</t>
  </si>
  <si>
    <t>Libreville, Gabon</t>
  </si>
  <si>
    <t>Gabon</t>
  </si>
  <si>
    <t>PS Barito Putera</t>
  </si>
  <si>
    <t>https://www.transfermarkt.com/levy-madinda/profil/spieler/21297</t>
  </si>
  <si>
    <t>levy-madinda</t>
  </si>
  <si>
    <t>Levy Madinda</t>
  </si>
  <si>
    <t>Libreville</t>
  </si>
  <si>
    <t>Lass Bangoura</t>
  </si>
  <si>
    <t>gn GUI</t>
  </si>
  <si>
    <t>https://fbref.com/en/players/740f39d4/Lass-Bangoura</t>
  </si>
  <si>
    <t>Guinea</t>
  </si>
  <si>
    <t>https://www.transfermarkt.com/lass-bangoura/profil/spieler/182963</t>
  </si>
  <si>
    <t>lass-bangoura</t>
  </si>
  <si>
    <t>30/03/1992</t>
  </si>
  <si>
    <t>Conakry</t>
  </si>
  <si>
    <t>GuineaÂ Â Spain</t>
  </si>
  <si>
    <t>27/03/2011</t>
  </si>
  <si>
    <t>Lassad Nouioui</t>
  </si>
  <si>
    <t>https://fbref.com/en/players/fca860e6/Lassad-Nouioui</t>
  </si>
  <si>
    <t>https://www.transfermarkt.com/lassad-nouioui/profil/spieler/101015</t>
  </si>
  <si>
    <t>lassad-nouioui</t>
  </si>
  <si>
    <t>CD Toledo</t>
  </si>
  <si>
    <t>Lassana Diarra</t>
  </si>
  <si>
    <t>https://fbref.com/en/players/79584585/Lassana-Diarra</t>
  </si>
  <si>
    <t>https://www.transfermarkt.com/lassana-diarra/profil/spieler/23914</t>
  </si>
  <si>
    <t>lassana-diarra</t>
  </si>
  <si>
    <t>FranceÂ Â Mali</t>
  </si>
  <si>
    <t>PSG</t>
  </si>
  <si>
    <t>14/01/2004</t>
  </si>
  <si>
    <t>Laure</t>
  </si>
  <si>
    <t>https://fbref.com/en/players/256f3aa9/Laure</t>
  </si>
  <si>
    <t>https://www.transfermarkt.com/laure/profil/spieler/57876</t>
  </si>
  <si>
    <t>laure</t>
  </si>
  <si>
    <t>22/03/1985 (40)</t>
  </si>
  <si>
    <t>Lautaro Acosta</t>
  </si>
  <si>
    <t>https://fbref.com/en/players/2a3af4d5/Lautaro-Acosta</t>
  </si>
  <si>
    <t>Glew, Argentina</t>
  </si>
  <si>
    <t>164cm</t>
  </si>
  <si>
    <t>https://www.transfermarkt.com/lautaro-acosta/profil/spieler/45307</t>
  </si>
  <si>
    <t>lautaro-acosta</t>
  </si>
  <si>
    <t>Glew</t>
  </si>
  <si>
    <t>Leo Franco</t>
  </si>
  <si>
    <t>https://fbref.com/en/players/c39a5c6b/Leo-Franco</t>
  </si>
  <si>
    <t>https://www.transfermarkt.com/leo-franco/profil/spieler/7669</t>
  </si>
  <si>
    <t>leo-franco</t>
  </si>
  <si>
    <t>20/05/1977</t>
  </si>
  <si>
    <t>San NicolÃ¡s de los Arroyos</t>
  </si>
  <si>
    <t>Leonardo Ponzio</t>
  </si>
  <si>
    <t>https://fbref.com/en/players/6f3a6343/Leonardo-Ponzio</t>
  </si>
  <si>
    <t>https://www.transfermarkt.com/leonardo-ponzio/profil/spieler/7987</t>
  </si>
  <si>
    <t>leonardo-ponzio</t>
  </si>
  <si>
    <t>29/01/1982</t>
  </si>
  <si>
    <t>Las Rosas</t>
  </si>
  <si>
    <t>18/07/2000</t>
  </si>
  <si>
    <t>14/02/2009</t>
  </si>
  <si>
    <t>Leonardo Ulloa</t>
  </si>
  <si>
    <t>https://fbref.com/en/players/eed56f6c/Leonardo-Ulloa</t>
  </si>
  <si>
    <t>https://www.transfermarkt.com/leonardo-ulloa/profil/spieler/54890</t>
  </si>
  <si>
    <t>leonardo-ulloa</t>
  </si>
  <si>
    <t>26/07/1986</t>
  </si>
  <si>
    <t>General Roca</t>
  </si>
  <si>
    <t>Leonel Galeano</t>
  </si>
  <si>
    <t>https://fbref.com/en/players/53144c79/Leonel-Galeano</t>
  </si>
  <si>
    <t>August 2, 1991 (Age:Â 34-085d)</t>
  </si>
  <si>
    <t>Miramar, Argentina</t>
  </si>
  <si>
    <t>Cienciano</t>
  </si>
  <si>
    <t>https://www.transfermarkt.com/leonel-galeano/profil/spieler/124244</t>
  </si>
  <si>
    <t>leonel-galeano</t>
  </si>
  <si>
    <t>Miramar</t>
  </si>
  <si>
    <t>22/08/2009</t>
  </si>
  <si>
    <t>Liassine Cadamuro</t>
  </si>
  <si>
    <t>https://fbref.com/en/players/e3a83cb9/Liassine-Cadamuro</t>
  </si>
  <si>
    <t>https://www.transfermarkt.com/liassine-cadamuro/profil/spieler/89325</t>
  </si>
  <si>
    <t>liassine-cadamuro</t>
  </si>
  <si>
    <t>Berre SpC</t>
  </si>
  <si>
    <t>LicÃ¡</t>
  </si>
  <si>
    <t>https://fbref.com/en/players/41d84fed/Lica</t>
  </si>
  <si>
    <t>https://www.transfermarkt.com/lica/profil/spieler/51058</t>
  </si>
  <si>
    <t>lica</t>
  </si>
  <si>
    <t>08/09/1988 (37)</t>
  </si>
  <si>
    <t>Lamelas</t>
  </si>
  <si>
    <t>17/11/2008</t>
  </si>
  <si>
    <t>Lillo</t>
  </si>
  <si>
    <t>https://fbref.com/en/players/476ca810/Lillo</t>
  </si>
  <si>
    <t>https://www.transfermarkt.com/lillo-castellano/profil/spieler/62913</t>
  </si>
  <si>
    <t>lillo-castellano</t>
  </si>
  <si>
    <t>Lillo Castellano</t>
  </si>
  <si>
    <t>27/03/1989</t>
  </si>
  <si>
    <t>Aspe</t>
  </si>
  <si>
    <t>21/03/2010</t>
  </si>
  <si>
    <t>Lionel Messi</t>
  </si>
  <si>
    <t>https://fbref.com/en/players/d70ce98e/Lionel-Messi</t>
  </si>
  <si>
    <t>June 24, 1987 (Age:Â 38-124d)</t>
  </si>
  <si>
    <t>https://www.transfermarkt.com/lionel-messi/profil/spieler/28003</t>
  </si>
  <si>
    <t>lionel-messi</t>
  </si>
  <si>
    <t>24/06/1987</t>
  </si>
  <si>
    <t>15/07/2023</t>
  </si>
  <si>
    <t>31/12/2028</t>
  </si>
  <si>
    <t>Lisandro LÃ³pez</t>
  </si>
  <si>
    <t>https://fbref.com/en/players/8320fe65/Lisandro-Lopez</t>
  </si>
  <si>
    <t>September 1, 1989 (Age:Â 36-055d)</t>
  </si>
  <si>
    <t>Villa ConstituciÃ³n, Argentina</t>
  </si>
  <si>
    <t>https://www.transfermarkt.com/lisandro-lopez/profil/spieler/125019</t>
  </si>
  <si>
    <t>lisandro-lopez</t>
  </si>
  <si>
    <t>01/09/1989 (36)</t>
  </si>
  <si>
    <t>Villa ConstituciÃ³n</t>
  </si>
  <si>
    <t>LluÃ­s Sastre</t>
  </si>
  <si>
    <t>https://fbref.com/en/players/5f186f5c/Lluis-Sastre</t>
  </si>
  <si>
    <t>https://www.transfermarkt.com/lluis-sastre/profil/spieler/8108</t>
  </si>
  <si>
    <t>lluis-sastre</t>
  </si>
  <si>
    <t>Lluis Sastre</t>
  </si>
  <si>
    <t>26/03/1986</t>
  </si>
  <si>
    <t>Binissalem</t>
  </si>
  <si>
    <t>SD Huesca B</t>
  </si>
  <si>
    <t>24/02/2022</t>
  </si>
  <si>
    <t>Lolo</t>
  </si>
  <si>
    <t>https://fbref.com/en/players/31c71140/Lolo</t>
  </si>
  <si>
    <t>DF-MF (CB-DM-FB)</t>
  </si>
  <si>
    <t>https://www.transfermarkt.com/lolo/profil/spieler/58789</t>
  </si>
  <si>
    <t>lolo</t>
  </si>
  <si>
    <t>22/08/1984</t>
  </si>
  <si>
    <t>23/11/2022</t>
  </si>
  <si>
    <t>https://fbref.com/en/players/e7754566/Lolo</t>
  </si>
  <si>
    <t>https://www.transfermarkt.com/lolo-pla/profil/spieler/230210</t>
  </si>
  <si>
    <t>lolo-pla</t>
  </si>
  <si>
    <t>Lolo PlÃ¡</t>
  </si>
  <si>
    <t>07/04/1993 (32)</t>
  </si>
  <si>
    <t>23/07/2025</t>
  </si>
  <si>
    <t>26/08/2013</t>
  </si>
  <si>
    <t>Lorenzo Reyes</t>
  </si>
  <si>
    <t>https://fbref.com/en/players/d47cd62c/Lorenzo-Reyes</t>
  </si>
  <si>
    <t>June 13, 1991 (Age:Â 34-135d)</t>
  </si>
  <si>
    <t>Nublense</t>
  </si>
  <si>
    <t>https://www.transfermarkt.com/lorenzo-reyes/profil/spieler/119537</t>
  </si>
  <si>
    <t>lorenzo-reyes</t>
  </si>
  <si>
    <t>13/06/1991</t>
  </si>
  <si>
    <t>Talcahuano</t>
  </si>
  <si>
    <t>Ã‘ublense</t>
  </si>
  <si>
    <t>23/02/2022</t>
  </si>
  <si>
    <t>Loukas Vyntra</t>
  </si>
  <si>
    <t>https://fbref.com/en/players/db07afa3/Loukas-Vyntra</t>
  </si>
  <si>
    <t>Paniliakos</t>
  </si>
  <si>
    <t>https://www.transfermarkt.com/loukas-vyntra/profil/spieler/16458</t>
  </si>
  <si>
    <t>loukas-vyntra</t>
  </si>
  <si>
    <t>MÄ›sto Albrechtice</t>
  </si>
  <si>
    <t>GreeceÂ Â Czech Republic</t>
  </si>
  <si>
    <t>PAS Lamia</t>
  </si>
  <si>
    <t>24/08/2003</t>
  </si>
  <si>
    <t>Football League</t>
  </si>
  <si>
    <t>LuÃ­s Fabiano</t>
  </si>
  <si>
    <t>https://fbref.com/en/players/eaaeef7b/Luis-Fabiano</t>
  </si>
  <si>
    <t>https://www.transfermarkt.com/luis-fabiano/profil/spieler/19082</t>
  </si>
  <si>
    <t>luis-fabiano</t>
  </si>
  <si>
    <t>Vasco da Gama</t>
  </si>
  <si>
    <t>30/09/1998</t>
  </si>
  <si>
    <t>13/03/2016</t>
  </si>
  <si>
    <t>LuÃ­s Martins</t>
  </si>
  <si>
    <t>https://fbref.com/en/players/56b7c09b/Luis-Martins</t>
  </si>
  <si>
    <t>https://www.transfermarkt.com/luis-martins/profil/spieler/187896</t>
  </si>
  <si>
    <t>luis-martins</t>
  </si>
  <si>
    <t>10/06/1992 (33)</t>
  </si>
  <si>
    <t>Lamego</t>
  </si>
  <si>
    <t>Luca Cigarini</t>
  </si>
  <si>
    <t>https://fbref.com/en/players/ae64d449/Luca-Cigarini</t>
  </si>
  <si>
    <t>https://www.transfermarkt.com/luca-cigarini/profil/spieler/33218</t>
  </si>
  <si>
    <t>luca-cigarini</t>
  </si>
  <si>
    <t>20/06/1986</t>
  </si>
  <si>
    <t>Montecchio Emilia</t>
  </si>
  <si>
    <t>Reggiana</t>
  </si>
  <si>
    <t>17/09/2005</t>
  </si>
  <si>
    <t>20/08/2023</t>
  </si>
  <si>
    <t>Lucas HernÃ¡ndez</t>
  </si>
  <si>
    <t>https://fbref.com/en/players/c3ee18ef/Lucas-Hernandez</t>
  </si>
  <si>
    <t>February 14, 1996 (Age:Â 29-254d)</t>
  </si>
  <si>
    <t>Marseille, France</t>
  </si>
  <si>
    <t>Paris Saint-Germain</t>
  </si>
  <si>
    <t>https://www.transfermarkt.com/lucas-hernandez/profil/spieler/281963</t>
  </si>
  <si>
    <t>lucas-hernandez</t>
  </si>
  <si>
    <t>14/02/1996</t>
  </si>
  <si>
    <t>FranceÂ Â Spain</t>
  </si>
  <si>
    <t>21/12/2014</t>
  </si>
  <si>
    <t>Lucas OrbÃ¡n</t>
  </si>
  <si>
    <t>https://fbref.com/en/players/8ff1d70e/Lucas-Orban</t>
  </si>
  <si>
    <t>https://www.transfermarkt.com/lucas-orban/profil/spieler/110309</t>
  </si>
  <si>
    <t>lucas-orban</t>
  </si>
  <si>
    <t>24/05/2009</t>
  </si>
  <si>
    <t>Lucas PÃ©rez</t>
  </si>
  <si>
    <t>https://fbref.com/en/players/a300ac7e/Lucas-Perez</t>
  </si>
  <si>
    <t>https://www.transfermarkt.com/lucas-perez/profil/spieler/73185</t>
  </si>
  <si>
    <t>lucas-perez</t>
  </si>
  <si>
    <t>Lucas Piazon</t>
  </si>
  <si>
    <t>https://fbref.com/en/players/f201798c/Lucas-Piazon</t>
  </si>
  <si>
    <t>January 20, 1994 (Age:Â 31-279d)</t>
  </si>
  <si>
    <t>SÃ£o Paulo, Brazil</t>
  </si>
  <si>
    <t>https://www.transfermarkt.com/lucas-piazon/profil/spieler/176485</t>
  </si>
  <si>
    <t>lucas-piazon</t>
  </si>
  <si>
    <t>Lucas PiazÃ³n</t>
  </si>
  <si>
    <t>20/01/1994</t>
  </si>
  <si>
    <t>20/08/2025</t>
  </si>
  <si>
    <t>23/12/2012</t>
  </si>
  <si>
    <t>Lucas Silva</t>
  </si>
  <si>
    <t>https://fbref.com/en/players/1c646218/Lucas-Silva</t>
  </si>
  <si>
    <t>Bom Jesus de GoiÃ¡s, Brazil</t>
  </si>
  <si>
    <t>Cruzeiro</t>
  </si>
  <si>
    <t>https://www.transfermarkt.com/lucas-silva/profil/spieler/218118</t>
  </si>
  <si>
    <t>lucas-silva</t>
  </si>
  <si>
    <t>16/02/1993 (32)</t>
  </si>
  <si>
    <t>Bom Jesus de GoiÃ¡s</t>
  </si>
  <si>
    <t>18/07/2012</t>
  </si>
  <si>
    <t>Lucas VÃ¡zquez</t>
  </si>
  <si>
    <t>https://fbref.com/en/players/fd51b456/Lucas-Vazquez</t>
  </si>
  <si>
    <t>Curtis, Spain</t>
  </si>
  <si>
    <t>https://www.transfermarkt.com/lucas-vazquez/profil/spieler/221316</t>
  </si>
  <si>
    <t>lucas-vazquez</t>
  </si>
  <si>
    <t>26/08/2025</t>
  </si>
  <si>
    <t>Lucas Wilchez</t>
  </si>
  <si>
    <t>https://fbref.com/en/players/199c2648/Lucas-Wilchez</t>
  </si>
  <si>
    <t>https://www.transfermarkt.com/lucas-wilchez/profil/spieler/56059</t>
  </si>
  <si>
    <t>lucas-wilchez</t>
  </si>
  <si>
    <t>31/10/1983</t>
  </si>
  <si>
    <t>San Felipe</t>
  </si>
  <si>
    <t>16/02/2008</t>
  </si>
  <si>
    <t>Luciano Vietto</t>
  </si>
  <si>
    <t>https://fbref.com/en/players/2513a588/Luciano-Vietto</t>
  </si>
  <si>
    <t>December 5, 1993 (Age:Â 31-325d)</t>
  </si>
  <si>
    <t>CÃ³rdoba, Argentina</t>
  </si>
  <si>
    <t>https://www.transfermarkt.com/luciano-vietto/profil/spieler/214316</t>
  </si>
  <si>
    <t>luciano-vietto</t>
  </si>
  <si>
    <t>BalnearÃ­a</t>
  </si>
  <si>
    <t>24/06/2012</t>
  </si>
  <si>
    <t>Luis Alberto</t>
  </si>
  <si>
    <t>https://fbref.com/en/players/5294a83f/Luis-Alberto</t>
  </si>
  <si>
    <t>San JosÃ© del Valle, Spain</t>
  </si>
  <si>
    <t>FW-MF (AM-CM-WM, left)</t>
  </si>
  <si>
    <t>Al Duhail SC</t>
  </si>
  <si>
    <t>https://www.transfermarkt.com/luis-alberto/profil/spieler/128220</t>
  </si>
  <si>
    <t>luis-alberto</t>
  </si>
  <si>
    <t>28/09/1992 (33)</t>
  </si>
  <si>
    <t>San JosÃ© del Valle</t>
  </si>
  <si>
    <t>Al-Duhail SC</t>
  </si>
  <si>
    <t>16/04/2011</t>
  </si>
  <si>
    <t>Luis Amaranto Perea</t>
  </si>
  <si>
    <t>https://fbref.com/en/players/ff1988a5/Luis-Amaranto-Perea</t>
  </si>
  <si>
    <t>https://www.transfermarkt.com/luis-amaranto-perea/profil/spieler/27489</t>
  </si>
  <si>
    <t>luis-amaranto-perea</t>
  </si>
  <si>
    <t>30/01/1979</t>
  </si>
  <si>
    <t>Turbo</t>
  </si>
  <si>
    <t>CD Cruz Azul</t>
  </si>
  <si>
    <t>Luis Carlos MartÃ­n</t>
  </si>
  <si>
    <t>https://fbref.com/en/players/8cee70e5/Luis-Carlos-Martin</t>
  </si>
  <si>
    <t>https://www.transfermarkt.com/luis-carlos-martin/profil/spieler/186889</t>
  </si>
  <si>
    <t>luis-carlos-martin</t>
  </si>
  <si>
    <t>16/12/1990</t>
  </si>
  <si>
    <t>CD AlmoradÃ­</t>
  </si>
  <si>
    <t>Luis FariÃ±a</t>
  </si>
  <si>
    <t>https://fbref.com/en/players/2a8b21d4/Luis-Farina</t>
  </si>
  <si>
    <t>https://www.transfermarkt.com/luis-farina/profil/spieler/125735</t>
  </si>
  <si>
    <t>luis-farina</t>
  </si>
  <si>
    <t>20/04/1991 (34)</t>
  </si>
  <si>
    <t>ArgentinaÂ Â Paraguay</t>
  </si>
  <si>
    <t>27/03/2010</t>
  </si>
  <si>
    <t>Luis GarcÃ­a</t>
  </si>
  <si>
    <t>https://fbref.com/en/players/70df8d7c/Luis-Garcia</t>
  </si>
  <si>
    <t>https://www.transfermarkt.com/luis-garcia/profil/spieler/8006</t>
  </si>
  <si>
    <t>luis-garcia</t>
  </si>
  <si>
    <t>06/02/1981 (44)</t>
  </si>
  <si>
    <t>Luis MorÃ¡n</t>
  </si>
  <si>
    <t>https://fbref.com/en/players/f175a6ba/Luis-Moran</t>
  </si>
  <si>
    <t>https://www.transfermarkt.com/luis-moran/profil/spieler/57826</t>
  </si>
  <si>
    <t>luis-moran</t>
  </si>
  <si>
    <t>26/07/1987</t>
  </si>
  <si>
    <t>Luanco</t>
  </si>
  <si>
    <t>Luis SuÃ¡rez</t>
  </si>
  <si>
    <t>https://fbref.com/en/players/a6154613/Luis-Suarez</t>
  </si>
  <si>
    <t>January 24, 1987 (Age:Â 38-275d)</t>
  </si>
  <si>
    <t>Salto, Uruguay</t>
  </si>
  <si>
    <t>Groningen</t>
  </si>
  <si>
    <t>https://www.transfermarkt.com/luis-suarez/profil/spieler/44352</t>
  </si>
  <si>
    <t>luis-suarez</t>
  </si>
  <si>
    <t>24/01/1987</t>
  </si>
  <si>
    <t>Luisinho</t>
  </si>
  <si>
    <t>https://fbref.com/en/players/a7f00c8c/Luisinho</t>
  </si>
  <si>
    <t>https://www.transfermarkt.com/luisinho/profil/spieler/56777</t>
  </si>
  <si>
    <t>luisinho</t>
  </si>
  <si>
    <t>05/05/1985 (40)</t>
  </si>
  <si>
    <t>Vila Real</t>
  </si>
  <si>
    <t>14/08/2011</t>
  </si>
  <si>
    <t>Luismi</t>
  </si>
  <si>
    <t>https://fbref.com/en/players/c2cfbfc9/Luismi</t>
  </si>
  <si>
    <t>May 5, 1992 (Age:Â 33-174d)</t>
  </si>
  <si>
    <t>Puerto Serrano, Spain</t>
  </si>
  <si>
    <t>https://www.transfermarkt.com/luismi-sanchez/profil/spieler/207922</t>
  </si>
  <si>
    <t>luismi-sanchez</t>
  </si>
  <si>
    <t>Luismi SÃ¡nchez</t>
  </si>
  <si>
    <t>Puerto Serrano</t>
  </si>
  <si>
    <t>24/09/2016</t>
  </si>
  <si>
    <t>Luka ModriÄ‡</t>
  </si>
  <si>
    <t>https://fbref.com/en/players/6025fab1/Luka-Modric</t>
  </si>
  <si>
    <t>September 9, 1985 (Age:Â 40-047d)</t>
  </si>
  <si>
    <t>Zadar, Croatia</t>
  </si>
  <si>
    <t>Dinamo Zagreb</t>
  </si>
  <si>
    <t>https://www.transfermarkt.com/luka-modric/profil/spieler/27992</t>
  </si>
  <si>
    <t>luka-modric</t>
  </si>
  <si>
    <t>Zadar</t>
  </si>
  <si>
    <t>AC Milan</t>
  </si>
  <si>
    <t>24/07/2004</t>
  </si>
  <si>
    <t>Luso</t>
  </si>
  <si>
    <t>https://fbref.com/en/players/9cd41fda/Luso</t>
  </si>
  <si>
    <t>https://www.transfermarkt.com/luso-delgado/profil/spieler/95480</t>
  </si>
  <si>
    <t>luso-delgado</t>
  </si>
  <si>
    <t>Luso Delgado</t>
  </si>
  <si>
    <t>04/12/1984 (40)</t>
  </si>
  <si>
    <t>28/09/2014</t>
  </si>
  <si>
    <t>MÃ­chel</t>
  </si>
  <si>
    <t>https://fbref.com/en/players/19b3b837/Michel</t>
  </si>
  <si>
    <t>1993-1994</t>
  </si>
  <si>
    <t>https://www.transfermarkt.com/michel/profil/spieler/8324</t>
  </si>
  <si>
    <t>michel</t>
  </si>
  <si>
    <t>30/10/1975 (50)</t>
  </si>
  <si>
    <t>28/11/1993</t>
  </si>
  <si>
    <t>https://fbref.com/en/players/418f8f61/Michel</t>
  </si>
  <si>
    <t>https://www.transfermarkt.com/michel-herrero/profil/spieler/65331</t>
  </si>
  <si>
    <t>michel-herrero</t>
  </si>
  <si>
    <t>MÃ­chel Herrero</t>
  </si>
  <si>
    <t>29/07/1988 (37)</t>
  </si>
  <si>
    <t>Burjassot</t>
  </si>
  <si>
    <t>Alzira</t>
  </si>
  <si>
    <t>https://fbref.com/en/players/4d425e6e/Michel</t>
  </si>
  <si>
    <t>https://www.transfermarkt.com/michel-madera/profil/spieler/57818</t>
  </si>
  <si>
    <t>michel-madera</t>
  </si>
  <si>
    <t>MÃ­chel Madera</t>
  </si>
  <si>
    <t>08/11/1985 (39)</t>
  </si>
  <si>
    <t>La Pola Llena</t>
  </si>
  <si>
    <t>Mahamadou Diarra</t>
  </si>
  <si>
    <t>https://fbref.com/en/players/4a6c3ade/Mahamadou-Diarra</t>
  </si>
  <si>
    <t>Mali</t>
  </si>
  <si>
    <t>Vitesse</t>
  </si>
  <si>
    <t>https://www.transfermarkt.com/mahamadou-diarra/profil/spieler/5352</t>
  </si>
  <si>
    <t>mahamadou-diarra</t>
  </si>
  <si>
    <t>18/05/1981</t>
  </si>
  <si>
    <t>Bamako</t>
  </si>
  <si>
    <t>23/08/1998</t>
  </si>
  <si>
    <t>Maikel Mesa</t>
  </si>
  <si>
    <t>https://fbref.com/en/players/2afb7b21/Maikel-Mesa</t>
  </si>
  <si>
    <t>June 4, 1991 (Age:Â 34-144d)</t>
  </si>
  <si>
    <t>https://www.transfermarkt.com/maikel-mesa/profil/spieler/197576</t>
  </si>
  <si>
    <t>maikel-mesa</t>
  </si>
  <si>
    <t>27/07/2024</t>
  </si>
  <si>
    <t>27/09/2014</t>
  </si>
  <si>
    <t>Mamadou KonÃ©</t>
  </si>
  <si>
    <t>https://fbref.com/en/players/85b9dca0/Mamadou-Kone</t>
  </si>
  <si>
    <t>https://www.transfermarkt.com/mamadou-kone/profil/spieler/171165</t>
  </si>
  <si>
    <t>mamadou-kone</t>
  </si>
  <si>
    <t>25/12/1991</t>
  </si>
  <si>
    <t>18/12/2024</t>
  </si>
  <si>
    <t>15/10/2011</t>
  </si>
  <si>
    <t>ManÃ©</t>
  </si>
  <si>
    <t>https://fbref.com/en/players/6b015a27/Mane</t>
  </si>
  <si>
    <t>https://www.transfermarkt.com/mane/profil/spieler/51547</t>
  </si>
  <si>
    <t>mane</t>
  </si>
  <si>
    <t>21/12/1981 (43)</t>
  </si>
  <si>
    <t>Tarifa</t>
  </si>
  <si>
    <t>Manolo Gaspar</t>
  </si>
  <si>
    <t>https://fbref.com/en/players/be800693/Manolo-Gaspar</t>
  </si>
  <si>
    <t>https://www.transfermarkt.com/manolo-gaspar/profil/spieler/44037</t>
  </si>
  <si>
    <t>manolo-gaspar</t>
  </si>
  <si>
    <t>29/08/2006</t>
  </si>
  <si>
    <t>Manolo Reina</t>
  </si>
  <si>
    <t>https://fbref.com/en/players/605eb473/Manolo-Reina</t>
  </si>
  <si>
    <t>https://www.transfermarkt.com/manolo-reina/profil/spieler/29051</t>
  </si>
  <si>
    <t>manolo-reina</t>
  </si>
  <si>
    <t>Villanueva del Trabuco</t>
  </si>
  <si>
    <t>17/04/2005</t>
  </si>
  <si>
    <t>Manu</t>
  </si>
  <si>
    <t>https://fbref.com/en/players/e6c6988d/Manu</t>
  </si>
  <si>
    <t>https://www.transfermarkt.com/manu-fernandez/profil/spieler/53293</t>
  </si>
  <si>
    <t>manu-fernandez</t>
  </si>
  <si>
    <t>Manu FernÃ¡ndez</t>
  </si>
  <si>
    <t>09/05/1986 (39)</t>
  </si>
  <si>
    <t>23/03/2010</t>
  </si>
  <si>
    <t>Manu del Moral</t>
  </si>
  <si>
    <t>https://fbref.com/en/players/1026f88d/Manu-del-Moral</t>
  </si>
  <si>
    <t>https://www.transfermarkt.com/manu-del-moral/profil/spieler/37399</t>
  </si>
  <si>
    <t>manu-del-moral</t>
  </si>
  <si>
    <t>25/02/1984</t>
  </si>
  <si>
    <t>Manu Herrera</t>
  </si>
  <si>
    <t>https://fbref.com/en/players/ad2acc39/Manu-Herrera</t>
  </si>
  <si>
    <t>https://www.transfermarkt.com/manu-herrera/profil/spieler/59343</t>
  </si>
  <si>
    <t>manu-herrera</t>
  </si>
  <si>
    <t>29/09/1981</t>
  </si>
  <si>
    <t>Manu Molina</t>
  </si>
  <si>
    <t>https://fbref.com/en/players/4a541583/Manu-Molina</t>
  </si>
  <si>
    <t>https://www.transfermarkt.com/manu-molina/profil/spieler/160671</t>
  </si>
  <si>
    <t>manu-molina</t>
  </si>
  <si>
    <t>20/11/1991</t>
  </si>
  <si>
    <t>Manu Torres</t>
  </si>
  <si>
    <t>https://fbref.com/en/players/4f4064d5/Manu-Torres</t>
  </si>
  <si>
    <t>https://www.transfermarkt.com/manu-torres/profil/spieler/99727</t>
  </si>
  <si>
    <t>manu-torres</t>
  </si>
  <si>
    <t>Torremolinos</t>
  </si>
  <si>
    <t>UE CornellÃ </t>
  </si>
  <si>
    <t>Manu Trigueros</t>
  </si>
  <si>
    <t>https://fbref.com/en/players/963829d0/Manu-Trigueros</t>
  </si>
  <si>
    <t>October 17, 1991 (Age:Â 34-009d)</t>
  </si>
  <si>
    <t>https://www.transfermarkt.com/manu-trigueros/profil/spieler/188854</t>
  </si>
  <si>
    <t>manu-trigueros</t>
  </si>
  <si>
    <t>17/10/1991</t>
  </si>
  <si>
    <t>Manucho</t>
  </si>
  <si>
    <t>https://fbref.com/en/players/89b18034/Manucho</t>
  </si>
  <si>
    <t>Angola</t>
  </si>
  <si>
    <t>Panathinaikos</t>
  </si>
  <si>
    <t>https://www.transfermarkt.com/manucho/profil/spieler/64484</t>
  </si>
  <si>
    <t>manucho</t>
  </si>
  <si>
    <t>Racing Madrid</t>
  </si>
  <si>
    <t>Manuel Arana</t>
  </si>
  <si>
    <t>https://fbref.com/en/players/81fac4d9/Manuel-Arana</t>
  </si>
  <si>
    <t>https://www.transfermarkt.com/manuel-arana/profil/spieler/51383</t>
  </si>
  <si>
    <t>manuel-arana</t>
  </si>
  <si>
    <t>Manuel Fernandes</t>
  </si>
  <si>
    <t>https://fbref.com/en/players/13ac19de/Manuel-Fernandes</t>
  </si>
  <si>
    <t>https://www.transfermarkt.com/manuel-fernandes/profil/spieler/16791</t>
  </si>
  <si>
    <t>manuel-fernandes</t>
  </si>
  <si>
    <t>Sepahan</t>
  </si>
  <si>
    <t>Manuel Iturra</t>
  </si>
  <si>
    <t>https://fbref.com/en/players/000b3da6/Manuel-Iturra</t>
  </si>
  <si>
    <t>https://www.transfermarkt.com/manuel-iturra/profil/spieler/40428</t>
  </si>
  <si>
    <t>manuel-iturra</t>
  </si>
  <si>
    <t>23/06/1984</t>
  </si>
  <si>
    <t>ChileÂ Â Italy</t>
  </si>
  <si>
    <t>CD Iquique</t>
  </si>
  <si>
    <t>27/07/2003</t>
  </si>
  <si>
    <t>Manuel Lanzarote</t>
  </si>
  <si>
    <t>https://fbref.com/en/players/dff353fb/Manuel-Lanzarote</t>
  </si>
  <si>
    <t>https://www.transfermarkt.com/manu-lanzarote/profil/spieler/8730</t>
  </si>
  <si>
    <t>manu-lanzarote</t>
  </si>
  <si>
    <t>Manu Lanzarote</t>
  </si>
  <si>
    <t>20/01/1984</t>
  </si>
  <si>
    <t>Manuel Lucena</t>
  </si>
  <si>
    <t>https://fbref.com/en/players/86ea2bff/Manuel-Lucena</t>
  </si>
  <si>
    <t>https://www.transfermarkt.com/manuel-lucena/profil/spieler/72415</t>
  </si>
  <si>
    <t>manuel-lucena</t>
  </si>
  <si>
    <t>18/11/1982</t>
  </si>
  <si>
    <t>16/10/2005</t>
  </si>
  <si>
    <t>Manuel Onwu</t>
  </si>
  <si>
    <t>https://fbref.com/en/players/344376b6/Manuel-Onwu</t>
  </si>
  <si>
    <t>https://www.transfermarkt.com/manu-onwu/profil/spieler/94570</t>
  </si>
  <si>
    <t>manu-onwu</t>
  </si>
  <si>
    <t>Manu Onwu</t>
  </si>
  <si>
    <t>28/01/2022</t>
  </si>
  <si>
    <t>Manuel Pablo</t>
  </si>
  <si>
    <t>https://fbref.com/en/players/c1776cef/Manuel-Pablo</t>
  </si>
  <si>
    <t>Dep La CoruÃ±a</t>
  </si>
  <si>
    <t>https://www.transfermarkt.com/manuel-pablo/profil/spieler/7492</t>
  </si>
  <si>
    <t>manuel-pablo</t>
  </si>
  <si>
    <t>25/01/1976</t>
  </si>
  <si>
    <t>Arucas</t>
  </si>
  <si>
    <t>15/11/1998</t>
  </si>
  <si>
    <t>15/12/1996</t>
  </si>
  <si>
    <t>Marc Bartra</t>
  </si>
  <si>
    <t>https://fbref.com/en/players/b742cc0d/Marc-Bartra</t>
  </si>
  <si>
    <t>January 15, 1991 (Age:Â 34-284d)</t>
  </si>
  <si>
    <t>Sant Jaume dels Domenys, Spain</t>
  </si>
  <si>
    <t>https://www.transfermarkt.com/marc-bartra/profil/spieler/99922</t>
  </si>
  <si>
    <t>marc-bartra</t>
  </si>
  <si>
    <t>15/01/1991</t>
  </si>
  <si>
    <t>Sant Jaume dels Domenys</t>
  </si>
  <si>
    <t>24/07/2023</t>
  </si>
  <si>
    <t>Marc BertrÃ¡n</t>
  </si>
  <si>
    <t>https://fbref.com/en/players/89a12cef/Marc-Bertran</t>
  </si>
  <si>
    <t>https://www.transfermarkt.com/marc-bertran/profil/spieler/15761</t>
  </si>
  <si>
    <t>marc-bertran</t>
  </si>
  <si>
    <t>22/05/1982</t>
  </si>
  <si>
    <t>23/01/2005</t>
  </si>
  <si>
    <t>Marc FernÃ¡ndez</t>
  </si>
  <si>
    <t>https://fbref.com/en/players/9c3ef867/Marc-Fernandez</t>
  </si>
  <si>
    <t>April 29, 1990 (Age:Â 35-180d)</t>
  </si>
  <si>
    <t>Corbera de Llobregat, Spain</t>
  </si>
  <si>
    <t>https://www.transfermarkt.com/marc-fernandez/profil/spieler/176298</t>
  </si>
  <si>
    <t>marc-fernandez</t>
  </si>
  <si>
    <t>29/04/1990</t>
  </si>
  <si>
    <t>Corbera de Llobregat</t>
  </si>
  <si>
    <t>Marc Muniesa</t>
  </si>
  <si>
    <t>https://fbref.com/en/players/4db76f57/Marc-Muniesa</t>
  </si>
  <si>
    <t>March 27, 1992 (Age:Â 33-213d)</t>
  </si>
  <si>
    <t>Lloret de Mar, Spain</t>
  </si>
  <si>
    <t>DF-MF (CB-DM-FB, left)</t>
  </si>
  <si>
    <t>Al-Shahania Sports Club</t>
  </si>
  <si>
    <t>https://www.transfermarkt.com/marc-muniesa/profil/spieler/74228</t>
  </si>
  <si>
    <t>marc-muniesa</t>
  </si>
  <si>
    <t>Lloret de Mar</t>
  </si>
  <si>
    <t>Al-Shahania SC</t>
  </si>
  <si>
    <t>31/01/2024</t>
  </si>
  <si>
    <t>Marc TorrejÃ³n</t>
  </si>
  <si>
    <t>https://fbref.com/en/players/6d7ff2c4/Marc-Torrejon</t>
  </si>
  <si>
    <t>https://www.transfermarkt.com/marc-torrejon/profil/spieler/38266</t>
  </si>
  <si>
    <t>marc-torrejon</t>
  </si>
  <si>
    <t>18/02/1986</t>
  </si>
  <si>
    <t>Union Berlin</t>
  </si>
  <si>
    <t>18/02/2006</t>
  </si>
  <si>
    <t>Marc Valiente</t>
  </si>
  <si>
    <t>https://fbref.com/en/players/fd333066/Marc-Valiente</t>
  </si>
  <si>
    <t>https://www.transfermarkt.com/marc-valiente/profil/spieler/53301</t>
  </si>
  <si>
    <t>marc-valiente</t>
  </si>
  <si>
    <t>29/03/1987</t>
  </si>
  <si>
    <t>28/04/2023</t>
  </si>
  <si>
    <t>Marcelo</t>
  </si>
  <si>
    <t>https://fbref.com/en/players/603116a7/Marcelo</t>
  </si>
  <si>
    <t>https://www.transfermarkt.com/marcelo/profil/spieler/44501</t>
  </si>
  <si>
    <t>marcelo</t>
  </si>
  <si>
    <t>Fluminense</t>
  </si>
  <si>
    <t>13/11/2005</t>
  </si>
  <si>
    <t>Marcelo Silva</t>
  </si>
  <si>
    <t>https://fbref.com/en/players/b9596515/Marcelo-Silva</t>
  </si>
  <si>
    <t>https://www.transfermarkt.com/marcelo-silva/profil/spieler/76743</t>
  </si>
  <si>
    <t>marcelo-silva</t>
  </si>
  <si>
    <t>21/03/1989 (36)</t>
  </si>
  <si>
    <t>Mercedes</t>
  </si>
  <si>
    <t>22/02/2009</t>
  </si>
  <si>
    <t>Marco PÃ©rez</t>
  </si>
  <si>
    <t>https://fbref.com/en/players/2264e79b/Marco-Perez</t>
  </si>
  <si>
    <t>September 18, 1990 (Age:Â 35-038d)</t>
  </si>
  <si>
    <t>QuibdÃ³, Colombia</t>
  </si>
  <si>
    <t>Deportivo Pereira</t>
  </si>
  <si>
    <t>https://www.transfermarkt.com/marco-perez/profil/spieler/76648</t>
  </si>
  <si>
    <t>marco-perez</t>
  </si>
  <si>
    <t>18/09/1990 (35)</t>
  </si>
  <si>
    <t>Pereira</t>
  </si>
  <si>
    <t>Marco Ruben</t>
  </si>
  <si>
    <t>https://fbref.com/en/players/30795728/Marco-Ruben</t>
  </si>
  <si>
    <t>https://www.transfermarkt.com/marco-ruben/profil/spieler/30825</t>
  </si>
  <si>
    <t>marco-ruben</t>
  </si>
  <si>
    <t>26/10/1986</t>
  </si>
  <si>
    <t>CapitÃ¡n BermÃºdez</t>
  </si>
  <si>
    <t>Marco Sangalli</t>
  </si>
  <si>
    <t>https://fbref.com/en/players/0bf0e5b1/Marco-Sangalli</t>
  </si>
  <si>
    <t>February 7, 1992 (Age:Â 33-261d)</t>
  </si>
  <si>
    <t>DF-FW-MF (AM-WM, right)</t>
  </si>
  <si>
    <t>Racing Santander</t>
  </si>
  <si>
    <t>https://www.transfermarkt.com/marco-sangalli/profil/spieler/197131</t>
  </si>
  <si>
    <t>marco-sangalli</t>
  </si>
  <si>
    <t>SpainÂ Â Italy</t>
  </si>
  <si>
    <t>24/01/2023</t>
  </si>
  <si>
    <t>Marco Torsiglieri</t>
  </si>
  <si>
    <t>https://fbref.com/en/players/6013af3e/Marco-Torsiglieri</t>
  </si>
  <si>
    <t>DF-MF (CB, left)</t>
  </si>
  <si>
    <t>https://www.transfermarkt.com/marco-torsiglieri/profil/spieler/53523</t>
  </si>
  <si>
    <t>marco-torsiglieri</t>
  </si>
  <si>
    <t>Castelar</t>
  </si>
  <si>
    <t>Torneo Inicial (- 14/15)</t>
  </si>
  <si>
    <t>Marcos</t>
  </si>
  <si>
    <t>https://fbref.com/en/players/b2b79f32/Marcos</t>
  </si>
  <si>
    <t>https://www.transfermarkt.com/marcos-perez/profil/spieler/58110</t>
  </si>
  <si>
    <t>marcos-perez</t>
  </si>
  <si>
    <t>Marcos PÃ©rez</t>
  </si>
  <si>
    <t>30/09/1989 (36)</t>
  </si>
  <si>
    <t>Lucena</t>
  </si>
  <si>
    <t>Puente Genil FC</t>
  </si>
  <si>
    <t>Marcos Angeleri</t>
  </si>
  <si>
    <t>https://fbref.com/en/players/f1c9c320/Marcos-Angeleri</t>
  </si>
  <si>
    <t>https://www.transfermarkt.com/marcos-angeleri/profil/spieler/27448</t>
  </si>
  <si>
    <t>marcos-angeleri</t>
  </si>
  <si>
    <t>Treinta de Agosto</t>
  </si>
  <si>
    <t>Argentinos Jrs.</t>
  </si>
  <si>
    <t>15/02/2003</t>
  </si>
  <si>
    <t>Marcos GullÃ³n</t>
  </si>
  <si>
    <t>https://fbref.com/en/players/80a6cb7f/Marcos-Gullon</t>
  </si>
  <si>
    <t>https://www.transfermarkt.com/marcos-gullon/profil/spieler/73254</t>
  </si>
  <si>
    <t>marcos-gullon</t>
  </si>
  <si>
    <t>20/02/1989</t>
  </si>
  <si>
    <t>Las Rozas CF</t>
  </si>
  <si>
    <t>Marcos Landeira</t>
  </si>
  <si>
    <t>https://fbref.com/en/players/8e016a91/Marcos-Landeira</t>
  </si>
  <si>
    <t>https://www.transfermarkt.com/marcos-landeira/profil/spieler/57812</t>
  </si>
  <si>
    <t>marcos-landeira</t>
  </si>
  <si>
    <t>CD Cudillero</t>
  </si>
  <si>
    <t>28/10/2014</t>
  </si>
  <si>
    <t>17/04/2010</t>
  </si>
  <si>
    <t>Marcos Senna</t>
  </si>
  <si>
    <t>https://fbref.com/en/players/ad6cbdbe/Marcos-Senna</t>
  </si>
  <si>
    <t>https://www.transfermarkt.com/marcos-senna/profil/spieler/7840</t>
  </si>
  <si>
    <t>marcos-senna</t>
  </si>
  <si>
    <t>17/07/1976</t>
  </si>
  <si>
    <t>NY Cosmos</t>
  </si>
  <si>
    <t>16/11/2015</t>
  </si>
  <si>
    <t>25/07/1999</t>
  </si>
  <si>
    <t>NASL Fall Championship</t>
  </si>
  <si>
    <t>Marcos TÃ©bar</t>
  </si>
  <si>
    <t>https://fbref.com/en/players/1e806be7/Marcos-Tebar</t>
  </si>
  <si>
    <t>https://www.transfermarkt.com/marcos-tebar/profil/spieler/44072</t>
  </si>
  <si>
    <t>marcos-tebar</t>
  </si>
  <si>
    <t>Delhi Dynamos</t>
  </si>
  <si>
    <t>31/05/2009</t>
  </si>
  <si>
    <t>Mariano Barbosa</t>
  </si>
  <si>
    <t>https://fbref.com/en/players/aad4f74f/Mariano-Barbosa</t>
  </si>
  <si>
    <t>https://www.transfermarkt.com/mariano-barbosa/profil/spieler/30749</t>
  </si>
  <si>
    <t>mariano-barbosa</t>
  </si>
  <si>
    <t>27/07/1984</t>
  </si>
  <si>
    <t>21/09/2002</t>
  </si>
  <si>
    <t>Mario</t>
  </si>
  <si>
    <t>https://fbref.com/en/players/e6ede7f4/Mario</t>
  </si>
  <si>
    <t>https://www.transfermarkt.com/mario-abrante/profil/spieler/7803</t>
  </si>
  <si>
    <t>mario-abrante</t>
  </si>
  <si>
    <t>Mario Abrante</t>
  </si>
  <si>
    <t>02/02/1982 (43)</t>
  </si>
  <si>
    <t>San Luis</t>
  </si>
  <si>
    <t>Mario ArquÃ©s</t>
  </si>
  <si>
    <t>https://fbref.com/en/players/ebe6f10b/Mario-Arques</t>
  </si>
  <si>
    <t>https://www.transfermarkt.com/mario-arques/profil/spieler/223779</t>
  </si>
  <si>
    <t>mario-arques</t>
  </si>
  <si>
    <t>14/01/1992</t>
  </si>
  <si>
    <t>Mario Bermejo</t>
  </si>
  <si>
    <t>https://fbref.com/en/players/c8dcfee8/Mario-Bermejo</t>
  </si>
  <si>
    <t>https://www.transfermarkt.com/mario-bermejo/profil/spieler/51545</t>
  </si>
  <si>
    <t>mario-bermejo</t>
  </si>
  <si>
    <t>30/06/2014</t>
  </si>
  <si>
    <t>23/09/1995</t>
  </si>
  <si>
    <t>Mario FernÃ¡ndez</t>
  </si>
  <si>
    <t>https://fbref.com/en/players/02c89cb6/Mario-Fernandez</t>
  </si>
  <si>
    <t>https://www.transfermarkt.com/mario-fernandez/profil/spieler/57693</t>
  </si>
  <si>
    <t>mario-fernandez</t>
  </si>
  <si>
    <t>30/04/1988</t>
  </si>
  <si>
    <t>CD Monte</t>
  </si>
  <si>
    <t>Mario Gaspar</t>
  </si>
  <si>
    <t>https://fbref.com/en/players/fb5d47b3/Mario-Gaspar</t>
  </si>
  <si>
    <t>https://www.transfermarkt.com/mario-gaspar/profil/spieler/73250</t>
  </si>
  <si>
    <t>mario-gaspar</t>
  </si>
  <si>
    <t>24/11/1990</t>
  </si>
  <si>
    <t>Novelda</t>
  </si>
  <si>
    <t>15/03/2009</t>
  </si>
  <si>
    <t>Mario MandÅ¾ukiÄ‡</t>
  </si>
  <si>
    <t>https://fbref.com/en/players/afa0d4e0/Mario-Mandzukic</t>
  </si>
  <si>
    <t>https://www.transfermarkt.com/mario-mandzukic/profil/spieler/34572</t>
  </si>
  <si>
    <t>mario-mandzukic</t>
  </si>
  <si>
    <t>Slavonski Brod</t>
  </si>
  <si>
    <t>20/07/2005</t>
  </si>
  <si>
    <t>Mario PaÅ¡aliÄ‡</t>
  </si>
  <si>
    <t>https://fbref.com/en/players/e599253a/Mario-Pasalic</t>
  </si>
  <si>
    <t>February 9, 1995 (Age:Â 30-259d)</t>
  </si>
  <si>
    <t>Mainz, Germany</t>
  </si>
  <si>
    <t>Croatia hr Â Other:Â Germany</t>
  </si>
  <si>
    <t>https://www.transfermarkt.com/mario-pasalic/profil/spieler/205938</t>
  </si>
  <si>
    <t>mario-pasalic</t>
  </si>
  <si>
    <t>Mario PasaliÄ‡</t>
  </si>
  <si>
    <t>Mainz</t>
  </si>
  <si>
    <t>13/04/2013</t>
  </si>
  <si>
    <t>1.HNL</t>
  </si>
  <si>
    <t>Mario SuÃ¡rez</t>
  </si>
  <si>
    <t>https://fbref.com/en/players/7106f0a0/Mario-Suarez</t>
  </si>
  <si>
    <t>https://www.transfermarkt.com/mario-suarez/profil/spieler/37337</t>
  </si>
  <si>
    <t>mario-suarez</t>
  </si>
  <si>
    <t>Alcobendas</t>
  </si>
  <si>
    <t>17/09/2006</t>
  </si>
  <si>
    <t>Marius StankeviÄius</t>
  </si>
  <si>
    <t>lt LTU</t>
  </si>
  <si>
    <t>https://fbref.com/en/players/7c3a4a58/Marius-Stankevicius</t>
  </si>
  <si>
    <t>Lithuania</t>
  </si>
  <si>
    <t>Brescia</t>
  </si>
  <si>
    <t>https://www.transfermarkt.com/marius-stankevicius/profil/spieler/5966</t>
  </si>
  <si>
    <t>marius-stankevicius</t>
  </si>
  <si>
    <t>Marius Stankevicius</t>
  </si>
  <si>
    <t>15/07/1981</t>
  </si>
  <si>
    <t>Kaunas</t>
  </si>
  <si>
    <t>A Komanda</t>
  </si>
  <si>
    <t>13/01/2003</t>
  </si>
  <si>
    <t>Markel Bergara</t>
  </si>
  <si>
    <t>https://fbref.com/en/players/04a65a8f/Markel-Bergara</t>
  </si>
  <si>
    <t>https://www.transfermarkt.com/markel-bergara/profil/spieler/51426</t>
  </si>
  <si>
    <t>markel-bergara</t>
  </si>
  <si>
    <t>Elgoibar</t>
  </si>
  <si>
    <t>22/01/2020</t>
  </si>
  <si>
    <t>13/09/2010</t>
  </si>
  <si>
    <t>Markel Susaeta</t>
  </si>
  <si>
    <t>https://fbref.com/en/players/6fd1ba62/Markel-Susaeta</t>
  </si>
  <si>
    <t>https://www.transfermarkt.com/markel-susaeta/profil/spieler/54245</t>
  </si>
  <si>
    <t>markel-susaeta</t>
  </si>
  <si>
    <t>14/12/1987</t>
  </si>
  <si>
    <t>Marko Marin</t>
  </si>
  <si>
    <t>https://fbref.com/en/players/a022e78c/Marko-Marin</t>
  </si>
  <si>
    <t>Germany de Â Other:Â Bosnia and Herzegovina</t>
  </si>
  <si>
    <t>Gladbach</t>
  </si>
  <si>
    <t>https://www.transfermarkt.com/marko-marin/profil/spieler/35251</t>
  </si>
  <si>
    <t>marko-marin</t>
  </si>
  <si>
    <t>13/03/1989</t>
  </si>
  <si>
    <t>GradiÅ¡ka</t>
  </si>
  <si>
    <t>GermanyÂ Â Serbia</t>
  </si>
  <si>
    <t>FerencvÃ¡ros</t>
  </si>
  <si>
    <t>31/03/2007</t>
  </si>
  <si>
    <t>13/08/2007</t>
  </si>
  <si>
    <t>Markus Rosenberg</t>
  </si>
  <si>
    <t>https://fbref.com/en/players/5faa73aa/Markus-Rosenberg</t>
  </si>
  <si>
    <t>https://www.transfermarkt.com/markus-rosenberg/profil/spieler/27505</t>
  </si>
  <si>
    <t>markus-rosenberg</t>
  </si>
  <si>
    <t>27/09/1982</t>
  </si>
  <si>
    <t>Markus SteinhÃ¶fer</t>
  </si>
  <si>
    <t>https://fbref.com/en/players/f4765e02/Markus-Steinhofer</t>
  </si>
  <si>
    <t>RB Salzburg</t>
  </si>
  <si>
    <t>https://www.transfermarkt.com/markus-steinhofer/profil/spieler/16726</t>
  </si>
  <si>
    <t>markus-steinhofer</t>
  </si>
  <si>
    <t>WeiÃŸenburg</t>
  </si>
  <si>
    <t>VfB EichstÃ¤tt</t>
  </si>
  <si>
    <t>14/10/2006</t>
  </si>
  <si>
    <t>MartÃ­ CrespÃ­</t>
  </si>
  <si>
    <t>https://fbref.com/en/players/bb2d18be/Marti-Crespi</t>
  </si>
  <si>
    <t>Granada 74</t>
  </si>
  <si>
    <t>https://www.transfermarkt.com/marti-crespi/profil/spieler/58532</t>
  </si>
  <si>
    <t>marti-crespi</t>
  </si>
  <si>
    <t>15/06/1987</t>
  </si>
  <si>
    <t>MartÃ­n CÃ¡ceres</t>
  </si>
  <si>
    <t>https://fbref.com/en/players/e94d79e3/Martin-Caceres</t>
  </si>
  <si>
    <t>April 7, 1987 (Age:Â 38-202d)</t>
  </si>
  <si>
    <t>Libertad</t>
  </si>
  <si>
    <t>https://www.transfermarkt.com/martin-caceres/profil/spieler/54935</t>
  </si>
  <si>
    <t>martin-caceres</t>
  </si>
  <si>
    <t>MartÃ­n Demichelis</t>
  </si>
  <si>
    <t>https://fbref.com/en/players/e9c7102a/Martin-Demichelis</t>
  </si>
  <si>
    <t>https://www.transfermarkt.com/martin-demichelis/profil/spieler/2963</t>
  </si>
  <si>
    <t>martin-demichelis</t>
  </si>
  <si>
    <t>20/12/1980</t>
  </si>
  <si>
    <t>Justiniano Posse</t>
  </si>
  <si>
    <t>MartÃ­n Montoya</t>
  </si>
  <si>
    <t>https://fbref.com/en/players/5cec2487/Martin-Montoya</t>
  </si>
  <si>
    <t>https://www.transfermarkt.com/martin-montoya/profil/spieler/68645</t>
  </si>
  <si>
    <t>martin-montoya</t>
  </si>
  <si>
    <t>14/04/1991</t>
  </si>
  <si>
    <t>GavÃ </t>
  </si>
  <si>
    <t>Martin Ã˜degaard</t>
  </si>
  <si>
    <t>https://fbref.com/en/players/79300479/Martin-Odegaard</t>
  </si>
  <si>
    <t>December 17, 1998 (Age:Â 26-313d)</t>
  </si>
  <si>
    <t>Drammen, Norway</t>
  </si>
  <si>
    <t>StrÃ¸msgodset</t>
  </si>
  <si>
    <t>https://www.transfermarkt.com/martin-odegaard/profil/spieler/316264</t>
  </si>
  <si>
    <t>martin-odegaard</t>
  </si>
  <si>
    <t>17/12/1998</t>
  </si>
  <si>
    <t>Drammen</t>
  </si>
  <si>
    <t>20/08/2021</t>
  </si>
  <si>
    <t>13/04/2014</t>
  </si>
  <si>
    <t>Martin Petrov</t>
  </si>
  <si>
    <t>bg BUL</t>
  </si>
  <si>
    <t>https://fbref.com/en/players/011360ce/Martin-Petrov</t>
  </si>
  <si>
    <t>Bulgaria</t>
  </si>
  <si>
    <t>https://www.transfermarkt.com/martin-petrov/profil/spieler/670</t>
  </si>
  <si>
    <t>martin-petrov</t>
  </si>
  <si>
    <t>15/01/1979</t>
  </si>
  <si>
    <t>Vratsa</t>
  </si>
  <si>
    <t>CSKA Sofia</t>
  </si>
  <si>
    <t>Marvin Ogunjimi</t>
  </si>
  <si>
    <t>be BEL</t>
  </si>
  <si>
    <t>https://fbref.com/en/players/93c93fd1/Marvin-Ogunjimi</t>
  </si>
  <si>
    <t>Belgium</t>
  </si>
  <si>
    <t>https://www.transfermarkt.com/marvin-ogunjimi/profil/spieler/33870</t>
  </si>
  <si>
    <t>marvin-ogunjimi</t>
  </si>
  <si>
    <t>Mechelen</t>
  </si>
  <si>
    <t>BelgiumÂ Â Nigeria</t>
  </si>
  <si>
    <t>RAEC Mons</t>
  </si>
  <si>
    <t>Masoud Shojaei</t>
  </si>
  <si>
    <t>https://fbref.com/en/players/a898d91e/Masoud-Shojaei</t>
  </si>
  <si>
    <t>https://www.transfermarkt.com/masoud-shojaei/profil/spieler/26574</t>
  </si>
  <si>
    <t>masoud-shojaei</t>
  </si>
  <si>
    <t>Shiraz, Fars</t>
  </si>
  <si>
    <t>Havadar SC</t>
  </si>
  <si>
    <t>20/12/2002</t>
  </si>
  <si>
    <t>Persian Gulf Pro League</t>
  </si>
  <si>
    <t>15/09/2013</t>
  </si>
  <si>
    <t>MatÃ­as Fritzler</t>
  </si>
  <si>
    <t>https://fbref.com/en/players/e4100467/Matias-Fritzler</t>
  </si>
  <si>
    <t>https://www.transfermarkt.com/matias-fritzler/profil/spieler/54557</t>
  </si>
  <si>
    <t>matias-fritzler</t>
  </si>
  <si>
    <t>23/08/1986</t>
  </si>
  <si>
    <t>Lomas de Zamora</t>
  </si>
  <si>
    <t>ArgentinaÂ Â Germany</t>
  </si>
  <si>
    <t>Agropecuario</t>
  </si>
  <si>
    <t>MatÃ­as Nahuel</t>
  </si>
  <si>
    <t>https://fbref.com/en/players/48e4c485/Matias-Nahuel</t>
  </si>
  <si>
    <t>Ekstraklasa</t>
  </si>
  <si>
    <t>https://www.transfermarkt.com/matias-nahuel/profil/spieler/263843</t>
  </si>
  <si>
    <t>matias-nahuel</t>
  </si>
  <si>
    <t>22/11/1996</t>
  </si>
  <si>
    <t>Maccabi Haifa</t>
  </si>
  <si>
    <t>18/09/2024</t>
  </si>
  <si>
    <t>13/01/2014</t>
  </si>
  <si>
    <t>Mate BiliÄ‡</t>
  </si>
  <si>
    <t>https://fbref.com/en/players/37e6a4eb/Mate-Bilic</t>
  </si>
  <si>
    <t>https://www.transfermarkt.com/mate-bilic/profil/spieler/7977</t>
  </si>
  <si>
    <t>mate-bilic</t>
  </si>
  <si>
    <t>Mate Bilic</t>
  </si>
  <si>
    <t>23/10/1980</t>
  </si>
  <si>
    <t>Split</t>
  </si>
  <si>
    <t>RNK Split</t>
  </si>
  <si>
    <t>16/09/2001</t>
  </si>
  <si>
    <t>Mateo Musacchio</t>
  </si>
  <si>
    <t>https://fbref.com/en/players/91899ca8/Mateo-Musacchio</t>
  </si>
  <si>
    <t>https://www.transfermarkt.com/mateo-musacchio/profil/spieler/45653</t>
  </si>
  <si>
    <t>mateo-musacchio</t>
  </si>
  <si>
    <t>26/08/1990</t>
  </si>
  <si>
    <t>Lazio</t>
  </si>
  <si>
    <t>Matteo Contini</t>
  </si>
  <si>
    <t>https://fbref.com/en/players/dec20583/Matteo-Contini</t>
  </si>
  <si>
    <t>Avellino</t>
  </si>
  <si>
    <t>https://www.transfermarkt.com/matteo-contini/profil/spieler/25318</t>
  </si>
  <si>
    <t>matteo-contini</t>
  </si>
  <si>
    <t>16/04/1980</t>
  </si>
  <si>
    <t>Varese</t>
  </si>
  <si>
    <t>Pergolettese</t>
  </si>
  <si>
    <t>Maurizio Lanzaro</t>
  </si>
  <si>
    <t>https://fbref.com/en/players/52eacf54/Maurizio-Lanzaro</t>
  </si>
  <si>
    <t>https://www.transfermarkt.com/maurizio-lanzaro/profil/spieler/6852</t>
  </si>
  <si>
    <t>maurizio-lanzaro</t>
  </si>
  <si>
    <t>14/03/1982</t>
  </si>
  <si>
    <t>SD Tarazona</t>
  </si>
  <si>
    <t>20/01/2002</t>
  </si>
  <si>
    <t>Mauro dos Santos</t>
  </si>
  <si>
    <t>https://fbref.com/en/players/ec699fdd/Mauro-dos-Santos</t>
  </si>
  <si>
    <t>https://www.transfermarkt.com/mauro-dos-santos/profil/spieler/55240</t>
  </si>
  <si>
    <t>mauro-dos-santos</t>
  </si>
  <si>
    <t>Maxwell</t>
  </si>
  <si>
    <t>https://fbref.com/en/players/6f08cece/Maxwell</t>
  </si>
  <si>
    <t>Brazil br Â Other:Â Germany</t>
  </si>
  <si>
    <t>https://www.transfermarkt.com/maxwell/profil/spieler/4317</t>
  </si>
  <si>
    <t>maxwell</t>
  </si>
  <si>
    <t>27/08/1981</t>
  </si>
  <si>
    <t>McDonald Mariga</t>
  </si>
  <si>
    <t>ke KEN</t>
  </si>
  <si>
    <t>https://fbref.com/en/players/e88e5e34/McDonald-Mariga</t>
  </si>
  <si>
    <t>Kenya</t>
  </si>
  <si>
    <t>Helsingborg</t>
  </si>
  <si>
    <t>https://www.transfermarkt.com/mcdonald-mariga/profil/spieler/37124</t>
  </si>
  <si>
    <t>mcdonald-mariga</t>
  </si>
  <si>
    <t>Nairobi</t>
  </si>
  <si>
    <t>29/08/2008</t>
  </si>
  <si>
    <t>Mehdi Lacen</t>
  </si>
  <si>
    <t>https://fbref.com/en/players/a3a306f6/Mehdi-Lacen</t>
  </si>
  <si>
    <t>https://www.transfermarkt.com/mehdi-lacen/profil/spieler/35539</t>
  </si>
  <si>
    <t>mehdi-lacen</t>
  </si>
  <si>
    <t>Mehmet Topal</t>
  </si>
  <si>
    <t>https://fbref.com/en/players/f93c876b/Mehmet-Topal</t>
  </si>
  <si>
    <t>https://www.transfermarkt.com/mehmet-topal/profil/spieler/44402</t>
  </si>
  <si>
    <t>mehmet-topal</t>
  </si>
  <si>
    <t>Malatya</t>
  </si>
  <si>
    <t>19/07/2022</t>
  </si>
  <si>
    <t>30/01/2005</t>
  </si>
  <si>
    <t>Mesut Ã–zil</t>
  </si>
  <si>
    <t>https://fbref.com/en/players/16380240/Mesut-Ozil</t>
  </si>
  <si>
    <t>https://www.transfermarkt.com/mesut-ozil/profil/spieler/35664</t>
  </si>
  <si>
    <t>mesut-ozil</t>
  </si>
  <si>
    <t>Basaksehir</t>
  </si>
  <si>
    <t>22/03/2023</t>
  </si>
  <si>
    <t>Michael Essien</t>
  </si>
  <si>
    <t>https://fbref.com/en/players/d6577282/Michael-Essien</t>
  </si>
  <si>
    <t>https://www.transfermarkt.com/michael-essien/profil/spieler/5588</t>
  </si>
  <si>
    <t>michael-essien</t>
  </si>
  <si>
    <t>GhanaÂ Â France</t>
  </si>
  <si>
    <t>FK Sabail</t>
  </si>
  <si>
    <t>30/09/2000</t>
  </si>
  <si>
    <t>Michael Jakobsen</t>
  </si>
  <si>
    <t>https://fbref.com/en/players/9135fc2e/Michael-Jakobsen</t>
  </si>
  <si>
    <t>Aalborg</t>
  </si>
  <si>
    <t>https://www.transfermarkt.com/michael-jakobsen/profil/spieler/8421</t>
  </si>
  <si>
    <t>michael-jakobsen</t>
  </si>
  <si>
    <t>KÃ¸benhavn</t>
  </si>
  <si>
    <t>FK Beograd</t>
  </si>
  <si>
    <t>28/10/2023</t>
  </si>
  <si>
    <t>28/03/2004</t>
  </si>
  <si>
    <t>Michael Krohn-Dehli</t>
  </si>
  <si>
    <t>https://fbref.com/en/players/1c8dc17d/Michael-Krohn-Dehli</t>
  </si>
  <si>
    <t>FW-MF (CM-WM)</t>
  </si>
  <si>
    <t>RKC Waalwijk</t>
  </si>
  <si>
    <t>https://www.transfermarkt.com/michael-krohn-dehli/profil/spieler/18006</t>
  </si>
  <si>
    <t>michael-krohn-dehli</t>
  </si>
  <si>
    <t>06/06/1983 (42)</t>
  </si>
  <si>
    <t>Hvidovre</t>
  </si>
  <si>
    <t>Michael Pereira</t>
  </si>
  <si>
    <t>https://fbref.com/en/players/2969ccd2/Michael-Pereira</t>
  </si>
  <si>
    <t>https://www.transfermarkt.com/michael-pereira/profil/spieler/147483</t>
  </si>
  <si>
    <t>michael-pereira</t>
  </si>
  <si>
    <t>MichaÃ«l Pereira</t>
  </si>
  <si>
    <t>FranceÂ Â Cape Verde</t>
  </si>
  <si>
    <t>Michel</t>
  </si>
  <si>
    <t>https://fbref.com/en/players/05384ea1/Michel</t>
  </si>
  <si>
    <t>https://www.transfermarkt.com/michel-macedo/profil/spieler/77262</t>
  </si>
  <si>
    <t>michel-macedo</t>
  </si>
  <si>
    <t>Michel Macedo</t>
  </si>
  <si>
    <t>15/02/1990 (35)</t>
  </si>
  <si>
    <t>16/11/2008</t>
  </si>
  <si>
    <t>Michu</t>
  </si>
  <si>
    <t>https://fbref.com/en/players/98429b7b/Michu</t>
  </si>
  <si>
    <t>https://www.transfermarkt.com/michu/profil/spieler/70789</t>
  </si>
  <si>
    <t>michu</t>
  </si>
  <si>
    <t>21/03/1986</t>
  </si>
  <si>
    <t>Miguel Ãngel MoyÃ¡</t>
  </si>
  <si>
    <t>https://fbref.com/en/players/011d8c56/Miguel-Angel-Moya</t>
  </si>
  <si>
    <t>https://www.transfermarkt.com/miguel-angel-moya/profil/spieler/26065</t>
  </si>
  <si>
    <t>miguel-angel-moya</t>
  </si>
  <si>
    <t>Miguel Ãngel Nieto</t>
  </si>
  <si>
    <t>https://fbref.com/en/players/3a935b70/Miguel-Angel-Nieto</t>
  </si>
  <si>
    <t>https://www.transfermarkt.com/miguel-angel-nieto/profil/spieler/45615</t>
  </si>
  <si>
    <t>miguel-angel-nieto</t>
  </si>
  <si>
    <t>San SebastiÃ¡n de los Reyes</t>
  </si>
  <si>
    <t>CD Alcoyano</t>
  </si>
  <si>
    <t>28/01/2007</t>
  </si>
  <si>
    <t>Miguel de las Cuevas</t>
  </si>
  <si>
    <t>https://fbref.com/en/players/2e1cf3d2/Miguel-de-las-Cuevas</t>
  </si>
  <si>
    <t>https://www.transfermarkt.com/miguel-de-las-cuevas/profil/spieler/54774</t>
  </si>
  <si>
    <t>miguel-de-las-cuevas</t>
  </si>
  <si>
    <t>19/06/1986</t>
  </si>
  <si>
    <t>Miguel FlaÃ±o</t>
  </si>
  <si>
    <t>https://fbref.com/en/players/1662668d/Miguel-Flano</t>
  </si>
  <si>
    <t>https://www.transfermarkt.com/miguel-flano/profil/spieler/35600</t>
  </si>
  <si>
    <t>miguel-flano</t>
  </si>
  <si>
    <t>19/08/1984</t>
  </si>
  <si>
    <t>18/09/2004</t>
  </si>
  <si>
    <t>Miguel Monteiro</t>
  </si>
  <si>
    <t>https://fbref.com/en/players/930ef69d/Miguel-Monteiro</t>
  </si>
  <si>
    <t>https://www.transfermarkt.com/miguel/profil/spieler/13225</t>
  </si>
  <si>
    <t>miguel</t>
  </si>
  <si>
    <t>Miguel</t>
  </si>
  <si>
    <t>30/04/1999</t>
  </si>
  <si>
    <t>Miguel PallardÃ³</t>
  </si>
  <si>
    <t>https://fbref.com/en/players/6c3dfe68/Miguel-Pallardo</t>
  </si>
  <si>
    <t>https://www.transfermarkt.com/miguel-pallardo/profil/spieler/36756</t>
  </si>
  <si>
    <t>miguel-pallardo</t>
  </si>
  <si>
    <t>AlaquÃ s</t>
  </si>
  <si>
    <t>Miguel Torres</t>
  </si>
  <si>
    <t>https://fbref.com/en/players/44b61913/Miguel-Torres</t>
  </si>
  <si>
    <t>https://www.transfermarkt.com/miguel-torres/profil/spieler/45305</t>
  </si>
  <si>
    <t>miguel-torres</t>
  </si>
  <si>
    <t>28/01/1986</t>
  </si>
  <si>
    <t>Mike Havenaar</t>
  </si>
  <si>
    <t>https://fbref.com/en/players/2475a31d/Mike-Havenaar</t>
  </si>
  <si>
    <t>https://www.transfermarkt.com/mike-havenaar/profil/spieler/79470</t>
  </si>
  <si>
    <t>mike-havenaar</t>
  </si>
  <si>
    <t>20/05/1987</t>
  </si>
  <si>
    <t>Hiroshima, Hiroshima</t>
  </si>
  <si>
    <t>Bombon. Gifu</t>
  </si>
  <si>
    <t>J1 League</t>
  </si>
  <si>
    <t>Mikel Aranburu</t>
  </si>
  <si>
    <t>https://fbref.com/en/players/9452d85a/Mikel-Aranburu</t>
  </si>
  <si>
    <t>https://www.transfermarkt.com/mikel-aranburu/profil/spieler/7467</t>
  </si>
  <si>
    <t>mikel-aranburu</t>
  </si>
  <si>
    <t>18/02/1979</t>
  </si>
  <si>
    <t>Azpeitia</t>
  </si>
  <si>
    <t>22/06/1997</t>
  </si>
  <si>
    <t>Mikel Arruabarrena</t>
  </si>
  <si>
    <t>https://fbref.com/en/players/ad0c4ebb/Mikel-Arruabarrena</t>
  </si>
  <si>
    <t>https://www.transfermarkt.com/mikel-arruabarrena/profil/spieler/51559</t>
  </si>
  <si>
    <t>mikel-arruabarrena</t>
  </si>
  <si>
    <t>Tolosa</t>
  </si>
  <si>
    <t>Mikel Balenziaga</t>
  </si>
  <si>
    <t>https://fbref.com/en/players/1fe67e86/Mikel-Balenziaga</t>
  </si>
  <si>
    <t>https://www.transfermarkt.com/mikel-balenziaga/profil/spieler/85258</t>
  </si>
  <si>
    <t>mikel-balenziaga</t>
  </si>
  <si>
    <t>29/02/1988</t>
  </si>
  <si>
    <t>Mikel GonzÃ¡lez</t>
  </si>
  <si>
    <t>https://fbref.com/en/players/7cc5bd9c/Mikel-Gonzalez</t>
  </si>
  <si>
    <t>https://www.transfermarkt.com/mikel-gonzalez/profil/spieler/35560</t>
  </si>
  <si>
    <t>mikel-gonzalez</t>
  </si>
  <si>
    <t>24/09/1985</t>
  </si>
  <si>
    <t>MondragÃ³n</t>
  </si>
  <si>
    <t>Mikel Labaka</t>
  </si>
  <si>
    <t>https://fbref.com/en/players/e83de90d/Mikel-Labaka</t>
  </si>
  <si>
    <t>https://www.transfermarkt.com/mikel-labaka/profil/spieler/23247</t>
  </si>
  <si>
    <t>mikel-labaka</t>
  </si>
  <si>
    <t>Mikel Rico</t>
  </si>
  <si>
    <t>https://fbref.com/en/players/def69cd0/Mikel-Rico</t>
  </si>
  <si>
    <t>https://www.transfermarkt.com/mikel-rico/profil/spieler/51474</t>
  </si>
  <si>
    <t>mikel-rico</t>
  </si>
  <si>
    <t>Basauri</t>
  </si>
  <si>
    <t>Mikel Saizar</t>
  </si>
  <si>
    <t>https://fbref.com/en/players/b9ddfda6/Mikel-Saizar</t>
  </si>
  <si>
    <t>https://www.transfermarkt.com/mikel-saizar/profil/spieler/63706</t>
  </si>
  <si>
    <t>mikel-saizar</t>
  </si>
  <si>
    <t>18/01/1983</t>
  </si>
  <si>
    <t>Ibarra</t>
  </si>
  <si>
    <t>Mikel San JosÃ©</t>
  </si>
  <si>
    <t>https://fbref.com/en/players/003a5c72/Mikel-San-Jose</t>
  </si>
  <si>
    <t>https://www.transfermarkt.com/mikel-san-jose/profil/spieler/52469</t>
  </si>
  <si>
    <t>mikel-san-jose</t>
  </si>
  <si>
    <t>30/05/1989</t>
  </si>
  <si>
    <t>20/10/2020</t>
  </si>
  <si>
    <t>Miku</t>
  </si>
  <si>
    <t>https://fbref.com/en/players/4eba9598/Miku</t>
  </si>
  <si>
    <t>August 19, 1985 (Age:Â 40-068d)</t>
  </si>
  <si>
    <t>Metropolitanos FC</t>
  </si>
  <si>
    <t>https://www.transfermarkt.com/miku/profil/spieler/58001</t>
  </si>
  <si>
    <t>miku</t>
  </si>
  <si>
    <t>19/08/1985</t>
  </si>
  <si>
    <t>VenezuelaÂ Â Hungary</t>
  </si>
  <si>
    <t>Metropolitanos</t>
  </si>
  <si>
    <t>Miquel RobustÃ©</t>
  </si>
  <si>
    <t>https://fbref.com/en/players/4be9a341/Miquel-Robuste</t>
  </si>
  <si>
    <t>https://www.transfermarkt.com/miquel-robuste/profil/spieler/51477</t>
  </si>
  <si>
    <t>miquel-robuste</t>
  </si>
  <si>
    <t>20/05/1985</t>
  </si>
  <si>
    <t>30/03/2008</t>
  </si>
  <si>
    <t>Miranda</t>
  </si>
  <si>
    <t>https://fbref.com/en/players/314f2124/Miranda</t>
  </si>
  <si>
    <t>https://www.transfermarkt.com/miranda/profil/spieler/33357</t>
  </si>
  <si>
    <t>miranda</t>
  </si>
  <si>
    <t>07/09/1984 (41)</t>
  </si>
  <si>
    <t>ParanavaÃ­</t>
  </si>
  <si>
    <t>23/04/2004</t>
  </si>
  <si>
    <t>Miroslav StevanoviÄ‡</t>
  </si>
  <si>
    <t>https://fbref.com/en/players/73d430c6/Miroslav-Stevanovic</t>
  </si>
  <si>
    <t>July 29, 1990 (Age:Â 35-089d)</t>
  </si>
  <si>
    <t>Zvornik, Bosnia and Herzegovina</t>
  </si>
  <si>
    <t>Bosnia and Herzegovina</t>
  </si>
  <si>
    <t>Servette</t>
  </si>
  <si>
    <t>Vojvodina</t>
  </si>
  <si>
    <t>https://www.transfermarkt.com/miroslav-stevanovic/profil/spieler/75816</t>
  </si>
  <si>
    <t>miroslav-stevanovic</t>
  </si>
  <si>
    <t>Miroslav Stevanovic</t>
  </si>
  <si>
    <t>29/07/1990</t>
  </si>
  <si>
    <t>Zvornik</t>
  </si>
  <si>
    <t>Bosnia-HerzegovinaÂ Â Serbia</t>
  </si>
  <si>
    <t>Servette FC</t>
  </si>
  <si>
    <t>24/07/2017</t>
  </si>
  <si>
    <t>Premijer Liga</t>
  </si>
  <si>
    <t>Mode</t>
  </si>
  <si>
    <t>https://fbref.com/en/players/17b4ea83/Mode</t>
  </si>
  <si>
    <t>https://www.transfermarkt.com/modesto/profil/spieler/230485</t>
  </si>
  <si>
    <t>modesto</t>
  </si>
  <si>
    <t>Modesto</t>
  </si>
  <si>
    <t>14/06/1994 (31)</t>
  </si>
  <si>
    <t>Modeste M'bami</t>
  </si>
  <si>
    <t>https://fbref.com/en/players/82ec2963/Modeste-Mbami</t>
  </si>
  <si>
    <t>Sedan</t>
  </si>
  <si>
    <t>https://www.transfermarkt.com/modeste-mbami/profil/spieler/6631</t>
  </si>
  <si>
    <t>modeste-mbami</t>
  </si>
  <si>
    <t>Modeste M'Bami</t>
  </si>
  <si>
    <t>07.01.2023</t>
  </si>
  <si>
    <t>Modibo DiakitÃ©</t>
  </si>
  <si>
    <t>https://fbref.com/en/players/e5eb4ab4/Modibo-Diakite</t>
  </si>
  <si>
    <t>Pescara</t>
  </si>
  <si>
    <t>https://www.transfermarkt.com/modibo-diakite/profil/spieler/41749</t>
  </si>
  <si>
    <t>modibo-diakite</t>
  </si>
  <si>
    <t>Bourg-La-Reine</t>
  </si>
  <si>
    <t>Mohamed Sarr</t>
  </si>
  <si>
    <t>https://fbref.com/en/players/82bf93ae/Mohamed-Sarr</t>
  </si>
  <si>
    <t>https://www.transfermarkt.com/mohamed-sarr/profil/spieler/19450</t>
  </si>
  <si>
    <t>mohamed-sarr</t>
  </si>
  <si>
    <t>23/12/1983</t>
  </si>
  <si>
    <t>SenegalÂ Â Belgium</t>
  </si>
  <si>
    <t>21/04/2002</t>
  </si>
  <si>
    <t>Mohamed Sissoko</t>
  </si>
  <si>
    <t>https://fbref.com/en/players/2c1a819e/Mohamed-Sissoko</t>
  </si>
  <si>
    <t>https://www.transfermarkt.com/mohamed-sissoko/profil/spieler/6119</t>
  </si>
  <si>
    <t>mohamed-sissoko</t>
  </si>
  <si>
    <t>22/01/1985</t>
  </si>
  <si>
    <t>Mont-Saint-Aignan</t>
  </si>
  <si>
    <t>FC Sochaux</t>
  </si>
  <si>
    <t>14/01/2020</t>
  </si>
  <si>
    <t>28/02/2017</t>
  </si>
  <si>
    <t>Mohamed TchitÃ©</t>
  </si>
  <si>
    <t>bi BDI</t>
  </si>
  <si>
    <t>https://fbref.com/en/players/39b8619d/Mohamed-Tchite</t>
  </si>
  <si>
    <t>Burundi</t>
  </si>
  <si>
    <t>https://www.transfermarkt.com/meme-tchite/profil/spieler/18949</t>
  </si>
  <si>
    <t>meme-tchite</t>
  </si>
  <si>
    <t>MÃ©mÃ© TchitÃ©</t>
  </si>
  <si>
    <t>31/01/1984 (41)</t>
  </si>
  <si>
    <t>Bujumbura</t>
  </si>
  <si>
    <t>BurundiÂ Â Rwanda</t>
  </si>
  <si>
    <t>RCS Verviers</t>
  </si>
  <si>
    <t>26/04/2003</t>
  </si>
  <si>
    <t>Mohammed Abu</t>
  </si>
  <si>
    <t>https://fbref.com/en/players/c1f17b17/Mohammed-Abu</t>
  </si>
  <si>
    <t>FW-MF (CM-DM)</t>
  </si>
  <si>
    <t>https://www.transfermarkt.com/mohammed-abu/profil/spieler/164478</t>
  </si>
  <si>
    <t>mohammed-abu</t>
  </si>
  <si>
    <t>14/11/1991 (33)</t>
  </si>
  <si>
    <t>San Antonio FC</t>
  </si>
  <si>
    <t>29/03/2024</t>
  </si>
  <si>
    <t>22/07/2021</t>
  </si>
  <si>
    <t>USL Championship</t>
  </si>
  <si>
    <t>Mohammed Fatau</t>
  </si>
  <si>
    <t>https://fbref.com/en/players/b4dd30a0/Mohammed-Fatau</t>
  </si>
  <si>
    <t>https://www.transfermarkt.com/mohammed-fatau/profil/spieler/247189</t>
  </si>
  <si>
    <t>mohammed-fatau</t>
  </si>
  <si>
    <t>24/12/1992</t>
  </si>
  <si>
    <t>Moi GÃ³mez</t>
  </si>
  <si>
    <t>https://fbref.com/en/players/5a626448/Moi-Gomez</t>
  </si>
  <si>
    <t>June 23, 1994 (Age:Â 31-125d)</t>
  </si>
  <si>
    <t>Rojales, Spain</t>
  </si>
  <si>
    <t>https://www.transfermarkt.com/moi-gomez/profil/spieler/175449</t>
  </si>
  <si>
    <t>moi-gomez</t>
  </si>
  <si>
    <t>23/06/1994</t>
  </si>
  <si>
    <t>Rojales</t>
  </si>
  <si>
    <t>28/07/2022</t>
  </si>
  <si>
    <t>28/11/2011</t>
  </si>
  <si>
    <t>30/04/2011</t>
  </si>
  <si>
    <t>MoisÃ©s Delgado</t>
  </si>
  <si>
    <t>https://fbref.com/en/players/248c409d/Moises-Delgado</t>
  </si>
  <si>
    <t>https://www.transfermarkt.com/moi-delgado/profil/spieler/260230</t>
  </si>
  <si>
    <t>moi-delgado</t>
  </si>
  <si>
    <t>Moi Delgado</t>
  </si>
  <si>
    <t>18/04/1994</t>
  </si>
  <si>
    <t>25/08/2025</t>
  </si>
  <si>
    <t>MoisÃ©s GarcÃ­a</t>
  </si>
  <si>
    <t>https://fbref.com/en/players/5a740593/Moises-Garcia</t>
  </si>
  <si>
    <t>https://www.transfermarkt.com/moises-garcia/profil/spieler/96274</t>
  </si>
  <si>
    <t>moises-garcia</t>
  </si>
  <si>
    <t>31/10/1989 (36)</t>
  </si>
  <si>
    <t>14/04/2012</t>
  </si>
  <si>
    <t>31/01/2009</t>
  </si>
  <si>
    <t>MoisÃ©s Hurtado</t>
  </si>
  <si>
    <t>https://fbref.com/en/players/1ea7254b/Moises-Hurtado</t>
  </si>
  <si>
    <t>https://www.transfermarkt.com/moises-hurtado/profil/spieler/15764</t>
  </si>
  <si>
    <t>moises-hurtado</t>
  </si>
  <si>
    <t>20/02/1981</t>
  </si>
  <si>
    <t>Momo</t>
  </si>
  <si>
    <t>https://fbref.com/en/players/9857e65d/Momo</t>
  </si>
  <si>
    <t>https://www.transfermarkt.com/momo/profil/spieler/25319</t>
  </si>
  <si>
    <t>momo</t>
  </si>
  <si>
    <t>15/07/1982 (43)</t>
  </si>
  <si>
    <t>Mouhamadou Dabo</t>
  </si>
  <si>
    <t>https://fbref.com/en/players/78853b7b/Mouhamadou-Dabo</t>
  </si>
  <si>
    <t>France fr Â Other:Â Senegal</t>
  </si>
  <si>
    <t>https://www.transfermarkt.com/mouhamadou-dabo/profil/spieler/33914</t>
  </si>
  <si>
    <t>mouhamadou-dabo</t>
  </si>
  <si>
    <t>28/11/1986</t>
  </si>
  <si>
    <t>SM Caen</t>
  </si>
  <si>
    <t>Mounir El Hamdaoui</t>
  </si>
  <si>
    <t>https://fbref.com/en/players/d23e085d/Mounir-El-Hamdaoui</t>
  </si>
  <si>
    <t>Morocco ma Â Other:Â Netherlands</t>
  </si>
  <si>
    <t>Excelsior</t>
  </si>
  <si>
    <t>https://www.transfermarkt.com/mounir-el-hamdaoui/profil/spieler/21490</t>
  </si>
  <si>
    <t>mounir-el-hamdaoui</t>
  </si>
  <si>
    <t>14/07/1984</t>
  </si>
  <si>
    <t>MoroccoÂ Â Netherlands</t>
  </si>
  <si>
    <t>DHSC</t>
  </si>
  <si>
    <t>17/08/2002</t>
  </si>
  <si>
    <t>19/04/2002</t>
  </si>
  <si>
    <t>Munir El Haddadi</t>
  </si>
  <si>
    <t>https://fbref.com/en/players/8696bc90/Munir-El-Haddadi</t>
  </si>
  <si>
    <t>September 1, 1995 (Age:Â 30-055d)</t>
  </si>
  <si>
    <t>San Lorenzo de El Escorial, Spain</t>
  </si>
  <si>
    <t>https://www.transfermarkt.com/munir-el-haddadi/profil/spieler/223725</t>
  </si>
  <si>
    <t>munir-el-haddadi</t>
  </si>
  <si>
    <t>El Escorial</t>
  </si>
  <si>
    <t>NÃ©lson Marcos</t>
  </si>
  <si>
    <t>https://fbref.com/en/players/d0d41afb/Nelson-Marcos</t>
  </si>
  <si>
    <t>Portugal pt Â Other:Â Cape Verde</t>
  </si>
  <si>
    <t>https://www.transfermarkt.com/nelson/profil/spieler/17555</t>
  </si>
  <si>
    <t>nelson</t>
  </si>
  <si>
    <t>NÃ©lson</t>
  </si>
  <si>
    <t>10/06/1983 (42)</t>
  </si>
  <si>
    <t>Liga Portugal 2 Meu Super</t>
  </si>
  <si>
    <t>NÃ©lson Oliveira</t>
  </si>
  <si>
    <t>https://fbref.com/en/players/f716e4e4/Nelson-Oliveira</t>
  </si>
  <si>
    <t>August 8, 1991 (Age:Â 34-079d)</t>
  </si>
  <si>
    <t>Barcelos, Portugal</t>
  </si>
  <si>
    <t>VitÃ³ria GuimarÃ£es</t>
  </si>
  <si>
    <t>https://www.transfermarkt.com/nelson-oliveira/profil/spieler/72768</t>
  </si>
  <si>
    <t>nelson-oliveira</t>
  </si>
  <si>
    <t>Barcelos</t>
  </si>
  <si>
    <t>Vit. GuimarÃ£es</t>
  </si>
  <si>
    <t>NÃ©stor Susaeta</t>
  </si>
  <si>
    <t>https://fbref.com/en/players/ff0c8ca6/Nestor-Susaeta</t>
  </si>
  <si>
    <t>https://www.transfermarkt.com/nestor-susaeta/profil/spieler/51488</t>
  </si>
  <si>
    <t>nestor-susaeta</t>
  </si>
  <si>
    <t>19/02/2012</t>
  </si>
  <si>
    <t>Nabil Baha</t>
  </si>
  <si>
    <t>https://fbref.com/en/players/32634b49/Nabil-Baha</t>
  </si>
  <si>
    <t>https://www.transfermarkt.com/nabil-baha/profil/spieler/19503</t>
  </si>
  <si>
    <t>nabil-baha</t>
  </si>
  <si>
    <t>Remiremont</t>
  </si>
  <si>
    <t>FUS Rabat</t>
  </si>
  <si>
    <t>14/11/2004</t>
  </si>
  <si>
    <t>25/08/2002</t>
  </si>
  <si>
    <t>Nabil El Zhar</t>
  </si>
  <si>
    <t>https://fbref.com/en/players/37f96552/Nabil-El-Zhar</t>
  </si>
  <si>
    <t>https://www.transfermarkt.com/nabil-el-zhar/profil/spieler/37917</t>
  </si>
  <si>
    <t>nabil-el-zhar</t>
  </si>
  <si>
    <t>27/08/1986</t>
  </si>
  <si>
    <t>AlÃ¨s</t>
  </si>
  <si>
    <t>Muaither SC</t>
  </si>
  <si>
    <t>29/11/2006</t>
  </si>
  <si>
    <t>20/01/2022</t>
  </si>
  <si>
    <t>Nabil Ghilas</t>
  </si>
  <si>
    <t>https://fbref.com/en/players/cee627f6/Nabil-Ghilas</t>
  </si>
  <si>
    <t>Moreirense</t>
  </si>
  <si>
    <t>https://www.transfermarkt.com/nabil-ghilas/profil/spieler/193515</t>
  </si>
  <si>
    <t>nabil-ghilas</t>
  </si>
  <si>
    <t>20/04/1990</t>
  </si>
  <si>
    <t>24/11/2011</t>
  </si>
  <si>
    <t>Nacho</t>
  </si>
  <si>
    <t>https://fbref.com/en/players/07537011/Nacho</t>
  </si>
  <si>
    <t>https://www.transfermarkt.com/nacho/profil/spieler/23287</t>
  </si>
  <si>
    <t>nacho</t>
  </si>
  <si>
    <t>24/06/1980 (45)</t>
  </si>
  <si>
    <t>23/02/2003</t>
  </si>
  <si>
    <t>https://fbref.com/en/players/2946f9a1/Nacho</t>
  </si>
  <si>
    <t>January 18, 1990 (Age:Â 35-281d)</t>
  </si>
  <si>
    <t>Al Qadisiyah</t>
  </si>
  <si>
    <t>https://www.transfermarkt.com/nacho-fernandez/profil/spieler/58884</t>
  </si>
  <si>
    <t>nacho-fernandez</t>
  </si>
  <si>
    <t>Nacho FernÃ¡ndez</t>
  </si>
  <si>
    <t>18/01/1990</t>
  </si>
  <si>
    <t>Al-Qadsiah</t>
  </si>
  <si>
    <t>18/07/2024</t>
  </si>
  <si>
    <t>Nacho Cases</t>
  </si>
  <si>
    <t>https://fbref.com/en/players/1ef6f38d/Nacho-Cases</t>
  </si>
  <si>
    <t>https://www.transfermarkt.com/nacho-cases/profil/spieler/89473</t>
  </si>
  <si>
    <t>nacho-cases</t>
  </si>
  <si>
    <t>22/12/1987</t>
  </si>
  <si>
    <t>14/07/2023</t>
  </si>
  <si>
    <t>Nacho GonzÃ¡lez</t>
  </si>
  <si>
    <t>https://fbref.com/en/players/53031e02/Nacho-Gonzalez</t>
  </si>
  <si>
    <t>https://www.transfermarkt.com/ignacio-gonzalez/profil/spieler/67648</t>
  </si>
  <si>
    <t>ignacio-gonzalez</t>
  </si>
  <si>
    <t>Ignacio GonzÃ¡lez</t>
  </si>
  <si>
    <t>14/05/1982 (43)</t>
  </si>
  <si>
    <t>Nacho Monreal</t>
  </si>
  <si>
    <t>https://fbref.com/en/players/d4cb83cc/Nacho-Monreal</t>
  </si>
  <si>
    <t>https://www.transfermarkt.com/nacho-monreal/profil/spieler/43003</t>
  </si>
  <si>
    <t>nacho-monreal</t>
  </si>
  <si>
    <t>26/02/1986</t>
  </si>
  <si>
    <t>16/08/2022</t>
  </si>
  <si>
    <t>22/10/2006</t>
  </si>
  <si>
    <t>Nacho Novo</t>
  </si>
  <si>
    <t>https://fbref.com/en/players/8391cd3f/Nacho-Novo</t>
  </si>
  <si>
    <t>Dundee</t>
  </si>
  <si>
    <t>https://www.transfermarkt.com/nacho-novo/profil/spieler/12844</t>
  </si>
  <si>
    <t>nacho-novo</t>
  </si>
  <si>
    <t>26/03/1979</t>
  </si>
  <si>
    <t>Glentoran</t>
  </si>
  <si>
    <t>Nagore</t>
  </si>
  <si>
    <t>https://fbref.com/en/players/86eeca16/Nagore</t>
  </si>
  <si>
    <t>https://www.transfermarkt.com/nagore/profil/spieler/73257</t>
  </si>
  <si>
    <t>nagore</t>
  </si>
  <si>
    <t>27/12/1980 (44)</t>
  </si>
  <si>
    <t>Naldo</t>
  </si>
  <si>
    <t>https://fbref.com/en/players/a2609621/Naldo</t>
  </si>
  <si>
    <t>Santo AndrÃ©, Brazil</t>
  </si>
  <si>
    <t>Bologna</t>
  </si>
  <si>
    <t>https://www.transfermarkt.com/naldo/profil/spieler/148666</t>
  </si>
  <si>
    <t>naldo</t>
  </si>
  <si>
    <t>25/08/1988 (37)</t>
  </si>
  <si>
    <t>Santo AndrÃ©</t>
  </si>
  <si>
    <t>22/07/2025</t>
  </si>
  <si>
    <t>29/06/2011</t>
  </si>
  <si>
    <t>Nano</t>
  </si>
  <si>
    <t>https://fbref.com/en/players/3d6dd9f9/Nano</t>
  </si>
  <si>
    <t>https://www.transfermarkt.com/nano-rivas/profil/spieler/22974</t>
  </si>
  <si>
    <t>nano-rivas</t>
  </si>
  <si>
    <t>Nano Rivas</t>
  </si>
  <si>
    <t>07/07/1980 (45)</t>
  </si>
  <si>
    <t>GZ Renhe</t>
  </si>
  <si>
    <t>24/11/2002</t>
  </si>
  <si>
    <t>https://fbref.com/en/players/51fbb7e2/Nano</t>
  </si>
  <si>
    <t>https://www.transfermarkt.com/nano/profil/spieler/7901</t>
  </si>
  <si>
    <t>nano</t>
  </si>
  <si>
    <t>20/04/1982 (43)</t>
  </si>
  <si>
    <t>Natxo Insa</t>
  </si>
  <si>
    <t>my MAS</t>
  </si>
  <si>
    <t>https://fbref.com/en/players/28ccefcd/Natxo-Insa</t>
  </si>
  <si>
    <t>June 9, 1986 (Age:Â 39-139d)</t>
  </si>
  <si>
    <t>Cocentaina, Spain</t>
  </si>
  <si>
    <t>Malaysia my Â Other:Â Spain</t>
  </si>
  <si>
    <t>https://www.transfermarkt.com/natxo-insa/profil/spieler/57808</t>
  </si>
  <si>
    <t>natxo-insa</t>
  </si>
  <si>
    <t>Cocentaina</t>
  </si>
  <si>
    <t>MalaysiaÂ Â Spain</t>
  </si>
  <si>
    <t>Nelson Valdez</t>
  </si>
  <si>
    <t>https://fbref.com/en/players/040d8500/Nelson-Valdez</t>
  </si>
  <si>
    <t>Werder Bremen</t>
  </si>
  <si>
    <t>https://www.transfermarkt.com/nelson-valdez/profil/spieler/2050</t>
  </si>
  <si>
    <t>nelson-valdez</t>
  </si>
  <si>
    <t>28/11/1983</t>
  </si>
  <si>
    <t>CaaguazÃº</t>
  </si>
  <si>
    <t>Cerro PorteÃ±o</t>
  </si>
  <si>
    <t>22/02/2003</t>
  </si>
  <si>
    <t>Nemanja Radoja</t>
  </si>
  <si>
    <t>https://fbref.com/en/players/b5dd3469/Nemanja-Radoja</t>
  </si>
  <si>
    <t>Novi Sad, Serbia</t>
  </si>
  <si>
    <t>Sporting Kansas City</t>
  </si>
  <si>
    <t>https://www.transfermarkt.com/nemanja-radoja/profil/spieler/168959</t>
  </si>
  <si>
    <t>nemanja-radoja</t>
  </si>
  <si>
    <t>Novi Sad</t>
  </si>
  <si>
    <t>Nery Castillo</t>
  </si>
  <si>
    <t>https://fbref.com/en/players/bb34761d/Nery-Castillo</t>
  </si>
  <si>
    <t>DF-FW-MF (WM)</t>
  </si>
  <si>
    <t>https://www.transfermarkt.com/nery-castillo/profil/spieler/9711</t>
  </si>
  <si>
    <t>nery-castillo</t>
  </si>
  <si>
    <t>13/06/1984</t>
  </si>
  <si>
    <t>San Luis PotosÃ­</t>
  </si>
  <si>
    <t>MexicoÂ Â Uruguay</t>
  </si>
  <si>
    <t>Neymar</t>
  </si>
  <si>
    <t>https://fbref.com/en/players/69384e5d/Neymar</t>
  </si>
  <si>
    <t>February 5, 1992 (Age:Â 33-263d)</t>
  </si>
  <si>
    <t>Mogi das Cruzes, Brazil</t>
  </si>
  <si>
    <t>https://www.transfermarkt.com/neymar/profil/spieler/68290</t>
  </si>
  <si>
    <t>neymar</t>
  </si>
  <si>
    <t>Mogi das Cruzes</t>
  </si>
  <si>
    <t>Nicki Bille Nielsen</t>
  </si>
  <si>
    <t>https://fbref.com/en/players/c0a57418/Nicki-Bille-Nielsen</t>
  </si>
  <si>
    <t>https://www.transfermarkt.com/nicki-bille/profil/spieler/46006</t>
  </si>
  <si>
    <t>nicki-bille</t>
  </si>
  <si>
    <t>Nicki Bille</t>
  </si>
  <si>
    <t>Vigerslev</t>
  </si>
  <si>
    <t>Vaerebro Bk</t>
  </si>
  <si>
    <t>19/06/2020</t>
  </si>
  <si>
    <t>19/11/2006</t>
  </si>
  <si>
    <t>NicolÃ¡s Bertolo</t>
  </si>
  <si>
    <t>https://fbref.com/en/players/089f82b2/Nicolas-Bertolo</t>
  </si>
  <si>
    <t>https://www.transfermarkt.com/nicolas-bertolo/profil/spieler/52903</t>
  </si>
  <si>
    <t>nicolas-bertolo</t>
  </si>
  <si>
    <t>NicolÃ¡s Otamendi</t>
  </si>
  <si>
    <t>https://fbref.com/en/players/0d267745/Nicolas-Otamendi</t>
  </si>
  <si>
    <t>February 12, 1988 (Age:Â 37-256d)</t>
  </si>
  <si>
    <t>https://www.transfermarkt.com/nicolas-otamendi/profil/spieler/54781</t>
  </si>
  <si>
    <t>nicolas-otamendi</t>
  </si>
  <si>
    <t>29/09/2020</t>
  </si>
  <si>
    <t>NicolÃ¡s Pareja</t>
  </si>
  <si>
    <t>https://fbref.com/en/players/a92669f6/Nicolas-Pareja</t>
  </si>
  <si>
    <t>Anderlecht</t>
  </si>
  <si>
    <t>https://www.transfermarkt.com/nicolas-pareja/profil/spieler/41281</t>
  </si>
  <si>
    <t>nicolas-pareja</t>
  </si>
  <si>
    <t>19/01/1984</t>
  </si>
  <si>
    <t>Nikolaos Karabelas</t>
  </si>
  <si>
    <t>https://fbref.com/en/players/a41c6410/Nikolaos-Karabelas</t>
  </si>
  <si>
    <t>Aris</t>
  </si>
  <si>
    <t>https://www.transfermarkt.com/nikolaos-karabelas/profil/spieler/42935</t>
  </si>
  <si>
    <t>nikolaos-karabelas</t>
  </si>
  <si>
    <t>20/12/1984</t>
  </si>
  <si>
    <t>Pyrgos</t>
  </si>
  <si>
    <t>Nilmar</t>
  </si>
  <si>
    <t>https://fbref.com/en/players/90a5a4aa/Nilmar</t>
  </si>
  <si>
    <t>https://www.transfermarkt.com/nilmar/profil/spieler/22750</t>
  </si>
  <si>
    <t>nilmar</t>
  </si>
  <si>
    <t>Bandeirentes</t>
  </si>
  <si>
    <t>13/12/2017</t>
  </si>
  <si>
    <t>Nino</t>
  </si>
  <si>
    <t>https://fbref.com/en/players/03dc5b1f/Nino</t>
  </si>
  <si>
    <t>https://www.transfermarkt.com/nino/profil/spieler/29178</t>
  </si>
  <si>
    <t>nino</t>
  </si>
  <si>
    <t>10/06/1980 (45)</t>
  </si>
  <si>
    <t>NoÃ© Pamarot</t>
  </si>
  <si>
    <t>https://fbref.com/en/players/6036afc6/Noe-Pamarot</t>
  </si>
  <si>
    <t>Nice</t>
  </si>
  <si>
    <t>https://www.transfermarkt.com/noe-pamarot/profil/spieler/5531</t>
  </si>
  <si>
    <t>noe-pamarot</t>
  </si>
  <si>
    <t>14/04/1979</t>
  </si>
  <si>
    <t>Fontenay-sous-Bois</t>
  </si>
  <si>
    <t>Jove EspaÃ±ol</t>
  </si>
  <si>
    <t>13/09/1997</t>
  </si>
  <si>
    <t>Nolito</t>
  </si>
  <si>
    <t>https://fbref.com/en/players/b2d0ec1b/Nolito</t>
  </si>
  <si>
    <t>https://www.transfermarkt.com/nolito/profil/spieler/70934</t>
  </si>
  <si>
    <t>nolito</t>
  </si>
  <si>
    <t>15/10/1986</t>
  </si>
  <si>
    <t>SanlÃºcar de Barrameda</t>
  </si>
  <si>
    <t>13/09/2023</t>
  </si>
  <si>
    <t>Nono</t>
  </si>
  <si>
    <t>https://fbref.com/en/players/0bd57693/Nono</t>
  </si>
  <si>
    <t>March 30, 1993 (Age:Â 32-210d)</t>
  </si>
  <si>
    <t>El Puerto de Santa MarÃ­a, Spain</t>
  </si>
  <si>
    <t>Ruch ChorzÃ³w</t>
  </si>
  <si>
    <t>https://www.transfermarkt.com/nono/profil/spieler/199132</t>
  </si>
  <si>
    <t>nono</t>
  </si>
  <si>
    <t>30/03/1993</t>
  </si>
  <si>
    <t>Puerto de Santa MarÃ­a</t>
  </si>
  <si>
    <t>Ruch Chorzow</t>
  </si>
  <si>
    <t>Nordin Amrabat</t>
  </si>
  <si>
    <t>https://fbref.com/en/players/7c2a398c/Nordin-Amrabat</t>
  </si>
  <si>
    <t>March 31, 1987 (Age:Â 38-209d)</t>
  </si>
  <si>
    <t>Gemeente Naarden, Netherlands</t>
  </si>
  <si>
    <t>Wydad AC</t>
  </si>
  <si>
    <t>VVV-Venlo</t>
  </si>
  <si>
    <t>https://www.transfermarkt.com/nordin-amrabat/profil/spieler/55619</t>
  </si>
  <si>
    <t>nordin-amrabat</t>
  </si>
  <si>
    <t>31/03/1987</t>
  </si>
  <si>
    <t>Naarden</t>
  </si>
  <si>
    <t>Nosa Igiebor</t>
  </si>
  <si>
    <t>https://fbref.com/en/players/79d9bbd4/Nosa-Igiebor</t>
  </si>
  <si>
    <t>LillestrÃ¸m</t>
  </si>
  <si>
    <t>https://www.transfermarkt.com/nosa-igiebor/profil/spieler/108636</t>
  </si>
  <si>
    <t>nosa-igiebor</t>
  </si>
  <si>
    <t>Abuja</t>
  </si>
  <si>
    <t>18/04/2009</t>
  </si>
  <si>
    <t>Nuri Åžahin</t>
  </si>
  <si>
    <t>https://fbref.com/en/players/f4081572/Nuri-Sahin</t>
  </si>
  <si>
    <t>https://www.transfermarkt.com/nuri-sahin/profil/spieler/31095</t>
  </si>
  <si>
    <t>nuri-sahin</t>
  </si>
  <si>
    <t>LÃ¼denscheid</t>
  </si>
  <si>
    <t>Obafemi Martins</t>
  </si>
  <si>
    <t>https://fbref.com/en/players/70849fc2/Obafemi-Martins</t>
  </si>
  <si>
    <t>https://www.transfermarkt.com/obafemi-martins/profil/spieler/5794</t>
  </si>
  <si>
    <t>obafemi-martins</t>
  </si>
  <si>
    <t>28/10/1984</t>
  </si>
  <si>
    <t>Lagos</t>
  </si>
  <si>
    <t>NigeriaÂ Â Italy</t>
  </si>
  <si>
    <t>WH FC</t>
  </si>
  <si>
    <t>Odion Ighalo</t>
  </si>
  <si>
    <t>https://fbref.com/en/players/03622183/Odion-Ighalo</t>
  </si>
  <si>
    <t>June 16, 1989 (Age:Â 36-132d)</t>
  </si>
  <si>
    <t>Lagos, Nigeria</t>
  </si>
  <si>
    <t>Al-Wehda</t>
  </si>
  <si>
    <t>Lyn</t>
  </si>
  <si>
    <t>https://www.transfermarkt.com/odion-ighalo/profil/spieler/62121</t>
  </si>
  <si>
    <t>odion-ighalo</t>
  </si>
  <si>
    <t>16/06/1989</t>
  </si>
  <si>
    <t>Oguchi Onyewu</t>
  </si>
  <si>
    <t>https://fbref.com/en/players/79283d79/Oguchi-Onyewu</t>
  </si>
  <si>
    <t>La LouviÃ¨re</t>
  </si>
  <si>
    <t>https://www.transfermarkt.com/oguchi-onyewu/profil/spieler/12517</t>
  </si>
  <si>
    <t>oguchi-onyewu</t>
  </si>
  <si>
    <t>Washington, D.C.</t>
  </si>
  <si>
    <t>United StatesÂ Â Belgium</t>
  </si>
  <si>
    <t>Philadelphia</t>
  </si>
  <si>
    <t>17/09/2018</t>
  </si>
  <si>
    <t>13/09/2003</t>
  </si>
  <si>
    <t>22/01/2003</t>
  </si>
  <si>
    <t>Oier OlazÃ¡bal</t>
  </si>
  <si>
    <t>https://fbref.com/en/players/b5bdf144/Oier-Olazabal</t>
  </si>
  <si>
    <t>September 14, 1989 (Age:Â 36-042d)</t>
  </si>
  <si>
    <t>Irun, Spain</t>
  </si>
  <si>
    <t>https://www.transfermarkt.com/oier-olazabal/profil/spieler/8176</t>
  </si>
  <si>
    <t>oier-olazabal</t>
  </si>
  <si>
    <t>14/09/1989</t>
  </si>
  <si>
    <t>IrÃºn</t>
  </si>
  <si>
    <t>Oier Sanjurjo</t>
  </si>
  <si>
    <t>https://fbref.com/en/players/466824fb/Oier-Sanjurjo</t>
  </si>
  <si>
    <t>https://www.transfermarkt.com/oier-sanjurjo/profil/spieler/63040</t>
  </si>
  <si>
    <t>oier-sanjurjo</t>
  </si>
  <si>
    <t>25/05/1986</t>
  </si>
  <si>
    <t>16/10/2011</t>
  </si>
  <si>
    <t>Oleksandr Yakovenko</t>
  </si>
  <si>
    <t>ua UKR</t>
  </si>
  <si>
    <t>https://fbref.com/en/players/40a520a4/Oleksandr-Yakovenko</t>
  </si>
  <si>
    <t>Ukraine</t>
  </si>
  <si>
    <t>Metalist</t>
  </si>
  <si>
    <t>https://www.transfermarkt.com/oleksandr-yakovenko/profil/spieler/31776</t>
  </si>
  <si>
    <t>oleksandr-yakovenko</t>
  </si>
  <si>
    <t>Kyiv</t>
  </si>
  <si>
    <t>UkraineÂ Â Belgium</t>
  </si>
  <si>
    <t>Dynamo Kyiv</t>
  </si>
  <si>
    <t>15/07/2004</t>
  </si>
  <si>
    <t>Persha Liga</t>
  </si>
  <si>
    <t>Olivier Thomert</t>
  </si>
  <si>
    <t>https://fbref.com/en/players/acda6c9d/Olivier-Thomert</t>
  </si>
  <si>
    <t>https://www.transfermarkt.com/olivier-thomert/profil/spieler/5490</t>
  </si>
  <si>
    <t>olivier-thomert</t>
  </si>
  <si>
    <t>28/05/1980</t>
  </si>
  <si>
    <t>Versailles</t>
  </si>
  <si>
    <t>Claye-Souilly</t>
  </si>
  <si>
    <t>28/04/2000</t>
  </si>
  <si>
    <t>Omar Mascarell</t>
  </si>
  <si>
    <t>https://fbref.com/en/players/11fd2b75/Omar-Mascarell</t>
  </si>
  <si>
    <t>February 2, 1993 (Age:Â 32-266d)</t>
  </si>
  <si>
    <t>https://www.transfermarkt.com/omar-mascarell/profil/spieler/142031</t>
  </si>
  <si>
    <t>omar-mascarell</t>
  </si>
  <si>
    <t>28/10/2012</t>
  </si>
  <si>
    <t>Omar Ramos</t>
  </si>
  <si>
    <t>https://fbref.com/en/players/0657888a/Omar-Ramos</t>
  </si>
  <si>
    <t>https://www.transfermarkt.com/omar-ramos/profil/spieler/58112</t>
  </si>
  <si>
    <t>omar-ramos</t>
  </si>
  <si>
    <t>26/01/1988 (37)</t>
  </si>
  <si>
    <t>Laguna</t>
  </si>
  <si>
    <t>28/10/2006</t>
  </si>
  <si>
    <t>Orestis Karnezis</t>
  </si>
  <si>
    <t>https://fbref.com/en/players/85b011bb/Orestis-Karnezis</t>
  </si>
  <si>
    <t>https://www.transfermarkt.com/orestis-karnezis/profil/spieler/16408</t>
  </si>
  <si>
    <t>orestis-karnezis</t>
  </si>
  <si>
    <t>Athen</t>
  </si>
  <si>
    <t>18/04/2010</t>
  </si>
  <si>
    <t>Oriol Riera</t>
  </si>
  <si>
    <t>https://fbref.com/en/players/ed742ed9/Oriol-Riera</t>
  </si>
  <si>
    <t>https://www.transfermarkt.com/oriol-riera/profil/spieler/71671</t>
  </si>
  <si>
    <t>oriol-riera</t>
  </si>
  <si>
    <t>Vic</t>
  </si>
  <si>
    <t>Oriol Romeu</t>
  </si>
  <si>
    <t>https://fbref.com/en/players/4b511457/Oriol-Romeu</t>
  </si>
  <si>
    <t>https://www.transfermarkt.com/oriol-romeu/profil/spieler/66100</t>
  </si>
  <si>
    <t>oriol-romeu</t>
  </si>
  <si>
    <t>24/09/1991</t>
  </si>
  <si>
    <t>Ulldecona</t>
  </si>
  <si>
    <t>Osmar</t>
  </si>
  <si>
    <t>https://fbref.com/en/players/8598175c/Osmar</t>
  </si>
  <si>
    <t>June 5, 1988 (Age:Â 37-143d)</t>
  </si>
  <si>
    <t>SantoÃ±a, Spain</t>
  </si>
  <si>
    <t>Seoul E-Land FC</t>
  </si>
  <si>
    <t>https://www.transfermarkt.com/osmar/profil/spieler/89370</t>
  </si>
  <si>
    <t>osmar</t>
  </si>
  <si>
    <t>05/06/1988 (37)</t>
  </si>
  <si>
    <t>SantoÃ±a</t>
  </si>
  <si>
    <t>Seoul E-Land</t>
  </si>
  <si>
    <t>Pablo ÃÃ±iguez</t>
  </si>
  <si>
    <t>https://fbref.com/en/players/dd55192d/Pablo-Iniguez</t>
  </si>
  <si>
    <t>https://www.transfermarkt.com/pablo-iniguez/profil/spieler/165008</t>
  </si>
  <si>
    <t>pablo-iniguez</t>
  </si>
  <si>
    <t>Pablo IÃ±iguez</t>
  </si>
  <si>
    <t>Pablo Ãlvarez</t>
  </si>
  <si>
    <t>https://fbref.com/en/players/1226cc4f/Pablo-Alvarez</t>
  </si>
  <si>
    <t>Catania</t>
  </si>
  <si>
    <t>https://www.transfermarkt.com/pablo-alvarez/profil/spieler/55993</t>
  </si>
  <si>
    <t>pablo-alvarez</t>
  </si>
  <si>
    <t>17/04/1984</t>
  </si>
  <si>
    <t>San Martin</t>
  </si>
  <si>
    <t>Arsenal SarandÃ­</t>
  </si>
  <si>
    <t>https://fbref.com/en/players/08af8dbe/Pablo-Alvarez</t>
  </si>
  <si>
    <t>https://www.transfermarkt.com/pablo-alvarez/profil/spieler/44000</t>
  </si>
  <si>
    <t>14/05/1980 (45)</t>
  </si>
  <si>
    <t>19/05/2001</t>
  </si>
  <si>
    <t>Pablo Alcolea</t>
  </si>
  <si>
    <t>https://fbref.com/en/players/7d093d18/Pablo-Alcolea</t>
  </si>
  <si>
    <t>https://www.transfermarkt.com/pablo-alcolea/profil/spieler/138800</t>
  </si>
  <si>
    <t>pablo-alcolea</t>
  </si>
  <si>
    <t>23/02/2013</t>
  </si>
  <si>
    <t>22/02/2015</t>
  </si>
  <si>
    <t>Pablo Barrera</t>
  </si>
  <si>
    <t>https://fbref.com/en/players/ff70b131/Pablo-Barrera</t>
  </si>
  <si>
    <t>June 21, 1987 (Age:Â 38-127d)</t>
  </si>
  <si>
    <t>Tlalnepantla de Baz, Estado de MÃ©xico, Mexico</t>
  </si>
  <si>
    <t>QuerÃ©taro</t>
  </si>
  <si>
    <t>https://www.transfermarkt.com/pablo-barrera/profil/spieler/51079</t>
  </si>
  <si>
    <t>pablo-barrera</t>
  </si>
  <si>
    <t>21/06/1987</t>
  </si>
  <si>
    <t>Tlalnepantla</t>
  </si>
  <si>
    <t>QuerÃ©taro FC</t>
  </si>
  <si>
    <t>Pablo CÃ¡ceres</t>
  </si>
  <si>
    <t>https://fbref.com/en/players/781de8f2/Pablo-Caceres</t>
  </si>
  <si>
    <t>MSV Duisburg</t>
  </si>
  <si>
    <t>https://www.transfermarkt.com/pablo-caceres/profil/spieler/40790</t>
  </si>
  <si>
    <t>pablo-caceres</t>
  </si>
  <si>
    <t>22/04/1985</t>
  </si>
  <si>
    <t>Puebla FC</t>
  </si>
  <si>
    <t>Pablo ClaverÃ­a</t>
  </si>
  <si>
    <t>https://fbref.com/en/players/1624d75b/Pablo-Claveria</t>
  </si>
  <si>
    <t>April 1, 1996 (Age:Â 29-208d)</t>
  </si>
  <si>
    <t>Zamora</t>
  </si>
  <si>
    <t>https://www.transfermarkt.com/pablo-claveria/profil/spieler/348553</t>
  </si>
  <si>
    <t>pablo-claveria</t>
  </si>
  <si>
    <t>Zamora CF</t>
  </si>
  <si>
    <t>30/07/2024</t>
  </si>
  <si>
    <t>13/12/2014</t>
  </si>
  <si>
    <t>Pablo HernÃ¡ndez</t>
  </si>
  <si>
    <t>https://fbref.com/en/players/6c2f5996/Pablo-Hernandez</t>
  </si>
  <si>
    <t>October 24, 1986 (Age:Â 39-005d)</t>
  </si>
  <si>
    <t>San Miguel de TucumÃ¡n, Argentina</t>
  </si>
  <si>
    <t>Chile cl Â Other:Â Argentina</t>
  </si>
  <si>
    <t>San Martin Tuc</t>
  </si>
  <si>
    <t>D.C. United</t>
  </si>
  <si>
    <t>https://www.transfermarkt.com/pablo-hernandez/profil/spieler/91763</t>
  </si>
  <si>
    <t>pablo-hernandez</t>
  </si>
  <si>
    <t>24/10/1986 (39)</t>
  </si>
  <si>
    <t>San Miguel de TucumÃ¡n</t>
  </si>
  <si>
    <t>ChileÂ Â Argentina</t>
  </si>
  <si>
    <t>San MartÃ­n (T)</t>
  </si>
  <si>
    <t>26/02/2024</t>
  </si>
  <si>
    <t>https://fbref.com/en/players/c0398aca/Pablo-Hernandez</t>
  </si>
  <si>
    <t>https://www.transfermarkt.com/pablo-hernandez/profil/spieler/46220</t>
  </si>
  <si>
    <t>16/05/2006</t>
  </si>
  <si>
    <t>Pablo HervÃ­as</t>
  </si>
  <si>
    <t>https://fbref.com/en/players/ba5a9545/Pablo-Hervias</t>
  </si>
  <si>
    <t>LogroÃ±o, Spain</t>
  </si>
  <si>
    <t>MF (AM, right)</t>
  </si>
  <si>
    <t>https://www.transfermarkt.com/pablo-hervias/profil/spieler/142027</t>
  </si>
  <si>
    <t>pablo-hervias</t>
  </si>
  <si>
    <t>19/04/2014</t>
  </si>
  <si>
    <t>Pablo Insua</t>
  </si>
  <si>
    <t>https://fbref.com/en/players/4b5e7e90/Pablo-Insua</t>
  </si>
  <si>
    <t>September 9, 1993 (Age:Â 32-047d)</t>
  </si>
  <si>
    <t>ArzÃºa, Spain</t>
  </si>
  <si>
    <t>https://www.transfermarkt.com/pablo-insua/profil/spieler/171362</t>
  </si>
  <si>
    <t>pablo-insua</t>
  </si>
  <si>
    <t>25/11/2012</t>
  </si>
  <si>
    <t>Pablo MarÃ­</t>
  </si>
  <si>
    <t>https://fbref.com/en/players/aa54ec6f/Pablo-Mari</t>
  </si>
  <si>
    <t>August 31, 1993 (Age:Â 32-056d)</t>
  </si>
  <si>
    <t>https://www.transfermarkt.com/pablo-mari/profil/spieler/210178</t>
  </si>
  <si>
    <t>pablo-mari</t>
  </si>
  <si>
    <t>31/08/1993 (32)</t>
  </si>
  <si>
    <t>Almussafes</t>
  </si>
  <si>
    <t>28/01/2025</t>
  </si>
  <si>
    <t>Pablo Orbaiz</t>
  </si>
  <si>
    <t>https://fbref.com/en/players/3654d355/Pablo-Orbaiz</t>
  </si>
  <si>
    <t>https://www.transfermarkt.com/pablo-orbaiz/profil/spieler/7633</t>
  </si>
  <si>
    <t>pablo-orbaiz</t>
  </si>
  <si>
    <t>Valle de EgÃ¼Ã©s</t>
  </si>
  <si>
    <t>Pablo PÃ©rez</t>
  </si>
  <si>
    <t>https://fbref.com/en/players/3bac82ad/Pablo-Perez</t>
  </si>
  <si>
    <t>https://www.transfermarkt.com/pablo-perez/profil/spieler/55884</t>
  </si>
  <si>
    <t>pablo-perez</t>
  </si>
  <si>
    <t>10/08/1985 (40)</t>
  </si>
  <si>
    <t>Sarmiento Junin</t>
  </si>
  <si>
    <t>23/02/2024</t>
  </si>
  <si>
    <t>Pablo Piatti</t>
  </si>
  <si>
    <t>https://fbref.com/en/players/48e89655/Pablo-Piatti</t>
  </si>
  <si>
    <t>163cm</t>
  </si>
  <si>
    <t>https://www.transfermarkt.com/pablo-piatti/profil/spieler/56067</t>
  </si>
  <si>
    <t>pablo-piatti</t>
  </si>
  <si>
    <t>31/03/1989</t>
  </si>
  <si>
    <t>La Carlota</t>
  </si>
  <si>
    <t>Pablo Pinillos Caro</t>
  </si>
  <si>
    <t>https://fbref.com/en/players/9d19d667/Pablo-Pinillos-Caro</t>
  </si>
  <si>
    <t>https://www.transfermarkt.com/pablo-pinillos/profil/spieler/23290</t>
  </si>
  <si>
    <t>pablo-pinillos</t>
  </si>
  <si>
    <t>Pablo Pinillos</t>
  </si>
  <si>
    <t>Murillo de Rio Leza</t>
  </si>
  <si>
    <t>29/08/1999</t>
  </si>
  <si>
    <t>Pablo Pintos</t>
  </si>
  <si>
    <t>https://fbref.com/en/players/0fe4654e/Pablo-Pintos</t>
  </si>
  <si>
    <t>https://www.transfermarkt.com/pablo-pintos/profil/spieler/76728</t>
  </si>
  <si>
    <t>pablo-pintos</t>
  </si>
  <si>
    <t>HuracÃ¡n</t>
  </si>
  <si>
    <t>17/09/2021</t>
  </si>
  <si>
    <t>Pablo Sarabia</t>
  </si>
  <si>
    <t>https://fbref.com/en/players/9744ff80/Pablo-Sarabia</t>
  </si>
  <si>
    <t>May 11, 1992 (Age:Â 33-168d)</t>
  </si>
  <si>
    <t>Al-Arabi</t>
  </si>
  <si>
    <t>https://www.transfermarkt.com/pablo-sarabia/profil/spieler/74230</t>
  </si>
  <si>
    <t>pablo-sarabia</t>
  </si>
  <si>
    <t>Paco AlcÃ¡cer</t>
  </si>
  <si>
    <t>https://fbref.com/en/players/a7a9d95a/Paco-Alcacer</t>
  </si>
  <si>
    <t>August 30, 1993 (Age:Â 32-057d)</t>
  </si>
  <si>
    <t>Torrent, Spain</t>
  </si>
  <si>
    <t>Sharjah</t>
  </si>
  <si>
    <t>https://www.transfermarkt.com/paco-alcacer/profil/spieler/126716</t>
  </si>
  <si>
    <t>paco-alcacer</t>
  </si>
  <si>
    <t>30/08/1993</t>
  </si>
  <si>
    <t>Paco MontaÃ±Ã©s</t>
  </si>
  <si>
    <t>https://fbref.com/en/players/9cc493b1/Paco-Montanes</t>
  </si>
  <si>
    <t>https://www.transfermarkt.com/paco-montanes/profil/spieler/40442</t>
  </si>
  <si>
    <t>paco-montanes</t>
  </si>
  <si>
    <t>13/05/2006</t>
  </si>
  <si>
    <t>Paco PeÃ±a</t>
  </si>
  <si>
    <t>https://fbref.com/en/players/e3b01965/Paco-Pena</t>
  </si>
  <si>
    <t>https://www.transfermarkt.com/paco-pena/profil/spieler/8132</t>
  </si>
  <si>
    <t>paco-pena</t>
  </si>
  <si>
    <t>25/07/1978</t>
  </si>
  <si>
    <t>Jerez de los Caballeros</t>
  </si>
  <si>
    <t>Papakouli Diop</t>
  </si>
  <si>
    <t>https://fbref.com/en/players/7329018e/Papakouli-Diop</t>
  </si>
  <si>
    <t>https://www.transfermarkt.com/pape-diop/profil/spieler/39907</t>
  </si>
  <si>
    <t>pape-diop</t>
  </si>
  <si>
    <t>Pape Diop</t>
  </si>
  <si>
    <t>19/03/1986 (39)</t>
  </si>
  <si>
    <t>Kaolack</t>
  </si>
  <si>
    <t>Pape DiakhatÃ©</t>
  </si>
  <si>
    <t>https://fbref.com/en/players/84340e6d/Pape-Diakhate</t>
  </si>
  <si>
    <t>https://www.transfermarkt.com/pape-diakhate/profil/spieler/28318</t>
  </si>
  <si>
    <t>pape-diakhate</t>
  </si>
  <si>
    <t>21/06/1984</t>
  </si>
  <si>
    <t>FC LunÃ©ville</t>
  </si>
  <si>
    <t>Pape Maly Diamanka</t>
  </si>
  <si>
    <t>https://fbref.com/en/players/5d289e13/Pape-Maly-Diamanka</t>
  </si>
  <si>
    <t>https://www.transfermarkt.com/pape-maly-diamanka/profil/spieler/176610</t>
  </si>
  <si>
    <t>pape-maly-diamanka</t>
  </si>
  <si>
    <t>Park Chu-young</t>
  </si>
  <si>
    <t>https://fbref.com/en/players/d9fa272a/Park-Chu-young</t>
  </si>
  <si>
    <t>https://www.transfermarkt.com/chu-young-park/profil/spieler/30982</t>
  </si>
  <si>
    <t>chu-young-park</t>
  </si>
  <si>
    <t>Chu-young Park</t>
  </si>
  <si>
    <t>10/07/1985 (40)</t>
  </si>
  <si>
    <t>Dong-gu, Daegu</t>
  </si>
  <si>
    <t>Ulsan Hyundai</t>
  </si>
  <si>
    <t>K League - First Stage ('84,'86,'95,'96,'04-'06)</t>
  </si>
  <si>
    <t>Patrick Ebert</t>
  </si>
  <si>
    <t>https://fbref.com/en/players/92d24319/Patrick-Ebert</t>
  </si>
  <si>
    <t>Hertha BSC</t>
  </si>
  <si>
    <t>https://www.transfermarkt.com/patrick-ebert/profil/spieler/32622</t>
  </si>
  <si>
    <t>patrick-ebert</t>
  </si>
  <si>
    <t>Potsdam</t>
  </si>
  <si>
    <t>Istanbulspor</t>
  </si>
  <si>
    <t>21/12/2022</t>
  </si>
  <si>
    <t>13/08/2006</t>
  </si>
  <si>
    <t>Patrick Ekeng</t>
  </si>
  <si>
    <t>https://fbref.com/en/players/3bcb7df2/Patrick-Ekeng</t>
  </si>
  <si>
    <t>https://www.transfermarkt.com/patrick-ekeng/profil/spieler/118008</t>
  </si>
  <si>
    <t>patrick-ekeng</t>
  </si>
  <si>
    <t>26/03/1990</t>
  </si>
  <si>
    <t>14/07/2013</t>
  </si>
  <si>
    <t>Super League</t>
  </si>
  <si>
    <t>20/08/2010</t>
  </si>
  <si>
    <t>06.05.2016</t>
  </si>
  <si>
    <t>Patrick Mtiliga</t>
  </si>
  <si>
    <t>https://fbref.com/en/players/594ebb79/Patrick-Mtiliga</t>
  </si>
  <si>
    <t>https://www.transfermarkt.com/patrick-mtiliga/profil/spieler/19058</t>
  </si>
  <si>
    <t>patrick-mtiliga</t>
  </si>
  <si>
    <t>28/01/1981</t>
  </si>
  <si>
    <t>DenmarkÂ Â Tanzania</t>
  </si>
  <si>
    <t>Nordsjaelland</t>
  </si>
  <si>
    <t>14/08/1999</t>
  </si>
  <si>
    <t>Pau CendrÃ³s</t>
  </si>
  <si>
    <t>https://fbref.com/en/players/9b9c9388/Pau-Cendros</t>
  </si>
  <si>
    <t>https://www.transfermarkt.com/pau-cendros/profil/spieler/73138</t>
  </si>
  <si>
    <t>pau-cendros</t>
  </si>
  <si>
    <t>Collerense</t>
  </si>
  <si>
    <t>Pau LÃ³pez</t>
  </si>
  <si>
    <t>https://fbref.com/en/players/20b9f052/Pau-Lopez</t>
  </si>
  <si>
    <t>December 13, 1994 (Age:Â 30-317d)</t>
  </si>
  <si>
    <t>https://www.transfermarkt.com/pau-lopez/profil/spieler/286415</t>
  </si>
  <si>
    <t>pau-lopez</t>
  </si>
  <si>
    <t>13/12/1994</t>
  </si>
  <si>
    <t>Paul Quaye</t>
  </si>
  <si>
    <t>https://fbref.com/en/players/0c861e47/Paul-Quaye</t>
  </si>
  <si>
    <t>https://www.transfermarkt.com/paul-quaye/profil/spieler/223643</t>
  </si>
  <si>
    <t>paul-quaye</t>
  </si>
  <si>
    <t>16/09/1995</t>
  </si>
  <si>
    <t>PaulÃ£o</t>
  </si>
  <si>
    <t>https://fbref.com/en/players/63783925/Paulao</t>
  </si>
  <si>
    <t>Naval</t>
  </si>
  <si>
    <t>https://www.transfermarkt.com/paulao/profil/spieler/44700</t>
  </si>
  <si>
    <t>paulao</t>
  </si>
  <si>
    <t>06/08/1982 (43)</t>
  </si>
  <si>
    <t>Lagoa Santa</t>
  </si>
  <si>
    <t>Olhanense</t>
  </si>
  <si>
    <t>26/04/2015</t>
  </si>
  <si>
    <t>Paulo AssunÃ§Ã£o</t>
  </si>
  <si>
    <t>https://fbref.com/en/players/41b7a8cf/Paulo-Assuncao</t>
  </si>
  <si>
    <t>https://www.transfermarkt.com/paulo-assuncao/profil/spieler/14244</t>
  </si>
  <si>
    <t>paulo-assuncao</t>
  </si>
  <si>
    <t>25/01/1980</t>
  </si>
  <si>
    <t>VÃ¡rzea Grande</t>
  </si>
  <si>
    <t>APO Levadiakos</t>
  </si>
  <si>
    <t>Paulo da Silva</t>
  </si>
  <si>
    <t>https://fbref.com/en/players/47560da8/Paulo-da-Silva</t>
  </si>
  <si>
    <t>Cosenza</t>
  </si>
  <si>
    <t>https://www.transfermarkt.com/paulo-da-silva/profil/spieler/38800</t>
  </si>
  <si>
    <t>paulo-da-silva</t>
  </si>
  <si>
    <t>01/02/1980 (45)</t>
  </si>
  <si>
    <t>Atlantida SC</t>
  </si>
  <si>
    <t>20/10/2024</t>
  </si>
  <si>
    <t>27/02/2000</t>
  </si>
  <si>
    <t>20/09/2000</t>
  </si>
  <si>
    <t>Pedro</t>
  </si>
  <si>
    <t>https://fbref.com/en/players/3ca7254a/Pedro</t>
  </si>
  <si>
    <t>July 28, 1987 (Age:Â 38-090d)</t>
  </si>
  <si>
    <t>https://www.transfermarkt.com/pedro/profil/spieler/65278</t>
  </si>
  <si>
    <t>pedro</t>
  </si>
  <si>
    <t>28/07/1987</t>
  </si>
  <si>
    <t>19/08/2021</t>
  </si>
  <si>
    <t>Pedro Bigas</t>
  </si>
  <si>
    <t>https://fbref.com/en/players/697295b1/Pedro-Bigas</t>
  </si>
  <si>
    <t>September 15, 1990 (Age:Â 35-041d)</t>
  </si>
  <si>
    <t>https://www.transfermarkt.com/pedro-bigas/profil/spieler/203043</t>
  </si>
  <si>
    <t>pedro-bigas</t>
  </si>
  <si>
    <t>15/05/1990</t>
  </si>
  <si>
    <t>Pedro Botelho</t>
  </si>
  <si>
    <t>https://fbref.com/en/players/1f933029/Pedro-Botelho</t>
  </si>
  <si>
    <t>https://www.transfermarkt.com/pedro-botelho/profil/spieler/26239</t>
  </si>
  <si>
    <t>pedro-botelho</t>
  </si>
  <si>
    <t>14/12/1989</t>
  </si>
  <si>
    <t>Salvador</t>
  </si>
  <si>
    <t>Desportiva-ES</t>
  </si>
  <si>
    <t>Pedro Geromel</t>
  </si>
  <si>
    <t>https://fbref.com/en/players/78f81520/Pedro-Geromel</t>
  </si>
  <si>
    <t>https://www.transfermarkt.com/pedro-geromel/profil/spieler/32568</t>
  </si>
  <si>
    <t>pedro-geromel</t>
  </si>
  <si>
    <t>21/09/1985</t>
  </si>
  <si>
    <t>GrÃªmio</t>
  </si>
  <si>
    <t>Pedro LÃ³pez</t>
  </si>
  <si>
    <t>https://fbref.com/en/players/bfa29677/Pedro-Lopez</t>
  </si>
  <si>
    <t>January 21, 1995 (Age:Â 30-278d)</t>
  </si>
  <si>
    <t>MÃ©rida, Spain</t>
  </si>
  <si>
    <t>https://www.transfermarkt.com/pedro-lopez/profil/spieler/303248</t>
  </si>
  <si>
    <t>pedro-lopez</t>
  </si>
  <si>
    <t>21/01/1995 (30)</t>
  </si>
  <si>
    <t>AD Ceuta</t>
  </si>
  <si>
    <t>23/08/2025</t>
  </si>
  <si>
    <t>Pedro LÃ³pez MuÃ±oz</t>
  </si>
  <si>
    <t>https://fbref.com/en/players/a60823a4/Pedro-Lopez-Munoz</t>
  </si>
  <si>
    <t>https://www.transfermarkt.com/pedro-lopez/profil/spieler/25412</t>
  </si>
  <si>
    <t>13/09/2021</t>
  </si>
  <si>
    <t>Pedro LeÃ³n</t>
  </si>
  <si>
    <t>https://fbref.com/en/players/d66b9872/Pedro-Leon</t>
  </si>
  <si>
    <t>https://www.transfermarkt.com/pedro-leon/profil/spieler/51587</t>
  </si>
  <si>
    <t>pedro-leon</t>
  </si>
  <si>
    <t>24/11/1986 (38)</t>
  </si>
  <si>
    <t>Mula</t>
  </si>
  <si>
    <t>Pedro MartÃ­n</t>
  </si>
  <si>
    <t>https://fbref.com/en/players/99ee29b5/Pedro-Martin</t>
  </si>
  <si>
    <t>https://www.transfermarkt.com/pedro-martin/profil/spieler/192585</t>
  </si>
  <si>
    <t>pedro-martin</t>
  </si>
  <si>
    <t>16/01/1992</t>
  </si>
  <si>
    <t>Reus FCR</t>
  </si>
  <si>
    <t>29/04/2012</t>
  </si>
  <si>
    <t>Pedro Morales</t>
  </si>
  <si>
    <t>https://fbref.com/en/players/ff840341/Pedro-Morales</t>
  </si>
  <si>
    <t>https://www.transfermarkt.com/pedro-morales/profil/spieler/75314</t>
  </si>
  <si>
    <t>pedro-morales</t>
  </si>
  <si>
    <t>25/05/1985</t>
  </si>
  <si>
    <t>HualpÃ©n</t>
  </si>
  <si>
    <t>28/05/2023</t>
  </si>
  <si>
    <t>30/03/2019</t>
  </si>
  <si>
    <t>Pedro Mosquera</t>
  </si>
  <si>
    <t>https://fbref.com/en/players/c5fa58ea/Pedro-Mosquera</t>
  </si>
  <si>
    <t>https://www.transfermarkt.com/pedro-mosquera/profil/spieler/44069</t>
  </si>
  <si>
    <t>pedro-mosquera</t>
  </si>
  <si>
    <t>21/04/1988</t>
  </si>
  <si>
    <t>25/03/2010</t>
  </si>
  <si>
    <t>Pedro Munitis</t>
  </si>
  <si>
    <t>https://fbref.com/en/players/61b5cd53/Pedro-Munitis</t>
  </si>
  <si>
    <t>https://www.transfermarkt.com/pedro-munitis/profil/spieler/7864</t>
  </si>
  <si>
    <t>pedro-munitis</t>
  </si>
  <si>
    <t>19/06/1975</t>
  </si>
  <si>
    <t>22/01/1995</t>
  </si>
  <si>
    <t>Pedro Orfila</t>
  </si>
  <si>
    <t>https://fbref.com/en/players/a38c114e/Pedro-Orfila</t>
  </si>
  <si>
    <t>https://www.transfermarkt.com/pedro-orfila/profil/spieler/89508</t>
  </si>
  <si>
    <t>pedro-orfila</t>
  </si>
  <si>
    <t>Pedro RÃ­os</t>
  </si>
  <si>
    <t>https://fbref.com/en/players/96ef8f9f/Pedro-Rios</t>
  </si>
  <si>
    <t>https://www.transfermarkt.com/pedro-rios/profil/spieler/29187</t>
  </si>
  <si>
    <t>pedro-rios</t>
  </si>
  <si>
    <t>12/12/1981 (43)</t>
  </si>
  <si>
    <t>San Fernando CD</t>
  </si>
  <si>
    <t>Pepe</t>
  </si>
  <si>
    <t>https://fbref.com/en/players/c906ce0f/Pepe</t>
  </si>
  <si>
    <t>Portugal pt Â Other:Â Brazil</t>
  </si>
  <si>
    <t>https://www.transfermarkt.com/pepe/profil/spieler/14132</t>
  </si>
  <si>
    <t>pepe</t>
  </si>
  <si>
    <t>26/02/1983 (42)</t>
  </si>
  <si>
    <t>MaceiÃ³</t>
  </si>
  <si>
    <t>PortugalÂ Â Brazil</t>
  </si>
  <si>
    <t>Philippe Coutinho</t>
  </si>
  <si>
    <t>https://fbref.com/en/players/0ef89a37/Philippe-Coutinho</t>
  </si>
  <si>
    <t>June 12, 1992 (Age:Â 33-136d)</t>
  </si>
  <si>
    <t>Rio de Janeiro, Brazil</t>
  </si>
  <si>
    <t>https://www.transfermarkt.com/philippe-coutinho/profil/spieler/80444</t>
  </si>
  <si>
    <t>philippe-coutinho</t>
  </si>
  <si>
    <t>19/06/2009</t>
  </si>
  <si>
    <t>Philippe Senderos</t>
  </si>
  <si>
    <t>https://fbref.com/en/players/b1d82fc2/Philippe-Senderos</t>
  </si>
  <si>
    <t>https://www.transfermarkt.com/philippe-senderos/profil/spieler/4277</t>
  </si>
  <si>
    <t>philippe-senderos</t>
  </si>
  <si>
    <t>14/02/1985</t>
  </si>
  <si>
    <t>Genf</t>
  </si>
  <si>
    <t>SwitzerlandÂ Â Spain</t>
  </si>
  <si>
    <t>FC Chiasso</t>
  </si>
  <si>
    <t>24/02/2002</t>
  </si>
  <si>
    <t>Challenge League</t>
  </si>
  <si>
    <t>Pierre WebÃ³</t>
  </si>
  <si>
    <t>https://fbref.com/en/players/3d6f05ea/Pierre-Webo</t>
  </si>
  <si>
    <t>https://www.transfermarkt.com/pierre-webo/profil/spieler/16589</t>
  </si>
  <si>
    <t>pierre-webo</t>
  </si>
  <si>
    <t>20/01/1982</t>
  </si>
  <si>
    <t>Bafoussam</t>
  </si>
  <si>
    <t>CameroonÂ Â Spain</t>
  </si>
  <si>
    <t>14/09/2003</t>
  </si>
  <si>
    <t>Piet Velthuizen</t>
  </si>
  <si>
    <t>https://fbref.com/en/players/b7a7d76a/Piet-Velthuizen</t>
  </si>
  <si>
    <t>https://www.transfermarkt.com/piet-velthuizen/profil/spieler/30585</t>
  </si>
  <si>
    <t>piet-velthuizen</t>
  </si>
  <si>
    <t>Nijmegen</t>
  </si>
  <si>
    <t>Fortuna Sittard</t>
  </si>
  <si>
    <t>31/12/2006</t>
  </si>
  <si>
    <t>Piotr Trochowski</t>
  </si>
  <si>
    <t>https://fbref.com/en/players/6cae08d5/Piotr-Trochowski</t>
  </si>
  <si>
    <t>Germany de Â Other:Â Poland</t>
  </si>
  <si>
    <t>https://www.transfermarkt.com/piotr-trochowski/profil/spieler/2623</t>
  </si>
  <si>
    <t>piotr-trochowski</t>
  </si>
  <si>
    <t>22/03/1984</t>
  </si>
  <si>
    <t>Tczew</t>
  </si>
  <si>
    <t>HSV III</t>
  </si>
  <si>
    <t>17/07/2021</t>
  </si>
  <si>
    <t>Piti</t>
  </si>
  <si>
    <t>https://fbref.com/en/players/ab530738/Piti</t>
  </si>
  <si>
    <t>https://www.transfermarkt.com/piti/profil/spieler/58076</t>
  </si>
  <si>
    <t>piti</t>
  </si>
  <si>
    <t>26/05/1981 (44)</t>
  </si>
  <si>
    <t>24/04/2005</t>
  </si>
  <si>
    <t>Pizzi</t>
  </si>
  <si>
    <t>https://fbref.com/en/players/96094cbc/Pizzi</t>
  </si>
  <si>
    <t>October 6, 1989 (Age:Â 36-020d)</t>
  </si>
  <si>
    <t>BraganÃ§a, Portugal</t>
  </si>
  <si>
    <t>https://www.transfermarkt.com/pizzi/profil/spieler/64339</t>
  </si>
  <si>
    <t>pizzi</t>
  </si>
  <si>
    <t>13/08/2009</t>
  </si>
  <si>
    <t>Portu</t>
  </si>
  <si>
    <t>https://fbref.com/en/players/1bda5842/Portu</t>
  </si>
  <si>
    <t>May 21, 1992 (Age:Â 33-158d)</t>
  </si>
  <si>
    <t>FW-MF (AM-DM-WM, right)</t>
  </si>
  <si>
    <t>https://www.transfermarkt.com/portu/profil/spieler/99353</t>
  </si>
  <si>
    <t>portu</t>
  </si>
  <si>
    <t>21/05/1992</t>
  </si>
  <si>
    <t>Beniel</t>
  </si>
  <si>
    <t>PrzemysÅ‚aw TytoÅ„</t>
  </si>
  <si>
    <t>https://fbref.com/en/players/1fa85681/Przemyslaw-Tyton</t>
  </si>
  <si>
    <t>January 4, 1987 (Age:Â 38-295d)</t>
  </si>
  <si>
    <t>ZamoÅ›Ä‡, Poland</t>
  </si>
  <si>
    <t>Twente</t>
  </si>
  <si>
    <t>GÃ³rnik ÅÄ™czna</t>
  </si>
  <si>
    <t>https://www.transfermarkt.com/przemyslaw-tyton/profil/spieler/33210</t>
  </si>
  <si>
    <t>przemyslaw-tyton</t>
  </si>
  <si>
    <t>Przemyslaw Tyton</t>
  </si>
  <si>
    <t>Zamosc</t>
  </si>
  <si>
    <t>Twente FC</t>
  </si>
  <si>
    <t>Quincy Owusu-Abeyie</t>
  </si>
  <si>
    <t>https://fbref.com/en/players/a1d1f404/Quincy-Owusu-Abeyie</t>
  </si>
  <si>
    <t>Ghana gh Â Other:Â Netherlands</t>
  </si>
  <si>
    <t>FW-MF (WM, left &amp; right)</t>
  </si>
  <si>
    <t>https://www.transfermarkt.com/quincy-owusu-abeyie/profil/spieler/14551</t>
  </si>
  <si>
    <t>quincy-owusu-abeyie</t>
  </si>
  <si>
    <t>15/04/1986 (39)</t>
  </si>
  <si>
    <t>GhanaÂ Â Netherlands</t>
  </si>
  <si>
    <t>SV Robinhood</t>
  </si>
  <si>
    <t>Quini</t>
  </si>
  <si>
    <t>https://fbref.com/en/players/7a538238/Quini</t>
  </si>
  <si>
    <t>FernÃ¡n-NÃºÃ±ez, Spain</t>
  </si>
  <si>
    <t>Atromitos</t>
  </si>
  <si>
    <t>https://www.transfermarkt.com/quini/profil/spieler/223053</t>
  </si>
  <si>
    <t>quini</t>
  </si>
  <si>
    <t>24/09/1989 (36)</t>
  </si>
  <si>
    <t>Quique</t>
  </si>
  <si>
    <t>https://fbref.com/en/players/c966fce1/Quique</t>
  </si>
  <si>
    <t>May 16, 1990 (Age:Â 35-163d)</t>
  </si>
  <si>
    <t>https://www.transfermarkt.com/quique-gonzalez/profil/spieler/79352</t>
  </si>
  <si>
    <t>quique-gonzalez</t>
  </si>
  <si>
    <t>Quique GonzÃ¡lez</t>
  </si>
  <si>
    <t>16/05/1990 (35)</t>
  </si>
  <si>
    <t>UB Conquense</t>
  </si>
  <si>
    <t>28/08/2025</t>
  </si>
  <si>
    <t>Quique Rivero</t>
  </si>
  <si>
    <t>https://fbref.com/en/players/0204d102/Quique-Rivero</t>
  </si>
  <si>
    <t>https://www.transfermarkt.com/quique-rivero/profil/spieler/223215</t>
  </si>
  <si>
    <t>quique-rivero</t>
  </si>
  <si>
    <t>16/04/1992</t>
  </si>
  <si>
    <t>RaÃºl Albentosa</t>
  </si>
  <si>
    <t>https://fbref.com/en/players/348e4809/Raul-Albentosa</t>
  </si>
  <si>
    <t>https://www.transfermarkt.com/raul-albentosa/profil/spieler/77026</t>
  </si>
  <si>
    <t>raul-albentosa</t>
  </si>
  <si>
    <t>RaÃºl Albiol</t>
  </si>
  <si>
    <t>https://fbref.com/en/players/4bd414c1/Raul-Albiol</t>
  </si>
  <si>
    <t>Vilamarxant, Spain</t>
  </si>
  <si>
    <t>Pisa</t>
  </si>
  <si>
    <t>https://www.transfermarkt.com/raul-albiol/profil/spieler/15452</t>
  </si>
  <si>
    <t>raul-albiol</t>
  </si>
  <si>
    <t>Vilamarxant</t>
  </si>
  <si>
    <t>RaÃºl Baena</t>
  </si>
  <si>
    <t>https://fbref.com/en/players/df9c9276/Raul-Baena</t>
  </si>
  <si>
    <t>https://www.transfermarkt.com/raul-baena/profil/spieler/74557</t>
  </si>
  <si>
    <t>raul-baena</t>
  </si>
  <si>
    <t>Torrox</t>
  </si>
  <si>
    <t>RaÃºl Bravo</t>
  </si>
  <si>
    <t>https://fbref.com/en/players/65b9e56b/Raul-Bravo</t>
  </si>
  <si>
    <t>https://www.transfermarkt.com/raul-bravo/profil/spieler/3771</t>
  </si>
  <si>
    <t>raul-bravo</t>
  </si>
  <si>
    <t>14/04/1981</t>
  </si>
  <si>
    <t>Gandia</t>
  </si>
  <si>
    <t>Pego CF</t>
  </si>
  <si>
    <t>RaÃºl DomÃ­nguez</t>
  </si>
  <si>
    <t>https://fbref.com/en/players/cc2d9767/Raul-Dominguez</t>
  </si>
  <si>
    <t>https://www.transfermarkt.com/raul-dominguez/profil/spieler/89477</t>
  </si>
  <si>
    <t>raul-dominguez</t>
  </si>
  <si>
    <t>SarÃ³n</t>
  </si>
  <si>
    <t>CD CayÃ³n</t>
  </si>
  <si>
    <t>RaÃºl FernÃ¡ndez</t>
  </si>
  <si>
    <t>https://fbref.com/en/players/6fb59070/Raul-Fernandez</t>
  </si>
  <si>
    <t>March 13, 1988 (Age:Â 37-227d)</t>
  </si>
  <si>
    <t>https://www.transfermarkt.com/raul-fernandez/profil/spieler/54217</t>
  </si>
  <si>
    <t>raul-fernandez</t>
  </si>
  <si>
    <t>13/03/1988</t>
  </si>
  <si>
    <t>RaÃºl GarcÃ­a</t>
  </si>
  <si>
    <t>https://fbref.com/en/players/1a317a1b/Raul-Garcia</t>
  </si>
  <si>
    <t>https://www.transfermarkt.com/raul-carnero/profil/spieler/139434</t>
  </si>
  <si>
    <t>raul-carnero</t>
  </si>
  <si>
    <t>RaÃºl Carnero</t>
  </si>
  <si>
    <t>30/04/1989 (36)</t>
  </si>
  <si>
    <t>https://fbref.com/en/players/b418dbd4/Raul-Garcia</t>
  </si>
  <si>
    <t>FW-MF (AM-DM)</t>
  </si>
  <si>
    <t>https://www.transfermarkt.com/raul-garcia/profil/spieler/34601</t>
  </si>
  <si>
    <t>raul-garcia</t>
  </si>
  <si>
    <t>Zizur Mayor</t>
  </si>
  <si>
    <t>RaÃºl Goni</t>
  </si>
  <si>
    <t>https://fbref.com/en/players/03a4a101/Raul-Goni</t>
  </si>
  <si>
    <t>https://www.transfermarkt.com/raul-goni/profil/spieler/61869</t>
  </si>
  <si>
    <t>raul-goni</t>
  </si>
  <si>
    <t>31/10/2007</t>
  </si>
  <si>
    <t>RaÃºl JimÃ©nez</t>
  </si>
  <si>
    <t>https://fbref.com/en/players/b561db50/Raul-Jimenez</t>
  </si>
  <si>
    <t>May 5, 1991 (Age:Â 34-174d)</t>
  </si>
  <si>
    <t>Tepeji del RÃ­o de Ocampo, Estado de Hidalgo, Mexico</t>
  </si>
  <si>
    <t>https://www.transfermarkt.com/raul-jimenez/profil/spieler/206040</t>
  </si>
  <si>
    <t>raul-jimenez</t>
  </si>
  <si>
    <t>Tepeji del RÃ­o de Ocampo</t>
  </si>
  <si>
    <t>RaÃºl Navas</t>
  </si>
  <si>
    <t>https://fbref.com/en/players/ad178594/Raul-Navas</t>
  </si>
  <si>
    <t>https://www.transfermarkt.com/raul-navas/profil/spieler/142419</t>
  </si>
  <si>
    <t>raul-navas</t>
  </si>
  <si>
    <t>CA Central</t>
  </si>
  <si>
    <t>RaÃºl RodrÃ­guez</t>
  </si>
  <si>
    <t>https://fbref.com/en/players/815a6c71/Raul-Rodriguez</t>
  </si>
  <si>
    <t>https://www.transfermarkt.com/raul-rodriguez/profil/spieler/72935</t>
  </si>
  <si>
    <t>raul-rodriguez</t>
  </si>
  <si>
    <t>Raúl Rodríguez Navarro</t>
  </si>
  <si>
    <t>_x000D_
22/09/1987</t>
  </si>
  <si>
    <t>_x000D_
02/01/2020</t>
  </si>
  <si>
    <t>(blank)</t>
  </si>
  <si>
    <t>RaÃºl Tamudo</t>
  </si>
  <si>
    <t>https://fbref.com/en/players/c026089c/Raul-Tamudo</t>
  </si>
  <si>
    <t>https://www.transfermarkt.com/raul-tamudo/profil/spieler/7899</t>
  </si>
  <si>
    <t>raul-tamudo</t>
  </si>
  <si>
    <t>19/10/1977</t>
  </si>
  <si>
    <t>CE Sabadell</t>
  </si>
  <si>
    <t>23/03/1997</t>
  </si>
  <si>
    <t>Radamel Falcao</t>
  </si>
  <si>
    <t>https://fbref.com/en/players/66116290/Radamel-Falcao</t>
  </si>
  <si>
    <t>February 10, 1986 (Age:Â 39-258d)</t>
  </si>
  <si>
    <t>Santa Marta, Colombia</t>
  </si>
  <si>
    <t>Millonarios</t>
  </si>
  <si>
    <t>https://www.transfermarkt.com/radamel-falcao/profil/spieler/39152</t>
  </si>
  <si>
    <t>radamel-falcao</t>
  </si>
  <si>
    <t>ColombiaÂ Â Venezuela</t>
  </si>
  <si>
    <t>Rafa</t>
  </si>
  <si>
    <t>https://fbref.com/en/players/0b89dbcc/Rafa</t>
  </si>
  <si>
    <t>https://www.transfermarkt.com/rafa-lopez/profil/spieler/16315</t>
  </si>
  <si>
    <t>rafa-lopez</t>
  </si>
  <si>
    <t>Rafa LÃ³pez</t>
  </si>
  <si>
    <t>09/04/1985 (40)</t>
  </si>
  <si>
    <t>PeÃ±afiel</t>
  </si>
  <si>
    <t>22/12/2004</t>
  </si>
  <si>
    <t>Rafa GÃ¡lvez</t>
  </si>
  <si>
    <t>https://fbref.com/en/players/445ca2c1/Rafa-Galvez</t>
  </si>
  <si>
    <t>https://www.transfermarkt.com/rafa-galvez/profil/spieler/288454</t>
  </si>
  <si>
    <t>rafa-galvez</t>
  </si>
  <si>
    <t>Ciudad Lucena</t>
  </si>
  <si>
    <t>Rafa GarcÃ­a</t>
  </si>
  <si>
    <t>https://fbref.com/en/players/bebdff6f/Rafa-Garcia</t>
  </si>
  <si>
    <t>https://www.transfermarkt.com/rafa-garcia/profil/spieler/126015</t>
  </si>
  <si>
    <t>rafa-garcia</t>
  </si>
  <si>
    <t>14/01/1986</t>
  </si>
  <si>
    <t>Villarrubia CF</t>
  </si>
  <si>
    <t>Rafa JordÃ </t>
  </si>
  <si>
    <t>https://fbref.com/en/players/05e805eb/Rafa-Jorda</t>
  </si>
  <si>
    <t>https://www.transfermarkt.com/rafa-jorda/profil/spieler/51578</t>
  </si>
  <si>
    <t>rafa-jorda</t>
  </si>
  <si>
    <t>Rafa JordÃ¡</t>
  </si>
  <si>
    <t>Mumbai City</t>
  </si>
  <si>
    <t>Rafael Martins</t>
  </si>
  <si>
    <t>https://fbref.com/en/players/b7e1c3b5/Rafael-Martins</t>
  </si>
  <si>
    <t>March 17, 1989 (Age:Â 36-223d)</t>
  </si>
  <si>
    <t>https://www.transfermarkt.com/rafael-martins/profil/spieler/99499</t>
  </si>
  <si>
    <t>rafael-martins</t>
  </si>
  <si>
    <t>17/03/1989</t>
  </si>
  <si>
    <t>20/05/2011</t>
  </si>
  <si>
    <t>Rafel Sastre</t>
  </si>
  <si>
    <t>https://fbref.com/en/players/477fc284/Rafel-Sastre</t>
  </si>
  <si>
    <t>https://www.transfermarkt.com/rafael-sastre/profil/spieler/57841</t>
  </si>
  <si>
    <t>rafael-sastre</t>
  </si>
  <si>
    <t>Rafael Sastre</t>
  </si>
  <si>
    <t>20/10/1975 (50)</t>
  </si>
  <si>
    <t>Rafinha</t>
  </si>
  <si>
    <t>https://fbref.com/en/players/0c2ac3cb/Rafinha</t>
  </si>
  <si>
    <t>https://www.transfermarkt.com/rafinha/profil/spieler/129473</t>
  </si>
  <si>
    <t>rafinha</t>
  </si>
  <si>
    <t>Rafita</t>
  </si>
  <si>
    <t>https://fbref.com/en/players/631f177b/Rafita</t>
  </si>
  <si>
    <t>https://www.transfermarkt.com/rafita/profil/spieler/35546</t>
  </si>
  <si>
    <t>rafita</t>
  </si>
  <si>
    <t>18/08/1982</t>
  </si>
  <si>
    <t>RÄƒzvan RaÈ›</t>
  </si>
  <si>
    <t>https://fbref.com/en/players/0a0ee36e/Razvan-Rat</t>
  </si>
  <si>
    <t>https://www.transfermarkt.com/razvan-rat/profil/spieler/14940</t>
  </si>
  <si>
    <t>razvan-rat</t>
  </si>
  <si>
    <t>26/05/1981</t>
  </si>
  <si>
    <t>Piatra-Olt</t>
  </si>
  <si>
    <t>ACS Poli</t>
  </si>
  <si>
    <t>18/07/2018</t>
  </si>
  <si>
    <t>RamÃ³n Arcas</t>
  </si>
  <si>
    <t>https://fbref.com/en/players/40fc30d6/Ramon-Arcas</t>
  </si>
  <si>
    <t>https://www.transfermarkt.com/ramon-arcas/profil/spieler/85767</t>
  </si>
  <si>
    <t>ramon-arcas</t>
  </si>
  <si>
    <t>Lorca</t>
  </si>
  <si>
    <t>SpainÂ Â Venezuela</t>
  </si>
  <si>
    <t>Ramon Azeez</t>
  </si>
  <si>
    <t>https://fbref.com/en/players/0cc474e7/Ramon-Azeez</t>
  </si>
  <si>
    <t>https://www.transfermarkt.com/ramon-azeez/profil/spieler/131667</t>
  </si>
  <si>
    <t>ramon-azeez</t>
  </si>
  <si>
    <t>RÃºben Micael</t>
  </si>
  <si>
    <t>https://fbref.com/en/players/107c6fbd/Ruben-Micael</t>
  </si>
  <si>
    <t>https://www.transfermarkt.com/ruben-micael/profil/spieler/84491</t>
  </si>
  <si>
    <t>ruben-micael</t>
  </si>
  <si>
    <t>19/08/1986</t>
  </si>
  <si>
    <t>CÃ¢mara de Lobos</t>
  </si>
  <si>
    <t>RÃºben Vezo</t>
  </si>
  <si>
    <t>https://fbref.com/en/players/c67cd65c/Ruben-Vezo</t>
  </si>
  <si>
    <t>April 25, 1994 (Age:Â 31-184d)</t>
  </si>
  <si>
    <t>SetÃºbal, Portugal</t>
  </si>
  <si>
    <t>https://www.transfermarkt.com/ruben-vezo/profil/spieler/257851</t>
  </si>
  <si>
    <t>ruben-vezo</t>
  </si>
  <si>
    <t>25/04/1994</t>
  </si>
  <si>
    <t>SetÃºbal</t>
  </si>
  <si>
    <t>RÃºper</t>
  </si>
  <si>
    <t>https://fbref.com/en/players/570c4db3/Ruper</t>
  </si>
  <si>
    <t>https://www.transfermarkt.com/ruper/profil/spieler/63012</t>
  </si>
  <si>
    <t>ruper</t>
  </si>
  <si>
    <t>04/06/1987 (38)</t>
  </si>
  <si>
    <t>Ayegui</t>
  </si>
  <si>
    <t>CD Izarra</t>
  </si>
  <si>
    <t>Raoul LoÃ©</t>
  </si>
  <si>
    <t>https://fbref.com/en/players/afcf961b/Raoul-Loe</t>
  </si>
  <si>
    <t>https://www.transfermarkt.com/raoul-loe/profil/spieler/134098</t>
  </si>
  <si>
    <t>raoul-loe</t>
  </si>
  <si>
    <t>31/01/1989</t>
  </si>
  <si>
    <t>Courbevoie</t>
  </si>
  <si>
    <t>DG Guanlian</t>
  </si>
  <si>
    <t>RaphaÃ«l Varane</t>
  </si>
  <si>
    <t>https://fbref.com/en/players/9f8e9423/Raphael-Varane</t>
  </si>
  <si>
    <t>DF-MF (CB-DM, right)</t>
  </si>
  <si>
    <t>https://www.transfermarkt.com/raphael-varane/profil/spieler/164770</t>
  </si>
  <si>
    <t>raphael-varane</t>
  </si>
  <si>
    <t>25/04/1993</t>
  </si>
  <si>
    <t>Raul Rusescu</t>
  </si>
  <si>
    <t>https://fbref.com/en/players/7aa898b3/Raul-Rusescu</t>
  </si>
  <si>
    <t>Unirea Urziceni</t>
  </si>
  <si>
    <t>https://www.transfermarkt.com/raul-rusescu/profil/spieler/81433</t>
  </si>
  <si>
    <t>raul-rusescu</t>
  </si>
  <si>
    <t>RÃ¢mnicu VÃ¢lcea</t>
  </si>
  <si>
    <t>Concordia</t>
  </si>
  <si>
    <t>Rayco GarcÃ­a Dauta</t>
  </si>
  <si>
    <t>https://fbref.com/en/players/018ce429/Rayco-Garcia-Dauta</t>
  </si>
  <si>
    <t>https://www.transfermarkt.com/rayco-garcia/profil/spieler/44063</t>
  </si>
  <si>
    <t>rayco-garcia</t>
  </si>
  <si>
    <t>Rayco GarcÃ­a</t>
  </si>
  <si>
    <t>23/03/1987</t>
  </si>
  <si>
    <t>Las Palmas de Gran Canarias</t>
  </si>
  <si>
    <t>UD San Fernando</t>
  </si>
  <si>
    <t>Recio</t>
  </si>
  <si>
    <t>https://fbref.com/en/players/54073b28/Recio</t>
  </si>
  <si>
    <t>January 11, 1991 (Age:Â 34-288d)</t>
  </si>
  <si>
    <t>https://www.transfermarkt.com/recio/profil/spieler/150948</t>
  </si>
  <si>
    <t>recio</t>
  </si>
  <si>
    <t>Renato</t>
  </si>
  <si>
    <t>https://fbref.com/en/players/dc4d83fe/Renato</t>
  </si>
  <si>
    <t>https://www.transfermarkt.com/renato/profil/spieler/15445</t>
  </si>
  <si>
    <t>paulo-ferreira</t>
  </si>
  <si>
    <t>Paulo Ferreira</t>
  </si>
  <si>
    <t>18/01/1979</t>
  </si>
  <si>
    <t>13/08/2001</t>
  </si>
  <si>
    <t>Rene Krhin</t>
  </si>
  <si>
    <t>https://fbref.com/en/players/9a506145/Rene-Krhin</t>
  </si>
  <si>
    <t>https://www.transfermarkt.com/rene-krhin/profil/spieler/73092</t>
  </si>
  <si>
    <t>rene-krhin</t>
  </si>
  <si>
    <t>21/05/1990</t>
  </si>
  <si>
    <t>Maribor</t>
  </si>
  <si>
    <t>Jarenina</t>
  </si>
  <si>
    <t>21/02/2025</t>
  </si>
  <si>
    <t>13/03/2021</t>
  </si>
  <si>
    <t>Ricardo</t>
  </si>
  <si>
    <t>https://fbref.com/en/players/2fe713ed/Ricardo</t>
  </si>
  <si>
    <t>https://www.transfermarkt.com/ricardo/profil/spieler/3535</t>
  </si>
  <si>
    <t>ricardo</t>
  </si>
  <si>
    <t>30/12/1971 (53)</t>
  </si>
  <si>
    <t>Ricardo Carvalho</t>
  </si>
  <si>
    <t>https://fbref.com/en/players/57e7081e/Ricardo-Carvalho</t>
  </si>
  <si>
    <t>Alverca</t>
  </si>
  <si>
    <t>https://www.transfermarkt.com/ricardo-carvalho/profil/spieler/9828</t>
  </si>
  <si>
    <t>ricardo-carvalho</t>
  </si>
  <si>
    <t>18/05/1978</t>
  </si>
  <si>
    <t>Amarante</t>
  </si>
  <si>
    <t>SH SIPG</t>
  </si>
  <si>
    <t>Ricardo Costa</t>
  </si>
  <si>
    <t>https://fbref.com/en/players/cd7325e1/Ricardo-Costa</t>
  </si>
  <si>
    <t>https://www.transfermarkt.com/ricardo-costa/profil/spieler/9819</t>
  </si>
  <si>
    <t>ricardo-costa</t>
  </si>
  <si>
    <t>Vila Nova de Gaia</t>
  </si>
  <si>
    <t>Ricardo Horta</t>
  </si>
  <si>
    <t>https://fbref.com/en/players/6603fed7/Ricardo-Horta</t>
  </si>
  <si>
    <t>Sobreda, Portugal</t>
  </si>
  <si>
    <t>https://www.transfermarkt.com/ricardo-horta/profil/spieler/261927</t>
  </si>
  <si>
    <t>ricardo-horta</t>
  </si>
  <si>
    <t>Almada</t>
  </si>
  <si>
    <t>Ricardo LeÃ³n Brito</t>
  </si>
  <si>
    <t>https://fbref.com/en/players/186c0d18/Ricardo-Leon-Brito</t>
  </si>
  <si>
    <t>https://www.transfermarkt.com/ricardo-leon/profil/spieler/51516</t>
  </si>
  <si>
    <t>ricardo-leon</t>
  </si>
  <si>
    <t>Ricardo LeÃ³n</t>
  </si>
  <si>
    <t>28/01/2006</t>
  </si>
  <si>
    <t>Richard Boateng</t>
  </si>
  <si>
    <t>https://fbref.com/en/players/788acb37/Richard-Boateng</t>
  </si>
  <si>
    <t>https://www.transfermarkt.com/richard-boateng/profil/spieler/198400</t>
  </si>
  <si>
    <t>richard-boateng</t>
  </si>
  <si>
    <t>28/02/2014</t>
  </si>
  <si>
    <t>19/08/2018</t>
  </si>
  <si>
    <t>Richmond Boakye</t>
  </si>
  <si>
    <t>https://fbref.com/en/players/27f0fcda/Richmond-Boakye</t>
  </si>
  <si>
    <t>Genoa</t>
  </si>
  <si>
    <t>https://www.transfermarkt.com/richmond-boakye/profil/spieler/119213</t>
  </si>
  <si>
    <t>richmond-boakye</t>
  </si>
  <si>
    <t>28/01/1993</t>
  </si>
  <si>
    <t>Riki</t>
  </si>
  <si>
    <t>https://fbref.com/en/players/ab21507f/Riki</t>
  </si>
  <si>
    <t>https://www.transfermarkt.com/riki/profil/spieler/23102</t>
  </si>
  <si>
    <t>riki</t>
  </si>
  <si>
    <t>11/08/1980 (45)</t>
  </si>
  <si>
    <t>CD Guadalajara</t>
  </si>
  <si>
    <t>Rober Correa</t>
  </si>
  <si>
    <t>https://fbref.com/en/players/46bd3a5b/Rober-Correa</t>
  </si>
  <si>
    <t>September 20, 1992 (Age:Â 33-036d)</t>
  </si>
  <si>
    <t>Badajoz, Spain</t>
  </si>
  <si>
    <t>https://www.transfermarkt.com/rober-correa/profil/spieler/223890</t>
  </si>
  <si>
    <t>rober-correa</t>
  </si>
  <si>
    <t>20/09/1992</t>
  </si>
  <si>
    <t>21/04/2012</t>
  </si>
  <si>
    <t>Robert Acquafresca</t>
  </si>
  <si>
    <t>https://fbref.com/en/players/d2b115ae/Robert-Acquafresca</t>
  </si>
  <si>
    <t>Treviso</t>
  </si>
  <si>
    <t>https://www.transfermarkt.com/robert-acquafresca/profil/spieler/35703</t>
  </si>
  <si>
    <t>robert-acquafresca</t>
  </si>
  <si>
    <t>ItalyÂ Â Poland</t>
  </si>
  <si>
    <t>FC Sion</t>
  </si>
  <si>
    <t>Robert IbÃ¡Ã±ez</t>
  </si>
  <si>
    <t>https://fbref.com/en/players/c7429db3/Robert-Ibanez</t>
  </si>
  <si>
    <t>March 22, 1993 (Age:Â 32-218d)</t>
  </si>
  <si>
    <t>https://www.transfermarkt.com/rober-ibanez/profil/spieler/242532</t>
  </si>
  <si>
    <t>rober-ibanez</t>
  </si>
  <si>
    <t>Rober IbÃ¡Ã±ez</t>
  </si>
  <si>
    <t>22/03/1993 (32)</t>
  </si>
  <si>
    <t>14/01/2018</t>
  </si>
  <si>
    <t>Roberto</t>
  </si>
  <si>
    <t>https://fbref.com/en/players/95cf42ac/Roberto</t>
  </si>
  <si>
    <t>https://www.transfermarkt.com/roberto-fernandez/profil/spieler/57800</t>
  </si>
  <si>
    <t>roberto-fernandez</t>
  </si>
  <si>
    <t>Roberto FernÃ¡ndez</t>
  </si>
  <si>
    <t>25/01/1979 (46)</t>
  </si>
  <si>
    <t>Chantada</t>
  </si>
  <si>
    <t>28/06/2003</t>
  </si>
  <si>
    <t>https://fbref.com/en/players/ba3ca78f/Roberto</t>
  </si>
  <si>
    <t>https://www.transfermarkt.com/roberto/profil/spieler/37403</t>
  </si>
  <si>
    <t>roberto</t>
  </si>
  <si>
    <t>10/02/1986 (39)</t>
  </si>
  <si>
    <t>Roberto Canella</t>
  </si>
  <si>
    <t>https://fbref.com/en/players/18c74b8d/Roberto-Canella</t>
  </si>
  <si>
    <t>https://www.transfermarkt.com/roberto-canella/profil/spieler/57785</t>
  </si>
  <si>
    <t>roberto-canella</t>
  </si>
  <si>
    <t>Pola de Laviana</t>
  </si>
  <si>
    <t>15/10/2023</t>
  </si>
  <si>
    <t>Roberto Chen</t>
  </si>
  <si>
    <t>pa PAN</t>
  </si>
  <si>
    <t>https://fbref.com/en/players/55bff95f/Roberto-Chen</t>
  </si>
  <si>
    <t>Panama</t>
  </si>
  <si>
    <t>DF-MF (CB-CM)</t>
  </si>
  <si>
    <t>https://www.transfermarkt.com/roberto-chen/profil/spieler/189525</t>
  </si>
  <si>
    <t>roberto-chen</t>
  </si>
  <si>
    <t>24/05/1994</t>
  </si>
  <si>
    <t>Isla ColÃ³n</t>
  </si>
  <si>
    <t>21/07/2012</t>
  </si>
  <si>
    <t>Liga PanameÃ±a de FÃºtbol Apertura</t>
  </si>
  <si>
    <t>Roberto Lago</t>
  </si>
  <si>
    <t>https://fbref.com/en/players/98e0ad35/Roberto-Lago</t>
  </si>
  <si>
    <t>https://www.transfermarkt.com/roberto-lago/profil/spieler/17491</t>
  </si>
  <si>
    <t>roberto-lago</t>
  </si>
  <si>
    <t>30/08/1985</t>
  </si>
  <si>
    <t>Roberto Rosales</t>
  </si>
  <si>
    <t>https://fbref.com/en/players/81069528/Roberto-Rosales</t>
  </si>
  <si>
    <t>November 20, 1988 (Age:Â 36-340d)</t>
  </si>
  <si>
    <t>DF-MF (CB-FB-WM, right)</t>
  </si>
  <si>
    <t>Deportivo Tachira</t>
  </si>
  <si>
    <t>Gent</t>
  </si>
  <si>
    <t>https://www.transfermarkt.com/roberto-rosales/profil/spieler/49500</t>
  </si>
  <si>
    <t>roberto-rosales</t>
  </si>
  <si>
    <t>20/11/1988</t>
  </si>
  <si>
    <t>TÃ¡chira</t>
  </si>
  <si>
    <t>20/08/2024</t>
  </si>
  <si>
    <t>Roberto Soldado</t>
  </si>
  <si>
    <t>https://fbref.com/en/players/9d66fbe3/Roberto-Soldado</t>
  </si>
  <si>
    <t>https://www.transfermarkt.com/roberto-soldado/profil/spieler/34870</t>
  </si>
  <si>
    <t>roberto-soldado</t>
  </si>
  <si>
    <t>27/05/1985</t>
  </si>
  <si>
    <t>23/10/2005</t>
  </si>
  <si>
    <t>Roberto Torres</t>
  </si>
  <si>
    <t>https://fbref.com/en/players/d733aa38/Roberto-Torres</t>
  </si>
  <si>
    <t>https://www.transfermarkt.com/roberto-torres/profil/spieler/63056</t>
  </si>
  <si>
    <t>roberto-torres</t>
  </si>
  <si>
    <t>Arre</t>
  </si>
  <si>
    <t>Roberto Trashorras</t>
  </si>
  <si>
    <t>https://fbref.com/en/players/5252fdf5/Roberto-Trashorras</t>
  </si>
  <si>
    <t>https://www.transfermarkt.com/roberto-trashorras/profil/spieler/7923</t>
  </si>
  <si>
    <t>roberto-trashorras</t>
  </si>
  <si>
    <t>28/02/1981</t>
  </si>
  <si>
    <t>RÃ¡bade</t>
  </si>
  <si>
    <t>Roderick Miranda</t>
  </si>
  <si>
    <t>https://fbref.com/en/players/390ab439/Roderick-Miranda</t>
  </si>
  <si>
    <t>March 30, 1991 (Age:Â 34-210d)</t>
  </si>
  <si>
    <t>Odivelas, Portugal</t>
  </si>
  <si>
    <t>https://www.transfermarkt.com/roderick-miranda/profil/spieler/87856</t>
  </si>
  <si>
    <t>roderick-miranda</t>
  </si>
  <si>
    <t>30/03/1991</t>
  </si>
  <si>
    <t>Odivelas</t>
  </si>
  <si>
    <t>Rodolfo Bodipo</t>
  </si>
  <si>
    <t>https://fbref.com/en/players/6cf2bc0e/Rodolfo-Bodipo</t>
  </si>
  <si>
    <t>https://www.transfermarkt.com/rodolfo-bodipo/profil/spieler/7867</t>
  </si>
  <si>
    <t>rodolfo-bodipo</t>
  </si>
  <si>
    <t>25/10/1977</t>
  </si>
  <si>
    <t>Xerez CD</t>
  </si>
  <si>
    <t>30/01/1999</t>
  </si>
  <si>
    <t>Rodri</t>
  </si>
  <si>
    <t>https://fbref.com/en/players/5200dce9/Rodri</t>
  </si>
  <si>
    <t>June 6, 1990 (Age:Â 35-145d)</t>
  </si>
  <si>
    <t>Soria, Spain</t>
  </si>
  <si>
    <t>https://www.transfermarkt.com/rodri-rios/profil/spieler/117549</t>
  </si>
  <si>
    <t>rodri-rios</t>
  </si>
  <si>
    <t>Rodri RÃ­os</t>
  </si>
  <si>
    <t>06/06/1990 (35)</t>
  </si>
  <si>
    <t>Soria</t>
  </si>
  <si>
    <t>28/02/2010</t>
  </si>
  <si>
    <t>https://fbref.com/en/players/7fa4aa89/Rodri</t>
  </si>
  <si>
    <t>https://www.transfermarkt.com/rodri/profil/spieler/8163</t>
  </si>
  <si>
    <t>rodri</t>
  </si>
  <si>
    <t>17/08/1984 (41)</t>
  </si>
  <si>
    <t>Rodrigo</t>
  </si>
  <si>
    <t>https://fbref.com/en/players/1fb1c435/Rodrigo</t>
  </si>
  <si>
    <t>March 6, 1991 (Age:Â 34-234d)</t>
  </si>
  <si>
    <t>Al Rayyan</t>
  </si>
  <si>
    <t>Bolton</t>
  </si>
  <si>
    <t>https://www.transfermarkt.com/rodrigo/profil/spieler/131505</t>
  </si>
  <si>
    <t>rodrigo</t>
  </si>
  <si>
    <t>06/03/1991 (34)</t>
  </si>
  <si>
    <t>Al-Rayyan</t>
  </si>
  <si>
    <t>13/07/2023</t>
  </si>
  <si>
    <t>Rodrigo De Paul</t>
  </si>
  <si>
    <t>https://fbref.com/en/players/162efffd/Rodrigo-De-Paul</t>
  </si>
  <si>
    <t>May 24, 1994 (Age:Â 31-155d)</t>
  </si>
  <si>
    <t>SarandÃ­, Argentina</t>
  </si>
  <si>
    <t>https://www.transfermarkt.com/rodrigo-de-paul/profil/spieler/255901</t>
  </si>
  <si>
    <t>rodrigo-de-paul</t>
  </si>
  <si>
    <t>SarandÃ­</t>
  </si>
  <si>
    <t>Rodrigo Galatto</t>
  </si>
  <si>
    <t>https://fbref.com/en/players/a68754f0/Rodrigo-Galatto</t>
  </si>
  <si>
    <t>Litex Lovech</t>
  </si>
  <si>
    <t>https://www.transfermarkt.com/galatto/profil/spieler/52311</t>
  </si>
  <si>
    <t>galatto</t>
  </si>
  <si>
    <t>Galatto</t>
  </si>
  <si>
    <t>10/04/1983 (42)</t>
  </si>
  <si>
    <t>Porto Alegre</t>
  </si>
  <si>
    <t>Juventude</t>
  </si>
  <si>
    <t>17/07/2012</t>
  </si>
  <si>
    <t>Roger MartÃ­</t>
  </si>
  <si>
    <t>https://fbref.com/en/players/0ae4e09a/Roger-Marti</t>
  </si>
  <si>
    <t>January 3, 1991 (Age:Â 34-296d)</t>
  </si>
  <si>
    <t>https://www.transfermarkt.com/roger-marti/profil/spieler/212391</t>
  </si>
  <si>
    <t>roger-marti</t>
  </si>
  <si>
    <t>26/01/2023</t>
  </si>
  <si>
    <t>Roland Lamah</t>
  </si>
  <si>
    <t>https://fbref.com/en/players/336a36fb/Roland-Lamah</t>
  </si>
  <si>
    <t>Belgium be Â Other:Â CÃ´te d'Ivoire</t>
  </si>
  <si>
    <t>https://www.transfermarkt.com/roland-lamah/profil/spieler/35035</t>
  </si>
  <si>
    <t>roland-lamah</t>
  </si>
  <si>
    <t>31/12/1987</t>
  </si>
  <si>
    <t>BelgiumÂ Â Cote d'Ivoire</t>
  </si>
  <si>
    <t>Memphis 901</t>
  </si>
  <si>
    <t>18/01/2004</t>
  </si>
  <si>
    <t>Romaric</t>
  </si>
  <si>
    <t>https://fbref.com/en/players/9bb5c5e0/Romaric</t>
  </si>
  <si>
    <t>https://www.transfermarkt.com/romaric/profil/spieler/15808</t>
  </si>
  <si>
    <t>romaric</t>
  </si>
  <si>
    <t>Roque Santa Cruz</t>
  </si>
  <si>
    <t>https://fbref.com/en/players/7f2107eb/Roque-Santa-Cruz</t>
  </si>
  <si>
    <t>August 16, 1981 (Age:Â 44-071d)</t>
  </si>
  <si>
    <t>Luque, Paraguay</t>
  </si>
  <si>
    <t>https://www.transfermarkt.com/roque-santa-cruz/profil/spieler/215</t>
  </si>
  <si>
    <t>roque-santa-cruz</t>
  </si>
  <si>
    <t>16/08/1981</t>
  </si>
  <si>
    <t>RovÃ©rsio</t>
  </si>
  <si>
    <t>https://fbref.com/en/players/ba50a22c/Roversio</t>
  </si>
  <si>
    <t>https://www.transfermarkt.com/roversio/profil/spieler/25110</t>
  </si>
  <si>
    <t>roversio</t>
  </si>
  <si>
    <t>17/01/1984</t>
  </si>
  <si>
    <t>Igarassu</t>
  </si>
  <si>
    <t>Royston Drenthe</t>
  </si>
  <si>
    <t>https://fbref.com/en/players/3d512ff2/Royston-Drenthe</t>
  </si>
  <si>
    <t>DF-MF (DM-FB-WM, left)</t>
  </si>
  <si>
    <t>https://www.transfermarkt.com/royston-drenthe/profil/spieler/35631</t>
  </si>
  <si>
    <t>royston-drenthe</t>
  </si>
  <si>
    <t>Kozakken Boys</t>
  </si>
  <si>
    <t>17/11/2023</t>
  </si>
  <si>
    <t>RubÃ©n</t>
  </si>
  <si>
    <t>https://fbref.com/en/players/24279b8b/Ruben</t>
  </si>
  <si>
    <t>https://www.transfermarkt.com/ruben-martinez/profil/spieler/8184</t>
  </si>
  <si>
    <t>ruben-martinez</t>
  </si>
  <si>
    <t>RubÃ©n MartÃ­nez</t>
  </si>
  <si>
    <t>22/06/1984 (41)</t>
  </si>
  <si>
    <t>Coristanco</t>
  </si>
  <si>
    <t>18/12/2004</t>
  </si>
  <si>
    <t>https://fbref.com/en/players/d0c06281/Ruben</t>
  </si>
  <si>
    <t>https://www.transfermarkt.com/ruben-gonzalez/profil/spieler/7519</t>
  </si>
  <si>
    <t>ruben-gonzalez</t>
  </si>
  <si>
    <t>RubÃ©n GonzÃ¡lez</t>
  </si>
  <si>
    <t>29/01/1982 (43)</t>
  </si>
  <si>
    <t>RubÃ©n Blanco</t>
  </si>
  <si>
    <t>https://fbref.com/en/players/967f34d3/Ruben-Blanco</t>
  </si>
  <si>
    <t>https://www.transfermarkt.com/ruben-blanco/profil/spieler/199321</t>
  </si>
  <si>
    <t>ruben-blanco</t>
  </si>
  <si>
    <t>25/07/1995</t>
  </si>
  <si>
    <t>Mos</t>
  </si>
  <si>
    <t>30/07/2023</t>
  </si>
  <si>
    <t>RubÃ©n Castro</t>
  </si>
  <si>
    <t>https://fbref.com/en/players/d109f62b/Ruben-Castro</t>
  </si>
  <si>
    <t>https://www.transfermarkt.com/ruben-castro/profil/spieler/25316</t>
  </si>
  <si>
    <t>ruben-castro</t>
  </si>
  <si>
    <t>27/06/1981</t>
  </si>
  <si>
    <t>25/02/2001</t>
  </si>
  <si>
    <t>RubÃ©n Duarte</t>
  </si>
  <si>
    <t>https://fbref.com/en/players/1fe0492d/Ruben-Duarte</t>
  </si>
  <si>
    <t>October 18, 1995 (Age:Â 30-008d)</t>
  </si>
  <si>
    <t>AlmerÃ­a, Spain</t>
  </si>
  <si>
    <t>https://www.transfermarkt.com/ruben-duarte/profil/spieler/177046</t>
  </si>
  <si>
    <t>ruben-duarte</t>
  </si>
  <si>
    <t>18/10/1995</t>
  </si>
  <si>
    <t>RubÃ©n GarcÃ­a</t>
  </si>
  <si>
    <t>https://fbref.com/en/players/5c96b017/Ruben-Garcia</t>
  </si>
  <si>
    <t>July 14, 1993 (Age:Â 32-104d)</t>
  </si>
  <si>
    <t>https://www.transfermarkt.com/ruben-garcia/profil/spieler/213260</t>
  </si>
  <si>
    <t>ruben-garcia</t>
  </si>
  <si>
    <t>14/07/1993</t>
  </si>
  <si>
    <t>XÃ tiva</t>
  </si>
  <si>
    <t>RubÃ©n MiÃ±o</t>
  </si>
  <si>
    <t>https://fbref.com/en/players/60afe7a3/Ruben-Mino</t>
  </si>
  <si>
    <t>https://www.transfermarkt.com/ruben-mino/profil/spieler/65266</t>
  </si>
  <si>
    <t>ruben-mino</t>
  </si>
  <si>
    <t>18/01/1989</t>
  </si>
  <si>
    <t>CornellÃ  de Llobregat</t>
  </si>
  <si>
    <t>18/01/2013</t>
  </si>
  <si>
    <t>RubÃ©n PÃ©rez</t>
  </si>
  <si>
    <t>https://fbref.com/en/players/3c7bc9bd/Ruben-Perez</t>
  </si>
  <si>
    <t>April 26, 1989 (Age:Â 36-183d)</t>
  </si>
  <si>
    <t>https://www.transfermarkt.com/ruben-perez/profil/spieler/113045</t>
  </si>
  <si>
    <t>ruben-perez</t>
  </si>
  <si>
    <t>Ã‰cija</t>
  </si>
  <si>
    <t>RubÃ©n Pardo</t>
  </si>
  <si>
    <t>https://fbref.com/en/players/2306bfde/Ruben-Pardo</t>
  </si>
  <si>
    <t>https://www.transfermarkt.com/ruben-pardo/profil/spieler/99352</t>
  </si>
  <si>
    <t>ruben-pardo</t>
  </si>
  <si>
    <t>RubÃ©n PeÃ±a</t>
  </si>
  <si>
    <t>https://fbref.com/en/players/1f079188/Ruben-Pena</t>
  </si>
  <si>
    <t>July 18, 1991 (Age:Â 34-100d)</t>
  </si>
  <si>
    <t>Ãvila, Spain</t>
  </si>
  <si>
    <t>https://www.transfermarkt.com/ruben-pena/profil/spieler/238868</t>
  </si>
  <si>
    <t>ruben-pena</t>
  </si>
  <si>
    <t>18/07/1991</t>
  </si>
  <si>
    <t>Ãvila</t>
  </si>
  <si>
    <t>RubÃ©n Ramiro</t>
  </si>
  <si>
    <t>https://fbref.com/en/players/9de36b0a/Ruben-Ramiro</t>
  </si>
  <si>
    <t>https://www.transfermarkt.com/ruben-ramiro/profil/spieler/227965</t>
  </si>
  <si>
    <t>ruben-ramiro</t>
  </si>
  <si>
    <t>16/04/1993</t>
  </si>
  <si>
    <t>Colmenar Viejo</t>
  </si>
  <si>
    <t>RubÃ©n Rochina</t>
  </si>
  <si>
    <t>https://fbref.com/en/players/ecd8c01e/Ruben-Rochina</t>
  </si>
  <si>
    <t>https://www.transfermarkt.com/ruben-rochina/profil/spieler/67548</t>
  </si>
  <si>
    <t>ruben-rochina</t>
  </si>
  <si>
    <t>23/03/1991</t>
  </si>
  <si>
    <t>Sagunt</t>
  </si>
  <si>
    <t>RubÃ©n SuÃ¡rez</t>
  </si>
  <si>
    <t>https://fbref.com/en/players/addc6eca/Ruben-Suarez</t>
  </si>
  <si>
    <t>https://www.transfermarkt.com/ruben-suarez/profil/spieler/29193</t>
  </si>
  <si>
    <t>ruben-suarez</t>
  </si>
  <si>
    <t>19/02/1979</t>
  </si>
  <si>
    <t>CD Acero</t>
  </si>
  <si>
    <t>Rui Fonte</t>
  </si>
  <si>
    <t>https://fbref.com/en/players/6ff8ef56/Rui-Fonte</t>
  </si>
  <si>
    <t>April 23, 1990 (Age:Â 35-186d)</t>
  </si>
  <si>
    <t>Lisbon, Portugal</t>
  </si>
  <si>
    <t>Crystal Palace</t>
  </si>
  <si>
    <t>https://www.transfermarkt.com/rui-fonte/profil/spieler/9335</t>
  </si>
  <si>
    <t>rui-fonte</t>
  </si>
  <si>
    <t>23/04/1990</t>
  </si>
  <si>
    <t>Penafiel</t>
  </si>
  <si>
    <t>PaÃ§os Ferreira</t>
  </si>
  <si>
    <t>17/08/2009</t>
  </si>
  <si>
    <t>Ruud van Nistelrooy</t>
  </si>
  <si>
    <t>https://fbref.com/en/players/80a30989/Ruud-van-Nistelrooy</t>
  </si>
  <si>
    <t>https://www.transfermarkt.com/ruud-van-nistelrooy/profil/spieler/3407</t>
  </si>
  <si>
    <t>ruud-van-nistelrooy</t>
  </si>
  <si>
    <t>Oss</t>
  </si>
  <si>
    <t>Ryder Matos</t>
  </si>
  <si>
    <t>https://fbref.com/en/players/7280b54f/Ryder-Matos</t>
  </si>
  <si>
    <t>February 27, 1993 (Age:Â 32-241d)</t>
  </si>
  <si>
    <t>Seabra, Brazil</t>
  </si>
  <si>
    <t>Perugia</t>
  </si>
  <si>
    <t>https://www.transfermarkt.com/ryder-matos/profil/spieler/62713</t>
  </si>
  <si>
    <t>ryder-matos</t>
  </si>
  <si>
    <t>27/02/1993</t>
  </si>
  <si>
    <t>Seabra</t>
  </si>
  <si>
    <t>31/08/2021</t>
  </si>
  <si>
    <t>26/08/2018</t>
  </si>
  <si>
    <t>SÃ©rgio Pinto</t>
  </si>
  <si>
    <t>https://fbref.com/en/players/85ecb7ea/Sergio-Pinto</t>
  </si>
  <si>
    <t>https://www.transfermarkt.com/sergio-da-silva-pinto/profil/spieler/277</t>
  </si>
  <si>
    <t>sergio-da-silva-pinto</t>
  </si>
  <si>
    <t>SÃ©rgio da Silva Pinto</t>
  </si>
  <si>
    <t>16/10/1980 (45)</t>
  </si>
  <si>
    <t>GermanyÂ Â Portugal</t>
  </si>
  <si>
    <t>F. DÃ¼sseldorf</t>
  </si>
  <si>
    <t>SaÃ¯d Boutahar</t>
  </si>
  <si>
    <t>https://fbref.com/en/players/2a33b1a7/Said-Boutahar</t>
  </si>
  <si>
    <t>https://www.transfermarkt.com/said-boutahar/profil/spieler/17993</t>
  </si>
  <si>
    <t>said-boutahar</t>
  </si>
  <si>
    <t>SaÃºl</t>
  </si>
  <si>
    <t>https://fbref.com/en/players/a4a317b2/Saul</t>
  </si>
  <si>
    <t>https://www.transfermarkt.com/saul/profil/spieler/56130</t>
  </si>
  <si>
    <t>saul</t>
  </si>
  <si>
    <t>22/04/2014</t>
  </si>
  <si>
    <t>SaÃºl Ã‘Ã­guez</t>
  </si>
  <si>
    <t>https://fbref.com/en/players/c14bc029/Saul-Niguez</t>
  </si>
  <si>
    <t>November 21, 1994 (Age:Â 30-339d)</t>
  </si>
  <si>
    <t>DF-MF (CM-DM-WM, left)</t>
  </si>
  <si>
    <t>https://www.transfermarkt.com/saul-niguez/profil/spieler/148928</t>
  </si>
  <si>
    <t>saul-niguez</t>
  </si>
  <si>
    <t>21/11/1994</t>
  </si>
  <si>
    <t>21/04/2013</t>
  </si>
  <si>
    <t>SaÃºl BerjÃ³n</t>
  </si>
  <si>
    <t>https://fbref.com/en/players/59e3e14b/Saul-Berjon</t>
  </si>
  <si>
    <t>https://www.transfermarkt.com/saul-berjon/profil/spieler/74954</t>
  </si>
  <si>
    <t>saul-berjon</t>
  </si>
  <si>
    <t>24/05/1986</t>
  </si>
  <si>
    <t>SalomÃ³n RondÃ³n</t>
  </si>
  <si>
    <t>https://fbref.com/en/players/b318a643/Salomon-Rondon</t>
  </si>
  <si>
    <t>September 16, 1989 (Age:Â 36-040d)</t>
  </si>
  <si>
    <t>https://www.transfermarkt.com/salomon-rondon/profil/spieler/80197</t>
  </si>
  <si>
    <t>salomon-rondon</t>
  </si>
  <si>
    <t>16/09/1989</t>
  </si>
  <si>
    <t>Torneo Apertura (till 2020)</t>
  </si>
  <si>
    <t>Salva Sevilla</t>
  </si>
  <si>
    <t>https://fbref.com/en/players/75bd85ea/Salva-Sevilla</t>
  </si>
  <si>
    <t>https://www.transfermarkt.com/salva-sevilla/profil/spieler/58799</t>
  </si>
  <si>
    <t>salva-sevilla</t>
  </si>
  <si>
    <t>18/03/1984</t>
  </si>
  <si>
    <t>Berja</t>
  </si>
  <si>
    <t>Salvador Agra</t>
  </si>
  <si>
    <t>https://fbref.com/en/players/a130741a/Salvador-Agra</t>
  </si>
  <si>
    <t>November 11, 1991 (Age:Â 33-349d)</t>
  </si>
  <si>
    <t>Vila do Conde, Portugal</t>
  </si>
  <si>
    <t>https://www.transfermarkt.com/salvador-agra/profil/spieler/155395</t>
  </si>
  <si>
    <t>salvador-agra</t>
  </si>
  <si>
    <t>SÃ­lvio</t>
  </si>
  <si>
    <t>https://fbref.com/en/players/ec6e2549/Silvio</t>
  </si>
  <si>
    <t>https://www.transfermarkt.com/silvio/profil/spieler/84511</t>
  </si>
  <si>
    <t>silvio</t>
  </si>
  <si>
    <t>28/09/1987 (38)</t>
  </si>
  <si>
    <t>Vilafranquense</t>
  </si>
  <si>
    <t>27/09/2016</t>
  </si>
  <si>
    <t>Sami Khedira</t>
  </si>
  <si>
    <t>https://fbref.com/en/players/38ac43d3/Sami-Khedira</t>
  </si>
  <si>
    <t>https://www.transfermarkt.com/sami-khedira/profil/spieler/29401</t>
  </si>
  <si>
    <t>sami-khedira</t>
  </si>
  <si>
    <t>GermanyÂ Â Tunisia</t>
  </si>
  <si>
    <t>Sammir</t>
  </si>
  <si>
    <t>https://fbref.com/en/players/4ba410e6/Sammir</t>
  </si>
  <si>
    <t>Croatia hr Â Other:Â Brazil</t>
  </si>
  <si>
    <t>https://www.transfermarkt.com/sammir/profil/spieler/45710</t>
  </si>
  <si>
    <t>sammir</t>
  </si>
  <si>
    <t>23/04/1987</t>
  </si>
  <si>
    <t>Itabuna</t>
  </si>
  <si>
    <t>CroatiaÂ Â Brazil</t>
  </si>
  <si>
    <t>NK Lokomotiva</t>
  </si>
  <si>
    <t>Samu Castillejo</t>
  </si>
  <si>
    <t>https://fbref.com/en/players/130a7a3f/Samu-Castillejo</t>
  </si>
  <si>
    <t>January 18, 1995 (Age:Â 30-281d)</t>
  </si>
  <si>
    <t>https://www.transfermarkt.com/samu-castillejo/profil/spieler/195171</t>
  </si>
  <si>
    <t>samu-castillejo</t>
  </si>
  <si>
    <t>18/01/1995</t>
  </si>
  <si>
    <t>27/02/2025</t>
  </si>
  <si>
    <t>Samu GarcÃ­a</t>
  </si>
  <si>
    <t>https://fbref.com/en/players/5f7db81a/Samu-Garcia</t>
  </si>
  <si>
    <t>https://www.transfermarkt.com/samu-garcia/profil/spieler/208890</t>
  </si>
  <si>
    <t>samu-garcia</t>
  </si>
  <si>
    <t>Samu MartÃ­nez</t>
  </si>
  <si>
    <t>https://fbref.com/en/players/3c0bf2d6/Samu-Martinez</t>
  </si>
  <si>
    <t>https://www.transfermarkt.com/samu-martinez/profil/spieler/242827</t>
  </si>
  <si>
    <t>samu-martinez</t>
  </si>
  <si>
    <t>15/04/1994</t>
  </si>
  <si>
    <t>CD Cieza</t>
  </si>
  <si>
    <t>Samuel Llorca</t>
  </si>
  <si>
    <t>https://fbref.com/en/players/9c3d54f0/Samuel-Llorca</t>
  </si>
  <si>
    <t>https://www.transfermarkt.com/samuel-llorca/profil/spieler/57941</t>
  </si>
  <si>
    <t>samuel-llorca</t>
  </si>
  <si>
    <t>26/04/1985</t>
  </si>
  <si>
    <t>Samuel SÃ¡iz</t>
  </si>
  <si>
    <t>https://fbref.com/en/players/13e0eb29/Samuel-Saiz</t>
  </si>
  <si>
    <t>January 22, 1991 (Age:Â 34-277d)</t>
  </si>
  <si>
    <t>EyÃ¼pspor</t>
  </si>
  <si>
    <t>https://www.transfermarkt.com/samu-saiz/profil/spieler/131506</t>
  </si>
  <si>
    <t>samu-saiz</t>
  </si>
  <si>
    <t>Samu Saiz</t>
  </si>
  <si>
    <t>22/01/1991</t>
  </si>
  <si>
    <t>16/01/2024</t>
  </si>
  <si>
    <t>Samuele Longo</t>
  </si>
  <si>
    <t>https://fbref.com/en/players/1163de29/Samuele-Longo</t>
  </si>
  <si>
    <t>January 12, 1992 (Age:Â 33-287d)</t>
  </si>
  <si>
    <t>Valdobbiadene, Italy</t>
  </si>
  <si>
    <t>https://www.transfermarkt.com/samuele-longo/profil/spieler/124560</t>
  </si>
  <si>
    <t>samuele-longo</t>
  </si>
  <si>
    <t>Valdobbiadene</t>
  </si>
  <si>
    <t>13/05/2012</t>
  </si>
  <si>
    <t>Sandro RamÃ­rez</t>
  </si>
  <si>
    <t>https://fbref.com/en/players/833fb62e/Sandro-Ramirez</t>
  </si>
  <si>
    <t>July 9, 1995 (Age:Â 30-109d)</t>
  </si>
  <si>
    <t>https://www.transfermarkt.com/sandro-ramirez/profil/spieler/199369</t>
  </si>
  <si>
    <t>sandro-ramirez</t>
  </si>
  <si>
    <t>Sandro Silva</t>
  </si>
  <si>
    <t>https://fbref.com/en/players/83348963/Sandro-Silva</t>
  </si>
  <si>
    <t>https://www.transfermarkt.com/sandro-silva/profil/spieler/74536</t>
  </si>
  <si>
    <t>sandro-silva</t>
  </si>
  <si>
    <t>AmÃ©rica-RJ</t>
  </si>
  <si>
    <t>Santi Cazorla</t>
  </si>
  <si>
    <t>https://fbref.com/en/players/e2e9c250/Santi-Cazorla</t>
  </si>
  <si>
    <t>December 13, 1984 (Age:Â 40-317d)</t>
  </si>
  <si>
    <t>Lugo de Llanera, Spain</t>
  </si>
  <si>
    <t>https://www.transfermarkt.com/santi-cazorla/profil/spieler/15799</t>
  </si>
  <si>
    <t>santi-cazorla</t>
  </si>
  <si>
    <t>13/12/1984</t>
  </si>
  <si>
    <t>Lugo de Llanera</t>
  </si>
  <si>
    <t>16/08/2023</t>
  </si>
  <si>
    <t>30/11/2003</t>
  </si>
  <si>
    <t>24/09/2023</t>
  </si>
  <si>
    <t>Santi Mina</t>
  </si>
  <si>
    <t>https://fbref.com/en/players/0b90bb97/Santi-Mina</t>
  </si>
  <si>
    <t>https://www.transfermarkt.com/santi-mina/profil/spieler/255653</t>
  </si>
  <si>
    <t>santi-mina</t>
  </si>
  <si>
    <t>Santiago Acasiete</t>
  </si>
  <si>
    <t>https://fbref.com/en/players/39168d69/Santiago-Acasiete</t>
  </si>
  <si>
    <t>https://www.transfermarkt.com/santiago-acasiete/profil/spieler/30563</t>
  </si>
  <si>
    <t>santiago-acasiete</t>
  </si>
  <si>
    <t>22/11/1977</t>
  </si>
  <si>
    <t>Callao</t>
  </si>
  <si>
    <t>PeruÂ Â Spain</t>
  </si>
  <si>
    <t>Seba FernÃ¡ndez</t>
  </si>
  <si>
    <t>https://fbref.com/en/players/8ea14d54/Seba-Fernandez</t>
  </si>
  <si>
    <t>May 23, 1985 (Age:Â 40-156d)</t>
  </si>
  <si>
    <t>https://www.transfermarkt.com/sebastian-fernandez/profil/spieler/64545</t>
  </si>
  <si>
    <t>sebastian-fernandez</t>
  </si>
  <si>
    <t>SebastiÃ¡n FernÃ¡ndez</t>
  </si>
  <si>
    <t>23/05/1985 (40)</t>
  </si>
  <si>
    <t>SebastiÃ¡n CristÃ³foro</t>
  </si>
  <si>
    <t>https://fbref.com/en/players/3c05c659/Sebastian-Cristoforo</t>
  </si>
  <si>
    <t>August 23, 1993 (Age:Â 32-064d)</t>
  </si>
  <si>
    <t>Central CÃ³rdoba de Santiago del Estero</t>
  </si>
  <si>
    <t>https://www.transfermarkt.com/sebastian-cristoforo/profil/spieler/188157</t>
  </si>
  <si>
    <t>sebastian-cristoforo</t>
  </si>
  <si>
    <t>23/08/1993</t>
  </si>
  <si>
    <t>Central CÃ³rdoba</t>
  </si>
  <si>
    <t>14/01/2025</t>
  </si>
  <si>
    <t>SebastiÃ¡n Dubarbier</t>
  </si>
  <si>
    <t>https://fbref.com/en/players/83877c7c/Sebastian-Dubarbier</t>
  </si>
  <si>
    <t>https://www.transfermarkt.com/sebastian-dubarbier/profil/spieler/55866</t>
  </si>
  <si>
    <t>sebastian-dubarbier</t>
  </si>
  <si>
    <t>19/02/1986</t>
  </si>
  <si>
    <t>SebastiÃ¡n Eguren</t>
  </si>
  <si>
    <t>https://fbref.com/en/players/de07ca1e/Sebastian-Eguren</t>
  </si>
  <si>
    <t>Rosenborg</t>
  </si>
  <si>
    <t>https://www.transfermarkt.com/sebastian-eguren/profil/spieler/35590</t>
  </si>
  <si>
    <t>sebastian-eguren</t>
  </si>
  <si>
    <t>UruguayÂ Â Sweden</t>
  </si>
  <si>
    <t>24/07/2005</t>
  </si>
  <si>
    <t>Sendoa Agirre</t>
  </si>
  <si>
    <t>https://fbref.com/en/players/0437c448/Sendoa-Agirre</t>
  </si>
  <si>
    <t>https://www.transfermarkt.com/sendoa-agirre/profil/spieler/57960</t>
  </si>
  <si>
    <t>sendoa-agirre</t>
  </si>
  <si>
    <t>31/12/1975</t>
  </si>
  <si>
    <t>Sergi Darder</t>
  </si>
  <si>
    <t>https://fbref.com/en/players/070a3904/Sergi-Darder</t>
  </si>
  <si>
    <t>December 22, 1993 (Age:Â 31-308d)</t>
  </si>
  <si>
    <t>https://www.transfermarkt.com/sergi-darder/profil/spieler/142021</t>
  </si>
  <si>
    <t>sergi-darder</t>
  </si>
  <si>
    <t>22/12/1993</t>
  </si>
  <si>
    <t>Sergi Enrich</t>
  </si>
  <si>
    <t>https://fbref.com/en/players/bb4b1242/Sergi-Enrich</t>
  </si>
  <si>
    <t>February 26, 1990 (Age:Â 35-242d)</t>
  </si>
  <si>
    <t>Ciutadella de Menorca, Spain</t>
  </si>
  <si>
    <t>https://www.transfermarkt.com/sergi-enrich/profil/spieler/81988</t>
  </si>
  <si>
    <t>sergi-enrich</t>
  </si>
  <si>
    <t>26/02/1990</t>
  </si>
  <si>
    <t>Ciutadella de Menorca</t>
  </si>
  <si>
    <t>Sergi GÃ³mez</t>
  </si>
  <si>
    <t>https://fbref.com/en/players/bc6f5f06/Sergi-Gomez</t>
  </si>
  <si>
    <t>March 28, 1992 (Age:Â 33-212d)</t>
  </si>
  <si>
    <t>Arenys de Mar, Spain</t>
  </si>
  <si>
    <t>https://www.transfermarkt.com/sergi-gomez/profil/spieler/92947</t>
  </si>
  <si>
    <t>sergi-gomez</t>
  </si>
  <si>
    <t>28/03/1992</t>
  </si>
  <si>
    <t>Sergi Roberto</t>
  </si>
  <si>
    <t>https://fbref.com/en/players/335fa267/Sergi-Roberto</t>
  </si>
  <si>
    <t>DF-MF (AM-CM-FB, right)</t>
  </si>
  <si>
    <t>https://www.transfermarkt.com/sergi-roberto/profil/spieler/85370</t>
  </si>
  <si>
    <t>sergi-roberto</t>
  </si>
  <si>
    <t>Sergio</t>
  </si>
  <si>
    <t>https://fbref.com/en/players/6c6e9460/Sergio</t>
  </si>
  <si>
    <t>https://www.transfermarkt.com/sergio-rodriguez/profil/spieler/187674</t>
  </si>
  <si>
    <t>sergio-rodriguez</t>
  </si>
  <si>
    <t>Sergio RodrÃ­guez</t>
  </si>
  <si>
    <t>07/09/1992 (33)</t>
  </si>
  <si>
    <t>Lora CF</t>
  </si>
  <si>
    <t>22/09/2011</t>
  </si>
  <si>
    <t>https://fbref.com/en/players/7688c579/Sergio</t>
  </si>
  <si>
    <t>https://www.transfermarkt.com/sergio-fernandez/profil/spieler/7544</t>
  </si>
  <si>
    <t>sergio-fernandez</t>
  </si>
  <si>
    <t>Sergio FernÃ¡ndez</t>
  </si>
  <si>
    <t>23/05/1977 (48)</t>
  </si>
  <si>
    <t>21/10/2012</t>
  </si>
  <si>
    <t>14/01/1996</t>
  </si>
  <si>
    <t>https://fbref.com/en/players/c6ed9815/Sergio</t>
  </si>
  <si>
    <t>https://www.transfermarkt.com/sergio/profil/spieler/7500</t>
  </si>
  <si>
    <t>sergio</t>
  </si>
  <si>
    <t>10/11/1976 (48)</t>
  </si>
  <si>
    <t>Sergio Ãlvarez</t>
  </si>
  <si>
    <t>https://fbref.com/en/players/8875b8c9/Sergio-Alvarez</t>
  </si>
  <si>
    <t>https://www.transfermarkt.com/sergio-alvarez/profil/spieler/45912</t>
  </si>
  <si>
    <t>sergio-alvarez</t>
  </si>
  <si>
    <t>VilagarcÃ­a de Arousa</t>
  </si>
  <si>
    <t>https://fbref.com/en/players/88d91621/Sergio-Alvarez</t>
  </si>
  <si>
    <t>AvilÃ©s, Spain</t>
  </si>
  <si>
    <t>https://www.transfermarkt.com/sergio-alvarez/profil/spieler/138935</t>
  </si>
  <si>
    <t>23/01/1992 (33)</t>
  </si>
  <si>
    <t>26/07/2018</t>
  </si>
  <si>
    <t>Sergio Abad Beyxer</t>
  </si>
  <si>
    <t>https://fbref.com/en/players/30f729b3/Sergio-Abad-Beyxer</t>
  </si>
  <si>
    <t>https://www.transfermarkt.com/mono/profil/spieler/170741</t>
  </si>
  <si>
    <t>mono</t>
  </si>
  <si>
    <t>_x000D_
Sergio Abad Beyxer</t>
  </si>
  <si>
    <t>Petrelense</t>
  </si>
  <si>
    <t>Sergio AgÃ¼ero</t>
  </si>
  <si>
    <t>https://fbref.com/en/players/4d034881/Sergio-Aguero</t>
  </si>
  <si>
    <t>https://www.transfermarkt.com/sergio-aguero/profil/spieler/26399</t>
  </si>
  <si>
    <t>sergio-aguero</t>
  </si>
  <si>
    <t>15/12/2021</t>
  </si>
  <si>
    <t>Sergio Asenjo</t>
  </si>
  <si>
    <t>https://fbref.com/en/players/9f0ea33f/Sergio-Asenjo</t>
  </si>
  <si>
    <t>https://www.transfermarkt.com/sergio-asenjo/profil/spieler/51710</t>
  </si>
  <si>
    <t>sergio-asenjo</t>
  </si>
  <si>
    <t>28/06/1989</t>
  </si>
  <si>
    <t>Palencia</t>
  </si>
  <si>
    <t>Sergio Ballesteros</t>
  </si>
  <si>
    <t>https://fbref.com/en/players/29863c56/Sergio-Ballesteros</t>
  </si>
  <si>
    <t>https://www.transfermarkt.com/sergio-ballesteros/profil/spieler/7828</t>
  </si>
  <si>
    <t>sergio-ballesteros</t>
  </si>
  <si>
    <t>21/08/1999</t>
  </si>
  <si>
    <t>Sergio Busquets</t>
  </si>
  <si>
    <t>https://fbref.com/en/players/5ab0ea87/Sergio-Busquets</t>
  </si>
  <si>
    <t>July 16, 1988 (Age:Â 37-102d)</t>
  </si>
  <si>
    <t>https://www.transfermarkt.com/sergio-busquets/profil/spieler/65230</t>
  </si>
  <si>
    <t>sergio-busquets</t>
  </si>
  <si>
    <t>16/07/1988</t>
  </si>
  <si>
    <t>Badia del VallÃ¨s</t>
  </si>
  <si>
    <t>16/07/2023</t>
  </si>
  <si>
    <t>Sergio Canales</t>
  </si>
  <si>
    <t>https://fbref.com/en/players/a6de370d/Sergio-Canales</t>
  </si>
  <si>
    <t>February 16, 1991 (Age:Â 34-252d)</t>
  </si>
  <si>
    <t>https://www.transfermarkt.com/sergio-canales/profil/spieler/66106</t>
  </si>
  <si>
    <t>sergio-canales</t>
  </si>
  <si>
    <t>16/02/1991</t>
  </si>
  <si>
    <t>Sergio Escudero</t>
  </si>
  <si>
    <t>https://fbref.com/en/players/b0616e3d/Sergio-Escudero</t>
  </si>
  <si>
    <t>September 2, 1989 (Age:Â 36-054d)</t>
  </si>
  <si>
    <t>https://www.transfermarkt.com/sergio-escudero/profil/spieler/93935</t>
  </si>
  <si>
    <t>sergio-escudero</t>
  </si>
  <si>
    <t>13/06/2009</t>
  </si>
  <si>
    <t>Sergio GarcÃ­a</t>
  </si>
  <si>
    <t>https://fbref.com/en/players/2bee98fd/Sergio-Garcia</t>
  </si>
  <si>
    <t>https://www.transfermarkt.com/sergio-garcia/profil/spieler/7922</t>
  </si>
  <si>
    <t>sergio-garcia</t>
  </si>
  <si>
    <t>MontaÃ±esa</t>
  </si>
  <si>
    <t>Sergio MantecÃ³n</t>
  </si>
  <si>
    <t>https://fbref.com/en/players/71eaddb6/Sergio-Mantecon</t>
  </si>
  <si>
    <t>https://www.transfermarkt.com/sergio-mantecon/profil/spieler/70890</t>
  </si>
  <si>
    <t>sergio-mantecon</t>
  </si>
  <si>
    <t>Lorca Deportiva</t>
  </si>
  <si>
    <t>Sergio Marcos</t>
  </si>
  <si>
    <t>https://fbref.com/en/players/e331be23/Sergio-Marcos</t>
  </si>
  <si>
    <t>https://www.transfermarkt.com/sergio-marcos/profil/spieler/126875</t>
  </si>
  <si>
    <t>sergio-marcos</t>
  </si>
  <si>
    <t>SacedÃ³n</t>
  </si>
  <si>
    <t>RSD AlcalÃ¡</t>
  </si>
  <si>
    <t>Sergio Matabuena</t>
  </si>
  <si>
    <t>https://fbref.com/en/players/93faf8c3/Sergio-Matabuena</t>
  </si>
  <si>
    <t>https://www.transfermarkt.com/sergio-matabuena/profil/spieler/7863</t>
  </si>
  <si>
    <t>sergio-matabuena</t>
  </si>
  <si>
    <t>17/11/2002</t>
  </si>
  <si>
    <t>Sergio PelegrÃ­n</t>
  </si>
  <si>
    <t>https://fbref.com/en/players/e360782f/Sergio-Pelegrin</t>
  </si>
  <si>
    <t>https://www.transfermarkt.com/sergio-pelegrin/profil/spieler/57944</t>
  </si>
  <si>
    <t>sergio-pelegrin</t>
  </si>
  <si>
    <t>14/08/1979</t>
  </si>
  <si>
    <t>Sergio Ramos</t>
  </si>
  <si>
    <t>https://fbref.com/en/players/08511d65/Sergio-Ramos</t>
  </si>
  <si>
    <t>March 30, 1986 (Age:Â 39-210d)</t>
  </si>
  <si>
    <t>Camas, Spain</t>
  </si>
  <si>
    <t>https://www.transfermarkt.com/sergio-ramos/profil/spieler/25557</t>
  </si>
  <si>
    <t>sergio-ramos</t>
  </si>
  <si>
    <t>30/03/1986</t>
  </si>
  <si>
    <t>Camas</t>
  </si>
  <si>
    <t>Sergio Rico</t>
  </si>
  <si>
    <t>https://fbref.com/en/players/5f0241b2/Sergio-Rico</t>
  </si>
  <si>
    <t>September 1, 1993 (Age:Â 32-055d)</t>
  </si>
  <si>
    <t>https://www.transfermarkt.com/sergio-rico/profil/spieler/207302</t>
  </si>
  <si>
    <t>sergio-rico</t>
  </si>
  <si>
    <t>26/09/2024</t>
  </si>
  <si>
    <t>Sergio SÃ¡nchez</t>
  </si>
  <si>
    <t>https://fbref.com/en/players/83a83b0a/Sergio-Sanchez</t>
  </si>
  <si>
    <t>https://www.transfermarkt.com/sergio-sanchez/profil/spieler/38270</t>
  </si>
  <si>
    <t>sergio-sanchez</t>
  </si>
  <si>
    <t>Sergio Tejera</t>
  </si>
  <si>
    <t>https://fbref.com/en/players/3d5734ef/Sergio-Tejera</t>
  </si>
  <si>
    <t>May 28, 1990 (Age:Â 35-151d)</t>
  </si>
  <si>
    <t>APOEL Nikosia</t>
  </si>
  <si>
    <t>https://www.transfermarkt.com/sergio-tejera/profil/spieler/38817</t>
  </si>
  <si>
    <t>sergio-tejera</t>
  </si>
  <si>
    <t>28/05/1990</t>
  </si>
  <si>
    <t>Seydou Keita</t>
  </si>
  <si>
    <t>https://fbref.com/en/players/500c4e9b/Seydou-Keita</t>
  </si>
  <si>
    <t>https://www.transfermarkt.com/seydou-keita/profil/spieler/5486</t>
  </si>
  <si>
    <t>seydou-keita</t>
  </si>
  <si>
    <t>16/01/1980</t>
  </si>
  <si>
    <t>El-Jaish</t>
  </si>
  <si>
    <t>Shkodran Mustafi</t>
  </si>
  <si>
    <t>https://fbref.com/en/players/3f2d59fe/Shkodran-Mustafi</t>
  </si>
  <si>
    <t>Sampdoria</t>
  </si>
  <si>
    <t>https://www.transfermarkt.com/shkodran-mustafi/profil/spieler/88590</t>
  </si>
  <si>
    <t>shkodran-mustafi</t>
  </si>
  <si>
    <t>17/04/1992</t>
  </si>
  <si>
    <t>Bad Hersfeld</t>
  </si>
  <si>
    <t>GermanyÂ Â Albania</t>
  </si>
  <si>
    <t>25/06/2024</t>
  </si>
  <si>
    <t>Sidnei</t>
  </si>
  <si>
    <t>https://fbref.com/en/players/b14d0c5d/Sidnei</t>
  </si>
  <si>
    <t>August 23, 1989 (Age:Â 36-064d)</t>
  </si>
  <si>
    <t>Alegrete, Brazil</t>
  </si>
  <si>
    <t>https://www.transfermarkt.com/sidnei/profil/spieler/27374</t>
  </si>
  <si>
    <t>sidnei</t>
  </si>
  <si>
    <t>23/08/1989</t>
  </si>
  <si>
    <t>Alegrete</t>
  </si>
  <si>
    <t>Monsoon FC</t>
  </si>
  <si>
    <t>30/04/2025</t>
  </si>
  <si>
    <t>SimÃ£o Mate Junior</t>
  </si>
  <si>
    <t>mz MOZ</t>
  </si>
  <si>
    <t>https://fbref.com/en/players/68723d1f/Simao-Mate-Junior</t>
  </si>
  <si>
    <t>Mozambique</t>
  </si>
  <si>
    <t>https://www.transfermarkt.com/simao/profil/spieler/58281</t>
  </si>
  <si>
    <t>simao</t>
  </si>
  <si>
    <t>SimÃ£o</t>
  </si>
  <si>
    <t>Maputo</t>
  </si>
  <si>
    <t>SimÃ£o Sabrosa</t>
  </si>
  <si>
    <t>https://fbref.com/en/players/76a65612/Simao-Sabrosa</t>
  </si>
  <si>
    <t>https://www.transfermarkt.com/simao/profil/spieler/8019</t>
  </si>
  <si>
    <t>31/10/1979</t>
  </si>
  <si>
    <t>16/05/1997</t>
  </si>
  <si>
    <t>Sisi</t>
  </si>
  <si>
    <t>https://fbref.com/en/players/add7ec92/Sisi</t>
  </si>
  <si>
    <t>https://www.transfermarkt.com/sisi-gonzalez/profil/spieler/51713</t>
  </si>
  <si>
    <t>sisi-gonzalez</t>
  </si>
  <si>
    <t>Sisi GonzÃ¡lez</t>
  </si>
  <si>
    <t>22/04/1986</t>
  </si>
  <si>
    <t>Ehime FC</t>
  </si>
  <si>
    <t>Sofiane Feghouli</t>
  </si>
  <si>
    <t>https://fbref.com/en/players/691f64f5/Sofiane-Feghouli</t>
  </si>
  <si>
    <t>Grenoble</t>
  </si>
  <si>
    <t>https://www.transfermarkt.com/sofiane-feghouli/profil/spieler/57162</t>
  </si>
  <si>
    <t>sofiane-feghouli</t>
  </si>
  <si>
    <t>26/12/1989</t>
  </si>
  <si>
    <t>Levallois-Perret</t>
  </si>
  <si>
    <t>A. Baghdad SC</t>
  </si>
  <si>
    <t>27/04/2007</t>
  </si>
  <si>
    <t>StÃ©phane Mbia</t>
  </si>
  <si>
    <t>https://fbref.com/en/players/c39d9657/Stephane-Mbia</t>
  </si>
  <si>
    <t>https://www.transfermarkt.com/stephane-mbia/profil/spieler/27470</t>
  </si>
  <si>
    <t>stephane-mbia</t>
  </si>
  <si>
    <t>20/05/1986</t>
  </si>
  <si>
    <t>Stefan BaboviÄ‡</t>
  </si>
  <si>
    <t>https://fbref.com/en/players/efb3ce2a/Stefan-Babovic</t>
  </si>
  <si>
    <t>Serbia rs Â Other:Â Montenegro</t>
  </si>
  <si>
    <t>https://www.transfermarkt.com/stefan-babovic/profil/spieler/29237</t>
  </si>
  <si>
    <t>stefan-babovic</t>
  </si>
  <si>
    <t>Stefan Babovic</t>
  </si>
  <si>
    <t>Berane</t>
  </si>
  <si>
    <t>14/01/2016</t>
  </si>
  <si>
    <t>Stephan Andersen</t>
  </si>
  <si>
    <t>https://fbref.com/en/players/314c2af0/Stephan-Andersen</t>
  </si>
  <si>
    <t>AB Copenhagen</t>
  </si>
  <si>
    <t>https://www.transfermarkt.com/stephan-andersen/profil/spieler/17880</t>
  </si>
  <si>
    <t>stephan-andersen</t>
  </si>
  <si>
    <t>26/11/1981</t>
  </si>
  <si>
    <t>Stole Dimitrievski</t>
  </si>
  <si>
    <t>mk MKD</t>
  </si>
  <si>
    <t>https://fbref.com/en/players/fc70e345/Stole-Dimitrievski</t>
  </si>
  <si>
    <t>December 25, 1993 (Age:Â 31-305d)</t>
  </si>
  <si>
    <t>Kumanovo, North Macedonia</t>
  </si>
  <si>
    <t>North Macedonia</t>
  </si>
  <si>
    <t>https://www.transfermarkt.com/stole-dimitrievski/profil/spieler/165467</t>
  </si>
  <si>
    <t>stole-dimitrievski</t>
  </si>
  <si>
    <t>25/12/1993</t>
  </si>
  <si>
    <t>Kumanovo</t>
  </si>
  <si>
    <t>North MacedoniaÂ Â Spain</t>
  </si>
  <si>
    <t>Prva Makedonska Fudbalska Liga</t>
  </si>
  <si>
    <t>Sulayman Marreh</t>
  </si>
  <si>
    <t>https://fbref.com/en/players/44b49036/Sulayman-Marreh</t>
  </si>
  <si>
    <t>Gambia</t>
  </si>
  <si>
    <t>https://www.transfermarkt.com/sulayman-marreh/profil/spieler/264046</t>
  </si>
  <si>
    <t>sulayman-marreh</t>
  </si>
  <si>
    <t>15/01/1996</t>
  </si>
  <si>
    <t>Banjul</t>
  </si>
  <si>
    <t>The Gambia</t>
  </si>
  <si>
    <t>17/10/2014</t>
  </si>
  <si>
    <t>Suso</t>
  </si>
  <si>
    <t>https://fbref.com/en/players/4e219ad2/Suso</t>
  </si>
  <si>
    <t>November 19, 1993 (Age:Â 31-341d)</t>
  </si>
  <si>
    <t>Cadiz, Spain</t>
  </si>
  <si>
    <t>https://www.transfermarkt.com/suso/profil/spieler/111961</t>
  </si>
  <si>
    <t>suso</t>
  </si>
  <si>
    <t>19/11/1993</t>
  </si>
  <si>
    <t>30/06/2029</t>
  </si>
  <si>
    <t>23/09/2012</t>
  </si>
  <si>
    <t>17/08/2025</t>
  </si>
  <si>
    <t>Tarsicio Aguado</t>
  </si>
  <si>
    <t>https://fbref.com/en/players/345ebb78/Tarsicio-Aguado</t>
  </si>
  <si>
    <t>https://www.transfermarkt.com/tarsi-aguado/profil/spieler/249459</t>
  </si>
  <si>
    <t>tarsi-aguado</t>
  </si>
  <si>
    <t>Tarsi Aguado</t>
  </si>
  <si>
    <t>16/10/1994</t>
  </si>
  <si>
    <t>Tato</t>
  </si>
  <si>
    <t>https://fbref.com/en/players/03c45164/Tato</t>
  </si>
  <si>
    <t>https://www.transfermarkt.com/tato/profil/spieler/180825</t>
  </si>
  <si>
    <t>tato</t>
  </si>
  <si>
    <t>09/07/1992 (33)</t>
  </si>
  <si>
    <t>MaliaÃ±o</t>
  </si>
  <si>
    <t>VÃ­kingur Ã“.</t>
  </si>
  <si>
    <t>14/03/2025</t>
  </si>
  <si>
    <t>Teerasil Dangda</t>
  </si>
  <si>
    <t>th THA</t>
  </si>
  <si>
    <t>https://fbref.com/en/players/2e3697ce/Teerasil-Dangda</t>
  </si>
  <si>
    <t>June 6, 1988 (Age:Â 37-142d)</t>
  </si>
  <si>
    <t>Thailand</t>
  </si>
  <si>
    <t>Bangkok United FC</t>
  </si>
  <si>
    <t>https://www.transfermarkt.com/teerasil-dangda/profil/spieler/65233</t>
  </si>
  <si>
    <t>teerasil-dangda</t>
  </si>
  <si>
    <t>Bangkok</t>
  </si>
  <si>
    <t>Bangkok Utd.</t>
  </si>
  <si>
    <t>Thai League</t>
  </si>
  <si>
    <t>Theo Bongonda</t>
  </si>
  <si>
    <t>https://fbref.com/en/players/0da6a13e/Theo-Bongonda</t>
  </si>
  <si>
    <t>November 20, 1995 (Age:Â 29-340d)</t>
  </si>
  <si>
    <t>Charleroi, Belgium</t>
  </si>
  <si>
    <t>Congo DR cd Â Other:Â Belgium</t>
  </si>
  <si>
    <t>Zulte Waregem</t>
  </si>
  <si>
    <t>https://www.transfermarkt.com/theo-bongonda/profil/spieler/280701</t>
  </si>
  <si>
    <t>theo-bongonda</t>
  </si>
  <si>
    <t>ThÃ©o Bongonda</t>
  </si>
  <si>
    <t>20/11/1995</t>
  </si>
  <si>
    <t>DR CongoÂ Â Belgium</t>
  </si>
  <si>
    <t>15/12/2013</t>
  </si>
  <si>
    <t>Theofanis Gekas</t>
  </si>
  <si>
    <t>https://fbref.com/en/players/244bc211/Theofanis-Gekas</t>
  </si>
  <si>
    <t>https://www.transfermarkt.com/theofanis-gekas/profil/spieler/16402</t>
  </si>
  <si>
    <t>theofanis-gekas</t>
  </si>
  <si>
    <t>23/05/1980</t>
  </si>
  <si>
    <t>Larisa</t>
  </si>
  <si>
    <t>Sivasspor</t>
  </si>
  <si>
    <t>Thiago AlcÃ¡ntara</t>
  </si>
  <si>
    <t>https://fbref.com/en/players/77e84962/Thiago-Alcantara</t>
  </si>
  <si>
    <t>Spain es Â Other:Â Italy</t>
  </si>
  <si>
    <t>https://www.transfermarkt.com/thiago-alcantara/profil/spieler/60444</t>
  </si>
  <si>
    <t>thiago-alcantara</t>
  </si>
  <si>
    <t>San Pietro Vernotico</t>
  </si>
  <si>
    <t>Thibaut Courtois</t>
  </si>
  <si>
    <t>https://fbref.com/en/players/1840e36d/Thibaut-Courtois</t>
  </si>
  <si>
    <t>Bree, Belgium</t>
  </si>
  <si>
    <t>199cm</t>
  </si>
  <si>
    <t>https://www.transfermarkt.com/thibaut-courtois/profil/spieler/108390</t>
  </si>
  <si>
    <t>thibaut-courtois</t>
  </si>
  <si>
    <t>Bree</t>
  </si>
  <si>
    <t>17/04/2009</t>
  </si>
  <si>
    <t>Thievy Bifouma</t>
  </si>
  <si>
    <t>cg CGO</t>
  </si>
  <si>
    <t>https://fbref.com/en/players/5978dc3c/Thievy-Bifouma</t>
  </si>
  <si>
    <t>May 13, 1992 (Age:Â 33-166d)</t>
  </si>
  <si>
    <t>Saint-Denis, France</t>
  </si>
  <si>
    <t>Congo cg Â Other:Â France</t>
  </si>
  <si>
    <t>Perspolis</t>
  </si>
  <si>
    <t>https://www.transfermarkt.com/thievy-bifouma/profil/spieler/181477</t>
  </si>
  <si>
    <t>thievy-bifouma</t>
  </si>
  <si>
    <t>13/05/1992</t>
  </si>
  <si>
    <t>Saint Denis</t>
  </si>
  <si>
    <t>CongoÂ Â France</t>
  </si>
  <si>
    <t>Persepolis</t>
  </si>
  <si>
    <t>13/03/2011</t>
  </si>
  <si>
    <t>Thomas Partey</t>
  </si>
  <si>
    <t>https://fbref.com/en/players/529f49ab/Thomas-Partey</t>
  </si>
  <si>
    <t>June 13, 1993 (Age:Â 32-135d)</t>
  </si>
  <si>
    <t>Odumase Krobo, Ghana</t>
  </si>
  <si>
    <t>https://www.transfermarkt.com/thomas-partey/profil/spieler/230784</t>
  </si>
  <si>
    <t>thomas-partey</t>
  </si>
  <si>
    <t>13/06/1993</t>
  </si>
  <si>
    <t>Odumase Krobo</t>
  </si>
  <si>
    <t>Thomas Vermaelen</t>
  </si>
  <si>
    <t>https://fbref.com/en/players/d0d79694/Thomas-Vermaelen</t>
  </si>
  <si>
    <t>https://www.transfermarkt.com/thomas-vermaelen/profil/spieler/15904</t>
  </si>
  <si>
    <t>thomas-vermaelen</t>
  </si>
  <si>
    <t>14/11/1985</t>
  </si>
  <si>
    <t>Kapellen</t>
  </si>
  <si>
    <t>21/01/2022</t>
  </si>
  <si>
    <t>Tiago Gomes</t>
  </si>
  <si>
    <t>https://fbref.com/en/players/bd7fd1b5/Tiago-Gomes</t>
  </si>
  <si>
    <t>Estrela</t>
  </si>
  <si>
    <t>https://www.transfermarkt.com/tiago-gomes/profil/spieler/42968</t>
  </si>
  <si>
    <t>tiago-gomes</t>
  </si>
  <si>
    <t>Melaka United SA</t>
  </si>
  <si>
    <t>Tiago Ilori</t>
  </si>
  <si>
    <t>https://fbref.com/en/players/a64b4786/Tiago-Ilori</t>
  </si>
  <si>
    <t>London, England, United Kingdom</t>
  </si>
  <si>
    <t>Portugal pt Â Other:Â England</t>
  </si>
  <si>
    <t>FC Dila Gori</t>
  </si>
  <si>
    <t>https://www.transfermarkt.com/tiago-ilori/profil/spieler/177859</t>
  </si>
  <si>
    <t>tiago-ilori</t>
  </si>
  <si>
    <t>26/02/1993</t>
  </si>
  <si>
    <t>London</t>
  </si>
  <si>
    <t>PortugalÂ Â England</t>
  </si>
  <si>
    <t>FC Dila</t>
  </si>
  <si>
    <t>20/03/2025</t>
  </si>
  <si>
    <t>Tiago Mendes</t>
  </si>
  <si>
    <t>https://fbref.com/en/players/5e0f7b89/Tiago-Mendes</t>
  </si>
  <si>
    <t>https://www.transfermarkt.com/tiago-mendes/profil/spieler/8538</t>
  </si>
  <si>
    <t>tiago-mendes</t>
  </si>
  <si>
    <t>Viana do Castelo</t>
  </si>
  <si>
    <t>Tiago Pinto</t>
  </si>
  <si>
    <t>https://fbref.com/en/players/e7bfde19/Tiago-Pinto</t>
  </si>
  <si>
    <t>Trofense</t>
  </si>
  <si>
    <t>https://www.transfermarkt.com/tiago-pinto/profil/spieler/63293</t>
  </si>
  <si>
    <t>tiago-pinto</t>
  </si>
  <si>
    <t>AnkaragÃ¼cÃ¼</t>
  </si>
  <si>
    <t>21/09/2008</t>
  </si>
  <si>
    <t>Tiberio Guarente</t>
  </si>
  <si>
    <t>https://fbref.com/en/players/f5b9b859/Tiberio-Guarente</t>
  </si>
  <si>
    <t>https://www.transfermarkt.com/tiberio-guarente/profil/spieler/28868</t>
  </si>
  <si>
    <t>tiberio-guarente</t>
  </si>
  <si>
    <t>FC Empoli</t>
  </si>
  <si>
    <t>TimothÃ©e Kolodziejczak</t>
  </si>
  <si>
    <t>https://fbref.com/en/players/ab096c6f/Timothee-Kolodziejczak</t>
  </si>
  <si>
    <t>October 1, 1991 (Age:Â 34-025d)</t>
  </si>
  <si>
    <t>Avion, France</t>
  </si>
  <si>
    <t>Paris FC</t>
  </si>
  <si>
    <t>https://www.transfermarkt.com/timothee-kolodziejczak/profil/spieler/84085</t>
  </si>
  <si>
    <t>timothee-kolodziejczak</t>
  </si>
  <si>
    <t>Avion</t>
  </si>
  <si>
    <t>FranceÂ Â Poland</t>
  </si>
  <si>
    <t>30/09/2023</t>
  </si>
  <si>
    <t>Tino Costa</t>
  </si>
  <si>
    <t>https://fbref.com/en/players/8f747a86/Tino-Costa</t>
  </si>
  <si>
    <t>Montpellier</t>
  </si>
  <si>
    <t>https://www.transfermarkt.com/tino-costa/profil/spieler/77003</t>
  </si>
  <si>
    <t>tino-costa</t>
  </si>
  <si>
    <t>Pau FC</t>
  </si>
  <si>
    <t>Tito</t>
  </si>
  <si>
    <t>https://fbref.com/en/players/7cefa219/Tito</t>
  </si>
  <si>
    <t>https://www.transfermarkt.com/tito/profil/spieler/128295</t>
  </si>
  <si>
    <t>tito</t>
  </si>
  <si>
    <t>11/07/1985 (40)</t>
  </si>
  <si>
    <t>ToÃ±o</t>
  </si>
  <si>
    <t>https://fbref.com/en/players/2ed4ea81/Tono</t>
  </si>
  <si>
    <t>https://www.transfermarkt.com/tono/profil/spieler/35536</t>
  </si>
  <si>
    <t>tono</t>
  </si>
  <si>
    <t>17/12/1979 (45)</t>
  </si>
  <si>
    <t>22/05/2005</t>
  </si>
  <si>
    <t>Toby Alderweireld</t>
  </si>
  <si>
    <t>https://fbref.com/en/players/f7d50789/Toby-Alderweireld</t>
  </si>
  <si>
    <t>https://www.transfermarkt.com/toby-alderweireld/profil/spieler/42710</t>
  </si>
  <si>
    <t>toby-alderweireld</t>
  </si>
  <si>
    <t>Wilrijk</t>
  </si>
  <si>
    <t>Royal Antwerp</t>
  </si>
  <si>
    <t>18/01/2009</t>
  </si>
  <si>
    <t>TochÃ©</t>
  </si>
  <si>
    <t>https://fbref.com/en/players/64e35e11/Toche</t>
  </si>
  <si>
    <t>https://www.transfermarkt.com/toche/profil/spieler/22586</t>
  </si>
  <si>
    <t>toche</t>
  </si>
  <si>
    <t>Santomera</t>
  </si>
  <si>
    <t>21/02/2004</t>
  </si>
  <si>
    <t>TomÃ¡Å¡ UjfaluÅ¡i</t>
  </si>
  <si>
    <t>https://fbref.com/en/players/37d34e0a/Tomas-Ujfalusi</t>
  </si>
  <si>
    <t>Hamburger SV</t>
  </si>
  <si>
    <t>https://www.transfermarkt.com/tomas-ujfalusi/profil/spieler/325</t>
  </si>
  <si>
    <t>tomas-ujfalusi</t>
  </si>
  <si>
    <t>Tomas Ujfalusi</t>
  </si>
  <si>
    <t>24/03/1978</t>
  </si>
  <si>
    <t>RÃ½maÅ™ov</t>
  </si>
  <si>
    <t>Sparta Prague</t>
  </si>
  <si>
    <t>TomÃ¡s MejÃ­as</t>
  </si>
  <si>
    <t>https://fbref.com/en/players/dc0c0fd9/Tomas-Mejias</t>
  </si>
  <si>
    <t>https://www.transfermarkt.com/tomas-mejias/profil/spieler/62947</t>
  </si>
  <si>
    <t>tomas-mejias</t>
  </si>
  <si>
    <t>30/01/1989</t>
  </si>
  <si>
    <t>TomÃ¡s Pina Isla</t>
  </si>
  <si>
    <t>https://fbref.com/en/players/e54bd0a2/Tomas-Pina-Isla</t>
  </si>
  <si>
    <t>https://www.transfermarkt.com/tomas-pina/profil/spieler/139895</t>
  </si>
  <si>
    <t>tomas-pina</t>
  </si>
  <si>
    <t>TomÃ¡s Pina</t>
  </si>
  <si>
    <t>14/10/1987</t>
  </si>
  <si>
    <t>31/01/2010</t>
  </si>
  <si>
    <t>Tomer Hemed</t>
  </si>
  <si>
    <t>https://fbref.com/en/players/27d7453c/Tomer-Hemed</t>
  </si>
  <si>
    <t>https://www.transfermarkt.com/tomer-hemed/profil/spieler/112668</t>
  </si>
  <si>
    <t>tomer-hemed</t>
  </si>
  <si>
    <t>Kiryat Tiv'on</t>
  </si>
  <si>
    <t>IsraelÂ Â Poland</t>
  </si>
  <si>
    <t>25/03/2006</t>
  </si>
  <si>
    <t>Ligat ha'Al</t>
  </si>
  <si>
    <t>Tomislav DujmoviÄ‡</t>
  </si>
  <si>
    <t>https://fbref.com/en/players/1bd0a8fe/Tomislav-Dujmovic</t>
  </si>
  <si>
    <t>Amkar Perm</t>
  </si>
  <si>
    <t>https://www.transfermarkt.com/tomislav-dujmovic/profil/spieler/27986</t>
  </si>
  <si>
    <t>tomislav-dujmovic</t>
  </si>
  <si>
    <t>Tomislav Dujmovic</t>
  </si>
  <si>
    <t>26/02/1981</t>
  </si>
  <si>
    <t>Zagreb</t>
  </si>
  <si>
    <t>Toni Doblas</t>
  </si>
  <si>
    <t>https://fbref.com/en/players/d5c35223/Toni-Doblas</t>
  </si>
  <si>
    <t>https://www.transfermarkt.com/toni-doblas/profil/spieler/7642</t>
  </si>
  <si>
    <t>toni-doblas</t>
  </si>
  <si>
    <t>Ceres-Negros FC</t>
  </si>
  <si>
    <t>Toni Dovale</t>
  </si>
  <si>
    <t>https://fbref.com/en/players/d4b9adcf/Toni-Dovale</t>
  </si>
  <si>
    <t>DF-MF (AM-WM)</t>
  </si>
  <si>
    <t>https://www.transfermarkt.com/toni-dovale/profil/spieler/119878</t>
  </si>
  <si>
    <t>toni-dovale</t>
  </si>
  <si>
    <t>Toni Kroos</t>
  </si>
  <si>
    <t>https://fbref.com/en/players/6ce1f46f/Toni-Kroos</t>
  </si>
  <si>
    <t>MF (AM-CM-DM-WM, left)</t>
  </si>
  <si>
    <t>https://www.transfermarkt.com/toni-kroos/profil/spieler/31909</t>
  </si>
  <si>
    <t>toni-kroos</t>
  </si>
  <si>
    <t>Greifswald</t>
  </si>
  <si>
    <t>Tote</t>
  </si>
  <si>
    <t>https://fbref.com/en/players/e3e74421/Tote</t>
  </si>
  <si>
    <t>https://www.transfermarkt.com/tote/profil/spieler/7535</t>
  </si>
  <si>
    <t>tote</t>
  </si>
  <si>
    <t>23/11/1978 (46)</t>
  </si>
  <si>
    <t>31/07/2012</t>
  </si>
  <si>
    <t>Tropi</t>
  </si>
  <si>
    <t>https://fbref.com/en/players/50f1ed37/Tropi</t>
  </si>
  <si>
    <t>May 12, 1995 (Age:Â 30-167d)</t>
  </si>
  <si>
    <t>Ãguilas</t>
  </si>
  <si>
    <t>https://www.transfermarkt.com/tropi/profil/spieler/320466</t>
  </si>
  <si>
    <t>tropi</t>
  </si>
  <si>
    <t>12/05/1995 (30)</t>
  </si>
  <si>
    <t>Tsepo Masilela</t>
  </si>
  <si>
    <t>za RSA</t>
  </si>
  <si>
    <t>https://fbref.com/en/players/e1812ff9/Tsepo-Masilela</t>
  </si>
  <si>
    <t>South Africa</t>
  </si>
  <si>
    <t>https://www.transfermarkt.com/tsepo-masilela/profil/spieler/63287</t>
  </si>
  <si>
    <t>tsepo-masilela</t>
  </si>
  <si>
    <t>Witbank, Mpumalanga</t>
  </si>
  <si>
    <t>AmaZulu FC</t>
  </si>
  <si>
    <t>DStv Premiership</t>
  </si>
  <si>
    <t>Txema AÃ±ibarro</t>
  </si>
  <si>
    <t>https://fbref.com/en/players/34b0ee60/Txema-Anibarro</t>
  </si>
  <si>
    <t>https://www.transfermarkt.com/txema-anibarro/profil/spieler/71601</t>
  </si>
  <si>
    <t>txema-anibarro</t>
  </si>
  <si>
    <t>26/07/1979</t>
  </si>
  <si>
    <t>Zeberio</t>
  </si>
  <si>
    <t>16/01/2015</t>
  </si>
  <si>
    <t>Uche Henry Agbo</t>
  </si>
  <si>
    <t>https://fbref.com/en/players/98554bfd/Uche-Henry-Agbo</t>
  </si>
  <si>
    <t>December 4, 1995 (Age:Â 29-326d)</t>
  </si>
  <si>
    <t>Kano, Nigeria</t>
  </si>
  <si>
    <t>FC Aktobe</t>
  </si>
  <si>
    <t>https://www.transfermarkt.com/uche-agbo/profil/spieler/262689</t>
  </si>
  <si>
    <t>uche-agbo</t>
  </si>
  <si>
    <t>Uche Agbo</t>
  </si>
  <si>
    <t>Kano City</t>
  </si>
  <si>
    <t>Aktobe</t>
  </si>
  <si>
    <t>Nigeria Professional Football League</t>
  </si>
  <si>
    <t>26/01/2020</t>
  </si>
  <si>
    <t>Unai Alba</t>
  </si>
  <si>
    <t>https://fbref.com/en/players/40e34fb7/Unai-Alba</t>
  </si>
  <si>
    <t>https://www.transfermarkt.com/unai-alba/profil/spieler/48289</t>
  </si>
  <si>
    <t>unai-alba</t>
  </si>
  <si>
    <t>19/02/1978</t>
  </si>
  <si>
    <t>Oiartzun</t>
  </si>
  <si>
    <t>Ontinyent</t>
  </si>
  <si>
    <t>13/10/2007</t>
  </si>
  <si>
    <t>Unai Albizua</t>
  </si>
  <si>
    <t>https://fbref.com/en/players/4a2e58a3/Unai-Albizua</t>
  </si>
  <si>
    <t>https://www.transfermarkt.com/unai-albizua/profil/spieler/156799</t>
  </si>
  <si>
    <t>unai-albizua</t>
  </si>
  <si>
    <t>Unai Bustinza</t>
  </si>
  <si>
    <t>https://fbref.com/en/players/f3112790/Unai-Bustinza</t>
  </si>
  <si>
    <t>https://www.transfermarkt.com/unai-bustinza/profil/spieler/156808</t>
  </si>
  <si>
    <t>unai-bustinza</t>
  </si>
  <si>
    <t>25/10/2014</t>
  </si>
  <si>
    <t>Unai GarcÃ­a</t>
  </si>
  <si>
    <t>https://fbref.com/en/players/4a633cfe/Unai-Garcia</t>
  </si>
  <si>
    <t>February 3, 1992 (Age:Â 33-265d)</t>
  </si>
  <si>
    <t>EscÃ¡roz, Spain</t>
  </si>
  <si>
    <t>Panetolikos</t>
  </si>
  <si>
    <t>https://www.transfermarkt.com/unai-garcia/profil/spieler/197122</t>
  </si>
  <si>
    <t>unai-garcia</t>
  </si>
  <si>
    <t>Esquiroz</t>
  </si>
  <si>
    <t>Unai LÃ³pez</t>
  </si>
  <si>
    <t>https://fbref.com/en/players/88050721/Unai-Lopez</t>
  </si>
  <si>
    <t>October 30, 1995 (Age:Â 29-361d)</t>
  </si>
  <si>
    <t>https://www.transfermarkt.com/unai-lopez/profil/spieler/192009</t>
  </si>
  <si>
    <t>unai-lopez</t>
  </si>
  <si>
    <t>30/10/1995</t>
  </si>
  <si>
    <t>Urko Vera</t>
  </si>
  <si>
    <t>https://fbref.com/en/players/d8cf0115/Urko-Vera</t>
  </si>
  <si>
    <t>https://www.transfermarkt.com/urko-vera/profil/spieler/92975</t>
  </si>
  <si>
    <t>urko-vera</t>
  </si>
  <si>
    <t>14/05/1987</t>
  </si>
  <si>
    <t>Ustaritz</t>
  </si>
  <si>
    <t>https://fbref.com/en/players/49f85a05/Ustaritz</t>
  </si>
  <si>
    <t>https://www.transfermarkt.com/ustaritz/profil/spieler/35554</t>
  </si>
  <si>
    <t>ustaritz</t>
  </si>
  <si>
    <t>16/02/1983</t>
  </si>
  <si>
    <t>VÃ­ctor Ãlvarez</t>
  </si>
  <si>
    <t>https://fbref.com/en/players/563f3469/Victor-Alvarez</t>
  </si>
  <si>
    <t>https://www.transfermarkt.com/victor-alvarez/profil/spieler/99355</t>
  </si>
  <si>
    <t>victor-alvarez</t>
  </si>
  <si>
    <t>14/03/1993</t>
  </si>
  <si>
    <t>20/10/2023</t>
  </si>
  <si>
    <t>VÃ­ctor Camarasa</t>
  </si>
  <si>
    <t>https://fbref.com/en/players/b2d03887/Victor-Camarasa</t>
  </si>
  <si>
    <t>May 28, 1994 (Age:Â 31-151d)</t>
  </si>
  <si>
    <t>Meliana, Spain</t>
  </si>
  <si>
    <t>Debrecen</t>
  </si>
  <si>
    <t>https://www.transfermarkt.com/victor-camarasa/profil/spieler/263856</t>
  </si>
  <si>
    <t>victor-camarasa</t>
  </si>
  <si>
    <t>28/05/1994</t>
  </si>
  <si>
    <t>Meliana</t>
  </si>
  <si>
    <t>17/02/2023</t>
  </si>
  <si>
    <t>VÃ­ctor CasadesÃºs</t>
  </si>
  <si>
    <t>https://fbref.com/en/players/73cd0a2a/Victor-Casadesus</t>
  </si>
  <si>
    <t>https://www.transfermarkt.com/victor-casadesus/profil/spieler/35540</t>
  </si>
  <si>
    <t>victor-casadesus</t>
  </si>
  <si>
    <t>28/02/1985</t>
  </si>
  <si>
    <t>Algaida</t>
  </si>
  <si>
    <t>VÃ­ctor PÃ©rez</t>
  </si>
  <si>
    <t>https://fbref.com/en/players/5918a484/Victor-Perez</t>
  </si>
  <si>
    <t>https://www.transfermarkt.com/victor-perez/profil/spieler/92813</t>
  </si>
  <si>
    <t>victor-perez</t>
  </si>
  <si>
    <t>AC Escaldes</t>
  </si>
  <si>
    <t>VÃ­ctor RodrÃ­guez</t>
  </si>
  <si>
    <t>https://fbref.com/en/players/15781606/Victor-Rodriguez</t>
  </si>
  <si>
    <t>https://www.transfermarkt.com/victor-rodriguez/profil/spieler/129753</t>
  </si>
  <si>
    <t>victor-rodriguez</t>
  </si>
  <si>
    <t>23/07/1989</t>
  </si>
  <si>
    <t>VÃ­ctor Ruiz</t>
  </si>
  <si>
    <t>https://fbref.com/en/players/b3dc6eca/Victor-Ruiz</t>
  </si>
  <si>
    <t>DF-MF (CB-DM, left)</t>
  </si>
  <si>
    <t>https://www.transfermarkt.com/victor-ruiz/profil/spieler/62920</t>
  </si>
  <si>
    <t>victor-ruiz</t>
  </si>
  <si>
    <t>25/01/1989</t>
  </si>
  <si>
    <t>Esplugues de Llobregat</t>
  </si>
  <si>
    <t>VÃ­ctor SÃ¡nchez</t>
  </si>
  <si>
    <t>https://fbref.com/en/players/ad4d0985/Victor-Sanchez</t>
  </si>
  <si>
    <t>DF-MF (CM-DM, right)</t>
  </si>
  <si>
    <t>https://www.transfermarkt.com/victor-sanchez/profil/spieler/63290</t>
  </si>
  <si>
    <t>victor-sanchez</t>
  </si>
  <si>
    <t>27/03/2022</t>
  </si>
  <si>
    <t>VÃ­ctor ValdÃ©s</t>
  </si>
  <si>
    <t>https://fbref.com/en/players/e029e404/Victor-Valdes</t>
  </si>
  <si>
    <t>https://www.transfermarkt.com/victor-valdes/profil/spieler/7589</t>
  </si>
  <si>
    <t>victor-valdes</t>
  </si>
  <si>
    <t>14/01/1982</t>
  </si>
  <si>
    <t>Lâ€™Hospitalet de Llobregat</t>
  </si>
  <si>
    <t>17/08/2017</t>
  </si>
  <si>
    <t>Vadim Demidov</t>
  </si>
  <si>
    <t>https://fbref.com/en/players/59f3b22d/Vadim-Demidov</t>
  </si>
  <si>
    <t>https://www.transfermarkt.com/vadim-demidov/profil/spieler/37247</t>
  </si>
  <si>
    <t>vadim-demidov</t>
  </si>
  <si>
    <t>Riga</t>
  </si>
  <si>
    <t>StabÃ¦k</t>
  </si>
  <si>
    <t>31/03/2008</t>
  </si>
  <si>
    <t>Valdet Rama</t>
  </si>
  <si>
    <t>al ALB</t>
  </si>
  <si>
    <t>https://fbref.com/en/players/00b159ff/Valdet-Rama</t>
  </si>
  <si>
    <t>Albania al Â Other:Â Kosovo</t>
  </si>
  <si>
    <t>Ingolstadt 04</t>
  </si>
  <si>
    <t>https://www.transfermarkt.com/valdet-rama/profil/spieler/33535</t>
  </si>
  <si>
    <t>valdet-rama</t>
  </si>
  <si>
    <t>20/11/1987</t>
  </si>
  <si>
    <t>Mitrovica</t>
  </si>
  <si>
    <t>AlbaniaÂ Â Kosovo</t>
  </si>
  <si>
    <t>SpVg Hagen 11</t>
  </si>
  <si>
    <t>17/08/2008</t>
  </si>
  <si>
    <t>Valdo</t>
  </si>
  <si>
    <t>https://fbref.com/en/players/5d34e206/Valdo</t>
  </si>
  <si>
    <t>Cape Verde cv Â Other:Â Spain</t>
  </si>
  <si>
    <t>https://www.transfermarkt.com/valdo/profil/spieler/7528</t>
  </si>
  <si>
    <t>valdo</t>
  </si>
  <si>
    <t>23/04/1981 (44)</t>
  </si>
  <si>
    <t>Villablino</t>
  </si>
  <si>
    <t>Cape VerdeÂ Â Spain</t>
  </si>
  <si>
    <t>Verza</t>
  </si>
  <si>
    <t>https://fbref.com/en/players/f972b073/Verza</t>
  </si>
  <si>
    <t>https://www.transfermarkt.com/verza/profil/spieler/26199</t>
  </si>
  <si>
    <t>verza</t>
  </si>
  <si>
    <t>29/09/1986</t>
  </si>
  <si>
    <t>Vicente Guaita</t>
  </si>
  <si>
    <t>https://fbref.com/en/players/ab13a5aa/Vicente-Guaita</t>
  </si>
  <si>
    <t>https://www.transfermarkt.com/vicente-guaita/profil/spieler/64399</t>
  </si>
  <si>
    <t>vicente-guaita</t>
  </si>
  <si>
    <t>Sells</t>
  </si>
  <si>
    <t>Vicente Iborra</t>
  </si>
  <si>
    <t>https://fbref.com/en/players/ad1ffcfd/Vicente-Iborra</t>
  </si>
  <si>
    <t>https://www.transfermarkt.com/vicente-iborra/profil/spieler/65467</t>
  </si>
  <si>
    <t>vicente-iborra</t>
  </si>
  <si>
    <t>16/01/1988</t>
  </si>
  <si>
    <t>Moncada</t>
  </si>
  <si>
    <t>Vicente RodrÃ­guez</t>
  </si>
  <si>
    <t>https://fbref.com/en/players/73b8c719/Vicente-Rodriguez</t>
  </si>
  <si>
    <t>https://www.transfermarkt.com/vicente/profil/spieler/7582</t>
  </si>
  <si>
    <t>vicente</t>
  </si>
  <si>
    <t>Vicente</t>
  </si>
  <si>
    <t>16/07/1981</t>
  </si>
  <si>
    <t>23/11/1997</t>
  </si>
  <si>
    <t>VinÃ­cius AraÃºjo</t>
  </si>
  <si>
    <t>https://fbref.com/en/players/5d6b9376/Vinicius-Araujo</t>
  </si>
  <si>
    <t>February 22, 1993 (Age:Â 32-246d)</t>
  </si>
  <si>
    <t>JoÃ£o Monlevade, Brazil</t>
  </si>
  <si>
    <t>https://www.transfermarkt.com/vinicius-araujo/profil/spieler/258374</t>
  </si>
  <si>
    <t>vinicius-araujo</t>
  </si>
  <si>
    <t>22/02/1993</t>
  </si>
  <si>
    <t>JoÃ£o Monlevade</t>
  </si>
  <si>
    <t>21/01/2017</t>
  </si>
  <si>
    <t>Vitolo</t>
  </si>
  <si>
    <t>https://fbref.com/en/players/db750822/Vitolo</t>
  </si>
  <si>
    <t>https://www.transfermarkt.com/vitolo/profil/spieler/67082</t>
  </si>
  <si>
    <t>vitolo</t>
  </si>
  <si>
    <t>21/12/2024</t>
  </si>
  <si>
    <t>Vitorino Antunes</t>
  </si>
  <si>
    <t>https://fbref.com/en/players/3e4f735d/Vitorino-Antunes</t>
  </si>
  <si>
    <t>April 1, 1987 (Age:Â 38-208d)</t>
  </si>
  <si>
    <t>PaÃ§os de Ferreira, Portugal</t>
  </si>
  <si>
    <t>https://www.transfermarkt.com/antunes/profil/spieler/44699</t>
  </si>
  <si>
    <t>antunes</t>
  </si>
  <si>
    <t>Antunes</t>
  </si>
  <si>
    <t>Freamunde</t>
  </si>
  <si>
    <t>VladimÃ­r Weiss</t>
  </si>
  <si>
    <t>sk SVK</t>
  </si>
  <si>
    <t>https://fbref.com/en/players/1e17dfc7/Vladimir-Weiss</t>
  </si>
  <si>
    <t>November 30, 1989 (Age:Â 35-330d)</t>
  </si>
  <si>
    <t>Bratislava, Slovakia</t>
  </si>
  <si>
    <t>Slovakia</t>
  </si>
  <si>
    <t>Å K Slovan Bratislava</t>
  </si>
  <si>
    <t>Manchester City</t>
  </si>
  <si>
    <t>https://www.transfermarkt.com/vladimir-weiss/profil/spieler/92701</t>
  </si>
  <si>
    <t>vladimir-weiss</t>
  </si>
  <si>
    <t>30/11/1989</t>
  </si>
  <si>
    <t>Bratislava</t>
  </si>
  <si>
    <t>Slo. Bratislava</t>
  </si>
  <si>
    <t>24/02/2020</t>
  </si>
  <si>
    <t>MONACObet liga</t>
  </si>
  <si>
    <t>Wakaso</t>
  </si>
  <si>
    <t>https://fbref.com/en/players/999908af/Wakaso</t>
  </si>
  <si>
    <t>https://www.transfermarkt.com/mubarak-wakaso/profil/spieler/45639</t>
  </si>
  <si>
    <t>mubarak-wakaso</t>
  </si>
  <si>
    <t>Mubarak Wakaso</t>
  </si>
  <si>
    <t>25/07/1990</t>
  </si>
  <si>
    <t>Tamale</t>
  </si>
  <si>
    <t>27/02/2011</t>
  </si>
  <si>
    <t>Waldo Ponce</t>
  </si>
  <si>
    <t>https://fbref.com/en/players/d10210a7/Waldo-Ponce</t>
  </si>
  <si>
    <t>https://www.transfermarkt.com/waldo-ponce/profil/spieler/8560</t>
  </si>
  <si>
    <t>waldo-ponce</t>
  </si>
  <si>
    <t>Los Andes</t>
  </si>
  <si>
    <t>U. ConcepciÃ³n</t>
  </si>
  <si>
    <t>14/04/2002</t>
  </si>
  <si>
    <t>Walter Pandiani</t>
  </si>
  <si>
    <t>https://fbref.com/en/players/11899bb1/Walter-Pandiani</t>
  </si>
  <si>
    <t>https://www.transfermarkt.com/walter-pandiani/profil/spieler/7691</t>
  </si>
  <si>
    <t>walter-pandiani</t>
  </si>
  <si>
    <t>27/04/1976</t>
  </si>
  <si>
    <t>Lausanne-Sport</t>
  </si>
  <si>
    <t>Weligton Oliveira</t>
  </si>
  <si>
    <t>https://fbref.com/en/players/ce8c6861/Weligton-Oliveira</t>
  </si>
  <si>
    <t>https://www.transfermarkt.com/weligton/profil/spieler/22550</t>
  </si>
  <si>
    <t>weligton</t>
  </si>
  <si>
    <t>Weligton</t>
  </si>
  <si>
    <t>26/08/1979</t>
  </si>
  <si>
    <t>FernandÃ³polis</t>
  </si>
  <si>
    <t>Wellington Silva</t>
  </si>
  <si>
    <t>https://fbref.com/en/players/5c60f49c/Wellington-Silva</t>
  </si>
  <si>
    <t>January 6, 1993 (Age:Â 32-293d)</t>
  </si>
  <si>
    <t>https://www.transfermarkt.com/wellington-silva/profil/spieler/121990</t>
  </si>
  <si>
    <t>wellington-silva</t>
  </si>
  <si>
    <t>Right Winger</t>
  </si>
  <si>
    <t>Qingdao Hainiu</t>
  </si>
  <si>
    <t>Campeonato Brasileiro Série A</t>
  </si>
  <si>
    <t>20/01/2012</t>
  </si>
  <si>
    <t>Welliton</t>
  </si>
  <si>
    <t>https://fbref.com/en/players/17082008/Welliton</t>
  </si>
  <si>
    <t>https://www.transfermarkt.com/welliton/profil/spieler/45593</t>
  </si>
  <si>
    <t>welliton</t>
  </si>
  <si>
    <t>22/10/1986</t>
  </si>
  <si>
    <t>ConceiÃ§Ã£o do Araguaia</t>
  </si>
  <si>
    <t>Novorizontino</t>
  </si>
  <si>
    <t>14/01/2023</t>
  </si>
  <si>
    <t>16/04/2006</t>
  </si>
  <si>
    <t>19/09/2021</t>
  </si>
  <si>
    <t>Willian JosÃ©</t>
  </si>
  <si>
    <t>https://fbref.com/en/players/d87e2cae/Willian-Jose</t>
  </si>
  <si>
    <t>Porto Calvo, Brazil</t>
  </si>
  <si>
    <t>Bahia</t>
  </si>
  <si>
    <t>https://www.transfermarkt.com/willian-jose/profil/spieler/122155</t>
  </si>
  <si>
    <t>willian-jose</t>
  </si>
  <si>
    <t>Porto Calvo</t>
  </si>
  <si>
    <t>Willy Caballero</t>
  </si>
  <si>
    <t>https://fbref.com/en/players/a179d516/Willy-Caballero</t>
  </si>
  <si>
    <t>https://www.transfermarkt.com/willy-caballero/profil/spieler/19948</t>
  </si>
  <si>
    <t>willy-caballero</t>
  </si>
  <si>
    <t>28/09/1981</t>
  </si>
  <si>
    <t>Santa Elena</t>
  </si>
  <si>
    <t>Xabi Alonso</t>
  </si>
  <si>
    <t>https://fbref.com/en/players/dc001a06/Xabi-Alonso</t>
  </si>
  <si>
    <t>https://www.transfermarkt.com/xabi-alonso/profil/spieler/7476</t>
  </si>
  <si>
    <t>xabi-alonso</t>
  </si>
  <si>
    <t>25/11/1981</t>
  </si>
  <si>
    <t>14/01/2001</t>
  </si>
  <si>
    <t>Xabi Irureta</t>
  </si>
  <si>
    <t>https://fbref.com/en/players/ad11657f/Xabi-Irureta</t>
  </si>
  <si>
    <t>https://www.transfermarkt.com/xabi-irureta/profil/spieler/89618</t>
  </si>
  <si>
    <t>xabi-irureta</t>
  </si>
  <si>
    <t>Xabi Prieto</t>
  </si>
  <si>
    <t>https://fbref.com/en/players/d054d8b0/Xabi-Prieto</t>
  </si>
  <si>
    <t>MF (AM-CM-WM, right)</t>
  </si>
  <si>
    <t>https://www.transfermarkt.com/xabi-prieto/profil/spieler/15693</t>
  </si>
  <si>
    <t>xabi-prieto</t>
  </si>
  <si>
    <t>29/08/1983</t>
  </si>
  <si>
    <t>Xabier Castillo</t>
  </si>
  <si>
    <t>https://fbref.com/en/players/638dc43b/Xabier-Castillo</t>
  </si>
  <si>
    <t>Croatia hr Â Other:Â Spain</t>
  </si>
  <si>
    <t>https://www.transfermarkt.com/xabier-castillo/profil/spieler/30097</t>
  </si>
  <si>
    <t>xabier-castillo</t>
  </si>
  <si>
    <t>29/03/1986</t>
  </si>
  <si>
    <t>Durango</t>
  </si>
  <si>
    <t>Spain and Croatia</t>
  </si>
  <si>
    <t>Xabier Etxeita</t>
  </si>
  <si>
    <t>https://fbref.com/en/players/4a895384/Xabier-Etxeita</t>
  </si>
  <si>
    <t>https://www.transfermarkt.com/xabi-etxeita/profil/spieler/71559</t>
  </si>
  <si>
    <t>xabi-etxeita</t>
  </si>
  <si>
    <t>Xabi Etxeita</t>
  </si>
  <si>
    <t>31/10/1987</t>
  </si>
  <si>
    <t>Xavi</t>
  </si>
  <si>
    <t>https://fbref.com/en/players/c1b4188c/Xavi</t>
  </si>
  <si>
    <t>https://www.transfermarkt.com/xavi/profil/spieler/7607</t>
  </si>
  <si>
    <t>xavi</t>
  </si>
  <si>
    <t>Xavi Annunziata</t>
  </si>
  <si>
    <t>https://fbref.com/en/players/e146dbda/Xavi-Annunziata</t>
  </si>
  <si>
    <t>https://www.transfermarkt.com/xavier-annunziata/profil/spieler/94910</t>
  </si>
  <si>
    <t>xavier-annunziata</t>
  </si>
  <si>
    <t>Xavier Annunziata</t>
  </si>
  <si>
    <t>31/08/1988 (37)</t>
  </si>
  <si>
    <t>Xavi Torres</t>
  </si>
  <si>
    <t>https://fbref.com/en/players/1b51ad2f/Xavi-Torres</t>
  </si>
  <si>
    <t>https://www.transfermarkt.com/xavi-torres/profil/spieler/65301</t>
  </si>
  <si>
    <t>xavi-torres</t>
  </si>
  <si>
    <t>21/11/1986</t>
  </si>
  <si>
    <t>XÃ bia</t>
  </si>
  <si>
    <t>Ximo Navarro</t>
  </si>
  <si>
    <t>https://fbref.com/en/players/8db394aa/Ximo-Navarro</t>
  </si>
  <si>
    <t>January 23, 1990 (Age:Â 35-276d)</t>
  </si>
  <si>
    <t>Guadahortuna, Spain</t>
  </si>
  <si>
    <t>https://www.transfermarkt.com/ximo-navarro/profil/spieler/184767</t>
  </si>
  <si>
    <t>ximo-navarro</t>
  </si>
  <si>
    <t>23/01/1990</t>
  </si>
  <si>
    <t>Guadahortuna</t>
  </si>
  <si>
    <t>Xisco</t>
  </si>
  <si>
    <t>https://fbref.com/en/players/d2790f7a/Xisco</t>
  </si>
  <si>
    <t>https://www.transfermarkt.com/xisco/profil/spieler/34564</t>
  </si>
  <si>
    <t>xisco</t>
  </si>
  <si>
    <t>26/06/1986 (39)</t>
  </si>
  <si>
    <t>Santa PonÃ§a</t>
  </si>
  <si>
    <t>16/04/2005</t>
  </si>
  <si>
    <t>https://fbref.com/en/players/efaaae13/Xisco</t>
  </si>
  <si>
    <t>https://www.transfermarkt.com/xisco-munoz/profil/spieler/15465</t>
  </si>
  <si>
    <t>xisco-munoz</t>
  </si>
  <si>
    <t>Xisco MuÃ±oz</t>
  </si>
  <si>
    <t>Manacor</t>
  </si>
  <si>
    <t>Xisco Nadal</t>
  </si>
  <si>
    <t>https://fbref.com/en/players/5dc11264/Xisco-Nadal</t>
  </si>
  <si>
    <t>https://www.transfermarkt.com/xisco-nadal/profil/spieler/15800</t>
  </si>
  <si>
    <t>xisco-nadal</t>
  </si>
  <si>
    <t>27/06/1986</t>
  </si>
  <si>
    <t>CD Roda</t>
  </si>
  <si>
    <t>Yacine Brahimi</t>
  </si>
  <si>
    <t>https://fbref.com/en/players/56b5d64e/Yacine-Brahimi</t>
  </si>
  <si>
    <t>February 8, 1990 (Age:Â 35-260d)</t>
  </si>
  <si>
    <t>Clermont Foot</t>
  </si>
  <si>
    <t>https://www.transfermarkt.com/yacine-brahimi/profil/spieler/60517</t>
  </si>
  <si>
    <t>yacine-brahimi</t>
  </si>
  <si>
    <t>Yoel</t>
  </si>
  <si>
    <t>https://fbref.com/en/players/61bb7498/Yoel</t>
  </si>
  <si>
    <t>August 28, 1988 (Age:Â 37-059d)</t>
  </si>
  <si>
    <t>https://www.transfermarkt.com/yoel-rodriguez/profil/spieler/58115</t>
  </si>
  <si>
    <t>yoel-rodriguez</t>
  </si>
  <si>
    <t>Yoel RodrÃ­guez</t>
  </si>
  <si>
    <t>Yohan Mollo</t>
  </si>
  <si>
    <t>https://fbref.com/en/players/74950bcc/Yohan-Mollo</t>
  </si>
  <si>
    <t>July 18, 1989 (Age:Â 36-100d)</t>
  </si>
  <si>
    <t>Martigues, France</t>
  </si>
  <si>
    <t>DF-FW-MF (AM-WM, left)</t>
  </si>
  <si>
    <t>Olympique AlÃ¨s</t>
  </si>
  <si>
    <t>https://www.transfermarkt.com/yohan-mollo/profil/spieler/60570</t>
  </si>
  <si>
    <t>yohan-mollo</t>
  </si>
  <si>
    <t>18/07/1989</t>
  </si>
  <si>
    <t>Martigues</t>
  </si>
  <si>
    <t>FranceÂ Â Italy</t>
  </si>
  <si>
    <t>Youssef El-Arabi</t>
  </si>
  <si>
    <t>https://fbref.com/en/players/c63f6e46/Youssef-El-Arabi</t>
  </si>
  <si>
    <t>February 3, 1987 (Age:Â 38-265d)</t>
  </si>
  <si>
    <t>Caen, France</t>
  </si>
  <si>
    <t>https://www.transfermarkt.com/youssef-el-arabi/profil/spieler/96533</t>
  </si>
  <si>
    <t>youssef-el-arabi</t>
  </si>
  <si>
    <t>Youssef El Arabi</t>
  </si>
  <si>
    <t>FC Nantes</t>
  </si>
  <si>
    <t>18/07/2025</t>
  </si>
  <si>
    <t>14/08/2009</t>
  </si>
  <si>
    <t>Yuri Berchiche</t>
  </si>
  <si>
    <t>https://fbref.com/en/players/b6e50615/Yuri-Berchiche</t>
  </si>
  <si>
    <t>February 10, 1990 (Age:Â 35-258d)</t>
  </si>
  <si>
    <t>Zarautz, Spain</t>
  </si>
  <si>
    <t>Cheltenham</t>
  </si>
  <si>
    <t>https://www.transfermarkt.com/yuri-berchiche/profil/spieler/61812</t>
  </si>
  <si>
    <t>yuri-berchiche</t>
  </si>
  <si>
    <t>SpainÂ Â Algeria</t>
  </si>
  <si>
    <t>Yves Desmarets</t>
  </si>
  <si>
    <t>ht HAI</t>
  </si>
  <si>
    <t>https://fbref.com/en/players/edcacfba/Yves-Desmarets</t>
  </si>
  <si>
    <t>Haiti</t>
  </si>
  <si>
    <t>https://www.transfermarkt.com/yves-desmarets/profil/spieler/40806</t>
  </si>
  <si>
    <t>yves-desmarets</t>
  </si>
  <si>
    <t>19/07/1979</t>
  </si>
  <si>
    <t>HaitiÂ Â France</t>
  </si>
  <si>
    <t>Felgueiras</t>
  </si>
  <si>
    <t>ZÃ© Castro</t>
  </si>
  <si>
    <t>https://fbref.com/en/players/ea2434db/Ze-Castro</t>
  </si>
  <si>
    <t>https://www.transfermarkt.com/ze-castro/profil/spieler/13872</t>
  </si>
  <si>
    <t>ze-castro</t>
  </si>
  <si>
    <t>13/01/1983 (42)</t>
  </si>
  <si>
    <t>Zakarya Bergdich</t>
  </si>
  <si>
    <t>https://fbref.com/en/players/833676b4/Zakarya-Bergdich</t>
  </si>
  <si>
    <t>https://www.transfermarkt.com/zakarya-bergdich/profil/spieler/149540</t>
  </si>
  <si>
    <t>zakarya-bergdich</t>
  </si>
  <si>
    <t>CompiÃ¨gne</t>
  </si>
  <si>
    <t>Erzurumspor FK</t>
  </si>
  <si>
    <t>Zubi</t>
  </si>
  <si>
    <t>https://fbref.com/en/players/fa3d45ba/Zubi</t>
  </si>
  <si>
    <t>https://www.transfermarkt.com/zubi/profil/spieler/297785</t>
  </si>
  <si>
    <t>zubi</t>
  </si>
  <si>
    <t>21/05/1993 (32)</t>
  </si>
  <si>
    <t>CÃ¡ceres</t>
  </si>
  <si>
    <t>30/10/2013</t>
  </si>
  <si>
    <t>career length calculado mich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</si>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</sst>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503F9-F8B3-4474-BE50-0070C8B8E5AA}">
  <dimension ref="A1:CB1264"/>
  <sheetViews>
    <sheetView tabSelected="1" topLeftCell="BE1" workbookViewId="0">
      <selection activeCell="BI1" sqref="BI1"/>
    </sheetView>
  </sheetViews>
  <sheetFormatPr defaultRowHeight="14.4" x14ac:dyDescent="0.3"/>
  <cols>
    <col min="25" max="25" width="23.5546875" bestFit="1" customWidth="1"/>
    <col min="26" max="68" width="8.88671875" customWidth="1"/>
    <col min="77" max="77" width="15.44140625" customWidth="1"/>
  </cols>
  <sheetData>
    <row r="1" spans="1:8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s="3" t="s">
        <v>9891</v>
      </c>
      <c r="CB1" s="3" t="s">
        <v>9892</v>
      </c>
    </row>
    <row r="2" spans="1:80" x14ac:dyDescent="0.3">
      <c r="A2" t="s">
        <v>70</v>
      </c>
      <c r="B2" t="s">
        <v>71</v>
      </c>
      <c r="C2" t="s">
        <v>72</v>
      </c>
      <c r="D2">
        <v>30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>
        <v>17</v>
      </c>
      <c r="N2" t="s">
        <v>81</v>
      </c>
      <c r="O2">
        <v>2012</v>
      </c>
      <c r="P2" t="s">
        <v>82</v>
      </c>
      <c r="Q2" t="s">
        <v>83</v>
      </c>
      <c r="R2">
        <v>214775</v>
      </c>
      <c r="S2" t="s">
        <v>70</v>
      </c>
      <c r="T2" t="s">
        <v>84</v>
      </c>
      <c r="U2">
        <v>1994</v>
      </c>
      <c r="V2" t="s">
        <v>85</v>
      </c>
      <c r="W2">
        <v>1.75</v>
      </c>
      <c r="X2" t="s">
        <v>76</v>
      </c>
      <c r="Y2" t="s">
        <v>86</v>
      </c>
      <c r="Z2" t="s">
        <v>87</v>
      </c>
      <c r="AA2" t="s">
        <v>79</v>
      </c>
      <c r="AB2" s="1">
        <v>45298</v>
      </c>
      <c r="AC2" t="s">
        <v>88</v>
      </c>
      <c r="AD2" t="s">
        <v>89</v>
      </c>
      <c r="AE2" t="s">
        <v>90</v>
      </c>
      <c r="AF2">
        <v>17</v>
      </c>
      <c r="AG2" t="s">
        <v>91</v>
      </c>
      <c r="AH2" t="s">
        <v>92</v>
      </c>
      <c r="AI2" t="s">
        <v>89</v>
      </c>
      <c r="AJ2" t="s">
        <v>92</v>
      </c>
      <c r="AK2">
        <v>17</v>
      </c>
      <c r="AL2">
        <v>8</v>
      </c>
      <c r="AM2">
        <v>254</v>
      </c>
      <c r="AN2">
        <v>42</v>
      </c>
      <c r="AO2">
        <v>6</v>
      </c>
      <c r="AP2" t="s">
        <v>93</v>
      </c>
      <c r="AQ2" t="s">
        <v>89</v>
      </c>
      <c r="AR2" t="s">
        <v>89</v>
      </c>
      <c r="AS2" t="s">
        <v>93</v>
      </c>
      <c r="AT2" t="s">
        <v>89</v>
      </c>
      <c r="AU2" t="s">
        <v>89</v>
      </c>
      <c r="AV2" t="s">
        <v>89</v>
      </c>
      <c r="AW2">
        <v>13</v>
      </c>
      <c r="AX2">
        <v>8</v>
      </c>
      <c r="AY2" t="s">
        <v>93</v>
      </c>
      <c r="AZ2">
        <v>0</v>
      </c>
      <c r="BA2">
        <v>0</v>
      </c>
      <c r="BB2">
        <v>0</v>
      </c>
      <c r="BC2">
        <v>0</v>
      </c>
      <c r="BD2">
        <v>436</v>
      </c>
      <c r="BE2">
        <v>24868</v>
      </c>
      <c r="BF2">
        <v>28</v>
      </c>
      <c r="BG2" t="s">
        <v>89</v>
      </c>
      <c r="BH2">
        <v>436</v>
      </c>
      <c r="BI2">
        <v>24868</v>
      </c>
      <c r="BJ2">
        <v>28</v>
      </c>
      <c r="BK2">
        <f>+BA2+BD2</f>
        <v>436</v>
      </c>
      <c r="BL2">
        <f t="shared" ref="BL2:BM2" si="0">+BB2+BE2</f>
        <v>24868</v>
      </c>
      <c r="BM2">
        <f t="shared" si="0"/>
        <v>28</v>
      </c>
      <c r="BN2">
        <f>+BK2-BH2</f>
        <v>0</v>
      </c>
      <c r="BO2">
        <f t="shared" ref="BO2:BP2" si="1">+BL2-BI2</f>
        <v>0</v>
      </c>
      <c r="BP2">
        <f t="shared" si="1"/>
        <v>0</v>
      </c>
      <c r="BQ2" t="s">
        <v>86</v>
      </c>
      <c r="BR2" t="s">
        <v>94</v>
      </c>
      <c r="BS2" t="s">
        <v>89</v>
      </c>
      <c r="BT2">
        <v>32</v>
      </c>
      <c r="BU2" t="s">
        <v>89</v>
      </c>
      <c r="BV2" t="s">
        <v>89</v>
      </c>
      <c r="BW2">
        <v>15</v>
      </c>
      <c r="BX2">
        <v>1994</v>
      </c>
      <c r="BY2">
        <v>13</v>
      </c>
      <c r="BZ2">
        <f>+AW2-BW2</f>
        <v>-2</v>
      </c>
      <c r="CA2">
        <f>+BW2-BY2</f>
        <v>2</v>
      </c>
      <c r="CB2" t="b">
        <f>+BW2=AW2</f>
        <v>0</v>
      </c>
    </row>
    <row r="3" spans="1:80" x14ac:dyDescent="0.3">
      <c r="A3" t="s">
        <v>95</v>
      </c>
      <c r="B3" t="s">
        <v>71</v>
      </c>
      <c r="C3" t="s">
        <v>96</v>
      </c>
      <c r="D3">
        <v>42</v>
      </c>
      <c r="E3" s="1">
        <v>30267</v>
      </c>
      <c r="F3" t="s">
        <v>89</v>
      </c>
      <c r="G3" t="s">
        <v>97</v>
      </c>
      <c r="H3" t="s">
        <v>76</v>
      </c>
      <c r="I3" t="s">
        <v>98</v>
      </c>
      <c r="J3" t="s">
        <v>89</v>
      </c>
      <c r="K3" t="s">
        <v>89</v>
      </c>
      <c r="L3" t="s">
        <v>99</v>
      </c>
      <c r="M3">
        <v>18</v>
      </c>
      <c r="N3" t="s">
        <v>100</v>
      </c>
      <c r="O3">
        <v>2001</v>
      </c>
      <c r="P3" t="s">
        <v>101</v>
      </c>
      <c r="Q3" t="s">
        <v>102</v>
      </c>
      <c r="R3">
        <v>7818</v>
      </c>
      <c r="S3" t="s">
        <v>103</v>
      </c>
      <c r="T3" t="s">
        <v>104</v>
      </c>
      <c r="U3">
        <v>1982</v>
      </c>
      <c r="V3" t="s">
        <v>105</v>
      </c>
      <c r="W3">
        <v>1.75</v>
      </c>
      <c r="X3" t="s">
        <v>76</v>
      </c>
      <c r="Y3" t="s">
        <v>106</v>
      </c>
      <c r="Z3" t="s">
        <v>87</v>
      </c>
      <c r="AA3" t="s">
        <v>107</v>
      </c>
      <c r="AB3" s="1">
        <v>42376</v>
      </c>
      <c r="AC3" t="s">
        <v>108</v>
      </c>
      <c r="AD3" t="s">
        <v>89</v>
      </c>
      <c r="AE3" s="1">
        <v>37082</v>
      </c>
      <c r="AF3">
        <v>18</v>
      </c>
      <c r="AG3" t="s">
        <v>91</v>
      </c>
      <c r="AH3" t="s">
        <v>109</v>
      </c>
      <c r="AI3">
        <v>27</v>
      </c>
      <c r="AJ3" t="s">
        <v>110</v>
      </c>
      <c r="AK3">
        <v>18</v>
      </c>
      <c r="AL3">
        <v>2</v>
      </c>
      <c r="AM3">
        <v>42</v>
      </c>
      <c r="AN3">
        <v>6</v>
      </c>
      <c r="AO3">
        <v>2</v>
      </c>
      <c r="AP3" t="s">
        <v>93</v>
      </c>
      <c r="AQ3" t="s">
        <v>89</v>
      </c>
      <c r="AR3" t="s">
        <v>89</v>
      </c>
      <c r="AS3" t="s">
        <v>111</v>
      </c>
      <c r="AT3" s="1">
        <v>42376</v>
      </c>
      <c r="AU3">
        <v>2016</v>
      </c>
      <c r="AV3">
        <v>15</v>
      </c>
      <c r="AW3">
        <v>15</v>
      </c>
      <c r="AX3" t="s">
        <v>89</v>
      </c>
      <c r="AY3" t="s">
        <v>93</v>
      </c>
      <c r="AZ3">
        <v>0</v>
      </c>
      <c r="BA3">
        <v>0</v>
      </c>
      <c r="BB3">
        <v>0</v>
      </c>
      <c r="BC3">
        <v>0</v>
      </c>
      <c r="BD3">
        <v>449</v>
      </c>
      <c r="BE3">
        <v>28425</v>
      </c>
      <c r="BF3">
        <v>87</v>
      </c>
      <c r="BG3">
        <v>34</v>
      </c>
      <c r="BH3">
        <v>449</v>
      </c>
      <c r="BI3">
        <v>28425</v>
      </c>
      <c r="BJ3">
        <v>87</v>
      </c>
      <c r="BK3">
        <f t="shared" ref="BK3:BK66" si="2">+BA3+BD3</f>
        <v>449</v>
      </c>
      <c r="BL3">
        <f t="shared" ref="BL3:BL66" si="3">+BB3+BE3</f>
        <v>28425</v>
      </c>
      <c r="BM3">
        <f t="shared" ref="BM3:BM66" si="4">+BC3+BF3</f>
        <v>87</v>
      </c>
      <c r="BN3">
        <f t="shared" ref="BN3:BN66" si="5">+BK3-BH3</f>
        <v>0</v>
      </c>
      <c r="BO3">
        <f t="shared" ref="BO3:BO66" si="6">+BL3-BI3</f>
        <v>0</v>
      </c>
      <c r="BP3">
        <f t="shared" ref="BP3:BP66" si="7">+BM3-BJ3</f>
        <v>0</v>
      </c>
      <c r="BQ3" t="s">
        <v>106</v>
      </c>
      <c r="BR3" t="s">
        <v>112</v>
      </c>
      <c r="BS3" t="s">
        <v>89</v>
      </c>
      <c r="BT3">
        <v>44</v>
      </c>
      <c r="BU3" s="1">
        <v>42376</v>
      </c>
      <c r="BV3" s="1">
        <v>42552</v>
      </c>
      <c r="BW3">
        <v>16</v>
      </c>
      <c r="BX3">
        <v>1982</v>
      </c>
      <c r="BY3">
        <v>16</v>
      </c>
      <c r="BZ3">
        <f t="shared" ref="BZ3:BZ66" si="8">+AW3-BW3</f>
        <v>-1</v>
      </c>
      <c r="CA3">
        <f t="shared" ref="CA3:CA66" si="9">+BW3-BY3</f>
        <v>0</v>
      </c>
      <c r="CB3" t="b">
        <f t="shared" ref="CB3:CB66" si="10">+BW3=AW3</f>
        <v>0</v>
      </c>
    </row>
    <row r="4" spans="1:80" x14ac:dyDescent="0.3">
      <c r="A4" t="s">
        <v>113</v>
      </c>
      <c r="B4" t="s">
        <v>71</v>
      </c>
      <c r="C4" t="s">
        <v>114</v>
      </c>
      <c r="D4">
        <v>41</v>
      </c>
      <c r="E4" s="1">
        <v>30796</v>
      </c>
      <c r="F4" t="s">
        <v>89</v>
      </c>
      <c r="G4" t="s">
        <v>115</v>
      </c>
      <c r="H4" t="s">
        <v>89</v>
      </c>
      <c r="I4" t="s">
        <v>116</v>
      </c>
      <c r="J4" t="s">
        <v>89</v>
      </c>
      <c r="K4" t="s">
        <v>89</v>
      </c>
      <c r="L4" t="s">
        <v>117</v>
      </c>
      <c r="M4">
        <v>21</v>
      </c>
      <c r="N4" t="s">
        <v>118</v>
      </c>
      <c r="O4">
        <v>2005</v>
      </c>
      <c r="P4" t="s">
        <v>119</v>
      </c>
      <c r="Q4" t="s">
        <v>120</v>
      </c>
      <c r="R4">
        <v>30802</v>
      </c>
      <c r="S4" t="s">
        <v>113</v>
      </c>
      <c r="T4" t="s">
        <v>121</v>
      </c>
      <c r="U4">
        <v>1984</v>
      </c>
      <c r="V4" t="s">
        <v>122</v>
      </c>
      <c r="W4">
        <v>1.83</v>
      </c>
      <c r="X4" t="s">
        <v>76</v>
      </c>
      <c r="Y4" t="s">
        <v>123</v>
      </c>
      <c r="Z4" t="s">
        <v>87</v>
      </c>
      <c r="AA4" t="s">
        <v>124</v>
      </c>
      <c r="AB4" s="1">
        <v>44933</v>
      </c>
      <c r="AC4" t="s">
        <v>108</v>
      </c>
      <c r="AD4" t="s">
        <v>89</v>
      </c>
      <c r="AE4" t="s">
        <v>125</v>
      </c>
      <c r="AF4">
        <v>29</v>
      </c>
      <c r="AG4" t="s">
        <v>91</v>
      </c>
      <c r="AH4" t="s">
        <v>126</v>
      </c>
      <c r="AI4">
        <v>21</v>
      </c>
      <c r="AJ4" t="s">
        <v>110</v>
      </c>
      <c r="AK4">
        <v>21</v>
      </c>
      <c r="AL4">
        <v>1</v>
      </c>
      <c r="AM4">
        <v>7</v>
      </c>
      <c r="AN4">
        <v>1</v>
      </c>
      <c r="AO4">
        <v>1</v>
      </c>
      <c r="AP4" t="s">
        <v>93</v>
      </c>
      <c r="AQ4" t="s">
        <v>89</v>
      </c>
      <c r="AR4" t="s">
        <v>89</v>
      </c>
      <c r="AS4" t="s">
        <v>93</v>
      </c>
      <c r="AT4" t="s">
        <v>89</v>
      </c>
      <c r="AU4" t="s">
        <v>89</v>
      </c>
      <c r="AV4" t="s">
        <v>89</v>
      </c>
      <c r="AW4">
        <v>20</v>
      </c>
      <c r="AX4" t="s">
        <v>89</v>
      </c>
      <c r="AY4" t="s">
        <v>93</v>
      </c>
      <c r="AZ4">
        <v>0</v>
      </c>
      <c r="BA4">
        <v>0</v>
      </c>
      <c r="BB4">
        <v>0</v>
      </c>
      <c r="BC4">
        <v>0</v>
      </c>
      <c r="BD4">
        <v>307</v>
      </c>
      <c r="BE4">
        <v>17161</v>
      </c>
      <c r="BF4">
        <v>44</v>
      </c>
      <c r="BG4" t="s">
        <v>89</v>
      </c>
      <c r="BH4">
        <v>307</v>
      </c>
      <c r="BI4">
        <v>17161</v>
      </c>
      <c r="BJ4">
        <v>44</v>
      </c>
      <c r="BK4">
        <f t="shared" si="2"/>
        <v>307</v>
      </c>
      <c r="BL4">
        <f t="shared" si="3"/>
        <v>17161</v>
      </c>
      <c r="BM4">
        <f t="shared" si="4"/>
        <v>44</v>
      </c>
      <c r="BN4">
        <f t="shared" si="5"/>
        <v>0</v>
      </c>
      <c r="BO4">
        <f t="shared" si="6"/>
        <v>0</v>
      </c>
      <c r="BP4">
        <f t="shared" si="7"/>
        <v>0</v>
      </c>
      <c r="BQ4" t="s">
        <v>123</v>
      </c>
      <c r="BR4" t="s">
        <v>112</v>
      </c>
      <c r="BS4" s="1">
        <v>30796</v>
      </c>
      <c r="BT4">
        <v>41</v>
      </c>
      <c r="BU4" t="s">
        <v>89</v>
      </c>
      <c r="BV4" t="s">
        <v>89</v>
      </c>
      <c r="BW4">
        <v>20</v>
      </c>
      <c r="BX4">
        <v>1984</v>
      </c>
      <c r="BY4">
        <v>20</v>
      </c>
      <c r="BZ4">
        <f t="shared" si="8"/>
        <v>0</v>
      </c>
      <c r="CA4">
        <f t="shared" si="9"/>
        <v>0</v>
      </c>
      <c r="CB4" t="b">
        <f t="shared" si="10"/>
        <v>1</v>
      </c>
    </row>
    <row r="5" spans="1:80" x14ac:dyDescent="0.3">
      <c r="A5" t="s">
        <v>127</v>
      </c>
      <c r="B5" t="s">
        <v>71</v>
      </c>
      <c r="C5" t="s">
        <v>128</v>
      </c>
      <c r="D5">
        <v>36</v>
      </c>
      <c r="E5" s="1">
        <v>32612</v>
      </c>
      <c r="F5" t="s">
        <v>89</v>
      </c>
      <c r="G5" t="s">
        <v>115</v>
      </c>
      <c r="H5" t="s">
        <v>76</v>
      </c>
      <c r="I5" t="s">
        <v>129</v>
      </c>
      <c r="J5" t="s">
        <v>78</v>
      </c>
      <c r="K5" t="s">
        <v>89</v>
      </c>
      <c r="L5" t="s">
        <v>130</v>
      </c>
      <c r="M5">
        <v>19</v>
      </c>
      <c r="N5" t="s">
        <v>131</v>
      </c>
      <c r="O5">
        <v>2008</v>
      </c>
      <c r="P5" t="s">
        <v>132</v>
      </c>
      <c r="Q5" t="s">
        <v>133</v>
      </c>
      <c r="R5">
        <v>96718</v>
      </c>
      <c r="S5" t="s">
        <v>127</v>
      </c>
      <c r="T5" t="s">
        <v>134</v>
      </c>
      <c r="U5">
        <v>1989</v>
      </c>
      <c r="V5" t="s">
        <v>135</v>
      </c>
      <c r="W5">
        <v>1.82</v>
      </c>
      <c r="X5" t="s">
        <v>76</v>
      </c>
      <c r="Y5" t="s">
        <v>136</v>
      </c>
      <c r="Z5" t="s">
        <v>87</v>
      </c>
      <c r="AA5" t="s">
        <v>137</v>
      </c>
      <c r="AB5" s="1">
        <v>45664</v>
      </c>
      <c r="AC5" t="s">
        <v>108</v>
      </c>
      <c r="AD5" t="s">
        <v>89</v>
      </c>
      <c r="AE5" t="s">
        <v>138</v>
      </c>
      <c r="AF5">
        <v>20</v>
      </c>
      <c r="AG5" t="s">
        <v>91</v>
      </c>
      <c r="AH5" t="s">
        <v>139</v>
      </c>
      <c r="AI5">
        <v>19</v>
      </c>
      <c r="AJ5" t="s">
        <v>110</v>
      </c>
      <c r="AK5">
        <v>19</v>
      </c>
      <c r="AL5">
        <v>25</v>
      </c>
      <c r="AM5">
        <v>668</v>
      </c>
      <c r="AN5">
        <v>91</v>
      </c>
      <c r="AO5">
        <v>10</v>
      </c>
      <c r="AP5" t="s">
        <v>93</v>
      </c>
      <c r="AQ5" t="s">
        <v>89</v>
      </c>
      <c r="AR5" t="s">
        <v>89</v>
      </c>
      <c r="AS5" t="s">
        <v>111</v>
      </c>
      <c r="AT5" s="1">
        <v>45664</v>
      </c>
      <c r="AU5">
        <v>2025</v>
      </c>
      <c r="AV5">
        <v>17</v>
      </c>
      <c r="AW5">
        <v>17</v>
      </c>
      <c r="AX5" t="s">
        <v>89</v>
      </c>
      <c r="AY5" t="s">
        <v>93</v>
      </c>
      <c r="AZ5">
        <v>0</v>
      </c>
      <c r="BA5">
        <v>0</v>
      </c>
      <c r="BB5">
        <v>0</v>
      </c>
      <c r="BC5">
        <v>0</v>
      </c>
      <c r="BD5">
        <v>557</v>
      </c>
      <c r="BE5">
        <v>41273</v>
      </c>
      <c r="BF5">
        <v>38</v>
      </c>
      <c r="BG5">
        <v>36</v>
      </c>
      <c r="BH5">
        <v>557</v>
      </c>
      <c r="BI5">
        <v>41273</v>
      </c>
      <c r="BJ5">
        <v>38</v>
      </c>
      <c r="BK5">
        <f t="shared" si="2"/>
        <v>557</v>
      </c>
      <c r="BL5">
        <f t="shared" si="3"/>
        <v>41273</v>
      </c>
      <c r="BM5">
        <f t="shared" si="4"/>
        <v>38</v>
      </c>
      <c r="BN5">
        <f t="shared" si="5"/>
        <v>0</v>
      </c>
      <c r="BO5">
        <f t="shared" si="6"/>
        <v>0</v>
      </c>
      <c r="BP5">
        <f t="shared" si="7"/>
        <v>0</v>
      </c>
      <c r="BQ5" t="s">
        <v>136</v>
      </c>
      <c r="BR5" t="s">
        <v>140</v>
      </c>
      <c r="BS5" t="s">
        <v>89</v>
      </c>
      <c r="BT5">
        <v>37</v>
      </c>
      <c r="BU5" s="1">
        <v>45664</v>
      </c>
      <c r="BV5" s="1">
        <v>45839</v>
      </c>
      <c r="BW5">
        <v>17</v>
      </c>
      <c r="BX5">
        <v>1989</v>
      </c>
      <c r="BY5">
        <v>17</v>
      </c>
      <c r="BZ5">
        <f t="shared" si="8"/>
        <v>0</v>
      </c>
      <c r="CA5">
        <f t="shared" si="9"/>
        <v>0</v>
      </c>
      <c r="CB5" t="b">
        <f t="shared" si="10"/>
        <v>1</v>
      </c>
    </row>
    <row r="6" spans="1:80" x14ac:dyDescent="0.3">
      <c r="A6" t="s">
        <v>141</v>
      </c>
      <c r="B6" t="s">
        <v>71</v>
      </c>
      <c r="C6" t="s">
        <v>142</v>
      </c>
      <c r="D6">
        <v>43</v>
      </c>
      <c r="E6" s="1">
        <v>29859</v>
      </c>
      <c r="F6" t="s">
        <v>89</v>
      </c>
      <c r="G6" t="s">
        <v>143</v>
      </c>
      <c r="H6" t="s">
        <v>89</v>
      </c>
      <c r="I6" t="s">
        <v>144</v>
      </c>
      <c r="J6" t="s">
        <v>89</v>
      </c>
      <c r="K6" t="s">
        <v>89</v>
      </c>
      <c r="L6" t="s">
        <v>145</v>
      </c>
      <c r="M6">
        <v>22</v>
      </c>
      <c r="N6" t="s">
        <v>146</v>
      </c>
      <c r="O6">
        <v>2004</v>
      </c>
      <c r="P6" t="s">
        <v>147</v>
      </c>
      <c r="Q6" t="s">
        <v>148</v>
      </c>
      <c r="R6">
        <v>26373</v>
      </c>
      <c r="S6" t="s">
        <v>141</v>
      </c>
      <c r="T6" t="s">
        <v>149</v>
      </c>
      <c r="U6">
        <v>1981</v>
      </c>
      <c r="V6" t="s">
        <v>150</v>
      </c>
      <c r="W6">
        <v>1.78</v>
      </c>
      <c r="X6" t="s">
        <v>76</v>
      </c>
      <c r="Y6" t="s">
        <v>151</v>
      </c>
      <c r="Z6" t="s">
        <v>152</v>
      </c>
      <c r="AA6" t="s">
        <v>131</v>
      </c>
      <c r="AB6" s="1">
        <v>41646</v>
      </c>
      <c r="AC6" t="s">
        <v>108</v>
      </c>
      <c r="AD6" t="s">
        <v>89</v>
      </c>
      <c r="AE6" t="s">
        <v>153</v>
      </c>
      <c r="AF6">
        <v>22</v>
      </c>
      <c r="AG6" t="s">
        <v>91</v>
      </c>
      <c r="AH6" t="s">
        <v>154</v>
      </c>
      <c r="AI6">
        <v>31</v>
      </c>
      <c r="AJ6" t="s">
        <v>110</v>
      </c>
      <c r="AK6">
        <v>22</v>
      </c>
      <c r="AL6">
        <v>2</v>
      </c>
      <c r="AM6">
        <v>396</v>
      </c>
      <c r="AN6">
        <v>44</v>
      </c>
      <c r="AO6">
        <v>2</v>
      </c>
      <c r="AP6" t="s">
        <v>93</v>
      </c>
      <c r="AQ6" t="s">
        <v>89</v>
      </c>
      <c r="AR6" t="s">
        <v>89</v>
      </c>
      <c r="AS6" t="s">
        <v>111</v>
      </c>
      <c r="AT6" s="1">
        <v>41646</v>
      </c>
      <c r="AU6">
        <v>2014</v>
      </c>
      <c r="AV6">
        <v>10</v>
      </c>
      <c r="AW6">
        <v>10</v>
      </c>
      <c r="AX6" t="s">
        <v>89</v>
      </c>
      <c r="AY6" t="s">
        <v>93</v>
      </c>
      <c r="AZ6">
        <v>0</v>
      </c>
      <c r="BA6">
        <v>0</v>
      </c>
      <c r="BB6">
        <v>0</v>
      </c>
      <c r="BC6">
        <v>0</v>
      </c>
      <c r="BD6">
        <v>235</v>
      </c>
      <c r="BE6">
        <v>15036</v>
      </c>
      <c r="BF6">
        <v>17</v>
      </c>
      <c r="BG6">
        <v>33</v>
      </c>
      <c r="BH6">
        <v>235</v>
      </c>
      <c r="BI6">
        <v>15036</v>
      </c>
      <c r="BJ6">
        <v>17</v>
      </c>
      <c r="BK6">
        <f t="shared" si="2"/>
        <v>235</v>
      </c>
      <c r="BL6">
        <f t="shared" si="3"/>
        <v>15036</v>
      </c>
      <c r="BM6">
        <f t="shared" si="4"/>
        <v>17</v>
      </c>
      <c r="BN6">
        <f t="shared" si="5"/>
        <v>0</v>
      </c>
      <c r="BO6">
        <f t="shared" si="6"/>
        <v>0</v>
      </c>
      <c r="BP6">
        <f t="shared" si="7"/>
        <v>0</v>
      </c>
      <c r="BQ6" t="s">
        <v>151</v>
      </c>
      <c r="BR6" t="s">
        <v>94</v>
      </c>
      <c r="BS6" t="s">
        <v>89</v>
      </c>
      <c r="BT6">
        <v>45</v>
      </c>
      <c r="BU6" s="1">
        <v>41646</v>
      </c>
      <c r="BV6" s="1">
        <v>41821</v>
      </c>
      <c r="BW6">
        <v>11</v>
      </c>
      <c r="BX6">
        <v>1981</v>
      </c>
      <c r="BY6">
        <v>11</v>
      </c>
      <c r="BZ6">
        <f t="shared" si="8"/>
        <v>-1</v>
      </c>
      <c r="CA6">
        <f t="shared" si="9"/>
        <v>0</v>
      </c>
      <c r="CB6" t="b">
        <f t="shared" si="10"/>
        <v>0</v>
      </c>
    </row>
    <row r="7" spans="1:80" x14ac:dyDescent="0.3">
      <c r="A7" t="s">
        <v>155</v>
      </c>
      <c r="B7" t="s">
        <v>156</v>
      </c>
      <c r="C7" t="s">
        <v>157</v>
      </c>
      <c r="D7">
        <v>37</v>
      </c>
      <c r="E7" t="s">
        <v>158</v>
      </c>
      <c r="F7" t="s">
        <v>159</v>
      </c>
      <c r="G7" t="s">
        <v>160</v>
      </c>
      <c r="H7" t="s">
        <v>89</v>
      </c>
      <c r="I7" t="s">
        <v>161</v>
      </c>
      <c r="J7" t="s">
        <v>78</v>
      </c>
      <c r="K7" t="s">
        <v>162</v>
      </c>
      <c r="L7" t="s">
        <v>163</v>
      </c>
      <c r="M7">
        <v>18</v>
      </c>
      <c r="N7" t="s">
        <v>164</v>
      </c>
      <c r="O7">
        <v>2006</v>
      </c>
      <c r="P7" t="s">
        <v>165</v>
      </c>
      <c r="Q7" t="s">
        <v>166</v>
      </c>
      <c r="R7">
        <v>30321</v>
      </c>
      <c r="S7" t="s">
        <v>155</v>
      </c>
      <c r="T7" t="s">
        <v>167</v>
      </c>
      <c r="U7">
        <v>1988</v>
      </c>
      <c r="V7" t="s">
        <v>168</v>
      </c>
      <c r="W7">
        <v>1.8</v>
      </c>
      <c r="X7" t="s">
        <v>169</v>
      </c>
      <c r="Y7" t="s">
        <v>106</v>
      </c>
      <c r="Z7" t="s">
        <v>87</v>
      </c>
      <c r="AA7" t="s">
        <v>162</v>
      </c>
      <c r="AB7" s="1">
        <v>42742</v>
      </c>
      <c r="AC7" t="s">
        <v>170</v>
      </c>
      <c r="AD7" t="s">
        <v>89</v>
      </c>
      <c r="AE7" s="1">
        <v>38418</v>
      </c>
      <c r="AF7">
        <v>17</v>
      </c>
      <c r="AG7" t="s">
        <v>171</v>
      </c>
      <c r="AH7" t="s">
        <v>138</v>
      </c>
      <c r="AI7">
        <v>21</v>
      </c>
      <c r="AJ7" t="s">
        <v>110</v>
      </c>
      <c r="AK7">
        <v>17</v>
      </c>
      <c r="AL7">
        <v>5</v>
      </c>
      <c r="AM7">
        <v>75</v>
      </c>
      <c r="AN7">
        <v>12</v>
      </c>
      <c r="AO7">
        <v>3</v>
      </c>
      <c r="AP7" t="s">
        <v>93</v>
      </c>
      <c r="AQ7" t="s">
        <v>89</v>
      </c>
      <c r="AR7" t="s">
        <v>89</v>
      </c>
      <c r="AS7" t="s">
        <v>93</v>
      </c>
      <c r="AT7" t="s">
        <v>89</v>
      </c>
      <c r="AU7" t="s">
        <v>89</v>
      </c>
      <c r="AV7" t="s">
        <v>89</v>
      </c>
      <c r="AW7">
        <v>19</v>
      </c>
      <c r="AX7">
        <v>8</v>
      </c>
      <c r="AY7" t="s">
        <v>93</v>
      </c>
      <c r="AZ7">
        <v>0</v>
      </c>
      <c r="BA7">
        <v>0</v>
      </c>
      <c r="BB7">
        <v>0</v>
      </c>
      <c r="BC7">
        <v>0</v>
      </c>
      <c r="BD7">
        <v>589</v>
      </c>
      <c r="BE7">
        <v>38157</v>
      </c>
      <c r="BF7">
        <v>70</v>
      </c>
      <c r="BG7" t="s">
        <v>89</v>
      </c>
      <c r="BH7">
        <v>589</v>
      </c>
      <c r="BI7">
        <v>38157</v>
      </c>
      <c r="BJ7">
        <v>70</v>
      </c>
      <c r="BK7">
        <f t="shared" si="2"/>
        <v>589</v>
      </c>
      <c r="BL7">
        <f t="shared" si="3"/>
        <v>38157</v>
      </c>
      <c r="BM7">
        <f t="shared" si="4"/>
        <v>70</v>
      </c>
      <c r="BN7">
        <f t="shared" si="5"/>
        <v>0</v>
      </c>
      <c r="BO7">
        <f t="shared" si="6"/>
        <v>0</v>
      </c>
      <c r="BP7">
        <f t="shared" si="7"/>
        <v>0</v>
      </c>
      <c r="BQ7" t="s">
        <v>106</v>
      </c>
      <c r="BR7" t="s">
        <v>112</v>
      </c>
      <c r="BS7" t="s">
        <v>89</v>
      </c>
      <c r="BT7">
        <v>38</v>
      </c>
      <c r="BU7" t="s">
        <v>89</v>
      </c>
      <c r="BV7" t="s">
        <v>89</v>
      </c>
      <c r="BW7">
        <v>21</v>
      </c>
      <c r="BX7">
        <v>1988</v>
      </c>
      <c r="BY7">
        <v>20</v>
      </c>
      <c r="BZ7">
        <f t="shared" si="8"/>
        <v>-2</v>
      </c>
      <c r="CA7">
        <f t="shared" si="9"/>
        <v>1</v>
      </c>
      <c r="CB7" t="b">
        <f t="shared" si="10"/>
        <v>0</v>
      </c>
    </row>
    <row r="8" spans="1:80" x14ac:dyDescent="0.3">
      <c r="A8" t="s">
        <v>172</v>
      </c>
      <c r="B8" t="s">
        <v>156</v>
      </c>
      <c r="C8" t="s">
        <v>173</v>
      </c>
      <c r="D8">
        <v>39</v>
      </c>
      <c r="E8" t="s">
        <v>174</v>
      </c>
      <c r="F8" t="s">
        <v>175</v>
      </c>
      <c r="G8" t="s">
        <v>176</v>
      </c>
      <c r="H8" t="s">
        <v>177</v>
      </c>
      <c r="I8" t="s">
        <v>178</v>
      </c>
      <c r="J8" t="s">
        <v>78</v>
      </c>
      <c r="K8" t="s">
        <v>179</v>
      </c>
      <c r="L8" t="s">
        <v>180</v>
      </c>
      <c r="M8">
        <v>21</v>
      </c>
      <c r="N8" t="s">
        <v>181</v>
      </c>
      <c r="O8">
        <v>2007</v>
      </c>
      <c r="P8" t="s">
        <v>182</v>
      </c>
      <c r="Q8" t="s">
        <v>183</v>
      </c>
      <c r="R8">
        <v>3755</v>
      </c>
      <c r="S8" t="s">
        <v>172</v>
      </c>
      <c r="T8" t="s">
        <v>184</v>
      </c>
      <c r="U8">
        <v>1986</v>
      </c>
      <c r="V8" t="s">
        <v>185</v>
      </c>
      <c r="W8">
        <v>1.83</v>
      </c>
      <c r="X8" t="s">
        <v>169</v>
      </c>
      <c r="Y8" t="s">
        <v>186</v>
      </c>
      <c r="Z8" t="s">
        <v>87</v>
      </c>
      <c r="AA8" t="s">
        <v>187</v>
      </c>
      <c r="AB8" s="1">
        <v>45544</v>
      </c>
      <c r="AC8" t="s">
        <v>188</v>
      </c>
      <c r="AD8" t="s">
        <v>89</v>
      </c>
      <c r="AE8" s="1">
        <v>2005</v>
      </c>
      <c r="AF8">
        <v>19</v>
      </c>
      <c r="AG8" t="s">
        <v>189</v>
      </c>
      <c r="AH8" t="s">
        <v>89</v>
      </c>
      <c r="AI8" t="s">
        <v>89</v>
      </c>
      <c r="AJ8" t="s">
        <v>89</v>
      </c>
      <c r="AK8">
        <v>19</v>
      </c>
      <c r="AL8">
        <v>8</v>
      </c>
      <c r="AM8">
        <v>840</v>
      </c>
      <c r="AN8">
        <v>131</v>
      </c>
      <c r="AO8">
        <v>7</v>
      </c>
      <c r="AP8" t="s">
        <v>93</v>
      </c>
      <c r="AQ8" t="s">
        <v>89</v>
      </c>
      <c r="AR8" t="s">
        <v>89</v>
      </c>
      <c r="AS8" t="s">
        <v>93</v>
      </c>
      <c r="AT8" t="s">
        <v>89</v>
      </c>
      <c r="AU8" t="s">
        <v>89</v>
      </c>
      <c r="AV8" t="s">
        <v>89</v>
      </c>
      <c r="AW8">
        <v>18</v>
      </c>
      <c r="AX8">
        <v>19</v>
      </c>
      <c r="AY8" t="s">
        <v>93</v>
      </c>
      <c r="AZ8">
        <v>0</v>
      </c>
      <c r="BA8">
        <v>0</v>
      </c>
      <c r="BB8">
        <v>0</v>
      </c>
      <c r="BC8">
        <v>0</v>
      </c>
      <c r="BD8">
        <v>304</v>
      </c>
      <c r="BE8">
        <v>26753</v>
      </c>
      <c r="BF8">
        <v>0</v>
      </c>
      <c r="BG8" t="s">
        <v>89</v>
      </c>
      <c r="BH8">
        <v>304</v>
      </c>
      <c r="BI8">
        <v>26753</v>
      </c>
      <c r="BJ8">
        <v>0</v>
      </c>
      <c r="BK8">
        <f t="shared" si="2"/>
        <v>304</v>
      </c>
      <c r="BL8">
        <f t="shared" si="3"/>
        <v>26753</v>
      </c>
      <c r="BM8">
        <f t="shared" si="4"/>
        <v>0</v>
      </c>
      <c r="BN8">
        <f t="shared" si="5"/>
        <v>0</v>
      </c>
      <c r="BO8">
        <f t="shared" si="6"/>
        <v>0</v>
      </c>
      <c r="BP8">
        <f t="shared" si="7"/>
        <v>0</v>
      </c>
      <c r="BQ8" t="s">
        <v>186</v>
      </c>
      <c r="BR8" t="s">
        <v>186</v>
      </c>
      <c r="BS8" t="s">
        <v>89</v>
      </c>
      <c r="BT8">
        <v>40</v>
      </c>
      <c r="BU8" t="s">
        <v>89</v>
      </c>
      <c r="BV8" t="s">
        <v>89</v>
      </c>
      <c r="BW8">
        <v>21</v>
      </c>
      <c r="BX8">
        <v>1986</v>
      </c>
      <c r="BY8">
        <v>20</v>
      </c>
      <c r="BZ8">
        <f t="shared" si="8"/>
        <v>-3</v>
      </c>
      <c r="CA8">
        <f t="shared" si="9"/>
        <v>1</v>
      </c>
      <c r="CB8" t="b">
        <f t="shared" si="10"/>
        <v>0</v>
      </c>
    </row>
    <row r="9" spans="1:80" x14ac:dyDescent="0.3">
      <c r="A9" t="s">
        <v>190</v>
      </c>
      <c r="B9" t="s">
        <v>191</v>
      </c>
      <c r="C9" t="s">
        <v>192</v>
      </c>
      <c r="D9">
        <v>45</v>
      </c>
      <c r="E9">
        <v>29109</v>
      </c>
      <c r="F9" t="s">
        <v>89</v>
      </c>
      <c r="G9" t="s">
        <v>193</v>
      </c>
      <c r="H9" t="s">
        <v>194</v>
      </c>
      <c r="I9" t="s">
        <v>195</v>
      </c>
      <c r="J9" t="s">
        <v>78</v>
      </c>
      <c r="K9" t="s">
        <v>89</v>
      </c>
      <c r="L9" t="s">
        <v>196</v>
      </c>
      <c r="M9">
        <v>20</v>
      </c>
      <c r="N9" t="s">
        <v>197</v>
      </c>
      <c r="O9">
        <v>2000</v>
      </c>
      <c r="P9" t="s">
        <v>198</v>
      </c>
      <c r="Q9" t="s">
        <v>199</v>
      </c>
      <c r="R9">
        <v>5283</v>
      </c>
      <c r="S9" t="s">
        <v>190</v>
      </c>
      <c r="T9" t="s">
        <v>200</v>
      </c>
      <c r="U9">
        <v>1979</v>
      </c>
      <c r="V9" t="s">
        <v>201</v>
      </c>
      <c r="W9">
        <v>1.86</v>
      </c>
      <c r="X9" t="s">
        <v>202</v>
      </c>
      <c r="Y9" t="s">
        <v>203</v>
      </c>
      <c r="Z9" t="s">
        <v>152</v>
      </c>
      <c r="AA9" t="s">
        <v>204</v>
      </c>
      <c r="AB9">
        <v>42005</v>
      </c>
      <c r="AC9" t="s">
        <v>108</v>
      </c>
      <c r="AD9" t="s">
        <v>89</v>
      </c>
      <c r="AE9" t="s">
        <v>205</v>
      </c>
      <c r="AF9">
        <v>21</v>
      </c>
      <c r="AG9" t="s">
        <v>206</v>
      </c>
      <c r="AH9" t="s">
        <v>92</v>
      </c>
      <c r="AI9" t="s">
        <v>89</v>
      </c>
      <c r="AJ9" t="s">
        <v>92</v>
      </c>
      <c r="AK9">
        <v>21</v>
      </c>
      <c r="AL9">
        <v>10</v>
      </c>
      <c r="AM9">
        <v>583</v>
      </c>
      <c r="AN9">
        <v>125</v>
      </c>
      <c r="AO9">
        <v>7</v>
      </c>
      <c r="AP9" t="s">
        <v>93</v>
      </c>
      <c r="AQ9" t="s">
        <v>89</v>
      </c>
      <c r="AR9" t="s">
        <v>89</v>
      </c>
      <c r="AS9" t="s">
        <v>111</v>
      </c>
      <c r="AT9">
        <v>42005</v>
      </c>
      <c r="AU9">
        <v>2015</v>
      </c>
      <c r="AV9">
        <v>15</v>
      </c>
      <c r="AW9">
        <v>15</v>
      </c>
      <c r="AX9" t="s">
        <v>89</v>
      </c>
      <c r="AY9" t="s">
        <v>111</v>
      </c>
      <c r="AZ9">
        <v>8</v>
      </c>
      <c r="BA9">
        <v>34</v>
      </c>
      <c r="BB9">
        <v>3009</v>
      </c>
      <c r="BC9">
        <v>0</v>
      </c>
      <c r="BD9">
        <v>381</v>
      </c>
      <c r="BE9">
        <v>31478</v>
      </c>
      <c r="BF9">
        <v>0</v>
      </c>
      <c r="BG9">
        <v>36</v>
      </c>
      <c r="BH9">
        <v>415</v>
      </c>
      <c r="BI9">
        <v>34487</v>
      </c>
      <c r="BJ9">
        <v>0</v>
      </c>
      <c r="BK9">
        <f t="shared" si="2"/>
        <v>415</v>
      </c>
      <c r="BL9">
        <f t="shared" si="3"/>
        <v>34487</v>
      </c>
      <c r="BM9">
        <f t="shared" si="4"/>
        <v>0</v>
      </c>
      <c r="BN9">
        <f t="shared" si="5"/>
        <v>0</v>
      </c>
      <c r="BO9">
        <f t="shared" si="6"/>
        <v>0</v>
      </c>
      <c r="BP9">
        <f t="shared" si="7"/>
        <v>0</v>
      </c>
      <c r="BQ9" t="s">
        <v>203</v>
      </c>
      <c r="BR9" t="s">
        <v>140</v>
      </c>
      <c r="BS9" t="s">
        <v>89</v>
      </c>
      <c r="BT9">
        <v>47</v>
      </c>
      <c r="BU9">
        <v>42005</v>
      </c>
      <c r="BV9" t="s">
        <v>89</v>
      </c>
      <c r="BW9">
        <v>15</v>
      </c>
      <c r="BX9">
        <v>1979</v>
      </c>
      <c r="BY9">
        <v>15</v>
      </c>
      <c r="BZ9">
        <f t="shared" si="8"/>
        <v>0</v>
      </c>
      <c r="CA9">
        <f t="shared" si="9"/>
        <v>0</v>
      </c>
      <c r="CB9" t="b">
        <f t="shared" si="10"/>
        <v>1</v>
      </c>
    </row>
    <row r="10" spans="1:80" x14ac:dyDescent="0.3">
      <c r="A10" t="s">
        <v>207</v>
      </c>
      <c r="B10" t="s">
        <v>156</v>
      </c>
      <c r="C10" t="s">
        <v>208</v>
      </c>
      <c r="D10">
        <v>37</v>
      </c>
      <c r="E10" t="s">
        <v>209</v>
      </c>
      <c r="F10" t="s">
        <v>210</v>
      </c>
      <c r="G10" t="s">
        <v>211</v>
      </c>
      <c r="H10" t="s">
        <v>177</v>
      </c>
      <c r="I10" t="s">
        <v>212</v>
      </c>
      <c r="J10" t="s">
        <v>78</v>
      </c>
      <c r="K10" t="s">
        <v>213</v>
      </c>
      <c r="L10" t="s">
        <v>180</v>
      </c>
      <c r="M10">
        <v>19</v>
      </c>
      <c r="N10" t="s">
        <v>214</v>
      </c>
      <c r="O10">
        <v>2007</v>
      </c>
      <c r="P10" t="s">
        <v>215</v>
      </c>
      <c r="Q10" t="s">
        <v>216</v>
      </c>
      <c r="R10">
        <v>12249</v>
      </c>
      <c r="S10" t="s">
        <v>207</v>
      </c>
      <c r="T10" t="s">
        <v>217</v>
      </c>
      <c r="U10">
        <v>1988</v>
      </c>
      <c r="V10" t="s">
        <v>218</v>
      </c>
      <c r="W10">
        <v>1.74</v>
      </c>
      <c r="X10" t="s">
        <v>219</v>
      </c>
      <c r="Y10" t="s">
        <v>86</v>
      </c>
      <c r="Z10" t="s">
        <v>87</v>
      </c>
      <c r="AA10" t="s">
        <v>220</v>
      </c>
      <c r="AB10" t="s">
        <v>221</v>
      </c>
      <c r="AC10" t="s">
        <v>222</v>
      </c>
      <c r="AD10" t="s">
        <v>223</v>
      </c>
      <c r="AE10">
        <v>39210</v>
      </c>
      <c r="AF10">
        <v>19</v>
      </c>
      <c r="AG10" t="s">
        <v>189</v>
      </c>
      <c r="AH10" t="s">
        <v>92</v>
      </c>
      <c r="AI10" t="s">
        <v>89</v>
      </c>
      <c r="AJ10" t="s">
        <v>92</v>
      </c>
      <c r="AK10">
        <v>19</v>
      </c>
      <c r="AL10">
        <v>9</v>
      </c>
      <c r="AM10">
        <v>350</v>
      </c>
      <c r="AN10">
        <v>67</v>
      </c>
      <c r="AO10">
        <v>6</v>
      </c>
      <c r="AP10" t="s">
        <v>93</v>
      </c>
      <c r="AQ10" t="s">
        <v>89</v>
      </c>
      <c r="AR10" t="s">
        <v>89</v>
      </c>
      <c r="AS10" t="s">
        <v>93</v>
      </c>
      <c r="AT10" t="s">
        <v>89</v>
      </c>
      <c r="AU10" t="s">
        <v>89</v>
      </c>
      <c r="AV10" t="s">
        <v>89</v>
      </c>
      <c r="AW10">
        <v>18</v>
      </c>
      <c r="AX10">
        <v>5</v>
      </c>
      <c r="AY10" t="s">
        <v>111</v>
      </c>
      <c r="AZ10">
        <v>8</v>
      </c>
      <c r="BA10">
        <v>37</v>
      </c>
      <c r="BB10">
        <v>2203</v>
      </c>
      <c r="BC10">
        <v>4</v>
      </c>
      <c r="BD10">
        <v>599</v>
      </c>
      <c r="BE10">
        <v>43408</v>
      </c>
      <c r="BF10">
        <v>66</v>
      </c>
      <c r="BG10" t="s">
        <v>89</v>
      </c>
      <c r="BH10">
        <v>636</v>
      </c>
      <c r="BI10">
        <v>45611</v>
      </c>
      <c r="BJ10">
        <v>70</v>
      </c>
      <c r="BK10">
        <f t="shared" si="2"/>
        <v>636</v>
      </c>
      <c r="BL10">
        <f t="shared" si="3"/>
        <v>45611</v>
      </c>
      <c r="BM10">
        <f t="shared" si="4"/>
        <v>70</v>
      </c>
      <c r="BN10">
        <f t="shared" si="5"/>
        <v>0</v>
      </c>
      <c r="BO10">
        <f t="shared" si="6"/>
        <v>0</v>
      </c>
      <c r="BP10">
        <f t="shared" si="7"/>
        <v>0</v>
      </c>
      <c r="BQ10" t="s">
        <v>86</v>
      </c>
      <c r="BR10" t="s">
        <v>94</v>
      </c>
      <c r="BS10" t="s">
        <v>89</v>
      </c>
      <c r="BT10">
        <v>38</v>
      </c>
      <c r="BU10" t="s">
        <v>89</v>
      </c>
      <c r="BV10" t="s">
        <v>89</v>
      </c>
      <c r="BW10">
        <v>19</v>
      </c>
      <c r="BX10">
        <v>1988</v>
      </c>
      <c r="BY10">
        <v>18</v>
      </c>
      <c r="BZ10">
        <f t="shared" si="8"/>
        <v>-1</v>
      </c>
      <c r="CA10">
        <f t="shared" si="9"/>
        <v>1</v>
      </c>
      <c r="CB10" t="b">
        <f t="shared" si="10"/>
        <v>0</v>
      </c>
    </row>
    <row r="11" spans="1:80" x14ac:dyDescent="0.3">
      <c r="A11" t="s">
        <v>224</v>
      </c>
      <c r="B11" t="s">
        <v>71</v>
      </c>
      <c r="C11" t="s">
        <v>225</v>
      </c>
      <c r="D11">
        <v>43</v>
      </c>
      <c r="E11">
        <v>30155</v>
      </c>
      <c r="F11" t="s">
        <v>89</v>
      </c>
      <c r="G11" t="s">
        <v>226</v>
      </c>
      <c r="H11" t="s">
        <v>89</v>
      </c>
      <c r="I11" t="s">
        <v>227</v>
      </c>
      <c r="J11" t="s">
        <v>78</v>
      </c>
      <c r="K11" t="s">
        <v>89</v>
      </c>
      <c r="L11" t="s">
        <v>228</v>
      </c>
      <c r="M11">
        <v>28</v>
      </c>
      <c r="N11" t="s">
        <v>229</v>
      </c>
      <c r="O11">
        <v>2010</v>
      </c>
      <c r="P11" t="s">
        <v>230</v>
      </c>
      <c r="Q11" t="s">
        <v>231</v>
      </c>
      <c r="R11">
        <v>75238</v>
      </c>
      <c r="S11" t="s">
        <v>232</v>
      </c>
      <c r="T11" t="s">
        <v>233</v>
      </c>
      <c r="U11">
        <v>1982</v>
      </c>
      <c r="V11" t="s">
        <v>234</v>
      </c>
      <c r="W11">
        <v>1.85</v>
      </c>
      <c r="X11" t="s">
        <v>76</v>
      </c>
      <c r="Y11" t="s">
        <v>235</v>
      </c>
      <c r="Z11" t="s">
        <v>87</v>
      </c>
      <c r="AA11" t="s">
        <v>236</v>
      </c>
      <c r="AB11">
        <v>44197</v>
      </c>
      <c r="AC11" t="s">
        <v>108</v>
      </c>
      <c r="AD11" t="s">
        <v>89</v>
      </c>
      <c r="AE11" s="1">
        <v>40553</v>
      </c>
      <c r="AF11">
        <v>29</v>
      </c>
      <c r="AG11" t="s">
        <v>91</v>
      </c>
      <c r="AH11" t="s">
        <v>237</v>
      </c>
      <c r="AI11">
        <v>28</v>
      </c>
      <c r="AJ11" t="s">
        <v>110</v>
      </c>
      <c r="AK11">
        <v>28</v>
      </c>
      <c r="AL11" t="s">
        <v>89</v>
      </c>
      <c r="AM11" t="s">
        <v>89</v>
      </c>
      <c r="AN11" t="s">
        <v>89</v>
      </c>
      <c r="AO11">
        <v>0</v>
      </c>
      <c r="AP11" t="s">
        <v>93</v>
      </c>
      <c r="AQ11" t="s">
        <v>89</v>
      </c>
      <c r="AR11" t="s">
        <v>89</v>
      </c>
      <c r="AS11" t="s">
        <v>111</v>
      </c>
      <c r="AT11">
        <v>44197</v>
      </c>
      <c r="AU11">
        <v>2021</v>
      </c>
      <c r="AV11">
        <v>11</v>
      </c>
      <c r="AW11">
        <v>11</v>
      </c>
      <c r="AX11" t="s">
        <v>89</v>
      </c>
      <c r="AY11" t="s">
        <v>93</v>
      </c>
      <c r="AZ11">
        <v>0</v>
      </c>
      <c r="BA11">
        <v>0</v>
      </c>
      <c r="BB11">
        <v>0</v>
      </c>
      <c r="BC11">
        <v>0</v>
      </c>
      <c r="BD11">
        <v>196</v>
      </c>
      <c r="BE11">
        <v>16402</v>
      </c>
      <c r="BF11">
        <v>12</v>
      </c>
      <c r="BG11">
        <v>39</v>
      </c>
      <c r="BH11">
        <v>196</v>
      </c>
      <c r="BI11">
        <v>16402</v>
      </c>
      <c r="BJ11">
        <v>12</v>
      </c>
      <c r="BK11">
        <f t="shared" si="2"/>
        <v>196</v>
      </c>
      <c r="BL11">
        <f t="shared" si="3"/>
        <v>16402</v>
      </c>
      <c r="BM11">
        <f t="shared" si="4"/>
        <v>12</v>
      </c>
      <c r="BN11">
        <f t="shared" si="5"/>
        <v>0</v>
      </c>
      <c r="BO11">
        <f t="shared" si="6"/>
        <v>0</v>
      </c>
      <c r="BP11">
        <f t="shared" si="7"/>
        <v>0</v>
      </c>
      <c r="BQ11" t="s">
        <v>235</v>
      </c>
      <c r="BR11" t="s">
        <v>140</v>
      </c>
      <c r="BS11" s="1">
        <v>30155</v>
      </c>
      <c r="BT11">
        <v>43</v>
      </c>
      <c r="BU11">
        <v>44197</v>
      </c>
      <c r="BV11" t="s">
        <v>89</v>
      </c>
      <c r="BW11">
        <v>11</v>
      </c>
      <c r="BX11">
        <v>1982</v>
      </c>
      <c r="BY11">
        <v>11</v>
      </c>
      <c r="BZ11">
        <f t="shared" si="8"/>
        <v>0</v>
      </c>
      <c r="CA11">
        <f t="shared" si="9"/>
        <v>0</v>
      </c>
      <c r="CB11" t="b">
        <f t="shared" si="10"/>
        <v>1</v>
      </c>
    </row>
    <row r="12" spans="1:80" x14ac:dyDescent="0.3">
      <c r="A12" t="s">
        <v>238</v>
      </c>
      <c r="B12" t="s">
        <v>239</v>
      </c>
      <c r="C12" t="s">
        <v>240</v>
      </c>
      <c r="D12">
        <v>37</v>
      </c>
      <c r="E12" s="1">
        <v>32306</v>
      </c>
      <c r="F12" t="s">
        <v>89</v>
      </c>
      <c r="G12" t="s">
        <v>241</v>
      </c>
      <c r="H12" t="s">
        <v>242</v>
      </c>
      <c r="I12" t="s">
        <v>243</v>
      </c>
      <c r="J12" t="s">
        <v>78</v>
      </c>
      <c r="K12" t="s">
        <v>89</v>
      </c>
      <c r="L12" t="s">
        <v>163</v>
      </c>
      <c r="M12">
        <v>18</v>
      </c>
      <c r="N12" t="s">
        <v>244</v>
      </c>
      <c r="O12">
        <v>2006</v>
      </c>
      <c r="P12" t="s">
        <v>245</v>
      </c>
      <c r="Q12" t="s">
        <v>246</v>
      </c>
      <c r="R12">
        <v>63209</v>
      </c>
      <c r="S12" t="s">
        <v>238</v>
      </c>
      <c r="T12">
        <v>32483</v>
      </c>
      <c r="U12">
        <v>1988</v>
      </c>
      <c r="V12" t="s">
        <v>247</v>
      </c>
      <c r="W12">
        <v>1.9</v>
      </c>
      <c r="X12" t="s">
        <v>242</v>
      </c>
      <c r="Y12" t="s">
        <v>235</v>
      </c>
      <c r="Z12" t="s">
        <v>87</v>
      </c>
      <c r="AA12" t="s">
        <v>244</v>
      </c>
      <c r="AB12" s="1">
        <v>44203</v>
      </c>
      <c r="AC12" t="s">
        <v>108</v>
      </c>
      <c r="AD12" t="s">
        <v>223</v>
      </c>
      <c r="AE12" t="s">
        <v>248</v>
      </c>
      <c r="AF12">
        <v>18</v>
      </c>
      <c r="AG12" t="s">
        <v>249</v>
      </c>
      <c r="AH12">
        <v>42796</v>
      </c>
      <c r="AI12">
        <v>28</v>
      </c>
      <c r="AJ12" t="s">
        <v>250</v>
      </c>
      <c r="AK12">
        <v>18</v>
      </c>
      <c r="AL12">
        <v>8</v>
      </c>
      <c r="AM12">
        <v>162</v>
      </c>
      <c r="AN12">
        <v>25</v>
      </c>
      <c r="AO12">
        <v>4</v>
      </c>
      <c r="AP12" t="s">
        <v>93</v>
      </c>
      <c r="AQ12" t="s">
        <v>89</v>
      </c>
      <c r="AR12" t="s">
        <v>89</v>
      </c>
      <c r="AS12" t="s">
        <v>111</v>
      </c>
      <c r="AT12" s="1">
        <v>44203</v>
      </c>
      <c r="AU12">
        <v>2021</v>
      </c>
      <c r="AV12">
        <v>15</v>
      </c>
      <c r="AW12">
        <v>15</v>
      </c>
      <c r="AX12" t="s">
        <v>89</v>
      </c>
      <c r="AY12" t="s">
        <v>111</v>
      </c>
      <c r="AZ12">
        <v>7</v>
      </c>
      <c r="BA12">
        <v>20</v>
      </c>
      <c r="BB12">
        <v>979</v>
      </c>
      <c r="BC12">
        <v>0</v>
      </c>
      <c r="BD12">
        <v>242</v>
      </c>
      <c r="BE12">
        <v>17508</v>
      </c>
      <c r="BF12">
        <v>6</v>
      </c>
      <c r="BG12">
        <v>33</v>
      </c>
      <c r="BH12">
        <v>262</v>
      </c>
      <c r="BI12">
        <v>18487</v>
      </c>
      <c r="BJ12">
        <v>6</v>
      </c>
      <c r="BK12">
        <f t="shared" si="2"/>
        <v>262</v>
      </c>
      <c r="BL12">
        <f t="shared" si="3"/>
        <v>18487</v>
      </c>
      <c r="BM12">
        <f t="shared" si="4"/>
        <v>6</v>
      </c>
      <c r="BN12">
        <f t="shared" si="5"/>
        <v>0</v>
      </c>
      <c r="BO12">
        <f t="shared" si="6"/>
        <v>0</v>
      </c>
      <c r="BP12">
        <f t="shared" si="7"/>
        <v>0</v>
      </c>
      <c r="BQ12" t="s">
        <v>235</v>
      </c>
      <c r="BR12" t="s">
        <v>140</v>
      </c>
      <c r="BS12" t="s">
        <v>89</v>
      </c>
      <c r="BT12">
        <v>38</v>
      </c>
      <c r="BU12" s="1">
        <v>44203</v>
      </c>
      <c r="BV12" s="1">
        <v>44378</v>
      </c>
      <c r="BW12">
        <v>15</v>
      </c>
      <c r="BX12">
        <v>1988</v>
      </c>
      <c r="BY12">
        <v>15</v>
      </c>
      <c r="BZ12">
        <f t="shared" si="8"/>
        <v>0</v>
      </c>
      <c r="CA12">
        <f t="shared" si="9"/>
        <v>0</v>
      </c>
      <c r="CB12" t="b">
        <f t="shared" si="10"/>
        <v>1</v>
      </c>
    </row>
    <row r="13" spans="1:80" x14ac:dyDescent="0.3">
      <c r="A13" t="s">
        <v>251</v>
      </c>
      <c r="B13" t="s">
        <v>71</v>
      </c>
      <c r="C13" t="s">
        <v>252</v>
      </c>
      <c r="D13">
        <v>40</v>
      </c>
      <c r="E13" s="1">
        <v>31205</v>
      </c>
      <c r="F13" t="s">
        <v>89</v>
      </c>
      <c r="G13" t="s">
        <v>160</v>
      </c>
      <c r="H13" t="s">
        <v>89</v>
      </c>
      <c r="I13" t="s">
        <v>253</v>
      </c>
      <c r="J13" t="s">
        <v>78</v>
      </c>
      <c r="K13" t="s">
        <v>89</v>
      </c>
      <c r="L13" t="s">
        <v>254</v>
      </c>
      <c r="M13">
        <v>24</v>
      </c>
      <c r="N13" t="s">
        <v>255</v>
      </c>
      <c r="O13">
        <v>2009</v>
      </c>
      <c r="P13" t="s">
        <v>256</v>
      </c>
      <c r="Q13" t="s">
        <v>257</v>
      </c>
      <c r="R13">
        <v>72189</v>
      </c>
      <c r="S13" t="s">
        <v>251</v>
      </c>
      <c r="T13" s="1">
        <v>31234</v>
      </c>
      <c r="U13">
        <v>1985</v>
      </c>
      <c r="V13" t="s">
        <v>258</v>
      </c>
      <c r="W13">
        <v>1.76</v>
      </c>
      <c r="X13" t="s">
        <v>76</v>
      </c>
      <c r="Y13" t="s">
        <v>259</v>
      </c>
      <c r="Z13" t="s">
        <v>87</v>
      </c>
      <c r="AA13" t="s">
        <v>260</v>
      </c>
      <c r="AB13" s="1">
        <v>44933</v>
      </c>
      <c r="AC13" t="s">
        <v>108</v>
      </c>
      <c r="AD13" t="s">
        <v>89</v>
      </c>
      <c r="AE13" t="s">
        <v>138</v>
      </c>
      <c r="AF13">
        <v>24</v>
      </c>
      <c r="AG13" t="s">
        <v>91</v>
      </c>
      <c r="AH13" t="s">
        <v>261</v>
      </c>
      <c r="AI13">
        <v>23</v>
      </c>
      <c r="AJ13" t="s">
        <v>110</v>
      </c>
      <c r="AK13">
        <v>23</v>
      </c>
      <c r="AL13">
        <v>2</v>
      </c>
      <c r="AM13">
        <v>28</v>
      </c>
      <c r="AN13">
        <v>4</v>
      </c>
      <c r="AO13">
        <v>2</v>
      </c>
      <c r="AP13" t="s">
        <v>93</v>
      </c>
      <c r="AQ13" t="s">
        <v>89</v>
      </c>
      <c r="AR13" t="s">
        <v>89</v>
      </c>
      <c r="AS13" t="s">
        <v>111</v>
      </c>
      <c r="AT13" s="1">
        <v>44933</v>
      </c>
      <c r="AU13">
        <v>2023</v>
      </c>
      <c r="AV13">
        <v>14</v>
      </c>
      <c r="AW13">
        <v>14</v>
      </c>
      <c r="AX13" t="s">
        <v>89</v>
      </c>
      <c r="AY13" t="s">
        <v>93</v>
      </c>
      <c r="AZ13">
        <v>0</v>
      </c>
      <c r="BA13">
        <v>0</v>
      </c>
      <c r="BB13">
        <v>0</v>
      </c>
      <c r="BC13">
        <v>0</v>
      </c>
      <c r="BD13">
        <v>316</v>
      </c>
      <c r="BE13">
        <v>25278</v>
      </c>
      <c r="BF13">
        <v>10</v>
      </c>
      <c r="BG13">
        <v>38</v>
      </c>
      <c r="BH13">
        <v>316</v>
      </c>
      <c r="BI13">
        <v>25278</v>
      </c>
      <c r="BJ13">
        <v>10</v>
      </c>
      <c r="BK13">
        <f t="shared" si="2"/>
        <v>316</v>
      </c>
      <c r="BL13">
        <f t="shared" si="3"/>
        <v>25278</v>
      </c>
      <c r="BM13">
        <f t="shared" si="4"/>
        <v>10</v>
      </c>
      <c r="BN13">
        <f t="shared" si="5"/>
        <v>0</v>
      </c>
      <c r="BO13">
        <f t="shared" si="6"/>
        <v>0</v>
      </c>
      <c r="BP13">
        <f t="shared" si="7"/>
        <v>0</v>
      </c>
      <c r="BQ13" t="s">
        <v>259</v>
      </c>
      <c r="BR13" t="s">
        <v>94</v>
      </c>
      <c r="BS13" s="1">
        <v>31205</v>
      </c>
      <c r="BT13">
        <v>40</v>
      </c>
      <c r="BU13" s="1">
        <v>44933</v>
      </c>
      <c r="BV13" s="1">
        <v>45108</v>
      </c>
      <c r="BW13">
        <v>15</v>
      </c>
      <c r="BX13">
        <v>1985</v>
      </c>
      <c r="BY13">
        <v>15</v>
      </c>
      <c r="BZ13">
        <f t="shared" si="8"/>
        <v>-1</v>
      </c>
      <c r="CA13">
        <f t="shared" si="9"/>
        <v>0</v>
      </c>
      <c r="CB13" t="b">
        <f t="shared" si="10"/>
        <v>0</v>
      </c>
    </row>
    <row r="14" spans="1:80" x14ac:dyDescent="0.3">
      <c r="A14" t="s">
        <v>262</v>
      </c>
      <c r="B14" t="s">
        <v>71</v>
      </c>
      <c r="C14" t="s">
        <v>263</v>
      </c>
      <c r="D14">
        <v>32</v>
      </c>
      <c r="E14" t="s">
        <v>264</v>
      </c>
      <c r="F14" t="s">
        <v>265</v>
      </c>
      <c r="G14" t="s">
        <v>115</v>
      </c>
      <c r="H14" t="s">
        <v>76</v>
      </c>
      <c r="I14" t="s">
        <v>266</v>
      </c>
      <c r="J14" t="s">
        <v>78</v>
      </c>
      <c r="K14" t="s">
        <v>267</v>
      </c>
      <c r="L14" t="s">
        <v>228</v>
      </c>
      <c r="M14">
        <v>17</v>
      </c>
      <c r="N14" t="s">
        <v>268</v>
      </c>
      <c r="O14">
        <v>2010</v>
      </c>
      <c r="P14" t="s">
        <v>269</v>
      </c>
      <c r="Q14" t="s">
        <v>270</v>
      </c>
      <c r="R14">
        <v>89733</v>
      </c>
      <c r="S14" t="s">
        <v>262</v>
      </c>
      <c r="T14" t="s">
        <v>271</v>
      </c>
      <c r="U14">
        <v>1992</v>
      </c>
      <c r="V14" t="s">
        <v>272</v>
      </c>
      <c r="W14">
        <v>1.83</v>
      </c>
      <c r="X14" t="s">
        <v>76</v>
      </c>
      <c r="Y14" t="s">
        <v>86</v>
      </c>
      <c r="Z14" t="s">
        <v>87</v>
      </c>
      <c r="AA14" t="s">
        <v>273</v>
      </c>
      <c r="AB14" s="1">
        <v>42924</v>
      </c>
      <c r="AC14" t="s">
        <v>170</v>
      </c>
      <c r="AD14" t="s">
        <v>89</v>
      </c>
      <c r="AE14">
        <v>40697</v>
      </c>
      <c r="AF14">
        <v>18</v>
      </c>
      <c r="AG14" t="s">
        <v>91</v>
      </c>
      <c r="AH14" t="s">
        <v>274</v>
      </c>
      <c r="AI14">
        <v>19</v>
      </c>
      <c r="AJ14" t="s">
        <v>110</v>
      </c>
      <c r="AK14">
        <v>18</v>
      </c>
      <c r="AL14" t="s">
        <v>89</v>
      </c>
      <c r="AM14" t="s">
        <v>89</v>
      </c>
      <c r="AN14" t="s">
        <v>89</v>
      </c>
      <c r="AO14">
        <v>0</v>
      </c>
      <c r="AP14" t="s">
        <v>93</v>
      </c>
      <c r="AQ14" t="s">
        <v>89</v>
      </c>
      <c r="AR14" t="s">
        <v>89</v>
      </c>
      <c r="AS14" t="s">
        <v>93</v>
      </c>
      <c r="AT14" t="s">
        <v>89</v>
      </c>
      <c r="AU14" t="s">
        <v>89</v>
      </c>
      <c r="AV14" t="s">
        <v>89</v>
      </c>
      <c r="AW14">
        <v>15</v>
      </c>
      <c r="AX14">
        <v>8</v>
      </c>
      <c r="AY14" t="s">
        <v>93</v>
      </c>
      <c r="AZ14">
        <v>0</v>
      </c>
      <c r="BA14">
        <v>0</v>
      </c>
      <c r="BB14">
        <v>0</v>
      </c>
      <c r="BC14">
        <v>0</v>
      </c>
      <c r="BD14">
        <v>259</v>
      </c>
      <c r="BE14">
        <v>19918</v>
      </c>
      <c r="BF14">
        <v>9</v>
      </c>
      <c r="BG14" t="s">
        <v>89</v>
      </c>
      <c r="BH14">
        <v>259</v>
      </c>
      <c r="BI14">
        <v>19918</v>
      </c>
      <c r="BJ14">
        <v>9</v>
      </c>
      <c r="BK14">
        <f t="shared" si="2"/>
        <v>259</v>
      </c>
      <c r="BL14">
        <f t="shared" si="3"/>
        <v>19918</v>
      </c>
      <c r="BM14">
        <f t="shared" si="4"/>
        <v>9</v>
      </c>
      <c r="BN14">
        <f t="shared" si="5"/>
        <v>0</v>
      </c>
      <c r="BO14">
        <f t="shared" si="6"/>
        <v>0</v>
      </c>
      <c r="BP14">
        <f t="shared" si="7"/>
        <v>0</v>
      </c>
      <c r="BQ14" t="s">
        <v>86</v>
      </c>
      <c r="BR14" t="s">
        <v>94</v>
      </c>
      <c r="BS14" s="1">
        <v>33892</v>
      </c>
      <c r="BT14">
        <v>33</v>
      </c>
      <c r="BU14" t="s">
        <v>89</v>
      </c>
      <c r="BV14" t="s">
        <v>89</v>
      </c>
      <c r="BW14">
        <v>15</v>
      </c>
      <c r="BX14">
        <v>1992</v>
      </c>
      <c r="BY14">
        <v>14</v>
      </c>
      <c r="BZ14">
        <f t="shared" si="8"/>
        <v>0</v>
      </c>
      <c r="CA14">
        <f t="shared" si="9"/>
        <v>1</v>
      </c>
      <c r="CB14" t="b">
        <f t="shared" si="10"/>
        <v>1</v>
      </c>
    </row>
    <row r="15" spans="1:80" x14ac:dyDescent="0.3">
      <c r="A15" t="s">
        <v>275</v>
      </c>
      <c r="B15" t="s">
        <v>71</v>
      </c>
      <c r="C15" t="s">
        <v>276</v>
      </c>
      <c r="D15">
        <v>36</v>
      </c>
      <c r="E15" s="1">
        <v>32665</v>
      </c>
      <c r="F15" t="s">
        <v>89</v>
      </c>
      <c r="G15" t="s">
        <v>277</v>
      </c>
      <c r="H15" t="s">
        <v>89</v>
      </c>
      <c r="I15" t="s">
        <v>243</v>
      </c>
      <c r="J15" t="s">
        <v>78</v>
      </c>
      <c r="K15" t="s">
        <v>89</v>
      </c>
      <c r="L15" t="s">
        <v>278</v>
      </c>
      <c r="M15">
        <v>22</v>
      </c>
      <c r="N15" t="s">
        <v>279</v>
      </c>
      <c r="O15">
        <v>2011</v>
      </c>
      <c r="P15" t="s">
        <v>280</v>
      </c>
      <c r="Q15" t="s">
        <v>281</v>
      </c>
      <c r="R15">
        <v>128488</v>
      </c>
      <c r="S15" t="s">
        <v>282</v>
      </c>
      <c r="T15" t="s">
        <v>283</v>
      </c>
      <c r="U15">
        <v>1989</v>
      </c>
      <c r="V15" t="s">
        <v>229</v>
      </c>
      <c r="W15">
        <v>1.9</v>
      </c>
      <c r="X15" t="s">
        <v>76</v>
      </c>
      <c r="Y15" t="s">
        <v>235</v>
      </c>
      <c r="Z15" t="s">
        <v>87</v>
      </c>
      <c r="AA15" t="s">
        <v>284</v>
      </c>
      <c r="AB15" s="1">
        <v>45664</v>
      </c>
      <c r="AC15" t="s">
        <v>170</v>
      </c>
      <c r="AD15" t="s">
        <v>89</v>
      </c>
      <c r="AE15" t="s">
        <v>285</v>
      </c>
      <c r="AF15">
        <v>22</v>
      </c>
      <c r="AG15" t="s">
        <v>91</v>
      </c>
      <c r="AH15">
        <v>44479</v>
      </c>
      <c r="AI15">
        <v>32</v>
      </c>
      <c r="AJ15" t="s">
        <v>110</v>
      </c>
      <c r="AK15">
        <v>22</v>
      </c>
      <c r="AL15">
        <v>13</v>
      </c>
      <c r="AM15">
        <v>243</v>
      </c>
      <c r="AN15">
        <v>27</v>
      </c>
      <c r="AO15">
        <v>6</v>
      </c>
      <c r="AP15" t="s">
        <v>93</v>
      </c>
      <c r="AQ15" t="s">
        <v>89</v>
      </c>
      <c r="AR15" t="s">
        <v>89</v>
      </c>
      <c r="AS15" t="s">
        <v>93</v>
      </c>
      <c r="AT15" t="s">
        <v>89</v>
      </c>
      <c r="AU15" t="s">
        <v>89</v>
      </c>
      <c r="AV15" t="s">
        <v>89</v>
      </c>
      <c r="AW15">
        <v>14</v>
      </c>
      <c r="AX15" t="s">
        <v>89</v>
      </c>
      <c r="AY15" t="s">
        <v>93</v>
      </c>
      <c r="AZ15">
        <v>0</v>
      </c>
      <c r="BA15">
        <v>0</v>
      </c>
      <c r="BB15">
        <v>0</v>
      </c>
      <c r="BC15">
        <v>0</v>
      </c>
      <c r="BD15">
        <v>201</v>
      </c>
      <c r="BE15">
        <v>15222</v>
      </c>
      <c r="BF15">
        <v>8</v>
      </c>
      <c r="BG15" t="s">
        <v>89</v>
      </c>
      <c r="BH15">
        <v>201</v>
      </c>
      <c r="BI15">
        <v>15222</v>
      </c>
      <c r="BJ15">
        <v>8</v>
      </c>
      <c r="BK15">
        <f t="shared" si="2"/>
        <v>201</v>
      </c>
      <c r="BL15">
        <f t="shared" si="3"/>
        <v>15222</v>
      </c>
      <c r="BM15">
        <f t="shared" si="4"/>
        <v>8</v>
      </c>
      <c r="BN15">
        <f t="shared" si="5"/>
        <v>0</v>
      </c>
      <c r="BO15">
        <f t="shared" si="6"/>
        <v>0</v>
      </c>
      <c r="BP15">
        <f t="shared" si="7"/>
        <v>0</v>
      </c>
      <c r="BQ15" t="s">
        <v>235</v>
      </c>
      <c r="BR15" t="s">
        <v>140</v>
      </c>
      <c r="BS15" t="s">
        <v>89</v>
      </c>
      <c r="BT15">
        <v>37</v>
      </c>
      <c r="BU15" t="s">
        <v>89</v>
      </c>
      <c r="BV15" t="s">
        <v>89</v>
      </c>
      <c r="BW15">
        <v>15</v>
      </c>
      <c r="BX15">
        <v>1989</v>
      </c>
      <c r="BY15">
        <v>14</v>
      </c>
      <c r="BZ15">
        <f t="shared" si="8"/>
        <v>-1</v>
      </c>
      <c r="CA15">
        <f t="shared" si="9"/>
        <v>1</v>
      </c>
      <c r="CB15" t="b">
        <f t="shared" si="10"/>
        <v>0</v>
      </c>
    </row>
    <row r="16" spans="1:80" x14ac:dyDescent="0.3">
      <c r="A16" t="s">
        <v>286</v>
      </c>
      <c r="B16" t="s">
        <v>71</v>
      </c>
      <c r="C16" t="s">
        <v>287</v>
      </c>
      <c r="D16">
        <v>37</v>
      </c>
      <c r="E16">
        <v>32153</v>
      </c>
      <c r="F16" t="s">
        <v>89</v>
      </c>
      <c r="G16" t="s">
        <v>143</v>
      </c>
      <c r="H16" t="s">
        <v>76</v>
      </c>
      <c r="I16" t="s">
        <v>288</v>
      </c>
      <c r="J16" t="s">
        <v>78</v>
      </c>
      <c r="K16" t="s">
        <v>89</v>
      </c>
      <c r="L16" t="s">
        <v>254</v>
      </c>
      <c r="M16">
        <v>21</v>
      </c>
      <c r="N16" t="s">
        <v>289</v>
      </c>
      <c r="O16">
        <v>2009</v>
      </c>
      <c r="P16" t="s">
        <v>290</v>
      </c>
      <c r="Q16" t="s">
        <v>291</v>
      </c>
      <c r="R16">
        <v>127457</v>
      </c>
      <c r="S16" t="s">
        <v>286</v>
      </c>
      <c r="T16">
        <v>32448</v>
      </c>
      <c r="U16">
        <v>1988</v>
      </c>
      <c r="V16" t="s">
        <v>292</v>
      </c>
      <c r="W16">
        <v>1.78</v>
      </c>
      <c r="X16" t="s">
        <v>76</v>
      </c>
      <c r="Y16" t="s">
        <v>86</v>
      </c>
      <c r="Z16" t="s">
        <v>87</v>
      </c>
      <c r="AA16" t="s">
        <v>293</v>
      </c>
      <c r="AB16" s="1">
        <v>45718</v>
      </c>
      <c r="AC16" t="s">
        <v>108</v>
      </c>
      <c r="AD16" t="s">
        <v>89</v>
      </c>
      <c r="AE16" t="s">
        <v>294</v>
      </c>
      <c r="AF16">
        <v>24</v>
      </c>
      <c r="AG16" t="s">
        <v>91</v>
      </c>
      <c r="AH16" t="s">
        <v>295</v>
      </c>
      <c r="AI16">
        <v>17</v>
      </c>
      <c r="AJ16" t="s">
        <v>110</v>
      </c>
      <c r="AK16">
        <v>17</v>
      </c>
      <c r="AL16">
        <v>1</v>
      </c>
      <c r="AM16">
        <v>197</v>
      </c>
      <c r="AN16">
        <v>27</v>
      </c>
      <c r="AO16">
        <v>1</v>
      </c>
      <c r="AP16" t="s">
        <v>93</v>
      </c>
      <c r="AQ16" t="s">
        <v>89</v>
      </c>
      <c r="AR16" t="s">
        <v>89</v>
      </c>
      <c r="AS16" t="s">
        <v>111</v>
      </c>
      <c r="AT16">
        <v>45718</v>
      </c>
      <c r="AU16">
        <v>2025</v>
      </c>
      <c r="AV16">
        <v>16</v>
      </c>
      <c r="AW16">
        <v>16</v>
      </c>
      <c r="AX16" t="s">
        <v>89</v>
      </c>
      <c r="AY16" t="s">
        <v>93</v>
      </c>
      <c r="AZ16">
        <v>0</v>
      </c>
      <c r="BA16">
        <v>0</v>
      </c>
      <c r="BB16">
        <v>0</v>
      </c>
      <c r="BC16">
        <v>0</v>
      </c>
      <c r="BD16">
        <v>312</v>
      </c>
      <c r="BE16">
        <v>20074</v>
      </c>
      <c r="BF16">
        <v>24</v>
      </c>
      <c r="BG16">
        <v>37</v>
      </c>
      <c r="BH16">
        <v>312</v>
      </c>
      <c r="BI16">
        <v>20074</v>
      </c>
      <c r="BJ16">
        <v>24</v>
      </c>
      <c r="BK16">
        <f t="shared" si="2"/>
        <v>312</v>
      </c>
      <c r="BL16">
        <f t="shared" si="3"/>
        <v>20074</v>
      </c>
      <c r="BM16">
        <f t="shared" si="4"/>
        <v>24</v>
      </c>
      <c r="BN16">
        <f t="shared" si="5"/>
        <v>0</v>
      </c>
      <c r="BO16">
        <f t="shared" si="6"/>
        <v>0</v>
      </c>
      <c r="BP16">
        <f t="shared" si="7"/>
        <v>0</v>
      </c>
      <c r="BQ16" t="s">
        <v>86</v>
      </c>
      <c r="BR16" t="s">
        <v>94</v>
      </c>
      <c r="BS16" t="s">
        <v>89</v>
      </c>
      <c r="BT16">
        <v>38</v>
      </c>
      <c r="BU16">
        <v>45718</v>
      </c>
      <c r="BV16" t="s">
        <v>89</v>
      </c>
      <c r="BW16">
        <v>20</v>
      </c>
      <c r="BX16">
        <v>1988</v>
      </c>
      <c r="BY16">
        <v>20</v>
      </c>
      <c r="BZ16">
        <f t="shared" si="8"/>
        <v>-4</v>
      </c>
      <c r="CA16">
        <f t="shared" si="9"/>
        <v>0</v>
      </c>
      <c r="CB16" t="b">
        <f t="shared" si="10"/>
        <v>0</v>
      </c>
    </row>
    <row r="17" spans="1:80" x14ac:dyDescent="0.3">
      <c r="A17" t="s">
        <v>296</v>
      </c>
      <c r="B17" t="s">
        <v>71</v>
      </c>
      <c r="C17" t="s">
        <v>297</v>
      </c>
      <c r="D17">
        <v>34</v>
      </c>
      <c r="E17" s="1">
        <v>33097</v>
      </c>
      <c r="F17" t="s">
        <v>89</v>
      </c>
      <c r="G17" t="s">
        <v>298</v>
      </c>
      <c r="H17" t="s">
        <v>89</v>
      </c>
      <c r="I17" t="s">
        <v>299</v>
      </c>
      <c r="J17" t="s">
        <v>300</v>
      </c>
      <c r="K17" t="s">
        <v>89</v>
      </c>
      <c r="L17" t="s">
        <v>228</v>
      </c>
      <c r="M17">
        <v>19</v>
      </c>
      <c r="N17" t="s">
        <v>301</v>
      </c>
      <c r="O17">
        <v>2010</v>
      </c>
      <c r="P17" t="s">
        <v>302</v>
      </c>
      <c r="Q17" t="s">
        <v>303</v>
      </c>
      <c r="R17">
        <v>186891</v>
      </c>
      <c r="S17" t="s">
        <v>296</v>
      </c>
      <c r="T17">
        <v>33215</v>
      </c>
      <c r="U17">
        <v>1990</v>
      </c>
      <c r="V17" t="s">
        <v>304</v>
      </c>
      <c r="W17">
        <v>1.76</v>
      </c>
      <c r="X17" t="s">
        <v>76</v>
      </c>
      <c r="Y17" t="s">
        <v>203</v>
      </c>
      <c r="Z17" t="s">
        <v>152</v>
      </c>
      <c r="AA17" t="s">
        <v>305</v>
      </c>
      <c r="AB17" s="1">
        <v>45664</v>
      </c>
      <c r="AC17" t="s">
        <v>170</v>
      </c>
      <c r="AD17" t="s">
        <v>89</v>
      </c>
      <c r="AE17" t="s">
        <v>306</v>
      </c>
      <c r="AF17">
        <v>21</v>
      </c>
      <c r="AG17" t="s">
        <v>91</v>
      </c>
      <c r="AH17" s="1">
        <v>40852</v>
      </c>
      <c r="AI17">
        <v>20</v>
      </c>
      <c r="AJ17" t="s">
        <v>110</v>
      </c>
      <c r="AK17">
        <v>20</v>
      </c>
      <c r="AL17">
        <v>5</v>
      </c>
      <c r="AM17">
        <v>515</v>
      </c>
      <c r="AN17">
        <v>64</v>
      </c>
      <c r="AO17">
        <v>3</v>
      </c>
      <c r="AP17" t="s">
        <v>93</v>
      </c>
      <c r="AQ17" t="s">
        <v>89</v>
      </c>
      <c r="AR17" t="s">
        <v>89</v>
      </c>
      <c r="AS17" t="s">
        <v>93</v>
      </c>
      <c r="AT17" t="s">
        <v>89</v>
      </c>
      <c r="AU17" t="s">
        <v>89</v>
      </c>
      <c r="AV17" t="s">
        <v>89</v>
      </c>
      <c r="AW17">
        <v>15</v>
      </c>
      <c r="AX17">
        <v>3</v>
      </c>
      <c r="AY17" t="s">
        <v>93</v>
      </c>
      <c r="AZ17">
        <v>0</v>
      </c>
      <c r="BA17">
        <v>0</v>
      </c>
      <c r="BB17">
        <v>0</v>
      </c>
      <c r="BC17">
        <v>0</v>
      </c>
      <c r="BD17">
        <v>181</v>
      </c>
      <c r="BE17">
        <v>14776</v>
      </c>
      <c r="BF17">
        <v>7</v>
      </c>
      <c r="BG17" t="s">
        <v>89</v>
      </c>
      <c r="BH17">
        <v>181</v>
      </c>
      <c r="BI17">
        <v>14776</v>
      </c>
      <c r="BJ17">
        <v>7</v>
      </c>
      <c r="BK17">
        <f t="shared" si="2"/>
        <v>181</v>
      </c>
      <c r="BL17">
        <f t="shared" si="3"/>
        <v>14776</v>
      </c>
      <c r="BM17">
        <f t="shared" si="4"/>
        <v>7</v>
      </c>
      <c r="BN17">
        <f t="shared" si="5"/>
        <v>0</v>
      </c>
      <c r="BO17">
        <f t="shared" si="6"/>
        <v>0</v>
      </c>
      <c r="BP17">
        <f t="shared" si="7"/>
        <v>0</v>
      </c>
      <c r="BQ17" t="s">
        <v>203</v>
      </c>
      <c r="BR17" t="s">
        <v>140</v>
      </c>
      <c r="BS17" t="s">
        <v>89</v>
      </c>
      <c r="BT17">
        <v>36</v>
      </c>
      <c r="BU17" t="s">
        <v>89</v>
      </c>
      <c r="BV17" t="s">
        <v>89</v>
      </c>
      <c r="BW17">
        <v>16</v>
      </c>
      <c r="BX17">
        <v>1990</v>
      </c>
      <c r="BY17">
        <v>14</v>
      </c>
      <c r="BZ17">
        <f t="shared" si="8"/>
        <v>-1</v>
      </c>
      <c r="CA17">
        <f t="shared" si="9"/>
        <v>2</v>
      </c>
      <c r="CB17" t="b">
        <f t="shared" si="10"/>
        <v>0</v>
      </c>
    </row>
    <row r="18" spans="1:80" x14ac:dyDescent="0.3">
      <c r="A18" t="s">
        <v>307</v>
      </c>
      <c r="B18" t="s">
        <v>71</v>
      </c>
      <c r="C18" t="s">
        <v>308</v>
      </c>
      <c r="D18">
        <v>34</v>
      </c>
      <c r="E18" t="s">
        <v>309</v>
      </c>
      <c r="F18" t="s">
        <v>310</v>
      </c>
      <c r="G18" t="s">
        <v>97</v>
      </c>
      <c r="H18" t="s">
        <v>89</v>
      </c>
      <c r="I18" t="s">
        <v>195</v>
      </c>
      <c r="J18" t="s">
        <v>300</v>
      </c>
      <c r="K18" t="s">
        <v>311</v>
      </c>
      <c r="L18" t="s">
        <v>278</v>
      </c>
      <c r="M18">
        <v>20</v>
      </c>
      <c r="N18" t="s">
        <v>279</v>
      </c>
      <c r="O18">
        <v>2011</v>
      </c>
      <c r="P18" t="s">
        <v>312</v>
      </c>
      <c r="Q18" t="s">
        <v>313</v>
      </c>
      <c r="R18">
        <v>175921</v>
      </c>
      <c r="S18" t="s">
        <v>307</v>
      </c>
      <c r="T18" t="s">
        <v>314</v>
      </c>
      <c r="U18">
        <v>1991</v>
      </c>
      <c r="V18" t="s">
        <v>315</v>
      </c>
      <c r="W18">
        <v>1.81</v>
      </c>
      <c r="X18" t="s">
        <v>76</v>
      </c>
      <c r="Y18" t="s">
        <v>203</v>
      </c>
      <c r="Z18" t="s">
        <v>152</v>
      </c>
      <c r="AA18" t="s">
        <v>311</v>
      </c>
      <c r="AB18" s="1">
        <v>45633</v>
      </c>
      <c r="AC18" t="s">
        <v>170</v>
      </c>
      <c r="AD18" t="s">
        <v>89</v>
      </c>
      <c r="AE18">
        <v>40913</v>
      </c>
      <c r="AF18">
        <v>20</v>
      </c>
      <c r="AG18" t="s">
        <v>91</v>
      </c>
      <c r="AH18" t="s">
        <v>316</v>
      </c>
      <c r="AI18">
        <v>21</v>
      </c>
      <c r="AJ18" t="s">
        <v>110</v>
      </c>
      <c r="AK18">
        <v>20</v>
      </c>
      <c r="AL18">
        <v>3</v>
      </c>
      <c r="AM18">
        <v>129</v>
      </c>
      <c r="AN18">
        <v>9</v>
      </c>
      <c r="AO18">
        <v>3</v>
      </c>
      <c r="AP18" t="s">
        <v>93</v>
      </c>
      <c r="AQ18" t="s">
        <v>89</v>
      </c>
      <c r="AR18" t="s">
        <v>89</v>
      </c>
      <c r="AS18" t="s">
        <v>93</v>
      </c>
      <c r="AT18" t="s">
        <v>89</v>
      </c>
      <c r="AU18" t="s">
        <v>89</v>
      </c>
      <c r="AV18" t="s">
        <v>89</v>
      </c>
      <c r="AW18">
        <v>14</v>
      </c>
      <c r="AX18">
        <v>3</v>
      </c>
      <c r="AY18" t="s">
        <v>93</v>
      </c>
      <c r="AZ18">
        <v>0</v>
      </c>
      <c r="BA18">
        <v>0</v>
      </c>
      <c r="BB18">
        <v>0</v>
      </c>
      <c r="BC18">
        <v>0</v>
      </c>
      <c r="BD18">
        <v>117</v>
      </c>
      <c r="BE18">
        <v>8950</v>
      </c>
      <c r="BF18">
        <v>2</v>
      </c>
      <c r="BG18" t="s">
        <v>89</v>
      </c>
      <c r="BH18">
        <v>117</v>
      </c>
      <c r="BI18">
        <v>8950</v>
      </c>
      <c r="BJ18">
        <v>2</v>
      </c>
      <c r="BK18">
        <f t="shared" si="2"/>
        <v>117</v>
      </c>
      <c r="BL18">
        <f t="shared" si="3"/>
        <v>8950</v>
      </c>
      <c r="BM18">
        <f t="shared" si="4"/>
        <v>2</v>
      </c>
      <c r="BN18">
        <f t="shared" si="5"/>
        <v>0</v>
      </c>
      <c r="BO18">
        <f t="shared" si="6"/>
        <v>0</v>
      </c>
      <c r="BP18">
        <f t="shared" si="7"/>
        <v>0</v>
      </c>
      <c r="BQ18" t="s">
        <v>203</v>
      </c>
      <c r="BR18" t="s">
        <v>140</v>
      </c>
      <c r="BS18" s="1">
        <v>33434</v>
      </c>
      <c r="BT18">
        <v>34</v>
      </c>
      <c r="BU18" t="s">
        <v>89</v>
      </c>
      <c r="BV18" t="s">
        <v>89</v>
      </c>
      <c r="BW18">
        <v>14</v>
      </c>
      <c r="BX18">
        <v>1991</v>
      </c>
      <c r="BY18">
        <v>14</v>
      </c>
      <c r="BZ18">
        <f t="shared" si="8"/>
        <v>0</v>
      </c>
      <c r="CA18">
        <f t="shared" si="9"/>
        <v>0</v>
      </c>
      <c r="CB18" t="b">
        <f t="shared" si="10"/>
        <v>1</v>
      </c>
    </row>
    <row r="19" spans="1:80" x14ac:dyDescent="0.3">
      <c r="A19" t="s">
        <v>317</v>
      </c>
      <c r="B19" t="s">
        <v>71</v>
      </c>
      <c r="C19" t="s">
        <v>318</v>
      </c>
      <c r="D19">
        <v>32</v>
      </c>
      <c r="E19" t="s">
        <v>319</v>
      </c>
      <c r="F19" t="s">
        <v>320</v>
      </c>
      <c r="G19" t="s">
        <v>321</v>
      </c>
      <c r="H19" t="s">
        <v>89</v>
      </c>
      <c r="I19" t="s">
        <v>322</v>
      </c>
      <c r="J19" t="s">
        <v>300</v>
      </c>
      <c r="K19" t="s">
        <v>323</v>
      </c>
      <c r="L19" t="s">
        <v>324</v>
      </c>
      <c r="M19">
        <v>20</v>
      </c>
      <c r="N19" t="s">
        <v>164</v>
      </c>
      <c r="O19">
        <v>2013</v>
      </c>
      <c r="P19" t="s">
        <v>325</v>
      </c>
      <c r="Q19" t="s">
        <v>326</v>
      </c>
      <c r="R19">
        <v>193098</v>
      </c>
      <c r="S19" t="s">
        <v>317</v>
      </c>
      <c r="T19" t="s">
        <v>327</v>
      </c>
      <c r="U19">
        <v>1993</v>
      </c>
      <c r="V19" t="s">
        <v>328</v>
      </c>
      <c r="W19">
        <v>1.79</v>
      </c>
      <c r="X19" t="s">
        <v>76</v>
      </c>
      <c r="Y19" t="s">
        <v>203</v>
      </c>
      <c r="Z19" t="s">
        <v>152</v>
      </c>
      <c r="AA19" t="s">
        <v>323</v>
      </c>
      <c r="AB19" t="s">
        <v>329</v>
      </c>
      <c r="AC19" t="s">
        <v>88</v>
      </c>
      <c r="AD19" t="s">
        <v>89</v>
      </c>
      <c r="AE19" t="s">
        <v>330</v>
      </c>
      <c r="AF19">
        <v>21</v>
      </c>
      <c r="AG19" t="s">
        <v>91</v>
      </c>
      <c r="AH19" t="s">
        <v>331</v>
      </c>
      <c r="AI19">
        <v>20</v>
      </c>
      <c r="AJ19" t="s">
        <v>110</v>
      </c>
      <c r="AK19">
        <v>20</v>
      </c>
      <c r="AL19">
        <v>12</v>
      </c>
      <c r="AM19">
        <v>344</v>
      </c>
      <c r="AN19">
        <v>35</v>
      </c>
      <c r="AO19">
        <v>10</v>
      </c>
      <c r="AP19" t="s">
        <v>93</v>
      </c>
      <c r="AQ19" t="s">
        <v>89</v>
      </c>
      <c r="AR19" t="s">
        <v>89</v>
      </c>
      <c r="AS19" t="s">
        <v>93</v>
      </c>
      <c r="AT19" t="s">
        <v>89</v>
      </c>
      <c r="AU19" t="s">
        <v>89</v>
      </c>
      <c r="AV19" t="s">
        <v>89</v>
      </c>
      <c r="AW19">
        <v>12</v>
      </c>
      <c r="AX19">
        <v>24</v>
      </c>
      <c r="AY19" t="s">
        <v>93</v>
      </c>
      <c r="AZ19">
        <v>0</v>
      </c>
      <c r="BA19">
        <v>0</v>
      </c>
      <c r="BB19">
        <v>0</v>
      </c>
      <c r="BC19">
        <v>0</v>
      </c>
      <c r="BD19">
        <v>396</v>
      </c>
      <c r="BE19">
        <v>28773</v>
      </c>
      <c r="BF19">
        <v>21</v>
      </c>
      <c r="BG19" t="s">
        <v>89</v>
      </c>
      <c r="BH19">
        <v>396</v>
      </c>
      <c r="BI19">
        <v>28773</v>
      </c>
      <c r="BJ19">
        <v>21</v>
      </c>
      <c r="BK19">
        <f t="shared" si="2"/>
        <v>396</v>
      </c>
      <c r="BL19">
        <f t="shared" si="3"/>
        <v>28773</v>
      </c>
      <c r="BM19">
        <f t="shared" si="4"/>
        <v>21</v>
      </c>
      <c r="BN19">
        <f t="shared" si="5"/>
        <v>0</v>
      </c>
      <c r="BO19">
        <f t="shared" si="6"/>
        <v>0</v>
      </c>
      <c r="BP19">
        <f t="shared" si="7"/>
        <v>0</v>
      </c>
      <c r="BQ19" t="s">
        <v>203</v>
      </c>
      <c r="BR19" t="s">
        <v>140</v>
      </c>
      <c r="BS19" t="s">
        <v>89</v>
      </c>
      <c r="BT19">
        <v>33</v>
      </c>
      <c r="BU19" t="s">
        <v>89</v>
      </c>
      <c r="BV19" t="s">
        <v>89</v>
      </c>
      <c r="BW19">
        <v>13</v>
      </c>
      <c r="BX19">
        <v>1993</v>
      </c>
      <c r="BY19">
        <v>12</v>
      </c>
      <c r="BZ19">
        <f t="shared" si="8"/>
        <v>-1</v>
      </c>
      <c r="CA19">
        <f t="shared" si="9"/>
        <v>1</v>
      </c>
      <c r="CB19" t="b">
        <f t="shared" si="10"/>
        <v>0</v>
      </c>
    </row>
    <row r="20" spans="1:80" x14ac:dyDescent="0.3">
      <c r="A20" t="s">
        <v>332</v>
      </c>
      <c r="B20" t="s">
        <v>71</v>
      </c>
      <c r="C20" t="s">
        <v>333</v>
      </c>
      <c r="D20">
        <v>33</v>
      </c>
      <c r="E20">
        <v>33461</v>
      </c>
      <c r="F20" t="s">
        <v>89</v>
      </c>
      <c r="G20" t="s">
        <v>334</v>
      </c>
      <c r="H20" t="s">
        <v>89</v>
      </c>
      <c r="I20" t="s">
        <v>227</v>
      </c>
      <c r="J20" t="s">
        <v>78</v>
      </c>
      <c r="K20" t="s">
        <v>89</v>
      </c>
      <c r="L20" t="s">
        <v>278</v>
      </c>
      <c r="M20">
        <v>19</v>
      </c>
      <c r="N20" t="s">
        <v>181</v>
      </c>
      <c r="O20">
        <v>2011</v>
      </c>
      <c r="P20" t="s">
        <v>335</v>
      </c>
      <c r="Q20" t="s">
        <v>336</v>
      </c>
      <c r="R20">
        <v>167830</v>
      </c>
      <c r="S20" t="s">
        <v>332</v>
      </c>
      <c r="T20">
        <v>33550</v>
      </c>
      <c r="U20">
        <v>1991</v>
      </c>
      <c r="V20" t="s">
        <v>122</v>
      </c>
      <c r="W20">
        <v>1.9</v>
      </c>
      <c r="X20" t="s">
        <v>76</v>
      </c>
      <c r="Y20" t="s">
        <v>235</v>
      </c>
      <c r="Z20" t="s">
        <v>87</v>
      </c>
      <c r="AA20" t="s">
        <v>337</v>
      </c>
      <c r="AB20" s="1">
        <v>44933</v>
      </c>
      <c r="AC20" t="s">
        <v>108</v>
      </c>
      <c r="AD20" t="s">
        <v>89</v>
      </c>
      <c r="AE20" s="1">
        <v>41034</v>
      </c>
      <c r="AF20">
        <v>20</v>
      </c>
      <c r="AG20" t="s">
        <v>91</v>
      </c>
      <c r="AH20">
        <v>41070</v>
      </c>
      <c r="AI20">
        <v>21</v>
      </c>
      <c r="AJ20" t="s">
        <v>110</v>
      </c>
      <c r="AK20">
        <v>20</v>
      </c>
      <c r="AL20">
        <v>5</v>
      </c>
      <c r="AM20">
        <v>472</v>
      </c>
      <c r="AN20">
        <v>57</v>
      </c>
      <c r="AO20">
        <v>3</v>
      </c>
      <c r="AP20" t="s">
        <v>93</v>
      </c>
      <c r="AQ20" t="s">
        <v>89</v>
      </c>
      <c r="AR20" t="s">
        <v>89</v>
      </c>
      <c r="AS20" t="s">
        <v>111</v>
      </c>
      <c r="AT20">
        <v>44933</v>
      </c>
      <c r="AU20">
        <v>2023</v>
      </c>
      <c r="AV20">
        <v>12</v>
      </c>
      <c r="AW20">
        <v>12</v>
      </c>
      <c r="AX20" t="s">
        <v>89</v>
      </c>
      <c r="AY20" t="s">
        <v>93</v>
      </c>
      <c r="AZ20">
        <v>0</v>
      </c>
      <c r="BA20">
        <v>0</v>
      </c>
      <c r="BB20">
        <v>0</v>
      </c>
      <c r="BC20">
        <v>0</v>
      </c>
      <c r="BD20">
        <v>190</v>
      </c>
      <c r="BE20">
        <v>15499</v>
      </c>
      <c r="BF20">
        <v>4</v>
      </c>
      <c r="BG20">
        <v>32</v>
      </c>
      <c r="BH20">
        <v>190</v>
      </c>
      <c r="BI20">
        <v>15499</v>
      </c>
      <c r="BJ20">
        <v>4</v>
      </c>
      <c r="BK20">
        <f t="shared" si="2"/>
        <v>190</v>
      </c>
      <c r="BL20">
        <f t="shared" si="3"/>
        <v>15499</v>
      </c>
      <c r="BM20">
        <f t="shared" si="4"/>
        <v>4</v>
      </c>
      <c r="BN20">
        <f t="shared" si="5"/>
        <v>0</v>
      </c>
      <c r="BO20">
        <f t="shared" si="6"/>
        <v>0</v>
      </c>
      <c r="BP20">
        <f t="shared" si="7"/>
        <v>0</v>
      </c>
      <c r="BQ20" t="s">
        <v>235</v>
      </c>
      <c r="BR20" t="s">
        <v>140</v>
      </c>
      <c r="BS20" t="s">
        <v>89</v>
      </c>
      <c r="BT20">
        <v>35</v>
      </c>
      <c r="BU20">
        <v>44933</v>
      </c>
      <c r="BV20" t="s">
        <v>89</v>
      </c>
      <c r="BW20">
        <v>12</v>
      </c>
      <c r="BX20">
        <v>1991</v>
      </c>
      <c r="BY20">
        <v>12</v>
      </c>
      <c r="BZ20">
        <f t="shared" si="8"/>
        <v>0</v>
      </c>
      <c r="CA20">
        <f t="shared" si="9"/>
        <v>0</v>
      </c>
      <c r="CB20" t="b">
        <f t="shared" si="10"/>
        <v>1</v>
      </c>
    </row>
    <row r="21" spans="1:80" x14ac:dyDescent="0.3">
      <c r="A21" t="s">
        <v>338</v>
      </c>
      <c r="B21" t="s">
        <v>71</v>
      </c>
      <c r="C21" t="s">
        <v>339</v>
      </c>
      <c r="D21">
        <v>32</v>
      </c>
      <c r="E21">
        <v>34173</v>
      </c>
      <c r="F21" t="s">
        <v>89</v>
      </c>
      <c r="G21" t="s">
        <v>226</v>
      </c>
      <c r="H21" t="s">
        <v>76</v>
      </c>
      <c r="I21" t="s">
        <v>340</v>
      </c>
      <c r="J21" t="s">
        <v>89</v>
      </c>
      <c r="K21" t="s">
        <v>89</v>
      </c>
      <c r="L21" t="s">
        <v>80</v>
      </c>
      <c r="M21">
        <v>19</v>
      </c>
      <c r="N21" t="s">
        <v>304</v>
      </c>
      <c r="O21">
        <v>2012</v>
      </c>
      <c r="P21" t="s">
        <v>341</v>
      </c>
      <c r="Q21" t="s">
        <v>342</v>
      </c>
      <c r="R21">
        <v>221658</v>
      </c>
      <c r="S21" t="s">
        <v>338</v>
      </c>
      <c r="T21" t="s">
        <v>343</v>
      </c>
      <c r="U21">
        <v>1993</v>
      </c>
      <c r="V21" t="s">
        <v>344</v>
      </c>
      <c r="W21">
        <v>1.85</v>
      </c>
      <c r="X21" t="s">
        <v>76</v>
      </c>
      <c r="Y21" t="s">
        <v>123</v>
      </c>
      <c r="Z21" t="s">
        <v>87</v>
      </c>
      <c r="AA21" t="s">
        <v>345</v>
      </c>
      <c r="AB21">
        <v>45298</v>
      </c>
      <c r="AC21" t="s">
        <v>170</v>
      </c>
      <c r="AD21" t="s">
        <v>89</v>
      </c>
      <c r="AE21">
        <v>40948</v>
      </c>
      <c r="AF21">
        <v>19</v>
      </c>
      <c r="AG21" t="s">
        <v>91</v>
      </c>
      <c r="AH21" t="s">
        <v>92</v>
      </c>
      <c r="AI21" t="s">
        <v>89</v>
      </c>
      <c r="AJ21" t="s">
        <v>92</v>
      </c>
      <c r="AK21">
        <v>19</v>
      </c>
      <c r="AL21" t="s">
        <v>89</v>
      </c>
      <c r="AM21" t="s">
        <v>89</v>
      </c>
      <c r="AN21" t="s">
        <v>89</v>
      </c>
      <c r="AO21">
        <v>0</v>
      </c>
      <c r="AP21" t="s">
        <v>93</v>
      </c>
      <c r="AQ21" t="s">
        <v>89</v>
      </c>
      <c r="AR21" t="s">
        <v>89</v>
      </c>
      <c r="AS21" t="s">
        <v>93</v>
      </c>
      <c r="AT21" t="s">
        <v>89</v>
      </c>
      <c r="AU21" t="s">
        <v>89</v>
      </c>
      <c r="AV21" t="s">
        <v>89</v>
      </c>
      <c r="AW21">
        <v>13</v>
      </c>
      <c r="AX21">
        <v>23</v>
      </c>
      <c r="AY21" t="s">
        <v>93</v>
      </c>
      <c r="AZ21">
        <v>0</v>
      </c>
      <c r="BA21">
        <v>0</v>
      </c>
      <c r="BB21">
        <v>0</v>
      </c>
      <c r="BC21">
        <v>0</v>
      </c>
      <c r="BD21">
        <v>3</v>
      </c>
      <c r="BE21">
        <v>105</v>
      </c>
      <c r="BF21">
        <v>0</v>
      </c>
      <c r="BG21" t="s">
        <v>89</v>
      </c>
      <c r="BH21">
        <v>3</v>
      </c>
      <c r="BI21">
        <v>105</v>
      </c>
      <c r="BJ21">
        <v>0</v>
      </c>
      <c r="BK21">
        <f t="shared" si="2"/>
        <v>3</v>
      </c>
      <c r="BL21">
        <f t="shared" si="3"/>
        <v>105</v>
      </c>
      <c r="BM21">
        <f t="shared" si="4"/>
        <v>0</v>
      </c>
      <c r="BN21">
        <f t="shared" si="5"/>
        <v>0</v>
      </c>
      <c r="BO21">
        <f t="shared" si="6"/>
        <v>0</v>
      </c>
      <c r="BP21">
        <f t="shared" si="7"/>
        <v>0</v>
      </c>
      <c r="BQ21" t="s">
        <v>123</v>
      </c>
      <c r="BR21" t="s">
        <v>112</v>
      </c>
      <c r="BS21" t="s">
        <v>89</v>
      </c>
      <c r="BT21">
        <v>33</v>
      </c>
      <c r="BU21" t="s">
        <v>89</v>
      </c>
      <c r="BV21" t="s">
        <v>89</v>
      </c>
      <c r="BW21">
        <v>14</v>
      </c>
      <c r="BX21">
        <v>1993</v>
      </c>
      <c r="BY21">
        <v>13</v>
      </c>
      <c r="BZ21">
        <f t="shared" si="8"/>
        <v>-1</v>
      </c>
      <c r="CA21">
        <f t="shared" si="9"/>
        <v>1</v>
      </c>
      <c r="CB21" t="b">
        <f t="shared" si="10"/>
        <v>0</v>
      </c>
    </row>
    <row r="22" spans="1:80" x14ac:dyDescent="0.3">
      <c r="A22" t="s">
        <v>346</v>
      </c>
      <c r="B22" t="s">
        <v>71</v>
      </c>
      <c r="C22" t="s">
        <v>347</v>
      </c>
      <c r="D22">
        <v>42</v>
      </c>
      <c r="E22" s="1">
        <v>30333</v>
      </c>
      <c r="F22" t="s">
        <v>89</v>
      </c>
      <c r="G22" t="s">
        <v>176</v>
      </c>
      <c r="H22" t="s">
        <v>76</v>
      </c>
      <c r="I22" t="s">
        <v>348</v>
      </c>
      <c r="J22" t="s">
        <v>78</v>
      </c>
      <c r="K22" t="s">
        <v>89</v>
      </c>
      <c r="L22" t="s">
        <v>145</v>
      </c>
      <c r="M22">
        <v>21</v>
      </c>
      <c r="N22" t="s">
        <v>268</v>
      </c>
      <c r="O22">
        <v>2004</v>
      </c>
      <c r="P22" t="s">
        <v>349</v>
      </c>
      <c r="Q22" t="s">
        <v>350</v>
      </c>
      <c r="R22">
        <v>28260</v>
      </c>
      <c r="S22" t="s">
        <v>346</v>
      </c>
      <c r="T22" t="s">
        <v>351</v>
      </c>
      <c r="U22">
        <v>1983</v>
      </c>
      <c r="V22" t="s">
        <v>105</v>
      </c>
      <c r="W22">
        <v>1.84</v>
      </c>
      <c r="X22" t="s">
        <v>76</v>
      </c>
      <c r="Y22" t="s">
        <v>136</v>
      </c>
      <c r="Z22" t="s">
        <v>87</v>
      </c>
      <c r="AA22" t="s">
        <v>352</v>
      </c>
      <c r="AB22" s="1">
        <v>42742</v>
      </c>
      <c r="AC22" t="s">
        <v>108</v>
      </c>
      <c r="AD22" t="s">
        <v>89</v>
      </c>
      <c r="AE22" t="s">
        <v>353</v>
      </c>
      <c r="AF22">
        <v>21</v>
      </c>
      <c r="AG22" t="s">
        <v>91</v>
      </c>
      <c r="AH22" t="s">
        <v>354</v>
      </c>
      <c r="AI22">
        <v>22</v>
      </c>
      <c r="AJ22" t="s">
        <v>110</v>
      </c>
      <c r="AK22">
        <v>21</v>
      </c>
      <c r="AL22">
        <v>7</v>
      </c>
      <c r="AM22">
        <v>373</v>
      </c>
      <c r="AN22">
        <v>73</v>
      </c>
      <c r="AO22">
        <v>7</v>
      </c>
      <c r="AP22" t="s">
        <v>93</v>
      </c>
      <c r="AQ22" t="s">
        <v>89</v>
      </c>
      <c r="AR22" t="s">
        <v>89</v>
      </c>
      <c r="AS22" t="s">
        <v>111</v>
      </c>
      <c r="AT22" s="1">
        <v>42742</v>
      </c>
      <c r="AU22">
        <v>2017</v>
      </c>
      <c r="AV22">
        <v>13</v>
      </c>
      <c r="AW22">
        <v>13</v>
      </c>
      <c r="AX22" t="s">
        <v>89</v>
      </c>
      <c r="AY22" t="s">
        <v>111</v>
      </c>
      <c r="AZ22">
        <v>8</v>
      </c>
      <c r="BA22">
        <v>28</v>
      </c>
      <c r="BB22">
        <v>2249</v>
      </c>
      <c r="BC22">
        <v>0</v>
      </c>
      <c r="BD22">
        <v>347</v>
      </c>
      <c r="BE22">
        <v>27786</v>
      </c>
      <c r="BF22">
        <v>8</v>
      </c>
      <c r="BG22">
        <v>34</v>
      </c>
      <c r="BH22">
        <v>375</v>
      </c>
      <c r="BI22">
        <v>30035</v>
      </c>
      <c r="BJ22">
        <v>8</v>
      </c>
      <c r="BK22">
        <f t="shared" si="2"/>
        <v>375</v>
      </c>
      <c r="BL22">
        <f t="shared" si="3"/>
        <v>30035</v>
      </c>
      <c r="BM22">
        <f t="shared" si="4"/>
        <v>8</v>
      </c>
      <c r="BN22">
        <f t="shared" si="5"/>
        <v>0</v>
      </c>
      <c r="BO22">
        <f t="shared" si="6"/>
        <v>0</v>
      </c>
      <c r="BP22">
        <f t="shared" si="7"/>
        <v>0</v>
      </c>
      <c r="BQ22" t="s">
        <v>136</v>
      </c>
      <c r="BR22" t="s">
        <v>140</v>
      </c>
      <c r="BS22" t="s">
        <v>89</v>
      </c>
      <c r="BT22">
        <v>43</v>
      </c>
      <c r="BU22" s="1">
        <v>42742</v>
      </c>
      <c r="BV22" s="1">
        <v>42917</v>
      </c>
      <c r="BW22">
        <v>13</v>
      </c>
      <c r="BX22">
        <v>1983</v>
      </c>
      <c r="BY22">
        <v>13</v>
      </c>
      <c r="BZ22">
        <f t="shared" si="8"/>
        <v>0</v>
      </c>
      <c r="CA22">
        <f t="shared" si="9"/>
        <v>0</v>
      </c>
      <c r="CB22" t="b">
        <f t="shared" si="10"/>
        <v>1</v>
      </c>
    </row>
    <row r="23" spans="1:80" x14ac:dyDescent="0.3">
      <c r="A23" t="s">
        <v>355</v>
      </c>
      <c r="B23" t="s">
        <v>71</v>
      </c>
      <c r="C23" t="s">
        <v>356</v>
      </c>
      <c r="D23">
        <v>37</v>
      </c>
      <c r="E23">
        <v>32346</v>
      </c>
      <c r="F23" t="s">
        <v>89</v>
      </c>
      <c r="G23" t="s">
        <v>115</v>
      </c>
      <c r="H23" t="s">
        <v>89</v>
      </c>
      <c r="I23" t="s">
        <v>357</v>
      </c>
      <c r="J23" t="s">
        <v>78</v>
      </c>
      <c r="K23" t="s">
        <v>89</v>
      </c>
      <c r="L23" t="s">
        <v>278</v>
      </c>
      <c r="M23">
        <v>23</v>
      </c>
      <c r="N23" t="s">
        <v>181</v>
      </c>
      <c r="O23">
        <v>2011</v>
      </c>
      <c r="P23" t="s">
        <v>358</v>
      </c>
      <c r="Q23" t="s">
        <v>359</v>
      </c>
      <c r="R23">
        <v>138662</v>
      </c>
      <c r="S23" t="s">
        <v>355</v>
      </c>
      <c r="T23" t="s">
        <v>360</v>
      </c>
      <c r="U23">
        <v>1988</v>
      </c>
      <c r="V23" t="s">
        <v>122</v>
      </c>
      <c r="W23">
        <v>1.8</v>
      </c>
      <c r="X23" t="s">
        <v>76</v>
      </c>
      <c r="Y23" t="s">
        <v>235</v>
      </c>
      <c r="Z23" t="s">
        <v>87</v>
      </c>
      <c r="AA23" t="s">
        <v>361</v>
      </c>
      <c r="AB23" s="1">
        <v>44203</v>
      </c>
      <c r="AC23" t="s">
        <v>108</v>
      </c>
      <c r="AD23" t="s">
        <v>89</v>
      </c>
      <c r="AE23" s="1">
        <v>41186</v>
      </c>
      <c r="AF23">
        <v>23</v>
      </c>
      <c r="AG23" t="s">
        <v>91</v>
      </c>
      <c r="AH23" s="1">
        <v>40951</v>
      </c>
      <c r="AI23">
        <v>24</v>
      </c>
      <c r="AJ23" t="s">
        <v>110</v>
      </c>
      <c r="AK23">
        <v>23</v>
      </c>
      <c r="AL23" t="s">
        <v>89</v>
      </c>
      <c r="AM23" t="s">
        <v>89</v>
      </c>
      <c r="AN23" t="s">
        <v>89</v>
      </c>
      <c r="AO23">
        <v>0</v>
      </c>
      <c r="AP23" t="s">
        <v>93</v>
      </c>
      <c r="AQ23" t="s">
        <v>89</v>
      </c>
      <c r="AR23" t="s">
        <v>89</v>
      </c>
      <c r="AS23" t="s">
        <v>111</v>
      </c>
      <c r="AT23">
        <v>44203</v>
      </c>
      <c r="AU23">
        <v>2021</v>
      </c>
      <c r="AV23">
        <v>10</v>
      </c>
      <c r="AW23">
        <v>10</v>
      </c>
      <c r="AX23" t="s">
        <v>89</v>
      </c>
      <c r="AY23" t="s">
        <v>93</v>
      </c>
      <c r="AZ23">
        <v>0</v>
      </c>
      <c r="BA23">
        <v>0</v>
      </c>
      <c r="BB23">
        <v>0</v>
      </c>
      <c r="BC23">
        <v>0</v>
      </c>
      <c r="BD23">
        <v>179</v>
      </c>
      <c r="BE23">
        <v>14881</v>
      </c>
      <c r="BF23">
        <v>2</v>
      </c>
      <c r="BG23">
        <v>33</v>
      </c>
      <c r="BH23">
        <v>179</v>
      </c>
      <c r="BI23">
        <v>14881</v>
      </c>
      <c r="BJ23">
        <v>2</v>
      </c>
      <c r="BK23">
        <f t="shared" si="2"/>
        <v>179</v>
      </c>
      <c r="BL23">
        <f t="shared" si="3"/>
        <v>14881</v>
      </c>
      <c r="BM23">
        <f t="shared" si="4"/>
        <v>2</v>
      </c>
      <c r="BN23">
        <f t="shared" si="5"/>
        <v>0</v>
      </c>
      <c r="BO23">
        <f t="shared" si="6"/>
        <v>0</v>
      </c>
      <c r="BP23">
        <f t="shared" si="7"/>
        <v>0</v>
      </c>
      <c r="BQ23" t="s">
        <v>235</v>
      </c>
      <c r="BR23" t="s">
        <v>140</v>
      </c>
      <c r="BS23" t="s">
        <v>89</v>
      </c>
      <c r="BT23">
        <v>38</v>
      </c>
      <c r="BU23">
        <v>44203</v>
      </c>
      <c r="BV23" t="s">
        <v>89</v>
      </c>
      <c r="BW23">
        <v>10</v>
      </c>
      <c r="BX23">
        <v>1988</v>
      </c>
      <c r="BY23">
        <v>10</v>
      </c>
      <c r="BZ23">
        <f t="shared" si="8"/>
        <v>0</v>
      </c>
      <c r="CA23">
        <f t="shared" si="9"/>
        <v>0</v>
      </c>
      <c r="CB23" t="b">
        <f t="shared" si="10"/>
        <v>1</v>
      </c>
    </row>
    <row r="24" spans="1:80" x14ac:dyDescent="0.3">
      <c r="A24" t="s">
        <v>362</v>
      </c>
      <c r="B24" t="s">
        <v>71</v>
      </c>
      <c r="C24" t="s">
        <v>363</v>
      </c>
      <c r="D24">
        <v>41</v>
      </c>
      <c r="E24" s="1">
        <v>30710</v>
      </c>
      <c r="F24" t="s">
        <v>89</v>
      </c>
      <c r="G24" t="s">
        <v>115</v>
      </c>
      <c r="H24" t="s">
        <v>89</v>
      </c>
      <c r="I24" t="s">
        <v>98</v>
      </c>
      <c r="J24" t="s">
        <v>78</v>
      </c>
      <c r="K24" t="s">
        <v>89</v>
      </c>
      <c r="L24" t="s">
        <v>254</v>
      </c>
      <c r="M24">
        <v>25</v>
      </c>
      <c r="N24" t="s">
        <v>364</v>
      </c>
      <c r="O24">
        <v>2009</v>
      </c>
      <c r="P24" t="s">
        <v>365</v>
      </c>
      <c r="Q24" t="s">
        <v>366</v>
      </c>
      <c r="R24">
        <v>72779</v>
      </c>
      <c r="S24" t="s">
        <v>362</v>
      </c>
      <c r="T24" t="s">
        <v>367</v>
      </c>
      <c r="U24">
        <v>1984</v>
      </c>
      <c r="V24" t="s">
        <v>368</v>
      </c>
      <c r="W24">
        <v>1.76</v>
      </c>
      <c r="X24" t="s">
        <v>76</v>
      </c>
      <c r="Y24" t="s">
        <v>369</v>
      </c>
      <c r="Z24" t="s">
        <v>87</v>
      </c>
      <c r="AA24" t="s">
        <v>370</v>
      </c>
      <c r="AB24" s="1">
        <v>44203</v>
      </c>
      <c r="AC24" t="s">
        <v>108</v>
      </c>
      <c r="AD24" t="s">
        <v>89</v>
      </c>
      <c r="AE24" s="1">
        <v>40577</v>
      </c>
      <c r="AF24">
        <v>27</v>
      </c>
      <c r="AG24" t="s">
        <v>91</v>
      </c>
      <c r="AH24" t="s">
        <v>371</v>
      </c>
      <c r="AI24">
        <v>25</v>
      </c>
      <c r="AJ24" t="s">
        <v>110</v>
      </c>
      <c r="AK24">
        <v>25</v>
      </c>
      <c r="AL24">
        <v>9</v>
      </c>
      <c r="AM24">
        <v>172</v>
      </c>
      <c r="AN24">
        <v>26</v>
      </c>
      <c r="AO24">
        <v>5</v>
      </c>
      <c r="AP24" t="s">
        <v>93</v>
      </c>
      <c r="AQ24" t="s">
        <v>89</v>
      </c>
      <c r="AR24" t="s">
        <v>89</v>
      </c>
      <c r="AS24" t="s">
        <v>111</v>
      </c>
      <c r="AT24">
        <v>44203</v>
      </c>
      <c r="AU24">
        <v>2021</v>
      </c>
      <c r="AV24">
        <v>12</v>
      </c>
      <c r="AW24">
        <v>12</v>
      </c>
      <c r="AX24" t="s">
        <v>89</v>
      </c>
      <c r="AY24" t="s">
        <v>93</v>
      </c>
      <c r="AZ24">
        <v>0</v>
      </c>
      <c r="BA24">
        <v>0</v>
      </c>
      <c r="BB24">
        <v>0</v>
      </c>
      <c r="BC24">
        <v>0</v>
      </c>
      <c r="BD24">
        <v>294</v>
      </c>
      <c r="BE24">
        <v>19361</v>
      </c>
      <c r="BF24">
        <v>36</v>
      </c>
      <c r="BG24">
        <v>37</v>
      </c>
      <c r="BH24">
        <v>294</v>
      </c>
      <c r="BI24">
        <v>19361</v>
      </c>
      <c r="BJ24">
        <v>36</v>
      </c>
      <c r="BK24">
        <f t="shared" si="2"/>
        <v>294</v>
      </c>
      <c r="BL24">
        <f t="shared" si="3"/>
        <v>19361</v>
      </c>
      <c r="BM24">
        <f t="shared" si="4"/>
        <v>36</v>
      </c>
      <c r="BN24">
        <f t="shared" si="5"/>
        <v>0</v>
      </c>
      <c r="BO24">
        <f t="shared" si="6"/>
        <v>0</v>
      </c>
      <c r="BP24">
        <f t="shared" si="7"/>
        <v>0</v>
      </c>
      <c r="BQ24" t="s">
        <v>369</v>
      </c>
      <c r="BR24" t="s">
        <v>112</v>
      </c>
      <c r="BS24" t="s">
        <v>89</v>
      </c>
      <c r="BT24">
        <v>42</v>
      </c>
      <c r="BU24">
        <v>44203</v>
      </c>
      <c r="BV24" t="s">
        <v>89</v>
      </c>
      <c r="BW24">
        <v>12</v>
      </c>
      <c r="BX24">
        <v>1984</v>
      </c>
      <c r="BY24">
        <v>12</v>
      </c>
      <c r="BZ24">
        <f t="shared" si="8"/>
        <v>0</v>
      </c>
      <c r="CA24">
        <f t="shared" si="9"/>
        <v>0</v>
      </c>
      <c r="CB24" t="b">
        <f t="shared" si="10"/>
        <v>1</v>
      </c>
    </row>
    <row r="25" spans="1:80" x14ac:dyDescent="0.3">
      <c r="A25" t="s">
        <v>372</v>
      </c>
      <c r="B25" t="s">
        <v>71</v>
      </c>
      <c r="C25" t="s">
        <v>373</v>
      </c>
      <c r="D25">
        <v>36</v>
      </c>
      <c r="E25" s="1">
        <v>32644</v>
      </c>
      <c r="F25" t="s">
        <v>89</v>
      </c>
      <c r="G25" t="s">
        <v>374</v>
      </c>
      <c r="H25" t="s">
        <v>76</v>
      </c>
      <c r="I25" t="s">
        <v>375</v>
      </c>
      <c r="J25" t="s">
        <v>300</v>
      </c>
      <c r="K25" t="s">
        <v>89</v>
      </c>
      <c r="L25" t="s">
        <v>130</v>
      </c>
      <c r="M25">
        <v>19</v>
      </c>
      <c r="N25" t="s">
        <v>81</v>
      </c>
      <c r="O25">
        <v>2008</v>
      </c>
      <c r="P25" t="s">
        <v>376</v>
      </c>
      <c r="Q25" t="s">
        <v>377</v>
      </c>
      <c r="R25">
        <v>62915</v>
      </c>
      <c r="S25" t="s">
        <v>372</v>
      </c>
      <c r="T25" t="s">
        <v>378</v>
      </c>
      <c r="U25">
        <v>1989</v>
      </c>
      <c r="V25" t="s">
        <v>122</v>
      </c>
      <c r="W25" t="s">
        <v>89</v>
      </c>
      <c r="X25" t="s">
        <v>76</v>
      </c>
      <c r="Y25" t="s">
        <v>235</v>
      </c>
      <c r="Z25" t="s">
        <v>89</v>
      </c>
      <c r="AA25" t="s">
        <v>379</v>
      </c>
      <c r="AB25" s="1">
        <v>42533</v>
      </c>
      <c r="AC25" t="s">
        <v>108</v>
      </c>
      <c r="AD25" t="s">
        <v>89</v>
      </c>
      <c r="AE25" t="s">
        <v>380</v>
      </c>
      <c r="AF25">
        <v>19</v>
      </c>
      <c r="AG25" t="s">
        <v>91</v>
      </c>
      <c r="AH25" t="s">
        <v>92</v>
      </c>
      <c r="AI25" t="s">
        <v>89</v>
      </c>
      <c r="AJ25" t="s">
        <v>92</v>
      </c>
      <c r="AK25">
        <v>19</v>
      </c>
      <c r="AL25">
        <v>11</v>
      </c>
      <c r="AM25">
        <v>585</v>
      </c>
      <c r="AN25">
        <v>83</v>
      </c>
      <c r="AO25">
        <v>6</v>
      </c>
      <c r="AP25" t="s">
        <v>93</v>
      </c>
      <c r="AQ25" t="s">
        <v>89</v>
      </c>
      <c r="AR25" t="s">
        <v>89</v>
      </c>
      <c r="AS25" t="s">
        <v>111</v>
      </c>
      <c r="AT25" s="1">
        <v>42533</v>
      </c>
      <c r="AU25">
        <v>2016</v>
      </c>
      <c r="AV25">
        <v>8</v>
      </c>
      <c r="AW25">
        <v>8</v>
      </c>
      <c r="AX25" t="s">
        <v>89</v>
      </c>
      <c r="AY25" t="s">
        <v>93</v>
      </c>
      <c r="AZ25">
        <v>0</v>
      </c>
      <c r="BA25">
        <v>0</v>
      </c>
      <c r="BB25">
        <v>0</v>
      </c>
      <c r="BC25">
        <v>0</v>
      </c>
      <c r="BD25">
        <v>203</v>
      </c>
      <c r="BE25">
        <v>16978</v>
      </c>
      <c r="BF25">
        <v>9</v>
      </c>
      <c r="BG25">
        <v>27</v>
      </c>
      <c r="BH25">
        <v>203</v>
      </c>
      <c r="BI25">
        <v>16978</v>
      </c>
      <c r="BJ25">
        <v>9</v>
      </c>
      <c r="BK25">
        <f t="shared" si="2"/>
        <v>203</v>
      </c>
      <c r="BL25">
        <f t="shared" si="3"/>
        <v>16978</v>
      </c>
      <c r="BM25">
        <f t="shared" si="4"/>
        <v>9</v>
      </c>
      <c r="BN25">
        <f t="shared" si="5"/>
        <v>0</v>
      </c>
      <c r="BO25">
        <f t="shared" si="6"/>
        <v>0</v>
      </c>
      <c r="BP25">
        <f t="shared" si="7"/>
        <v>0</v>
      </c>
      <c r="BQ25" t="s">
        <v>235</v>
      </c>
      <c r="BR25" t="s">
        <v>140</v>
      </c>
      <c r="BS25" s="1">
        <v>32644</v>
      </c>
      <c r="BT25">
        <v>36</v>
      </c>
      <c r="BU25" s="1">
        <v>42533</v>
      </c>
      <c r="BV25" s="1">
        <v>42710</v>
      </c>
      <c r="BW25">
        <v>8</v>
      </c>
      <c r="BX25">
        <v>1989</v>
      </c>
      <c r="BY25">
        <v>8</v>
      </c>
      <c r="BZ25">
        <f t="shared" si="8"/>
        <v>0</v>
      </c>
      <c r="CA25">
        <f t="shared" si="9"/>
        <v>0</v>
      </c>
      <c r="CB25" t="b">
        <f t="shared" si="10"/>
        <v>1</v>
      </c>
    </row>
    <row r="26" spans="1:80" x14ac:dyDescent="0.3">
      <c r="A26" t="s">
        <v>381</v>
      </c>
      <c r="B26" t="s">
        <v>71</v>
      </c>
      <c r="C26" t="s">
        <v>382</v>
      </c>
      <c r="D26">
        <v>32</v>
      </c>
      <c r="E26" t="s">
        <v>383</v>
      </c>
      <c r="F26" t="s">
        <v>384</v>
      </c>
      <c r="G26" t="s">
        <v>385</v>
      </c>
      <c r="H26" t="s">
        <v>89</v>
      </c>
      <c r="I26" t="s">
        <v>386</v>
      </c>
      <c r="J26" t="s">
        <v>300</v>
      </c>
      <c r="K26" t="s">
        <v>162</v>
      </c>
      <c r="L26" t="s">
        <v>324</v>
      </c>
      <c r="M26">
        <v>20</v>
      </c>
      <c r="N26" t="s">
        <v>229</v>
      </c>
      <c r="O26">
        <v>2013</v>
      </c>
      <c r="P26" t="s">
        <v>387</v>
      </c>
      <c r="Q26" t="s">
        <v>388</v>
      </c>
      <c r="R26">
        <v>257062</v>
      </c>
      <c r="S26" t="s">
        <v>381</v>
      </c>
      <c r="T26" t="s">
        <v>389</v>
      </c>
      <c r="U26">
        <v>1992</v>
      </c>
      <c r="V26" t="s">
        <v>390</v>
      </c>
      <c r="W26">
        <v>1.67</v>
      </c>
      <c r="X26" t="s">
        <v>76</v>
      </c>
      <c r="Y26" t="s">
        <v>391</v>
      </c>
      <c r="Z26" t="s">
        <v>392</v>
      </c>
      <c r="AA26" t="s">
        <v>162</v>
      </c>
      <c r="AB26" t="s">
        <v>393</v>
      </c>
      <c r="AC26" t="s">
        <v>394</v>
      </c>
      <c r="AD26" t="s">
        <v>395</v>
      </c>
      <c r="AE26" t="s">
        <v>331</v>
      </c>
      <c r="AF26">
        <v>20</v>
      </c>
      <c r="AG26" t="s">
        <v>91</v>
      </c>
      <c r="AH26">
        <v>41829</v>
      </c>
      <c r="AI26">
        <v>21</v>
      </c>
      <c r="AJ26" t="s">
        <v>110</v>
      </c>
      <c r="AK26">
        <v>20</v>
      </c>
      <c r="AL26">
        <v>2</v>
      </c>
      <c r="AM26">
        <v>113</v>
      </c>
      <c r="AN26">
        <v>16</v>
      </c>
      <c r="AO26">
        <v>2</v>
      </c>
      <c r="AP26" t="s">
        <v>93</v>
      </c>
      <c r="AQ26" t="s">
        <v>89</v>
      </c>
      <c r="AR26" t="s">
        <v>89</v>
      </c>
      <c r="AS26" t="s">
        <v>93</v>
      </c>
      <c r="AT26" t="s">
        <v>89</v>
      </c>
      <c r="AU26" t="s">
        <v>89</v>
      </c>
      <c r="AV26" t="s">
        <v>89</v>
      </c>
      <c r="AW26">
        <v>12</v>
      </c>
      <c r="AX26">
        <v>18</v>
      </c>
      <c r="AY26" t="s">
        <v>93</v>
      </c>
      <c r="AZ26">
        <v>0</v>
      </c>
      <c r="BA26">
        <v>0</v>
      </c>
      <c r="BB26">
        <v>0</v>
      </c>
      <c r="BC26">
        <v>0</v>
      </c>
      <c r="BD26">
        <v>392</v>
      </c>
      <c r="BE26">
        <v>28211</v>
      </c>
      <c r="BF26">
        <v>57</v>
      </c>
      <c r="BG26" t="s">
        <v>89</v>
      </c>
      <c r="BH26">
        <v>392</v>
      </c>
      <c r="BI26">
        <v>28211</v>
      </c>
      <c r="BJ26">
        <v>57</v>
      </c>
      <c r="BK26">
        <f t="shared" si="2"/>
        <v>392</v>
      </c>
      <c r="BL26">
        <f t="shared" si="3"/>
        <v>28211</v>
      </c>
      <c r="BM26">
        <f t="shared" si="4"/>
        <v>57</v>
      </c>
      <c r="BN26">
        <f t="shared" si="5"/>
        <v>0</v>
      </c>
      <c r="BO26">
        <f t="shared" si="6"/>
        <v>0</v>
      </c>
      <c r="BP26">
        <f t="shared" si="7"/>
        <v>0</v>
      </c>
      <c r="BQ26" t="s">
        <v>391</v>
      </c>
      <c r="BR26" t="s">
        <v>112</v>
      </c>
      <c r="BS26" s="1">
        <v>33904</v>
      </c>
      <c r="BT26">
        <v>33</v>
      </c>
      <c r="BU26" t="s">
        <v>89</v>
      </c>
      <c r="BV26" t="s">
        <v>89</v>
      </c>
      <c r="BW26">
        <v>13</v>
      </c>
      <c r="BX26">
        <v>1992</v>
      </c>
      <c r="BY26">
        <v>12</v>
      </c>
      <c r="BZ26">
        <f t="shared" si="8"/>
        <v>-1</v>
      </c>
      <c r="CA26">
        <f t="shared" si="9"/>
        <v>1</v>
      </c>
      <c r="CB26" t="b">
        <f t="shared" si="10"/>
        <v>0</v>
      </c>
    </row>
    <row r="27" spans="1:80" x14ac:dyDescent="0.3">
      <c r="A27" t="s">
        <v>396</v>
      </c>
      <c r="B27" t="s">
        <v>71</v>
      </c>
      <c r="C27" t="s">
        <v>397</v>
      </c>
      <c r="D27">
        <v>34</v>
      </c>
      <c r="E27" t="s">
        <v>398</v>
      </c>
      <c r="F27" t="s">
        <v>399</v>
      </c>
      <c r="G27" t="s">
        <v>400</v>
      </c>
      <c r="H27" t="s">
        <v>76</v>
      </c>
      <c r="I27" t="s">
        <v>401</v>
      </c>
      <c r="J27" t="s">
        <v>78</v>
      </c>
      <c r="K27" t="s">
        <v>293</v>
      </c>
      <c r="L27" t="s">
        <v>180</v>
      </c>
      <c r="M27">
        <v>16</v>
      </c>
      <c r="N27" t="s">
        <v>402</v>
      </c>
      <c r="O27">
        <v>2007</v>
      </c>
      <c r="P27" t="s">
        <v>403</v>
      </c>
      <c r="Q27" t="s">
        <v>404</v>
      </c>
      <c r="R27">
        <v>57935</v>
      </c>
      <c r="S27" t="s">
        <v>396</v>
      </c>
      <c r="T27" t="s">
        <v>405</v>
      </c>
      <c r="U27">
        <v>1991</v>
      </c>
      <c r="V27" t="s">
        <v>402</v>
      </c>
      <c r="W27">
        <v>1.83</v>
      </c>
      <c r="X27" t="s">
        <v>76</v>
      </c>
      <c r="Y27" t="s">
        <v>123</v>
      </c>
      <c r="Z27" t="s">
        <v>152</v>
      </c>
      <c r="AA27" t="s">
        <v>293</v>
      </c>
      <c r="AB27" t="s">
        <v>406</v>
      </c>
      <c r="AC27" t="s">
        <v>170</v>
      </c>
      <c r="AD27" t="s">
        <v>89</v>
      </c>
      <c r="AE27" t="s">
        <v>407</v>
      </c>
      <c r="AF27">
        <v>20</v>
      </c>
      <c r="AG27" t="s">
        <v>91</v>
      </c>
      <c r="AH27" t="s">
        <v>408</v>
      </c>
      <c r="AI27">
        <v>16</v>
      </c>
      <c r="AJ27" t="s">
        <v>110</v>
      </c>
      <c r="AK27">
        <v>16</v>
      </c>
      <c r="AL27">
        <v>3</v>
      </c>
      <c r="AM27">
        <v>272</v>
      </c>
      <c r="AN27">
        <v>31</v>
      </c>
      <c r="AO27">
        <v>3</v>
      </c>
      <c r="AP27" t="s">
        <v>93</v>
      </c>
      <c r="AQ27" t="s">
        <v>89</v>
      </c>
      <c r="AR27" t="s">
        <v>89</v>
      </c>
      <c r="AS27" t="s">
        <v>93</v>
      </c>
      <c r="AT27" t="s">
        <v>89</v>
      </c>
      <c r="AU27" t="s">
        <v>89</v>
      </c>
      <c r="AV27" t="s">
        <v>89</v>
      </c>
      <c r="AW27">
        <v>18</v>
      </c>
      <c r="AX27">
        <v>20</v>
      </c>
      <c r="AY27" t="s">
        <v>93</v>
      </c>
      <c r="AZ27">
        <v>0</v>
      </c>
      <c r="BA27">
        <v>0</v>
      </c>
      <c r="BB27">
        <v>0</v>
      </c>
      <c r="BC27">
        <v>0</v>
      </c>
      <c r="BD27">
        <v>372</v>
      </c>
      <c r="BE27">
        <v>22552</v>
      </c>
      <c r="BF27">
        <v>65</v>
      </c>
      <c r="BG27" t="s">
        <v>89</v>
      </c>
      <c r="BH27">
        <v>372</v>
      </c>
      <c r="BI27">
        <v>22552</v>
      </c>
      <c r="BJ27">
        <v>65</v>
      </c>
      <c r="BK27">
        <f t="shared" si="2"/>
        <v>372</v>
      </c>
      <c r="BL27">
        <f t="shared" si="3"/>
        <v>22552</v>
      </c>
      <c r="BM27">
        <f t="shared" si="4"/>
        <v>65</v>
      </c>
      <c r="BN27">
        <f t="shared" si="5"/>
        <v>0</v>
      </c>
      <c r="BO27">
        <f t="shared" si="6"/>
        <v>0</v>
      </c>
      <c r="BP27">
        <f t="shared" si="7"/>
        <v>0</v>
      </c>
      <c r="BQ27" t="s">
        <v>123</v>
      </c>
      <c r="BR27" t="s">
        <v>112</v>
      </c>
      <c r="BS27" s="1">
        <v>33377</v>
      </c>
      <c r="BT27">
        <v>34</v>
      </c>
      <c r="BU27" t="s">
        <v>89</v>
      </c>
      <c r="BV27" t="s">
        <v>89</v>
      </c>
      <c r="BW27">
        <v>18</v>
      </c>
      <c r="BX27">
        <v>1991</v>
      </c>
      <c r="BY27">
        <v>18</v>
      </c>
      <c r="BZ27">
        <f t="shared" si="8"/>
        <v>0</v>
      </c>
      <c r="CA27">
        <f t="shared" si="9"/>
        <v>0</v>
      </c>
      <c r="CB27" t="b">
        <f t="shared" si="10"/>
        <v>1</v>
      </c>
    </row>
    <row r="28" spans="1:80" x14ac:dyDescent="0.3">
      <c r="A28" t="s">
        <v>409</v>
      </c>
      <c r="B28" t="s">
        <v>71</v>
      </c>
      <c r="C28" t="s">
        <v>410</v>
      </c>
      <c r="D28">
        <v>35</v>
      </c>
      <c r="E28" t="s">
        <v>411</v>
      </c>
      <c r="F28" t="s">
        <v>412</v>
      </c>
      <c r="G28" t="s">
        <v>413</v>
      </c>
      <c r="H28" t="s">
        <v>76</v>
      </c>
      <c r="I28" t="s">
        <v>414</v>
      </c>
      <c r="J28" t="s">
        <v>78</v>
      </c>
      <c r="K28" t="s">
        <v>415</v>
      </c>
      <c r="L28" t="s">
        <v>228</v>
      </c>
      <c r="M28">
        <v>20</v>
      </c>
      <c r="N28" t="s">
        <v>416</v>
      </c>
      <c r="O28">
        <v>2010</v>
      </c>
      <c r="P28" t="s">
        <v>417</v>
      </c>
      <c r="Q28" t="s">
        <v>418</v>
      </c>
      <c r="R28">
        <v>183647</v>
      </c>
      <c r="S28" t="s">
        <v>409</v>
      </c>
      <c r="T28">
        <v>33086</v>
      </c>
      <c r="U28">
        <v>1990</v>
      </c>
      <c r="V28" t="s">
        <v>419</v>
      </c>
      <c r="W28">
        <v>1.82</v>
      </c>
      <c r="X28" t="s">
        <v>76</v>
      </c>
      <c r="Y28" t="s">
        <v>235</v>
      </c>
      <c r="Z28" t="s">
        <v>87</v>
      </c>
      <c r="AA28" t="s">
        <v>420</v>
      </c>
      <c r="AB28" s="1">
        <v>45998</v>
      </c>
      <c r="AC28" t="s">
        <v>88</v>
      </c>
      <c r="AD28" t="s">
        <v>395</v>
      </c>
      <c r="AE28">
        <v>40548</v>
      </c>
      <c r="AF28">
        <v>21</v>
      </c>
      <c r="AG28" t="s">
        <v>91</v>
      </c>
      <c r="AH28" t="s">
        <v>421</v>
      </c>
      <c r="AI28">
        <v>23</v>
      </c>
      <c r="AJ28" t="s">
        <v>110</v>
      </c>
      <c r="AK28">
        <v>21</v>
      </c>
      <c r="AL28">
        <v>7</v>
      </c>
      <c r="AM28">
        <v>86</v>
      </c>
      <c r="AN28">
        <v>12</v>
      </c>
      <c r="AO28">
        <v>5</v>
      </c>
      <c r="AP28" t="s">
        <v>93</v>
      </c>
      <c r="AQ28" t="s">
        <v>89</v>
      </c>
      <c r="AR28" t="s">
        <v>89</v>
      </c>
      <c r="AS28" t="s">
        <v>93</v>
      </c>
      <c r="AT28" t="s">
        <v>89</v>
      </c>
      <c r="AU28" t="s">
        <v>89</v>
      </c>
      <c r="AV28" t="s">
        <v>89</v>
      </c>
      <c r="AW28">
        <v>15</v>
      </c>
      <c r="AX28">
        <v>22</v>
      </c>
      <c r="AY28" t="s">
        <v>93</v>
      </c>
      <c r="AZ28">
        <v>0</v>
      </c>
      <c r="BA28">
        <v>0</v>
      </c>
      <c r="BB28">
        <v>0</v>
      </c>
      <c r="BC28">
        <v>0</v>
      </c>
      <c r="BD28">
        <v>399</v>
      </c>
      <c r="BE28">
        <v>34872</v>
      </c>
      <c r="BF28">
        <v>10</v>
      </c>
      <c r="BG28" t="s">
        <v>89</v>
      </c>
      <c r="BH28">
        <v>399</v>
      </c>
      <c r="BI28">
        <v>34872</v>
      </c>
      <c r="BJ28">
        <v>10</v>
      </c>
      <c r="BK28">
        <f t="shared" si="2"/>
        <v>399</v>
      </c>
      <c r="BL28">
        <f t="shared" si="3"/>
        <v>34872</v>
      </c>
      <c r="BM28">
        <f t="shared" si="4"/>
        <v>10</v>
      </c>
      <c r="BN28">
        <f t="shared" si="5"/>
        <v>0</v>
      </c>
      <c r="BO28">
        <f t="shared" si="6"/>
        <v>0</v>
      </c>
      <c r="BP28">
        <f t="shared" si="7"/>
        <v>0</v>
      </c>
      <c r="BQ28" t="s">
        <v>235</v>
      </c>
      <c r="BR28" t="s">
        <v>140</v>
      </c>
      <c r="BS28" t="s">
        <v>89</v>
      </c>
      <c r="BT28">
        <v>36</v>
      </c>
      <c r="BU28" t="s">
        <v>89</v>
      </c>
      <c r="BV28" t="s">
        <v>89</v>
      </c>
      <c r="BW28">
        <v>15</v>
      </c>
      <c r="BX28">
        <v>1990</v>
      </c>
      <c r="BY28">
        <v>14</v>
      </c>
      <c r="BZ28">
        <f t="shared" si="8"/>
        <v>0</v>
      </c>
      <c r="CA28">
        <f t="shared" si="9"/>
        <v>1</v>
      </c>
      <c r="CB28" t="b">
        <f t="shared" si="10"/>
        <v>1</v>
      </c>
    </row>
    <row r="29" spans="1:80" x14ac:dyDescent="0.3">
      <c r="A29" t="s">
        <v>422</v>
      </c>
      <c r="B29" t="s">
        <v>71</v>
      </c>
      <c r="C29" t="s">
        <v>423</v>
      </c>
      <c r="D29">
        <v>31</v>
      </c>
      <c r="E29" t="s">
        <v>424</v>
      </c>
      <c r="F29" t="s">
        <v>425</v>
      </c>
      <c r="G29" t="s">
        <v>298</v>
      </c>
      <c r="H29" t="s">
        <v>76</v>
      </c>
      <c r="I29" t="s">
        <v>288</v>
      </c>
      <c r="J29" t="s">
        <v>78</v>
      </c>
      <c r="K29" t="s">
        <v>426</v>
      </c>
      <c r="L29" t="s">
        <v>324</v>
      </c>
      <c r="M29">
        <v>19</v>
      </c>
      <c r="N29" t="s">
        <v>118</v>
      </c>
      <c r="O29">
        <v>2013</v>
      </c>
      <c r="P29" t="s">
        <v>427</v>
      </c>
      <c r="Q29" t="s">
        <v>428</v>
      </c>
      <c r="R29">
        <v>253839</v>
      </c>
      <c r="S29" t="s">
        <v>422</v>
      </c>
      <c r="T29" t="s">
        <v>429</v>
      </c>
      <c r="U29">
        <v>1994</v>
      </c>
      <c r="V29" t="s">
        <v>430</v>
      </c>
      <c r="W29">
        <v>1.77</v>
      </c>
      <c r="X29" t="s">
        <v>76</v>
      </c>
      <c r="Y29" t="s">
        <v>86</v>
      </c>
      <c r="Z29" t="s">
        <v>87</v>
      </c>
      <c r="AA29" t="s">
        <v>426</v>
      </c>
      <c r="AB29" t="s">
        <v>431</v>
      </c>
      <c r="AC29" t="s">
        <v>88</v>
      </c>
      <c r="AD29" t="s">
        <v>89</v>
      </c>
      <c r="AE29" t="s">
        <v>432</v>
      </c>
      <c r="AF29">
        <v>20</v>
      </c>
      <c r="AG29" t="s">
        <v>91</v>
      </c>
      <c r="AH29" t="s">
        <v>433</v>
      </c>
      <c r="AI29">
        <v>19</v>
      </c>
      <c r="AJ29" t="s">
        <v>110</v>
      </c>
      <c r="AK29">
        <v>19</v>
      </c>
      <c r="AL29">
        <v>7</v>
      </c>
      <c r="AM29">
        <v>433</v>
      </c>
      <c r="AN29">
        <v>34</v>
      </c>
      <c r="AO29">
        <v>7</v>
      </c>
      <c r="AP29" t="s">
        <v>93</v>
      </c>
      <c r="AQ29" t="s">
        <v>89</v>
      </c>
      <c r="AR29" t="s">
        <v>89</v>
      </c>
      <c r="AS29" t="s">
        <v>93</v>
      </c>
      <c r="AT29" t="s">
        <v>89</v>
      </c>
      <c r="AU29" t="s">
        <v>89</v>
      </c>
      <c r="AV29" t="s">
        <v>89</v>
      </c>
      <c r="AW29">
        <v>12</v>
      </c>
      <c r="AX29">
        <v>10</v>
      </c>
      <c r="AY29" t="s">
        <v>93</v>
      </c>
      <c r="AZ29">
        <v>0</v>
      </c>
      <c r="BA29">
        <v>0</v>
      </c>
      <c r="BB29">
        <v>0</v>
      </c>
      <c r="BC29">
        <v>0</v>
      </c>
      <c r="BD29">
        <v>173</v>
      </c>
      <c r="BE29">
        <v>11901</v>
      </c>
      <c r="BF29">
        <v>4</v>
      </c>
      <c r="BG29" t="s">
        <v>89</v>
      </c>
      <c r="BH29">
        <v>173</v>
      </c>
      <c r="BI29">
        <v>11901</v>
      </c>
      <c r="BJ29">
        <v>4</v>
      </c>
      <c r="BK29">
        <f t="shared" si="2"/>
        <v>173</v>
      </c>
      <c r="BL29">
        <f t="shared" si="3"/>
        <v>11901</v>
      </c>
      <c r="BM29">
        <f t="shared" si="4"/>
        <v>4</v>
      </c>
      <c r="BN29">
        <f t="shared" si="5"/>
        <v>0</v>
      </c>
      <c r="BO29">
        <f t="shared" si="6"/>
        <v>0</v>
      </c>
      <c r="BP29">
        <f t="shared" si="7"/>
        <v>0</v>
      </c>
      <c r="BQ29" t="s">
        <v>86</v>
      </c>
      <c r="BR29" t="s">
        <v>94</v>
      </c>
      <c r="BS29" s="1">
        <v>34408</v>
      </c>
      <c r="BT29">
        <v>31</v>
      </c>
      <c r="BU29" t="s">
        <v>89</v>
      </c>
      <c r="BV29" t="s">
        <v>89</v>
      </c>
      <c r="BW29">
        <v>12</v>
      </c>
      <c r="BX29">
        <v>1994</v>
      </c>
      <c r="BY29">
        <v>12</v>
      </c>
      <c r="BZ29">
        <f t="shared" si="8"/>
        <v>0</v>
      </c>
      <c r="CA29">
        <f t="shared" si="9"/>
        <v>0</v>
      </c>
      <c r="CB29" t="b">
        <f t="shared" si="10"/>
        <v>1</v>
      </c>
    </row>
    <row r="30" spans="1:80" x14ac:dyDescent="0.3">
      <c r="A30" t="s">
        <v>434</v>
      </c>
      <c r="B30" t="s">
        <v>71</v>
      </c>
      <c r="C30" t="s">
        <v>435</v>
      </c>
      <c r="D30">
        <v>32</v>
      </c>
      <c r="E30" t="s">
        <v>436</v>
      </c>
      <c r="F30" t="s">
        <v>265</v>
      </c>
      <c r="G30" t="s">
        <v>374</v>
      </c>
      <c r="H30" t="s">
        <v>76</v>
      </c>
      <c r="I30" t="s">
        <v>437</v>
      </c>
      <c r="J30" t="s">
        <v>78</v>
      </c>
      <c r="K30" t="s">
        <v>438</v>
      </c>
      <c r="L30" t="s">
        <v>228</v>
      </c>
      <c r="M30">
        <v>17</v>
      </c>
      <c r="N30" t="s">
        <v>268</v>
      </c>
      <c r="O30">
        <v>2010</v>
      </c>
      <c r="P30" t="s">
        <v>439</v>
      </c>
      <c r="Q30" t="s">
        <v>440</v>
      </c>
      <c r="R30">
        <v>128223</v>
      </c>
      <c r="S30" t="s">
        <v>434</v>
      </c>
      <c r="T30" t="s">
        <v>441</v>
      </c>
      <c r="U30">
        <v>1992</v>
      </c>
      <c r="V30" t="s">
        <v>122</v>
      </c>
      <c r="W30">
        <v>1.89</v>
      </c>
      <c r="X30" t="s">
        <v>76</v>
      </c>
      <c r="Y30" t="s">
        <v>123</v>
      </c>
      <c r="Z30" t="s">
        <v>87</v>
      </c>
      <c r="AA30" t="s">
        <v>438</v>
      </c>
      <c r="AB30">
        <v>45999</v>
      </c>
      <c r="AC30" t="s">
        <v>170</v>
      </c>
      <c r="AD30" t="s">
        <v>442</v>
      </c>
      <c r="AE30">
        <v>40524</v>
      </c>
      <c r="AF30">
        <v>18</v>
      </c>
      <c r="AG30" t="s">
        <v>91</v>
      </c>
      <c r="AH30">
        <v>40917</v>
      </c>
      <c r="AI30">
        <v>19</v>
      </c>
      <c r="AJ30" t="s">
        <v>110</v>
      </c>
      <c r="AK30">
        <v>18</v>
      </c>
      <c r="AL30">
        <v>28</v>
      </c>
      <c r="AM30">
        <v>386</v>
      </c>
      <c r="AN30">
        <v>67</v>
      </c>
      <c r="AO30">
        <v>10</v>
      </c>
      <c r="AP30" t="s">
        <v>93</v>
      </c>
      <c r="AQ30" t="s">
        <v>89</v>
      </c>
      <c r="AR30" t="s">
        <v>89</v>
      </c>
      <c r="AS30" t="s">
        <v>93</v>
      </c>
      <c r="AT30" t="s">
        <v>89</v>
      </c>
      <c r="AU30" t="s">
        <v>89</v>
      </c>
      <c r="AV30" t="s">
        <v>89</v>
      </c>
      <c r="AW30">
        <v>15</v>
      </c>
      <c r="AX30">
        <v>7</v>
      </c>
      <c r="AY30" t="s">
        <v>111</v>
      </c>
      <c r="AZ30">
        <v>23</v>
      </c>
      <c r="BA30">
        <v>87</v>
      </c>
      <c r="BB30">
        <v>5257</v>
      </c>
      <c r="BC30">
        <v>37</v>
      </c>
      <c r="BD30">
        <v>560</v>
      </c>
      <c r="BE30">
        <v>31944</v>
      </c>
      <c r="BF30">
        <v>196</v>
      </c>
      <c r="BG30" t="s">
        <v>89</v>
      </c>
      <c r="BH30">
        <v>647</v>
      </c>
      <c r="BI30">
        <v>37201</v>
      </c>
      <c r="BJ30">
        <v>233</v>
      </c>
      <c r="BK30">
        <f t="shared" si="2"/>
        <v>647</v>
      </c>
      <c r="BL30">
        <f t="shared" si="3"/>
        <v>37201</v>
      </c>
      <c r="BM30">
        <f t="shared" si="4"/>
        <v>233</v>
      </c>
      <c r="BN30">
        <f t="shared" si="5"/>
        <v>0</v>
      </c>
      <c r="BO30">
        <f t="shared" si="6"/>
        <v>0</v>
      </c>
      <c r="BP30">
        <f t="shared" si="7"/>
        <v>0</v>
      </c>
      <c r="BQ30" t="s">
        <v>123</v>
      </c>
      <c r="BR30" t="s">
        <v>112</v>
      </c>
      <c r="BS30" t="s">
        <v>89</v>
      </c>
      <c r="BT30">
        <v>34</v>
      </c>
      <c r="BU30" t="s">
        <v>89</v>
      </c>
      <c r="BV30" t="s">
        <v>89</v>
      </c>
      <c r="BW30">
        <v>16</v>
      </c>
      <c r="BX30">
        <v>1992</v>
      </c>
      <c r="BY30">
        <v>14</v>
      </c>
      <c r="BZ30">
        <f t="shared" si="8"/>
        <v>-1</v>
      </c>
      <c r="CA30">
        <f t="shared" si="9"/>
        <v>2</v>
      </c>
      <c r="CB30" t="b">
        <f t="shared" si="10"/>
        <v>0</v>
      </c>
    </row>
    <row r="31" spans="1:80" x14ac:dyDescent="0.3">
      <c r="A31" t="s">
        <v>443</v>
      </c>
      <c r="B31" t="s">
        <v>71</v>
      </c>
      <c r="C31" t="s">
        <v>444</v>
      </c>
      <c r="D31">
        <v>39</v>
      </c>
      <c r="E31">
        <v>31279</v>
      </c>
      <c r="F31" t="s">
        <v>89</v>
      </c>
      <c r="G31" t="s">
        <v>193</v>
      </c>
      <c r="H31" t="s">
        <v>76</v>
      </c>
      <c r="I31" t="s">
        <v>437</v>
      </c>
      <c r="J31" t="s">
        <v>300</v>
      </c>
      <c r="K31" t="s">
        <v>89</v>
      </c>
      <c r="L31" t="s">
        <v>117</v>
      </c>
      <c r="M31">
        <v>19</v>
      </c>
      <c r="N31" t="s">
        <v>118</v>
      </c>
      <c r="O31">
        <v>2005</v>
      </c>
      <c r="P31" t="s">
        <v>445</v>
      </c>
      <c r="Q31" t="s">
        <v>446</v>
      </c>
      <c r="R31">
        <v>18644</v>
      </c>
      <c r="S31" t="s">
        <v>443</v>
      </c>
      <c r="T31" t="s">
        <v>447</v>
      </c>
      <c r="U31">
        <v>1985</v>
      </c>
      <c r="V31" t="s">
        <v>122</v>
      </c>
      <c r="W31">
        <v>1.86</v>
      </c>
      <c r="X31" t="s">
        <v>76</v>
      </c>
      <c r="Y31" t="s">
        <v>123</v>
      </c>
      <c r="Z31" t="s">
        <v>152</v>
      </c>
      <c r="AA31" t="s">
        <v>107</v>
      </c>
      <c r="AB31" s="1">
        <v>45811</v>
      </c>
      <c r="AC31" t="s">
        <v>108</v>
      </c>
      <c r="AD31" t="s">
        <v>448</v>
      </c>
      <c r="AE31" t="s">
        <v>449</v>
      </c>
      <c r="AF31">
        <v>22</v>
      </c>
      <c r="AG31" t="s">
        <v>91</v>
      </c>
      <c r="AH31" t="s">
        <v>450</v>
      </c>
      <c r="AI31">
        <v>20</v>
      </c>
      <c r="AJ31" t="s">
        <v>110</v>
      </c>
      <c r="AK31">
        <v>20</v>
      </c>
      <c r="AL31">
        <v>9</v>
      </c>
      <c r="AM31">
        <v>216</v>
      </c>
      <c r="AN31">
        <v>42</v>
      </c>
      <c r="AO31">
        <v>6</v>
      </c>
      <c r="AP31" t="s">
        <v>93</v>
      </c>
      <c r="AQ31" t="s">
        <v>89</v>
      </c>
      <c r="AR31" t="s">
        <v>89</v>
      </c>
      <c r="AS31" t="s">
        <v>111</v>
      </c>
      <c r="AT31">
        <v>45811</v>
      </c>
      <c r="AU31">
        <v>2025</v>
      </c>
      <c r="AV31">
        <v>20</v>
      </c>
      <c r="AW31">
        <v>20</v>
      </c>
      <c r="AX31" t="s">
        <v>89</v>
      </c>
      <c r="AY31" t="s">
        <v>111</v>
      </c>
      <c r="AZ31">
        <v>5</v>
      </c>
      <c r="BA31">
        <v>9</v>
      </c>
      <c r="BB31">
        <v>411</v>
      </c>
      <c r="BC31">
        <v>7</v>
      </c>
      <c r="BD31">
        <v>594</v>
      </c>
      <c r="BE31">
        <v>37861</v>
      </c>
      <c r="BF31">
        <v>197</v>
      </c>
      <c r="BG31">
        <v>40</v>
      </c>
      <c r="BH31">
        <v>603</v>
      </c>
      <c r="BI31">
        <v>38272</v>
      </c>
      <c r="BJ31">
        <v>204</v>
      </c>
      <c r="BK31">
        <f t="shared" si="2"/>
        <v>603</v>
      </c>
      <c r="BL31">
        <f t="shared" si="3"/>
        <v>38272</v>
      </c>
      <c r="BM31">
        <f t="shared" si="4"/>
        <v>204</v>
      </c>
      <c r="BN31">
        <f t="shared" si="5"/>
        <v>0</v>
      </c>
      <c r="BO31">
        <f t="shared" si="6"/>
        <v>0</v>
      </c>
      <c r="BP31">
        <f t="shared" si="7"/>
        <v>0</v>
      </c>
      <c r="BQ31" t="s">
        <v>123</v>
      </c>
      <c r="BR31" t="s">
        <v>112</v>
      </c>
      <c r="BS31" t="s">
        <v>89</v>
      </c>
      <c r="BT31">
        <v>41</v>
      </c>
      <c r="BU31">
        <v>45811</v>
      </c>
      <c r="BV31" t="s">
        <v>89</v>
      </c>
      <c r="BW31">
        <v>20</v>
      </c>
      <c r="BX31">
        <v>1985</v>
      </c>
      <c r="BY31">
        <v>20</v>
      </c>
      <c r="BZ31">
        <f t="shared" si="8"/>
        <v>0</v>
      </c>
      <c r="CA31">
        <f t="shared" si="9"/>
        <v>0</v>
      </c>
      <c r="CB31" t="b">
        <f t="shared" si="10"/>
        <v>1</v>
      </c>
    </row>
    <row r="32" spans="1:80" x14ac:dyDescent="0.3">
      <c r="A32" t="s">
        <v>451</v>
      </c>
      <c r="B32" t="s">
        <v>71</v>
      </c>
      <c r="C32" t="s">
        <v>452</v>
      </c>
      <c r="D32">
        <v>46</v>
      </c>
      <c r="E32">
        <v>28963</v>
      </c>
      <c r="F32" t="s">
        <v>89</v>
      </c>
      <c r="G32" t="s">
        <v>75</v>
      </c>
      <c r="H32" t="s">
        <v>76</v>
      </c>
      <c r="I32" t="s">
        <v>453</v>
      </c>
      <c r="J32" t="s">
        <v>89</v>
      </c>
      <c r="K32" t="s">
        <v>89</v>
      </c>
      <c r="L32" t="s">
        <v>99</v>
      </c>
      <c r="M32">
        <v>22</v>
      </c>
      <c r="N32" t="s">
        <v>361</v>
      </c>
      <c r="O32">
        <v>2001</v>
      </c>
      <c r="P32" t="s">
        <v>454</v>
      </c>
      <c r="Q32" t="s">
        <v>455</v>
      </c>
      <c r="R32">
        <v>8323</v>
      </c>
      <c r="S32" t="s">
        <v>451</v>
      </c>
      <c r="T32" t="s">
        <v>456</v>
      </c>
      <c r="U32">
        <v>1979</v>
      </c>
      <c r="V32" t="s">
        <v>234</v>
      </c>
      <c r="W32">
        <v>1.8</v>
      </c>
      <c r="X32" t="s">
        <v>76</v>
      </c>
      <c r="Y32" t="s">
        <v>259</v>
      </c>
      <c r="Z32" t="s">
        <v>87</v>
      </c>
      <c r="AA32" t="s">
        <v>457</v>
      </c>
      <c r="AB32">
        <v>42736</v>
      </c>
      <c r="AC32" t="s">
        <v>108</v>
      </c>
      <c r="AD32" t="s">
        <v>89</v>
      </c>
      <c r="AE32" t="s">
        <v>458</v>
      </c>
      <c r="AF32">
        <v>24</v>
      </c>
      <c r="AG32" t="s">
        <v>91</v>
      </c>
      <c r="AH32">
        <v>36647</v>
      </c>
      <c r="AI32">
        <v>20</v>
      </c>
      <c r="AJ32" t="s">
        <v>459</v>
      </c>
      <c r="AK32">
        <v>20</v>
      </c>
      <c r="AL32">
        <v>1</v>
      </c>
      <c r="AM32">
        <v>25</v>
      </c>
      <c r="AN32">
        <v>6</v>
      </c>
      <c r="AO32">
        <v>1</v>
      </c>
      <c r="AP32" t="s">
        <v>93</v>
      </c>
      <c r="AQ32" t="s">
        <v>89</v>
      </c>
      <c r="AR32" t="s">
        <v>89</v>
      </c>
      <c r="AS32" t="s">
        <v>111</v>
      </c>
      <c r="AT32">
        <v>42736</v>
      </c>
      <c r="AU32">
        <v>2017</v>
      </c>
      <c r="AV32">
        <v>16</v>
      </c>
      <c r="AW32">
        <v>16</v>
      </c>
      <c r="AX32" t="s">
        <v>89</v>
      </c>
      <c r="AY32" t="s">
        <v>93</v>
      </c>
      <c r="AZ32">
        <v>0</v>
      </c>
      <c r="BA32">
        <v>0</v>
      </c>
      <c r="BB32">
        <v>0</v>
      </c>
      <c r="BC32">
        <v>0</v>
      </c>
      <c r="BD32">
        <v>444</v>
      </c>
      <c r="BE32">
        <v>32251</v>
      </c>
      <c r="BF32">
        <v>8</v>
      </c>
      <c r="BG32">
        <v>38</v>
      </c>
      <c r="BH32">
        <v>444</v>
      </c>
      <c r="BI32">
        <v>32251</v>
      </c>
      <c r="BJ32">
        <v>8</v>
      </c>
      <c r="BK32">
        <f t="shared" si="2"/>
        <v>444</v>
      </c>
      <c r="BL32">
        <f t="shared" si="3"/>
        <v>32251</v>
      </c>
      <c r="BM32">
        <f t="shared" si="4"/>
        <v>8</v>
      </c>
      <c r="BN32">
        <f t="shared" si="5"/>
        <v>0</v>
      </c>
      <c r="BO32">
        <f t="shared" si="6"/>
        <v>0</v>
      </c>
      <c r="BP32">
        <f t="shared" si="7"/>
        <v>0</v>
      </c>
      <c r="BQ32" t="s">
        <v>259</v>
      </c>
      <c r="BR32" t="s">
        <v>94</v>
      </c>
      <c r="BS32" t="s">
        <v>89</v>
      </c>
      <c r="BT32">
        <v>47</v>
      </c>
      <c r="BU32">
        <v>42736</v>
      </c>
      <c r="BV32" t="s">
        <v>89</v>
      </c>
      <c r="BW32">
        <v>18</v>
      </c>
      <c r="BX32">
        <v>1979</v>
      </c>
      <c r="BY32">
        <v>18</v>
      </c>
      <c r="BZ32">
        <f t="shared" si="8"/>
        <v>-2</v>
      </c>
      <c r="CA32">
        <f t="shared" si="9"/>
        <v>0</v>
      </c>
      <c r="CB32" t="b">
        <f t="shared" si="10"/>
        <v>0</v>
      </c>
    </row>
    <row r="33" spans="1:80" x14ac:dyDescent="0.3">
      <c r="A33" t="s">
        <v>460</v>
      </c>
      <c r="B33" t="s">
        <v>71</v>
      </c>
      <c r="C33" t="s">
        <v>461</v>
      </c>
      <c r="D33">
        <v>34</v>
      </c>
      <c r="E33">
        <v>33355</v>
      </c>
      <c r="F33" t="s">
        <v>89</v>
      </c>
      <c r="G33" t="s">
        <v>400</v>
      </c>
      <c r="H33" t="s">
        <v>76</v>
      </c>
      <c r="I33" t="s">
        <v>437</v>
      </c>
      <c r="J33" t="s">
        <v>78</v>
      </c>
      <c r="K33" t="s">
        <v>89</v>
      </c>
      <c r="L33" t="s">
        <v>228</v>
      </c>
      <c r="M33">
        <v>19</v>
      </c>
      <c r="N33" t="s">
        <v>146</v>
      </c>
      <c r="O33">
        <v>2010</v>
      </c>
      <c r="P33" t="s">
        <v>462</v>
      </c>
      <c r="Q33" t="s">
        <v>463</v>
      </c>
      <c r="R33">
        <v>141835</v>
      </c>
      <c r="S33" t="s">
        <v>460</v>
      </c>
      <c r="T33" t="s">
        <v>464</v>
      </c>
      <c r="U33">
        <v>1991</v>
      </c>
      <c r="V33" t="s">
        <v>465</v>
      </c>
      <c r="W33">
        <v>1.82</v>
      </c>
      <c r="X33" t="s">
        <v>76</v>
      </c>
      <c r="Y33" t="s">
        <v>123</v>
      </c>
      <c r="Z33" t="s">
        <v>87</v>
      </c>
      <c r="AA33" t="s">
        <v>466</v>
      </c>
      <c r="AB33" t="s">
        <v>467</v>
      </c>
      <c r="AC33" t="s">
        <v>170</v>
      </c>
      <c r="AD33" t="s">
        <v>89</v>
      </c>
      <c r="AE33" t="s">
        <v>468</v>
      </c>
      <c r="AF33">
        <v>19</v>
      </c>
      <c r="AG33" t="s">
        <v>91</v>
      </c>
      <c r="AH33" t="s">
        <v>469</v>
      </c>
      <c r="AI33">
        <v>25</v>
      </c>
      <c r="AJ33" t="s">
        <v>110</v>
      </c>
      <c r="AK33">
        <v>19</v>
      </c>
      <c r="AL33">
        <v>8</v>
      </c>
      <c r="AM33">
        <v>336</v>
      </c>
      <c r="AN33">
        <v>38</v>
      </c>
      <c r="AO33">
        <v>5</v>
      </c>
      <c r="AP33" t="s">
        <v>93</v>
      </c>
      <c r="AQ33" t="s">
        <v>89</v>
      </c>
      <c r="AR33" t="s">
        <v>89</v>
      </c>
      <c r="AS33" t="s">
        <v>93</v>
      </c>
      <c r="AT33" t="s">
        <v>89</v>
      </c>
      <c r="AU33" t="s">
        <v>89</v>
      </c>
      <c r="AV33" t="s">
        <v>89</v>
      </c>
      <c r="AW33">
        <v>15</v>
      </c>
      <c r="AX33">
        <v>9</v>
      </c>
      <c r="AY33" t="s">
        <v>93</v>
      </c>
      <c r="AZ33">
        <v>0</v>
      </c>
      <c r="BA33">
        <v>0</v>
      </c>
      <c r="BB33">
        <v>0</v>
      </c>
      <c r="BC33">
        <v>0</v>
      </c>
      <c r="BD33">
        <v>332</v>
      </c>
      <c r="BE33">
        <v>17861</v>
      </c>
      <c r="BF33">
        <v>60</v>
      </c>
      <c r="BG33" t="s">
        <v>89</v>
      </c>
      <c r="BH33">
        <v>332</v>
      </c>
      <c r="BI33">
        <v>17861</v>
      </c>
      <c r="BJ33">
        <v>60</v>
      </c>
      <c r="BK33">
        <f t="shared" si="2"/>
        <v>332</v>
      </c>
      <c r="BL33">
        <f t="shared" si="3"/>
        <v>17861</v>
      </c>
      <c r="BM33">
        <f t="shared" si="4"/>
        <v>60</v>
      </c>
      <c r="BN33">
        <f t="shared" si="5"/>
        <v>0</v>
      </c>
      <c r="BO33">
        <f t="shared" si="6"/>
        <v>0</v>
      </c>
      <c r="BP33">
        <f t="shared" si="7"/>
        <v>0</v>
      </c>
      <c r="BQ33" t="s">
        <v>123</v>
      </c>
      <c r="BR33" t="s">
        <v>112</v>
      </c>
      <c r="BS33" s="1">
        <v>33355</v>
      </c>
      <c r="BT33">
        <v>34</v>
      </c>
      <c r="BU33" t="s">
        <v>89</v>
      </c>
      <c r="BV33" t="s">
        <v>89</v>
      </c>
      <c r="BW33">
        <v>15</v>
      </c>
      <c r="BX33">
        <v>1991</v>
      </c>
      <c r="BY33">
        <v>15</v>
      </c>
      <c r="BZ33">
        <f t="shared" si="8"/>
        <v>0</v>
      </c>
      <c r="CA33">
        <f t="shared" si="9"/>
        <v>0</v>
      </c>
      <c r="CB33" t="b">
        <f t="shared" si="10"/>
        <v>1</v>
      </c>
    </row>
    <row r="34" spans="1:80" x14ac:dyDescent="0.3">
      <c r="A34" t="s">
        <v>470</v>
      </c>
      <c r="B34" t="s">
        <v>71</v>
      </c>
      <c r="C34" t="s">
        <v>471</v>
      </c>
      <c r="D34">
        <v>30</v>
      </c>
      <c r="E34" s="1">
        <v>34589</v>
      </c>
      <c r="F34" t="s">
        <v>89</v>
      </c>
      <c r="G34" t="s">
        <v>115</v>
      </c>
      <c r="H34" t="s">
        <v>76</v>
      </c>
      <c r="I34" t="s">
        <v>116</v>
      </c>
      <c r="J34" t="s">
        <v>78</v>
      </c>
      <c r="K34" t="s">
        <v>89</v>
      </c>
      <c r="L34" t="s">
        <v>278</v>
      </c>
      <c r="M34">
        <v>16</v>
      </c>
      <c r="N34" t="s">
        <v>301</v>
      </c>
      <c r="O34">
        <v>2011</v>
      </c>
      <c r="P34" t="s">
        <v>472</v>
      </c>
      <c r="Q34" t="s">
        <v>473</v>
      </c>
      <c r="R34">
        <v>162074</v>
      </c>
      <c r="S34" t="s">
        <v>470</v>
      </c>
      <c r="T34" t="s">
        <v>474</v>
      </c>
      <c r="U34">
        <v>1994</v>
      </c>
      <c r="V34" t="s">
        <v>475</v>
      </c>
      <c r="W34">
        <v>1.8</v>
      </c>
      <c r="X34" t="s">
        <v>76</v>
      </c>
      <c r="Y34" t="s">
        <v>391</v>
      </c>
      <c r="Z34" t="s">
        <v>87</v>
      </c>
      <c r="AA34" t="s">
        <v>476</v>
      </c>
      <c r="AB34" s="1">
        <v>45298</v>
      </c>
      <c r="AC34" t="s">
        <v>108</v>
      </c>
      <c r="AD34" t="s">
        <v>89</v>
      </c>
      <c r="AE34" t="s">
        <v>306</v>
      </c>
      <c r="AF34">
        <v>16</v>
      </c>
      <c r="AG34" t="s">
        <v>91</v>
      </c>
      <c r="AH34" t="s">
        <v>477</v>
      </c>
      <c r="AI34">
        <v>20</v>
      </c>
      <c r="AJ34" t="s">
        <v>110</v>
      </c>
      <c r="AK34">
        <v>16</v>
      </c>
      <c r="AL34">
        <v>9</v>
      </c>
      <c r="AM34">
        <v>585</v>
      </c>
      <c r="AN34">
        <v>77</v>
      </c>
      <c r="AO34">
        <v>7</v>
      </c>
      <c r="AP34" t="s">
        <v>93</v>
      </c>
      <c r="AQ34" t="s">
        <v>89</v>
      </c>
      <c r="AR34" t="s">
        <v>89</v>
      </c>
      <c r="AS34" t="s">
        <v>93</v>
      </c>
      <c r="AT34" t="s">
        <v>89</v>
      </c>
      <c r="AU34" t="s">
        <v>89</v>
      </c>
      <c r="AV34" t="s">
        <v>89</v>
      </c>
      <c r="AW34">
        <v>14</v>
      </c>
      <c r="AX34" t="s">
        <v>89</v>
      </c>
      <c r="AY34" t="s">
        <v>93</v>
      </c>
      <c r="AZ34">
        <v>0</v>
      </c>
      <c r="BA34">
        <v>0</v>
      </c>
      <c r="BB34">
        <v>0</v>
      </c>
      <c r="BC34">
        <v>0</v>
      </c>
      <c r="BD34">
        <v>242</v>
      </c>
      <c r="BE34">
        <v>11656</v>
      </c>
      <c r="BF34">
        <v>20</v>
      </c>
      <c r="BG34" t="s">
        <v>89</v>
      </c>
      <c r="BH34">
        <v>242</v>
      </c>
      <c r="BI34">
        <v>11656</v>
      </c>
      <c r="BJ34">
        <v>20</v>
      </c>
      <c r="BK34">
        <f t="shared" si="2"/>
        <v>242</v>
      </c>
      <c r="BL34">
        <f t="shared" si="3"/>
        <v>11656</v>
      </c>
      <c r="BM34">
        <f t="shared" si="4"/>
        <v>20</v>
      </c>
      <c r="BN34">
        <f t="shared" si="5"/>
        <v>0</v>
      </c>
      <c r="BO34">
        <f t="shared" si="6"/>
        <v>0</v>
      </c>
      <c r="BP34">
        <f t="shared" si="7"/>
        <v>0</v>
      </c>
      <c r="BQ34" t="s">
        <v>391</v>
      </c>
      <c r="BR34" t="s">
        <v>112</v>
      </c>
      <c r="BS34" t="s">
        <v>89</v>
      </c>
      <c r="BT34">
        <v>32</v>
      </c>
      <c r="BU34" t="s">
        <v>89</v>
      </c>
      <c r="BV34" t="s">
        <v>89</v>
      </c>
      <c r="BW34">
        <v>16</v>
      </c>
      <c r="BX34">
        <v>1994</v>
      </c>
      <c r="BY34">
        <v>14</v>
      </c>
      <c r="BZ34">
        <f t="shared" si="8"/>
        <v>-2</v>
      </c>
      <c r="CA34">
        <f t="shared" si="9"/>
        <v>2</v>
      </c>
      <c r="CB34" t="b">
        <f t="shared" si="10"/>
        <v>0</v>
      </c>
    </row>
    <row r="35" spans="1:80" x14ac:dyDescent="0.3">
      <c r="A35" t="s">
        <v>478</v>
      </c>
      <c r="B35" t="s">
        <v>71</v>
      </c>
      <c r="C35" t="s">
        <v>479</v>
      </c>
      <c r="D35">
        <v>42</v>
      </c>
      <c r="E35" s="1">
        <v>30317</v>
      </c>
      <c r="F35" t="s">
        <v>89</v>
      </c>
      <c r="G35" t="s">
        <v>226</v>
      </c>
      <c r="H35" t="s">
        <v>89</v>
      </c>
      <c r="I35" t="s">
        <v>227</v>
      </c>
      <c r="J35" t="s">
        <v>89</v>
      </c>
      <c r="K35" t="s">
        <v>89</v>
      </c>
      <c r="L35" t="s">
        <v>117</v>
      </c>
      <c r="M35">
        <v>22</v>
      </c>
      <c r="N35" t="s">
        <v>480</v>
      </c>
      <c r="O35">
        <v>2005</v>
      </c>
      <c r="P35" t="s">
        <v>481</v>
      </c>
      <c r="Q35" t="s">
        <v>482</v>
      </c>
      <c r="R35">
        <v>51420</v>
      </c>
      <c r="S35" t="s">
        <v>478</v>
      </c>
      <c r="T35" t="s">
        <v>483</v>
      </c>
      <c r="U35">
        <v>1983</v>
      </c>
      <c r="V35" t="s">
        <v>484</v>
      </c>
      <c r="W35">
        <v>1.85</v>
      </c>
      <c r="X35" t="s">
        <v>76</v>
      </c>
      <c r="Y35" t="s">
        <v>235</v>
      </c>
      <c r="Z35" t="s">
        <v>87</v>
      </c>
      <c r="AA35" t="s">
        <v>480</v>
      </c>
      <c r="AB35" s="1">
        <v>43107</v>
      </c>
      <c r="AC35" t="s">
        <v>108</v>
      </c>
      <c r="AD35" t="s">
        <v>89</v>
      </c>
      <c r="AE35" t="s">
        <v>138</v>
      </c>
      <c r="AF35">
        <v>26</v>
      </c>
      <c r="AG35" t="s">
        <v>91</v>
      </c>
      <c r="AH35" t="s">
        <v>485</v>
      </c>
      <c r="AI35">
        <v>22</v>
      </c>
      <c r="AJ35" t="s">
        <v>110</v>
      </c>
      <c r="AK35">
        <v>22</v>
      </c>
      <c r="AL35" t="s">
        <v>89</v>
      </c>
      <c r="AM35" t="s">
        <v>89</v>
      </c>
      <c r="AN35" t="s">
        <v>89</v>
      </c>
      <c r="AO35">
        <v>0</v>
      </c>
      <c r="AP35" t="s">
        <v>93</v>
      </c>
      <c r="AQ35" t="s">
        <v>89</v>
      </c>
      <c r="AR35" t="s">
        <v>89</v>
      </c>
      <c r="AS35" t="s">
        <v>111</v>
      </c>
      <c r="AT35" s="1">
        <v>43107</v>
      </c>
      <c r="AU35">
        <v>2018</v>
      </c>
      <c r="AV35">
        <v>13</v>
      </c>
      <c r="AW35">
        <v>13</v>
      </c>
      <c r="AX35" t="s">
        <v>89</v>
      </c>
      <c r="AY35" t="s">
        <v>93</v>
      </c>
      <c r="AZ35">
        <v>0</v>
      </c>
      <c r="BA35">
        <v>0</v>
      </c>
      <c r="BB35">
        <v>0</v>
      </c>
      <c r="BC35">
        <v>0</v>
      </c>
      <c r="BD35">
        <v>291</v>
      </c>
      <c r="BE35">
        <v>24827</v>
      </c>
      <c r="BF35">
        <v>3</v>
      </c>
      <c r="BG35">
        <v>35</v>
      </c>
      <c r="BH35">
        <v>291</v>
      </c>
      <c r="BI35">
        <v>24827</v>
      </c>
      <c r="BJ35">
        <v>3</v>
      </c>
      <c r="BK35">
        <f t="shared" si="2"/>
        <v>291</v>
      </c>
      <c r="BL35">
        <f t="shared" si="3"/>
        <v>24827</v>
      </c>
      <c r="BM35">
        <f t="shared" si="4"/>
        <v>3</v>
      </c>
      <c r="BN35">
        <f t="shared" si="5"/>
        <v>0</v>
      </c>
      <c r="BO35">
        <f t="shared" si="6"/>
        <v>0</v>
      </c>
      <c r="BP35">
        <f t="shared" si="7"/>
        <v>0</v>
      </c>
      <c r="BQ35" t="s">
        <v>235</v>
      </c>
      <c r="BR35" t="s">
        <v>140</v>
      </c>
      <c r="BS35" t="s">
        <v>89</v>
      </c>
      <c r="BT35">
        <v>43</v>
      </c>
      <c r="BU35" s="1">
        <v>43107</v>
      </c>
      <c r="BV35" s="1">
        <v>43282</v>
      </c>
      <c r="BW35">
        <v>13</v>
      </c>
      <c r="BX35">
        <v>1983</v>
      </c>
      <c r="BY35">
        <v>13</v>
      </c>
      <c r="BZ35">
        <f t="shared" si="8"/>
        <v>0</v>
      </c>
      <c r="CA35">
        <f t="shared" si="9"/>
        <v>0</v>
      </c>
      <c r="CB35" t="b">
        <f t="shared" si="10"/>
        <v>1</v>
      </c>
    </row>
    <row r="36" spans="1:80" x14ac:dyDescent="0.3">
      <c r="A36" t="s">
        <v>486</v>
      </c>
      <c r="B36" t="s">
        <v>156</v>
      </c>
      <c r="C36" t="s">
        <v>487</v>
      </c>
      <c r="D36">
        <v>37</v>
      </c>
      <c r="E36" t="s">
        <v>488</v>
      </c>
      <c r="F36" t="s">
        <v>210</v>
      </c>
      <c r="G36" t="s">
        <v>115</v>
      </c>
      <c r="H36" t="s">
        <v>177</v>
      </c>
      <c r="I36" t="s">
        <v>77</v>
      </c>
      <c r="J36" t="s">
        <v>300</v>
      </c>
      <c r="K36" t="s">
        <v>489</v>
      </c>
      <c r="L36" t="s">
        <v>180</v>
      </c>
      <c r="M36">
        <v>19</v>
      </c>
      <c r="N36" t="s">
        <v>490</v>
      </c>
      <c r="O36">
        <v>2007</v>
      </c>
      <c r="P36" t="s">
        <v>491</v>
      </c>
      <c r="Q36" t="s">
        <v>492</v>
      </c>
      <c r="R36">
        <v>45320</v>
      </c>
      <c r="S36" t="s">
        <v>486</v>
      </c>
      <c r="T36" t="s">
        <v>493</v>
      </c>
      <c r="U36">
        <v>1988</v>
      </c>
      <c r="V36" t="s">
        <v>218</v>
      </c>
      <c r="W36">
        <v>1.78</v>
      </c>
      <c r="X36" t="s">
        <v>169</v>
      </c>
      <c r="Y36" t="s">
        <v>494</v>
      </c>
      <c r="Z36" t="s">
        <v>152</v>
      </c>
      <c r="AA36" t="s">
        <v>489</v>
      </c>
      <c r="AB36">
        <v>45664</v>
      </c>
      <c r="AC36" t="s">
        <v>170</v>
      </c>
      <c r="AD36" t="s">
        <v>442</v>
      </c>
      <c r="AE36" t="s">
        <v>495</v>
      </c>
      <c r="AF36">
        <v>17</v>
      </c>
      <c r="AG36" t="s">
        <v>189</v>
      </c>
      <c r="AH36" t="s">
        <v>92</v>
      </c>
      <c r="AI36" t="s">
        <v>89</v>
      </c>
      <c r="AJ36" t="s">
        <v>92</v>
      </c>
      <c r="AK36">
        <v>17</v>
      </c>
      <c r="AL36">
        <v>51</v>
      </c>
      <c r="AM36">
        <v>748</v>
      </c>
      <c r="AN36">
        <v>146</v>
      </c>
      <c r="AO36">
        <v>15</v>
      </c>
      <c r="AP36" t="s">
        <v>93</v>
      </c>
      <c r="AQ36" t="s">
        <v>89</v>
      </c>
      <c r="AR36" t="s">
        <v>89</v>
      </c>
      <c r="AS36" t="s">
        <v>93</v>
      </c>
      <c r="AT36" t="s">
        <v>89</v>
      </c>
      <c r="AU36" t="s">
        <v>89</v>
      </c>
      <c r="AV36" t="s">
        <v>89</v>
      </c>
      <c r="AW36">
        <v>18</v>
      </c>
      <c r="AX36">
        <v>11</v>
      </c>
      <c r="AY36" t="s">
        <v>111</v>
      </c>
      <c r="AZ36">
        <v>17</v>
      </c>
      <c r="BA36">
        <v>89</v>
      </c>
      <c r="BB36">
        <v>6202</v>
      </c>
      <c r="BC36">
        <v>20</v>
      </c>
      <c r="BD36">
        <v>721</v>
      </c>
      <c r="BE36">
        <v>49503</v>
      </c>
      <c r="BF36">
        <v>178</v>
      </c>
      <c r="BG36" t="s">
        <v>89</v>
      </c>
      <c r="BH36">
        <v>810</v>
      </c>
      <c r="BI36">
        <v>55705</v>
      </c>
      <c r="BJ36">
        <v>198</v>
      </c>
      <c r="BK36">
        <f t="shared" si="2"/>
        <v>810</v>
      </c>
      <c r="BL36">
        <f t="shared" si="3"/>
        <v>55705</v>
      </c>
      <c r="BM36">
        <f t="shared" si="4"/>
        <v>198</v>
      </c>
      <c r="BN36">
        <f t="shared" si="5"/>
        <v>0</v>
      </c>
      <c r="BO36">
        <f t="shared" si="6"/>
        <v>0</v>
      </c>
      <c r="BP36">
        <f t="shared" si="7"/>
        <v>0</v>
      </c>
      <c r="BQ36" t="s">
        <v>494</v>
      </c>
      <c r="BR36" t="s">
        <v>112</v>
      </c>
      <c r="BS36" s="1">
        <v>32187</v>
      </c>
      <c r="BT36">
        <v>38</v>
      </c>
      <c r="BU36" t="s">
        <v>89</v>
      </c>
      <c r="BV36" t="s">
        <v>89</v>
      </c>
      <c r="BW36">
        <v>21</v>
      </c>
      <c r="BX36">
        <v>1988</v>
      </c>
      <c r="BY36">
        <v>20</v>
      </c>
      <c r="BZ36">
        <f t="shared" si="8"/>
        <v>-3</v>
      </c>
      <c r="CA36">
        <f t="shared" si="9"/>
        <v>1</v>
      </c>
      <c r="CB36" t="b">
        <f t="shared" si="10"/>
        <v>0</v>
      </c>
    </row>
    <row r="37" spans="1:80" x14ac:dyDescent="0.3">
      <c r="A37" t="s">
        <v>496</v>
      </c>
      <c r="B37" t="s">
        <v>71</v>
      </c>
      <c r="C37" t="s">
        <v>497</v>
      </c>
      <c r="D37">
        <v>44</v>
      </c>
      <c r="E37" s="1">
        <v>29655</v>
      </c>
      <c r="F37" t="s">
        <v>89</v>
      </c>
      <c r="G37" t="s">
        <v>115</v>
      </c>
      <c r="H37" t="s">
        <v>76</v>
      </c>
      <c r="I37" t="s">
        <v>498</v>
      </c>
      <c r="J37" t="s">
        <v>78</v>
      </c>
      <c r="K37" t="s">
        <v>89</v>
      </c>
      <c r="L37" t="s">
        <v>196</v>
      </c>
      <c r="M37">
        <v>19</v>
      </c>
      <c r="N37" t="s">
        <v>364</v>
      </c>
      <c r="O37">
        <v>2000</v>
      </c>
      <c r="P37" t="s">
        <v>499</v>
      </c>
      <c r="Q37" t="s">
        <v>500</v>
      </c>
      <c r="R37">
        <v>15500</v>
      </c>
      <c r="S37" t="s">
        <v>496</v>
      </c>
      <c r="T37" t="s">
        <v>501</v>
      </c>
      <c r="U37">
        <v>1981</v>
      </c>
      <c r="V37" t="s">
        <v>502</v>
      </c>
      <c r="W37">
        <v>1.8</v>
      </c>
      <c r="X37" t="s">
        <v>76</v>
      </c>
      <c r="Y37" t="s">
        <v>136</v>
      </c>
      <c r="Z37" t="s">
        <v>87</v>
      </c>
      <c r="AA37" t="s">
        <v>503</v>
      </c>
      <c r="AB37" s="1">
        <v>42711</v>
      </c>
      <c r="AC37" t="s">
        <v>108</v>
      </c>
      <c r="AD37" t="s">
        <v>89</v>
      </c>
      <c r="AE37" t="s">
        <v>504</v>
      </c>
      <c r="AF37">
        <v>19</v>
      </c>
      <c r="AG37" t="s">
        <v>91</v>
      </c>
      <c r="AH37" t="s">
        <v>505</v>
      </c>
      <c r="AI37">
        <v>23</v>
      </c>
      <c r="AJ37" t="s">
        <v>110</v>
      </c>
      <c r="AK37">
        <v>19</v>
      </c>
      <c r="AL37">
        <v>2</v>
      </c>
      <c r="AM37">
        <v>339</v>
      </c>
      <c r="AN37">
        <v>59</v>
      </c>
      <c r="AO37">
        <v>2</v>
      </c>
      <c r="AP37" t="s">
        <v>93</v>
      </c>
      <c r="AQ37" t="s">
        <v>89</v>
      </c>
      <c r="AR37" t="s">
        <v>89</v>
      </c>
      <c r="AS37" t="s">
        <v>111</v>
      </c>
      <c r="AT37">
        <v>42711</v>
      </c>
      <c r="AU37">
        <v>2016</v>
      </c>
      <c r="AV37">
        <v>16</v>
      </c>
      <c r="AW37">
        <v>16</v>
      </c>
      <c r="AX37" t="s">
        <v>89</v>
      </c>
      <c r="AY37" t="s">
        <v>111</v>
      </c>
      <c r="AZ37">
        <v>1</v>
      </c>
      <c r="BA37">
        <v>1</v>
      </c>
      <c r="BB37">
        <v>90</v>
      </c>
      <c r="BC37">
        <v>0</v>
      </c>
      <c r="BD37">
        <v>460</v>
      </c>
      <c r="BE37">
        <v>37134</v>
      </c>
      <c r="BF37">
        <v>14</v>
      </c>
      <c r="BG37">
        <v>35</v>
      </c>
      <c r="BH37">
        <v>461</v>
      </c>
      <c r="BI37">
        <v>37224</v>
      </c>
      <c r="BJ37">
        <v>14</v>
      </c>
      <c r="BK37">
        <f t="shared" si="2"/>
        <v>461</v>
      </c>
      <c r="BL37">
        <f t="shared" si="3"/>
        <v>37224</v>
      </c>
      <c r="BM37">
        <f t="shared" si="4"/>
        <v>14</v>
      </c>
      <c r="BN37">
        <f t="shared" si="5"/>
        <v>0</v>
      </c>
      <c r="BO37">
        <f t="shared" si="6"/>
        <v>0</v>
      </c>
      <c r="BP37">
        <f t="shared" si="7"/>
        <v>0</v>
      </c>
      <c r="BQ37" t="s">
        <v>136</v>
      </c>
      <c r="BR37" t="s">
        <v>140</v>
      </c>
      <c r="BS37" t="s">
        <v>89</v>
      </c>
      <c r="BT37">
        <v>45</v>
      </c>
      <c r="BU37">
        <v>42711</v>
      </c>
      <c r="BV37" t="s">
        <v>89</v>
      </c>
      <c r="BW37">
        <v>16</v>
      </c>
      <c r="BX37">
        <v>1981</v>
      </c>
      <c r="BY37">
        <v>16</v>
      </c>
      <c r="BZ37">
        <f t="shared" si="8"/>
        <v>0</v>
      </c>
      <c r="CA37">
        <f t="shared" si="9"/>
        <v>0</v>
      </c>
      <c r="CB37" t="b">
        <f t="shared" si="10"/>
        <v>1</v>
      </c>
    </row>
    <row r="38" spans="1:80" x14ac:dyDescent="0.3">
      <c r="A38" t="s">
        <v>506</v>
      </c>
      <c r="B38" t="s">
        <v>71</v>
      </c>
      <c r="C38" t="s">
        <v>507</v>
      </c>
      <c r="D38">
        <v>40</v>
      </c>
      <c r="E38" s="1">
        <v>30901</v>
      </c>
      <c r="F38" t="s">
        <v>89</v>
      </c>
      <c r="G38" t="s">
        <v>277</v>
      </c>
      <c r="H38" t="s">
        <v>89</v>
      </c>
      <c r="I38" t="s">
        <v>116</v>
      </c>
      <c r="J38" t="s">
        <v>78</v>
      </c>
      <c r="K38" t="s">
        <v>89</v>
      </c>
      <c r="L38" t="s">
        <v>117</v>
      </c>
      <c r="M38">
        <v>20</v>
      </c>
      <c r="N38" t="s">
        <v>508</v>
      </c>
      <c r="O38">
        <v>2005</v>
      </c>
      <c r="P38" t="s">
        <v>509</v>
      </c>
      <c r="Q38" t="s">
        <v>510</v>
      </c>
      <c r="R38">
        <v>35562</v>
      </c>
      <c r="S38" t="s">
        <v>506</v>
      </c>
      <c r="T38" t="s">
        <v>511</v>
      </c>
      <c r="U38">
        <v>1984</v>
      </c>
      <c r="V38" t="s">
        <v>508</v>
      </c>
      <c r="W38">
        <v>1.88</v>
      </c>
      <c r="X38" t="s">
        <v>76</v>
      </c>
      <c r="Y38" t="s">
        <v>391</v>
      </c>
      <c r="Z38" t="s">
        <v>87</v>
      </c>
      <c r="AA38" t="s">
        <v>512</v>
      </c>
      <c r="AB38" s="1">
        <v>43135</v>
      </c>
      <c r="AC38" t="s">
        <v>108</v>
      </c>
      <c r="AD38" t="s">
        <v>89</v>
      </c>
      <c r="AE38" t="s">
        <v>513</v>
      </c>
      <c r="AF38">
        <v>21</v>
      </c>
      <c r="AG38" t="s">
        <v>91</v>
      </c>
      <c r="AH38" t="s">
        <v>92</v>
      </c>
      <c r="AI38" t="s">
        <v>89</v>
      </c>
      <c r="AJ38" t="s">
        <v>92</v>
      </c>
      <c r="AK38">
        <v>21</v>
      </c>
      <c r="AL38">
        <v>4</v>
      </c>
      <c r="AM38">
        <v>223</v>
      </c>
      <c r="AN38">
        <v>34</v>
      </c>
      <c r="AO38">
        <v>4</v>
      </c>
      <c r="AP38" t="s">
        <v>93</v>
      </c>
      <c r="AQ38" t="s">
        <v>89</v>
      </c>
      <c r="AR38" t="s">
        <v>89</v>
      </c>
      <c r="AS38" t="s">
        <v>111</v>
      </c>
      <c r="AT38" s="1">
        <v>43135</v>
      </c>
      <c r="AU38">
        <v>2018</v>
      </c>
      <c r="AV38">
        <v>13</v>
      </c>
      <c r="AW38">
        <v>13</v>
      </c>
      <c r="AX38" t="s">
        <v>89</v>
      </c>
      <c r="AY38" t="s">
        <v>93</v>
      </c>
      <c r="AZ38">
        <v>0</v>
      </c>
      <c r="BA38">
        <v>0</v>
      </c>
      <c r="BB38">
        <v>0</v>
      </c>
      <c r="BC38">
        <v>0</v>
      </c>
      <c r="BD38">
        <v>281</v>
      </c>
      <c r="BE38">
        <v>17483</v>
      </c>
      <c r="BF38">
        <v>35</v>
      </c>
      <c r="BG38">
        <v>34</v>
      </c>
      <c r="BH38">
        <v>281</v>
      </c>
      <c r="BI38">
        <v>17483</v>
      </c>
      <c r="BJ38">
        <v>35</v>
      </c>
      <c r="BK38">
        <f t="shared" si="2"/>
        <v>281</v>
      </c>
      <c r="BL38">
        <f t="shared" si="3"/>
        <v>17483</v>
      </c>
      <c r="BM38">
        <f t="shared" si="4"/>
        <v>35</v>
      </c>
      <c r="BN38">
        <f t="shared" si="5"/>
        <v>0</v>
      </c>
      <c r="BO38">
        <f t="shared" si="6"/>
        <v>0</v>
      </c>
      <c r="BP38">
        <f t="shared" si="7"/>
        <v>0</v>
      </c>
      <c r="BQ38" t="s">
        <v>391</v>
      </c>
      <c r="BR38" t="s">
        <v>112</v>
      </c>
      <c r="BS38" t="s">
        <v>89</v>
      </c>
      <c r="BT38">
        <v>42</v>
      </c>
      <c r="BU38" s="1">
        <v>43135</v>
      </c>
      <c r="BV38" s="1">
        <v>43192</v>
      </c>
      <c r="BW38">
        <v>13</v>
      </c>
      <c r="BX38">
        <v>1984</v>
      </c>
      <c r="BY38">
        <v>13</v>
      </c>
      <c r="BZ38">
        <f t="shared" si="8"/>
        <v>0</v>
      </c>
      <c r="CA38">
        <f t="shared" si="9"/>
        <v>0</v>
      </c>
      <c r="CB38" t="b">
        <f t="shared" si="10"/>
        <v>1</v>
      </c>
    </row>
    <row r="39" spans="1:80" x14ac:dyDescent="0.3">
      <c r="A39" t="s">
        <v>514</v>
      </c>
      <c r="B39" t="s">
        <v>71</v>
      </c>
      <c r="C39" t="s">
        <v>515</v>
      </c>
      <c r="D39">
        <v>38</v>
      </c>
      <c r="E39" t="s">
        <v>516</v>
      </c>
      <c r="F39" t="s">
        <v>517</v>
      </c>
      <c r="G39" t="s">
        <v>518</v>
      </c>
      <c r="H39" t="s">
        <v>76</v>
      </c>
      <c r="I39" t="s">
        <v>437</v>
      </c>
      <c r="J39" t="s">
        <v>78</v>
      </c>
      <c r="K39" t="s">
        <v>519</v>
      </c>
      <c r="L39" t="s">
        <v>117</v>
      </c>
      <c r="M39">
        <v>18</v>
      </c>
      <c r="N39" t="s">
        <v>519</v>
      </c>
      <c r="O39">
        <v>2005</v>
      </c>
      <c r="P39" t="s">
        <v>520</v>
      </c>
      <c r="Q39" t="s">
        <v>521</v>
      </c>
      <c r="R39">
        <v>51510</v>
      </c>
      <c r="S39" t="s">
        <v>514</v>
      </c>
      <c r="T39" t="s">
        <v>522</v>
      </c>
      <c r="U39">
        <v>1987</v>
      </c>
      <c r="V39" t="s">
        <v>523</v>
      </c>
      <c r="W39">
        <v>1.71</v>
      </c>
      <c r="X39" t="s">
        <v>76</v>
      </c>
      <c r="Y39" t="s">
        <v>123</v>
      </c>
      <c r="Z39" t="s">
        <v>87</v>
      </c>
      <c r="AA39" t="s">
        <v>476</v>
      </c>
      <c r="AB39" s="1">
        <v>45664</v>
      </c>
      <c r="AC39" t="s">
        <v>108</v>
      </c>
      <c r="AD39" t="s">
        <v>89</v>
      </c>
      <c r="AE39" t="s">
        <v>371</v>
      </c>
      <c r="AF39">
        <v>22</v>
      </c>
      <c r="AG39" t="s">
        <v>91</v>
      </c>
      <c r="AH39" t="s">
        <v>524</v>
      </c>
      <c r="AI39">
        <v>18</v>
      </c>
      <c r="AJ39" t="s">
        <v>110</v>
      </c>
      <c r="AK39">
        <v>18</v>
      </c>
      <c r="AL39">
        <v>5</v>
      </c>
      <c r="AM39">
        <v>100</v>
      </c>
      <c r="AN39">
        <v>12</v>
      </c>
      <c r="AO39">
        <v>4</v>
      </c>
      <c r="AP39" t="s">
        <v>93</v>
      </c>
      <c r="AQ39" t="s">
        <v>89</v>
      </c>
      <c r="AR39" t="s">
        <v>89</v>
      </c>
      <c r="AS39" t="s">
        <v>93</v>
      </c>
      <c r="AT39" t="s">
        <v>89</v>
      </c>
      <c r="AU39" t="s">
        <v>89</v>
      </c>
      <c r="AV39" t="s">
        <v>89</v>
      </c>
      <c r="AW39">
        <v>20</v>
      </c>
      <c r="AX39" t="s">
        <v>89</v>
      </c>
      <c r="AY39" t="s">
        <v>93</v>
      </c>
      <c r="AZ39">
        <v>0</v>
      </c>
      <c r="BA39">
        <v>0</v>
      </c>
      <c r="BB39">
        <v>0</v>
      </c>
      <c r="BC39">
        <v>0</v>
      </c>
      <c r="BD39">
        <v>574</v>
      </c>
      <c r="BE39">
        <v>29146</v>
      </c>
      <c r="BF39">
        <v>153</v>
      </c>
      <c r="BG39" t="s">
        <v>89</v>
      </c>
      <c r="BH39">
        <v>574</v>
      </c>
      <c r="BI39">
        <v>29146</v>
      </c>
      <c r="BJ39">
        <v>153</v>
      </c>
      <c r="BK39">
        <f t="shared" si="2"/>
        <v>574</v>
      </c>
      <c r="BL39">
        <f t="shared" si="3"/>
        <v>29146</v>
      </c>
      <c r="BM39">
        <f t="shared" si="4"/>
        <v>153</v>
      </c>
      <c r="BN39">
        <f t="shared" si="5"/>
        <v>0</v>
      </c>
      <c r="BO39">
        <f t="shared" si="6"/>
        <v>0</v>
      </c>
      <c r="BP39">
        <f t="shared" si="7"/>
        <v>0</v>
      </c>
      <c r="BQ39" t="s">
        <v>123</v>
      </c>
      <c r="BR39" t="s">
        <v>112</v>
      </c>
      <c r="BS39" s="1">
        <v>31893</v>
      </c>
      <c r="BT39">
        <v>38</v>
      </c>
      <c r="BU39" t="s">
        <v>89</v>
      </c>
      <c r="BV39" t="s">
        <v>89</v>
      </c>
      <c r="BW39">
        <v>20</v>
      </c>
      <c r="BX39">
        <v>1987</v>
      </c>
      <c r="BY39">
        <v>20</v>
      </c>
      <c r="BZ39">
        <f t="shared" si="8"/>
        <v>0</v>
      </c>
      <c r="CA39">
        <f t="shared" si="9"/>
        <v>0</v>
      </c>
      <c r="CB39" t="b">
        <f t="shared" si="10"/>
        <v>1</v>
      </c>
    </row>
    <row r="40" spans="1:80" x14ac:dyDescent="0.3">
      <c r="A40" t="s">
        <v>525</v>
      </c>
      <c r="B40" t="s">
        <v>71</v>
      </c>
      <c r="C40" t="s">
        <v>526</v>
      </c>
      <c r="D40">
        <v>37</v>
      </c>
      <c r="E40" s="1">
        <v>32028</v>
      </c>
      <c r="F40" t="s">
        <v>89</v>
      </c>
      <c r="G40" t="s">
        <v>321</v>
      </c>
      <c r="H40" t="s">
        <v>89</v>
      </c>
      <c r="I40" t="s">
        <v>227</v>
      </c>
      <c r="J40" t="s">
        <v>78</v>
      </c>
      <c r="K40" t="s">
        <v>89</v>
      </c>
      <c r="L40" t="s">
        <v>278</v>
      </c>
      <c r="M40">
        <v>23</v>
      </c>
      <c r="N40" t="s">
        <v>527</v>
      </c>
      <c r="O40">
        <v>2011</v>
      </c>
      <c r="P40" t="s">
        <v>528</v>
      </c>
      <c r="Q40" t="s">
        <v>529</v>
      </c>
      <c r="R40">
        <v>101742</v>
      </c>
      <c r="S40" t="s">
        <v>525</v>
      </c>
      <c r="T40" t="s">
        <v>530</v>
      </c>
      <c r="U40">
        <v>1987</v>
      </c>
      <c r="V40" t="s">
        <v>122</v>
      </c>
      <c r="W40">
        <v>1.77</v>
      </c>
      <c r="X40" t="s">
        <v>76</v>
      </c>
      <c r="Y40" t="s">
        <v>235</v>
      </c>
      <c r="Z40" t="s">
        <v>87</v>
      </c>
      <c r="AA40" t="s">
        <v>531</v>
      </c>
      <c r="AB40" s="1">
        <v>43472</v>
      </c>
      <c r="AC40" t="s">
        <v>108</v>
      </c>
      <c r="AD40" t="s">
        <v>89</v>
      </c>
      <c r="AE40" t="s">
        <v>125</v>
      </c>
      <c r="AF40">
        <v>25</v>
      </c>
      <c r="AG40" t="s">
        <v>91</v>
      </c>
      <c r="AH40" t="s">
        <v>532</v>
      </c>
      <c r="AI40">
        <v>24</v>
      </c>
      <c r="AJ40" t="s">
        <v>110</v>
      </c>
      <c r="AK40">
        <v>24</v>
      </c>
      <c r="AL40">
        <v>2</v>
      </c>
      <c r="AM40">
        <v>102</v>
      </c>
      <c r="AN40">
        <v>14</v>
      </c>
      <c r="AO40">
        <v>2</v>
      </c>
      <c r="AP40" t="s">
        <v>93</v>
      </c>
      <c r="AQ40" t="s">
        <v>89</v>
      </c>
      <c r="AR40" t="s">
        <v>89</v>
      </c>
      <c r="AS40" t="s">
        <v>111</v>
      </c>
      <c r="AT40" s="1">
        <v>43472</v>
      </c>
      <c r="AU40">
        <v>2019</v>
      </c>
      <c r="AV40">
        <v>8</v>
      </c>
      <c r="AW40">
        <v>8</v>
      </c>
      <c r="AX40" t="s">
        <v>89</v>
      </c>
      <c r="AY40" t="s">
        <v>93</v>
      </c>
      <c r="AZ40">
        <v>0</v>
      </c>
      <c r="BA40">
        <v>0</v>
      </c>
      <c r="BB40">
        <v>0</v>
      </c>
      <c r="BC40">
        <v>0</v>
      </c>
      <c r="BD40">
        <v>160</v>
      </c>
      <c r="BE40">
        <v>13678</v>
      </c>
      <c r="BF40">
        <v>1</v>
      </c>
      <c r="BG40">
        <v>32</v>
      </c>
      <c r="BH40">
        <v>160</v>
      </c>
      <c r="BI40">
        <v>13678</v>
      </c>
      <c r="BJ40">
        <v>1</v>
      </c>
      <c r="BK40">
        <f t="shared" si="2"/>
        <v>160</v>
      </c>
      <c r="BL40">
        <f t="shared" si="3"/>
        <v>13678</v>
      </c>
      <c r="BM40">
        <f t="shared" si="4"/>
        <v>1</v>
      </c>
      <c r="BN40">
        <f t="shared" si="5"/>
        <v>0</v>
      </c>
      <c r="BO40">
        <f t="shared" si="6"/>
        <v>0</v>
      </c>
      <c r="BP40">
        <f t="shared" si="7"/>
        <v>0</v>
      </c>
      <c r="BQ40" t="s">
        <v>235</v>
      </c>
      <c r="BR40" t="s">
        <v>140</v>
      </c>
      <c r="BS40" t="s">
        <v>89</v>
      </c>
      <c r="BT40">
        <v>39</v>
      </c>
      <c r="BU40" s="1">
        <v>43472</v>
      </c>
      <c r="BV40" s="1">
        <v>43647</v>
      </c>
      <c r="BW40">
        <v>8</v>
      </c>
      <c r="BX40">
        <v>1987</v>
      </c>
      <c r="BY40">
        <v>8</v>
      </c>
      <c r="BZ40">
        <f t="shared" si="8"/>
        <v>0</v>
      </c>
      <c r="CA40">
        <f t="shared" si="9"/>
        <v>0</v>
      </c>
      <c r="CB40" t="b">
        <f t="shared" si="10"/>
        <v>1</v>
      </c>
    </row>
    <row r="41" spans="1:80" x14ac:dyDescent="0.3">
      <c r="A41" t="s">
        <v>533</v>
      </c>
      <c r="B41" t="s">
        <v>71</v>
      </c>
      <c r="C41" t="s">
        <v>534</v>
      </c>
      <c r="D41">
        <v>36</v>
      </c>
      <c r="E41" s="1">
        <v>32624</v>
      </c>
      <c r="F41" t="s">
        <v>89</v>
      </c>
      <c r="G41" t="s">
        <v>535</v>
      </c>
      <c r="H41" t="s">
        <v>76</v>
      </c>
      <c r="I41" t="s">
        <v>161</v>
      </c>
      <c r="J41" t="s">
        <v>78</v>
      </c>
      <c r="K41" t="s">
        <v>89</v>
      </c>
      <c r="L41" t="s">
        <v>180</v>
      </c>
      <c r="M41">
        <v>18</v>
      </c>
      <c r="N41" t="s">
        <v>255</v>
      </c>
      <c r="O41">
        <v>2007</v>
      </c>
      <c r="P41" t="s">
        <v>536</v>
      </c>
      <c r="Q41" t="s">
        <v>537</v>
      </c>
      <c r="R41">
        <v>57943</v>
      </c>
      <c r="S41" t="s">
        <v>533</v>
      </c>
      <c r="T41" t="s">
        <v>538</v>
      </c>
      <c r="U41">
        <v>1989</v>
      </c>
      <c r="V41" t="s">
        <v>402</v>
      </c>
      <c r="W41">
        <v>1.7</v>
      </c>
      <c r="X41" t="s">
        <v>76</v>
      </c>
      <c r="Y41" t="s">
        <v>494</v>
      </c>
      <c r="Z41" t="s">
        <v>392</v>
      </c>
      <c r="AA41" t="s">
        <v>539</v>
      </c>
      <c r="AB41" s="1">
        <v>44813</v>
      </c>
      <c r="AC41" t="s">
        <v>108</v>
      </c>
      <c r="AD41" t="s">
        <v>223</v>
      </c>
      <c r="AE41" t="s">
        <v>125</v>
      </c>
      <c r="AF41">
        <v>24</v>
      </c>
      <c r="AG41" t="s">
        <v>91</v>
      </c>
      <c r="AH41" t="s">
        <v>540</v>
      </c>
      <c r="AI41">
        <v>18</v>
      </c>
      <c r="AJ41" t="s">
        <v>110</v>
      </c>
      <c r="AK41">
        <v>18</v>
      </c>
      <c r="AL41">
        <v>5</v>
      </c>
      <c r="AM41">
        <v>278</v>
      </c>
      <c r="AN41">
        <v>59</v>
      </c>
      <c r="AO41">
        <v>4</v>
      </c>
      <c r="AP41" t="s">
        <v>93</v>
      </c>
      <c r="AQ41" t="s">
        <v>89</v>
      </c>
      <c r="AR41" t="s">
        <v>89</v>
      </c>
      <c r="AS41" t="s">
        <v>111</v>
      </c>
      <c r="AT41" s="1">
        <v>44813</v>
      </c>
      <c r="AU41">
        <v>2022</v>
      </c>
      <c r="AV41">
        <v>15</v>
      </c>
      <c r="AW41">
        <v>15</v>
      </c>
      <c r="AX41" t="s">
        <v>89</v>
      </c>
      <c r="AY41" t="s">
        <v>93</v>
      </c>
      <c r="AZ41">
        <v>0</v>
      </c>
      <c r="BA41">
        <v>0</v>
      </c>
      <c r="BB41">
        <v>0</v>
      </c>
      <c r="BC41">
        <v>0</v>
      </c>
      <c r="BD41">
        <v>267</v>
      </c>
      <c r="BE41">
        <v>14067</v>
      </c>
      <c r="BF41">
        <v>22</v>
      </c>
      <c r="BG41">
        <v>33</v>
      </c>
      <c r="BH41">
        <v>267</v>
      </c>
      <c r="BI41">
        <v>14067</v>
      </c>
      <c r="BJ41">
        <v>22</v>
      </c>
      <c r="BK41">
        <f t="shared" si="2"/>
        <v>267</v>
      </c>
      <c r="BL41">
        <f t="shared" si="3"/>
        <v>14067</v>
      </c>
      <c r="BM41">
        <f t="shared" si="4"/>
        <v>22</v>
      </c>
      <c r="BN41">
        <f t="shared" si="5"/>
        <v>0</v>
      </c>
      <c r="BO41">
        <f t="shared" si="6"/>
        <v>0</v>
      </c>
      <c r="BP41">
        <f t="shared" si="7"/>
        <v>0</v>
      </c>
      <c r="BQ41" t="s">
        <v>494</v>
      </c>
      <c r="BR41" t="s">
        <v>112</v>
      </c>
      <c r="BS41" s="1">
        <v>32624</v>
      </c>
      <c r="BT41">
        <v>36</v>
      </c>
      <c r="BU41" s="1">
        <v>44813</v>
      </c>
      <c r="BV41" s="1">
        <v>44813</v>
      </c>
      <c r="BW41">
        <v>15</v>
      </c>
      <c r="BX41">
        <v>1989</v>
      </c>
      <c r="BY41">
        <v>15</v>
      </c>
      <c r="BZ41">
        <f t="shared" si="8"/>
        <v>0</v>
      </c>
      <c r="CA41">
        <f t="shared" si="9"/>
        <v>0</v>
      </c>
      <c r="CB41" t="b">
        <f t="shared" si="10"/>
        <v>1</v>
      </c>
    </row>
    <row r="42" spans="1:80" x14ac:dyDescent="0.3">
      <c r="A42" t="s">
        <v>541</v>
      </c>
      <c r="B42" t="s">
        <v>71</v>
      </c>
      <c r="C42" t="s">
        <v>542</v>
      </c>
      <c r="D42">
        <v>32</v>
      </c>
      <c r="E42" t="s">
        <v>543</v>
      </c>
      <c r="F42" t="s">
        <v>544</v>
      </c>
      <c r="G42" t="s">
        <v>160</v>
      </c>
      <c r="H42" t="s">
        <v>89</v>
      </c>
      <c r="I42" t="s">
        <v>437</v>
      </c>
      <c r="J42" t="s">
        <v>89</v>
      </c>
      <c r="K42" t="s">
        <v>164</v>
      </c>
      <c r="L42" t="s">
        <v>278</v>
      </c>
      <c r="M42">
        <v>18</v>
      </c>
      <c r="N42" t="s">
        <v>164</v>
      </c>
      <c r="O42">
        <v>2011</v>
      </c>
      <c r="P42" t="s">
        <v>545</v>
      </c>
      <c r="Q42" t="s">
        <v>546</v>
      </c>
      <c r="R42">
        <v>177452</v>
      </c>
      <c r="S42" t="s">
        <v>541</v>
      </c>
      <c r="T42">
        <v>33797</v>
      </c>
      <c r="U42">
        <v>1992</v>
      </c>
      <c r="V42" t="s">
        <v>547</v>
      </c>
      <c r="W42">
        <v>1.81</v>
      </c>
      <c r="X42" t="s">
        <v>76</v>
      </c>
      <c r="Y42" t="s">
        <v>123</v>
      </c>
      <c r="Z42" t="s">
        <v>152</v>
      </c>
      <c r="AA42" t="s">
        <v>548</v>
      </c>
      <c r="AB42" s="1">
        <v>42832</v>
      </c>
      <c r="AC42" t="s">
        <v>394</v>
      </c>
      <c r="AD42" t="s">
        <v>89</v>
      </c>
      <c r="AE42" t="s">
        <v>549</v>
      </c>
      <c r="AF42">
        <v>19</v>
      </c>
      <c r="AG42" t="s">
        <v>91</v>
      </c>
      <c r="AH42" t="s">
        <v>550</v>
      </c>
      <c r="AI42">
        <v>21</v>
      </c>
      <c r="AJ42" t="s">
        <v>110</v>
      </c>
      <c r="AK42">
        <v>19</v>
      </c>
      <c r="AL42">
        <v>2</v>
      </c>
      <c r="AM42">
        <v>54</v>
      </c>
      <c r="AN42">
        <v>5</v>
      </c>
      <c r="AO42">
        <v>2</v>
      </c>
      <c r="AP42" t="s">
        <v>93</v>
      </c>
      <c r="AQ42" t="s">
        <v>89</v>
      </c>
      <c r="AR42" t="s">
        <v>89</v>
      </c>
      <c r="AS42" t="s">
        <v>93</v>
      </c>
      <c r="AT42" t="s">
        <v>89</v>
      </c>
      <c r="AU42" t="s">
        <v>89</v>
      </c>
      <c r="AV42" t="s">
        <v>89</v>
      </c>
      <c r="AW42">
        <v>14</v>
      </c>
      <c r="AX42">
        <v>9</v>
      </c>
      <c r="AY42" t="s">
        <v>93</v>
      </c>
      <c r="AZ42">
        <v>0</v>
      </c>
      <c r="BA42">
        <v>0</v>
      </c>
      <c r="BB42">
        <v>0</v>
      </c>
      <c r="BC42">
        <v>0</v>
      </c>
      <c r="BD42">
        <v>282</v>
      </c>
      <c r="BE42">
        <v>10269</v>
      </c>
      <c r="BF42">
        <v>51</v>
      </c>
      <c r="BG42" t="s">
        <v>89</v>
      </c>
      <c r="BH42">
        <v>282</v>
      </c>
      <c r="BI42">
        <v>10269</v>
      </c>
      <c r="BJ42">
        <v>51</v>
      </c>
      <c r="BK42">
        <f t="shared" si="2"/>
        <v>282</v>
      </c>
      <c r="BL42">
        <f t="shared" si="3"/>
        <v>10269</v>
      </c>
      <c r="BM42">
        <f t="shared" si="4"/>
        <v>51</v>
      </c>
      <c r="BN42">
        <f t="shared" si="5"/>
        <v>0</v>
      </c>
      <c r="BO42">
        <f t="shared" si="6"/>
        <v>0</v>
      </c>
      <c r="BP42">
        <f t="shared" si="7"/>
        <v>0</v>
      </c>
      <c r="BQ42" t="s">
        <v>123</v>
      </c>
      <c r="BR42" t="s">
        <v>112</v>
      </c>
      <c r="BS42" t="s">
        <v>89</v>
      </c>
      <c r="BT42">
        <v>34</v>
      </c>
      <c r="BU42" t="s">
        <v>89</v>
      </c>
      <c r="BV42" t="s">
        <v>89</v>
      </c>
      <c r="BW42">
        <v>15</v>
      </c>
      <c r="BX42">
        <v>1992</v>
      </c>
      <c r="BY42">
        <v>13</v>
      </c>
      <c r="BZ42">
        <f t="shared" si="8"/>
        <v>-1</v>
      </c>
      <c r="CA42">
        <f t="shared" si="9"/>
        <v>2</v>
      </c>
      <c r="CB42" t="b">
        <f t="shared" si="10"/>
        <v>0</v>
      </c>
    </row>
    <row r="43" spans="1:80" x14ac:dyDescent="0.3">
      <c r="A43" t="s">
        <v>551</v>
      </c>
      <c r="B43" t="s">
        <v>552</v>
      </c>
      <c r="C43" t="s">
        <v>553</v>
      </c>
      <c r="D43">
        <v>36</v>
      </c>
      <c r="E43" s="1">
        <v>32678</v>
      </c>
      <c r="F43" t="s">
        <v>89</v>
      </c>
      <c r="G43" t="s">
        <v>226</v>
      </c>
      <c r="H43" t="s">
        <v>554</v>
      </c>
      <c r="I43" t="s">
        <v>555</v>
      </c>
      <c r="J43" t="s">
        <v>78</v>
      </c>
      <c r="K43" t="s">
        <v>89</v>
      </c>
      <c r="L43" t="s">
        <v>278</v>
      </c>
      <c r="M43">
        <v>22</v>
      </c>
      <c r="N43" t="s">
        <v>181</v>
      </c>
      <c r="O43">
        <v>2011</v>
      </c>
      <c r="P43" t="s">
        <v>556</v>
      </c>
      <c r="Q43" t="s">
        <v>557</v>
      </c>
      <c r="R43">
        <v>93664</v>
      </c>
      <c r="S43" t="s">
        <v>551</v>
      </c>
      <c r="T43" t="s">
        <v>558</v>
      </c>
      <c r="U43">
        <v>1989</v>
      </c>
      <c r="V43" t="s">
        <v>559</v>
      </c>
      <c r="W43">
        <v>1.79</v>
      </c>
      <c r="X43" t="s">
        <v>560</v>
      </c>
      <c r="Y43" t="s">
        <v>106</v>
      </c>
      <c r="Z43" t="s">
        <v>87</v>
      </c>
      <c r="AA43" t="s">
        <v>89</v>
      </c>
      <c r="AB43" t="s">
        <v>89</v>
      </c>
      <c r="AC43" t="s">
        <v>89</v>
      </c>
      <c r="AD43" t="s">
        <v>89</v>
      </c>
      <c r="AE43" t="s">
        <v>561</v>
      </c>
      <c r="AF43">
        <v>25</v>
      </c>
      <c r="AG43" t="s">
        <v>206</v>
      </c>
      <c r="AH43" t="s">
        <v>562</v>
      </c>
      <c r="AI43">
        <v>29</v>
      </c>
      <c r="AJ43" t="s">
        <v>110</v>
      </c>
      <c r="AK43">
        <v>25</v>
      </c>
      <c r="AL43">
        <v>6</v>
      </c>
      <c r="AM43">
        <v>216</v>
      </c>
      <c r="AN43">
        <v>31</v>
      </c>
      <c r="AO43">
        <v>3</v>
      </c>
      <c r="AP43" t="s">
        <v>111</v>
      </c>
      <c r="AQ43" t="s">
        <v>563</v>
      </c>
      <c r="AR43">
        <v>35</v>
      </c>
      <c r="AS43" t="s">
        <v>93</v>
      </c>
      <c r="AT43" t="s">
        <v>89</v>
      </c>
      <c r="AU43" t="s">
        <v>89</v>
      </c>
      <c r="AV43">
        <v>13</v>
      </c>
      <c r="AW43">
        <v>13</v>
      </c>
      <c r="AX43" t="s">
        <v>89</v>
      </c>
      <c r="AY43" t="s">
        <v>111</v>
      </c>
      <c r="AZ43">
        <v>5</v>
      </c>
      <c r="BA43">
        <v>18</v>
      </c>
      <c r="BB43">
        <v>1062</v>
      </c>
      <c r="BC43">
        <v>2</v>
      </c>
      <c r="BD43">
        <v>116</v>
      </c>
      <c r="BE43">
        <v>7183</v>
      </c>
      <c r="BF43">
        <v>11</v>
      </c>
      <c r="BG43" t="s">
        <v>89</v>
      </c>
      <c r="BH43">
        <v>134</v>
      </c>
      <c r="BI43">
        <v>8245</v>
      </c>
      <c r="BJ43">
        <v>13</v>
      </c>
      <c r="BK43">
        <f t="shared" si="2"/>
        <v>134</v>
      </c>
      <c r="BL43">
        <f t="shared" si="3"/>
        <v>8245</v>
      </c>
      <c r="BM43">
        <f t="shared" si="4"/>
        <v>13</v>
      </c>
      <c r="BN43">
        <f t="shared" si="5"/>
        <v>0</v>
      </c>
      <c r="BO43">
        <f t="shared" si="6"/>
        <v>0</v>
      </c>
      <c r="BP43">
        <f t="shared" si="7"/>
        <v>0</v>
      </c>
      <c r="BQ43" t="s">
        <v>106</v>
      </c>
      <c r="BR43" t="s">
        <v>112</v>
      </c>
      <c r="BS43" s="1">
        <v>32678</v>
      </c>
      <c r="BT43">
        <v>36</v>
      </c>
      <c r="BU43" t="s">
        <v>89</v>
      </c>
      <c r="BV43" t="s">
        <v>89</v>
      </c>
      <c r="BW43">
        <v>10</v>
      </c>
      <c r="BX43">
        <v>1989</v>
      </c>
      <c r="BY43">
        <v>10</v>
      </c>
      <c r="BZ43">
        <f t="shared" si="8"/>
        <v>3</v>
      </c>
      <c r="CA43">
        <f t="shared" si="9"/>
        <v>0</v>
      </c>
      <c r="CB43" t="b">
        <f t="shared" si="10"/>
        <v>0</v>
      </c>
    </row>
    <row r="44" spans="1:80" x14ac:dyDescent="0.3">
      <c r="A44" t="s">
        <v>564</v>
      </c>
      <c r="B44" t="s">
        <v>565</v>
      </c>
      <c r="C44" t="s">
        <v>566</v>
      </c>
      <c r="D44">
        <v>40</v>
      </c>
      <c r="E44" s="1">
        <v>31021</v>
      </c>
      <c r="F44" t="s">
        <v>89</v>
      </c>
      <c r="G44" t="s">
        <v>413</v>
      </c>
      <c r="H44" t="s">
        <v>567</v>
      </c>
      <c r="I44" t="s">
        <v>437</v>
      </c>
      <c r="J44" t="s">
        <v>78</v>
      </c>
      <c r="K44" t="s">
        <v>89</v>
      </c>
      <c r="L44" t="s">
        <v>117</v>
      </c>
      <c r="M44">
        <v>20</v>
      </c>
      <c r="N44" t="s">
        <v>568</v>
      </c>
      <c r="O44">
        <v>2005</v>
      </c>
      <c r="P44" t="s">
        <v>569</v>
      </c>
      <c r="Q44" t="s">
        <v>570</v>
      </c>
      <c r="R44">
        <v>76406</v>
      </c>
      <c r="S44" t="s">
        <v>564</v>
      </c>
      <c r="T44">
        <v>30814</v>
      </c>
      <c r="U44">
        <v>1984</v>
      </c>
      <c r="V44" t="s">
        <v>571</v>
      </c>
      <c r="W44">
        <v>1.83</v>
      </c>
      <c r="X44" t="s">
        <v>572</v>
      </c>
      <c r="Y44" t="s">
        <v>123</v>
      </c>
      <c r="Z44" t="s">
        <v>87</v>
      </c>
      <c r="AA44" t="s">
        <v>438</v>
      </c>
      <c r="AB44" s="1">
        <v>42376</v>
      </c>
      <c r="AC44" t="s">
        <v>108</v>
      </c>
      <c r="AD44" t="s">
        <v>89</v>
      </c>
      <c r="AE44" t="s">
        <v>261</v>
      </c>
      <c r="AF44">
        <v>23</v>
      </c>
      <c r="AG44" t="s">
        <v>573</v>
      </c>
      <c r="AH44" t="s">
        <v>574</v>
      </c>
      <c r="AI44">
        <v>20</v>
      </c>
      <c r="AJ44" t="s">
        <v>575</v>
      </c>
      <c r="AK44">
        <v>20</v>
      </c>
      <c r="AL44">
        <v>5</v>
      </c>
      <c r="AM44">
        <v>323</v>
      </c>
      <c r="AN44">
        <v>53</v>
      </c>
      <c r="AO44">
        <v>4</v>
      </c>
      <c r="AP44" t="s">
        <v>93</v>
      </c>
      <c r="AQ44" t="s">
        <v>89</v>
      </c>
      <c r="AR44" t="s">
        <v>89</v>
      </c>
      <c r="AS44" t="s">
        <v>111</v>
      </c>
      <c r="AT44" s="1">
        <v>42376</v>
      </c>
      <c r="AU44">
        <v>2016</v>
      </c>
      <c r="AV44">
        <v>11</v>
      </c>
      <c r="AW44">
        <v>11</v>
      </c>
      <c r="AX44" t="s">
        <v>89</v>
      </c>
      <c r="AY44" t="s">
        <v>111</v>
      </c>
      <c r="AZ44">
        <v>2</v>
      </c>
      <c r="BA44">
        <v>8</v>
      </c>
      <c r="BB44">
        <v>580</v>
      </c>
      <c r="BC44">
        <v>0</v>
      </c>
      <c r="BD44">
        <v>197</v>
      </c>
      <c r="BE44">
        <v>12339</v>
      </c>
      <c r="BF44">
        <v>19</v>
      </c>
      <c r="BG44">
        <v>32</v>
      </c>
      <c r="BH44">
        <v>205</v>
      </c>
      <c r="BI44">
        <v>12919</v>
      </c>
      <c r="BJ44">
        <v>19</v>
      </c>
      <c r="BK44">
        <f t="shared" si="2"/>
        <v>205</v>
      </c>
      <c r="BL44">
        <f t="shared" si="3"/>
        <v>12919</v>
      </c>
      <c r="BM44">
        <f t="shared" si="4"/>
        <v>19</v>
      </c>
      <c r="BN44">
        <f t="shared" si="5"/>
        <v>0</v>
      </c>
      <c r="BO44">
        <f t="shared" si="6"/>
        <v>0</v>
      </c>
      <c r="BP44">
        <f t="shared" si="7"/>
        <v>0</v>
      </c>
      <c r="BQ44" t="s">
        <v>123</v>
      </c>
      <c r="BR44" t="s">
        <v>112</v>
      </c>
      <c r="BS44" t="s">
        <v>89</v>
      </c>
      <c r="BT44">
        <v>42</v>
      </c>
      <c r="BU44" s="1">
        <v>42376</v>
      </c>
      <c r="BV44" s="1">
        <v>42552</v>
      </c>
      <c r="BW44">
        <v>12</v>
      </c>
      <c r="BX44">
        <v>1984</v>
      </c>
      <c r="BY44">
        <v>12</v>
      </c>
      <c r="BZ44">
        <f t="shared" si="8"/>
        <v>-1</v>
      </c>
      <c r="CA44">
        <f t="shared" si="9"/>
        <v>0</v>
      </c>
      <c r="CB44" t="b">
        <f t="shared" si="10"/>
        <v>0</v>
      </c>
    </row>
    <row r="45" spans="1:80" x14ac:dyDescent="0.3">
      <c r="A45" t="s">
        <v>576</v>
      </c>
      <c r="B45" t="s">
        <v>577</v>
      </c>
      <c r="C45" t="s">
        <v>578</v>
      </c>
      <c r="D45">
        <v>33</v>
      </c>
      <c r="E45">
        <v>33518</v>
      </c>
      <c r="F45" t="s">
        <v>89</v>
      </c>
      <c r="G45" t="s">
        <v>298</v>
      </c>
      <c r="H45" t="s">
        <v>579</v>
      </c>
      <c r="I45" t="s">
        <v>580</v>
      </c>
      <c r="J45" t="s">
        <v>89</v>
      </c>
      <c r="K45" t="s">
        <v>89</v>
      </c>
      <c r="L45" t="s">
        <v>80</v>
      </c>
      <c r="M45">
        <v>20</v>
      </c>
      <c r="N45" t="s">
        <v>81</v>
      </c>
      <c r="O45">
        <v>2012</v>
      </c>
      <c r="P45" t="s">
        <v>581</v>
      </c>
      <c r="Q45" t="s">
        <v>582</v>
      </c>
      <c r="R45">
        <v>220805</v>
      </c>
      <c r="S45" t="s">
        <v>576</v>
      </c>
      <c r="T45" s="1">
        <v>33429</v>
      </c>
      <c r="U45">
        <v>1991</v>
      </c>
      <c r="V45" t="s">
        <v>583</v>
      </c>
      <c r="W45">
        <v>1.82</v>
      </c>
      <c r="X45" t="s">
        <v>584</v>
      </c>
      <c r="Y45" t="s">
        <v>585</v>
      </c>
      <c r="Z45" t="s">
        <v>87</v>
      </c>
      <c r="AA45" t="s">
        <v>476</v>
      </c>
      <c r="AB45" s="1">
        <v>44203</v>
      </c>
      <c r="AC45" t="s">
        <v>108</v>
      </c>
      <c r="AD45" t="s">
        <v>89</v>
      </c>
      <c r="AE45" t="s">
        <v>90</v>
      </c>
      <c r="AF45">
        <v>20</v>
      </c>
      <c r="AG45" t="s">
        <v>91</v>
      </c>
      <c r="AH45" t="s">
        <v>561</v>
      </c>
      <c r="AI45">
        <v>22</v>
      </c>
      <c r="AJ45" t="s">
        <v>110</v>
      </c>
      <c r="AK45">
        <v>20</v>
      </c>
      <c r="AL45">
        <v>5</v>
      </c>
      <c r="AM45">
        <v>212</v>
      </c>
      <c r="AN45">
        <v>34</v>
      </c>
      <c r="AO45">
        <v>3</v>
      </c>
      <c r="AP45" t="s">
        <v>93</v>
      </c>
      <c r="AQ45" t="s">
        <v>89</v>
      </c>
      <c r="AR45" t="s">
        <v>89</v>
      </c>
      <c r="AS45" t="s">
        <v>93</v>
      </c>
      <c r="AT45" t="s">
        <v>89</v>
      </c>
      <c r="AU45" t="s">
        <v>89</v>
      </c>
      <c r="AV45" t="s">
        <v>89</v>
      </c>
      <c r="AW45">
        <v>13</v>
      </c>
      <c r="AX45" t="s">
        <v>89</v>
      </c>
      <c r="AY45" t="s">
        <v>111</v>
      </c>
      <c r="AZ45">
        <v>2</v>
      </c>
      <c r="BA45">
        <v>2</v>
      </c>
      <c r="BB45">
        <v>84</v>
      </c>
      <c r="BC45">
        <v>0</v>
      </c>
      <c r="BD45">
        <v>75</v>
      </c>
      <c r="BE45">
        <v>5337</v>
      </c>
      <c r="BF45">
        <v>15</v>
      </c>
      <c r="BG45" t="s">
        <v>89</v>
      </c>
      <c r="BH45">
        <v>77</v>
      </c>
      <c r="BI45">
        <v>5421</v>
      </c>
      <c r="BJ45">
        <v>15</v>
      </c>
      <c r="BK45">
        <f t="shared" si="2"/>
        <v>77</v>
      </c>
      <c r="BL45">
        <f t="shared" si="3"/>
        <v>5421</v>
      </c>
      <c r="BM45">
        <f t="shared" si="4"/>
        <v>15</v>
      </c>
      <c r="BN45">
        <f t="shared" si="5"/>
        <v>0</v>
      </c>
      <c r="BO45">
        <f t="shared" si="6"/>
        <v>0</v>
      </c>
      <c r="BP45">
        <f t="shared" si="7"/>
        <v>0</v>
      </c>
      <c r="BQ45" t="s">
        <v>585</v>
      </c>
      <c r="BR45" t="s">
        <v>94</v>
      </c>
      <c r="BS45" s="1">
        <v>33518</v>
      </c>
      <c r="BT45">
        <v>34</v>
      </c>
      <c r="BU45" t="s">
        <v>89</v>
      </c>
      <c r="BV45" t="s">
        <v>89</v>
      </c>
      <c r="BW45">
        <v>14</v>
      </c>
      <c r="BX45">
        <v>1991</v>
      </c>
      <c r="BY45">
        <v>13</v>
      </c>
      <c r="BZ45">
        <f t="shared" si="8"/>
        <v>-1</v>
      </c>
      <c r="CA45">
        <f t="shared" si="9"/>
        <v>1</v>
      </c>
      <c r="CB45" t="b">
        <f t="shared" si="10"/>
        <v>0</v>
      </c>
    </row>
    <row r="46" spans="1:80" x14ac:dyDescent="0.3">
      <c r="A46" t="s">
        <v>586</v>
      </c>
      <c r="B46" t="s">
        <v>191</v>
      </c>
      <c r="C46" t="s">
        <v>587</v>
      </c>
      <c r="D46">
        <v>35</v>
      </c>
      <c r="E46" s="1">
        <v>32952</v>
      </c>
      <c r="F46" t="s">
        <v>89</v>
      </c>
      <c r="G46" t="s">
        <v>115</v>
      </c>
      <c r="H46" t="s">
        <v>194</v>
      </c>
      <c r="I46" t="s">
        <v>253</v>
      </c>
      <c r="J46" t="s">
        <v>78</v>
      </c>
      <c r="K46" t="s">
        <v>89</v>
      </c>
      <c r="L46" t="s">
        <v>228</v>
      </c>
      <c r="M46">
        <v>20</v>
      </c>
      <c r="N46" t="s">
        <v>588</v>
      </c>
      <c r="O46">
        <v>2010</v>
      </c>
      <c r="P46" t="s">
        <v>589</v>
      </c>
      <c r="Q46" t="s">
        <v>590</v>
      </c>
      <c r="R46">
        <v>83368</v>
      </c>
      <c r="S46" t="s">
        <v>591</v>
      </c>
      <c r="T46" t="s">
        <v>592</v>
      </c>
      <c r="U46">
        <v>1990</v>
      </c>
      <c r="V46" t="s">
        <v>588</v>
      </c>
      <c r="W46">
        <v>1.8</v>
      </c>
      <c r="X46" t="s">
        <v>593</v>
      </c>
      <c r="Y46" t="s">
        <v>259</v>
      </c>
      <c r="Z46" t="s">
        <v>152</v>
      </c>
      <c r="AA46" t="s">
        <v>476</v>
      </c>
      <c r="AB46">
        <v>44933</v>
      </c>
      <c r="AC46" t="s">
        <v>108</v>
      </c>
      <c r="AD46" t="s">
        <v>89</v>
      </c>
      <c r="AE46">
        <v>2012</v>
      </c>
      <c r="AF46">
        <v>21</v>
      </c>
      <c r="AG46" t="s">
        <v>206</v>
      </c>
      <c r="AH46">
        <v>2008</v>
      </c>
      <c r="AI46">
        <v>18</v>
      </c>
      <c r="AJ46">
        <v>0</v>
      </c>
      <c r="AK46">
        <v>18</v>
      </c>
      <c r="AL46">
        <v>1</v>
      </c>
      <c r="AM46">
        <v>8</v>
      </c>
      <c r="AN46">
        <v>1</v>
      </c>
      <c r="AO46">
        <v>1</v>
      </c>
      <c r="AP46" t="s">
        <v>93</v>
      </c>
      <c r="AQ46" t="s">
        <v>89</v>
      </c>
      <c r="AR46" t="s">
        <v>89</v>
      </c>
      <c r="AS46" t="s">
        <v>93</v>
      </c>
      <c r="AT46" t="s">
        <v>89</v>
      </c>
      <c r="AU46" t="s">
        <v>89</v>
      </c>
      <c r="AV46" t="s">
        <v>89</v>
      </c>
      <c r="AW46">
        <v>15</v>
      </c>
      <c r="AX46" t="s">
        <v>89</v>
      </c>
      <c r="AY46" t="s">
        <v>93</v>
      </c>
      <c r="AZ46">
        <v>0</v>
      </c>
      <c r="BA46">
        <v>0</v>
      </c>
      <c r="BB46">
        <v>0</v>
      </c>
      <c r="BC46">
        <v>0</v>
      </c>
      <c r="BD46">
        <v>267</v>
      </c>
      <c r="BE46">
        <v>21034</v>
      </c>
      <c r="BF46">
        <v>8</v>
      </c>
      <c r="BG46" t="s">
        <v>89</v>
      </c>
      <c r="BH46">
        <v>267</v>
      </c>
      <c r="BI46">
        <v>21034</v>
      </c>
      <c r="BJ46">
        <v>8</v>
      </c>
      <c r="BK46">
        <f t="shared" si="2"/>
        <v>267</v>
      </c>
      <c r="BL46">
        <f t="shared" si="3"/>
        <v>21034</v>
      </c>
      <c r="BM46">
        <f t="shared" si="4"/>
        <v>8</v>
      </c>
      <c r="BN46">
        <f t="shared" si="5"/>
        <v>0</v>
      </c>
      <c r="BO46">
        <f t="shared" si="6"/>
        <v>0</v>
      </c>
      <c r="BP46">
        <f t="shared" si="7"/>
        <v>0</v>
      </c>
      <c r="BQ46" t="s">
        <v>259</v>
      </c>
      <c r="BR46" t="s">
        <v>94</v>
      </c>
      <c r="BS46" t="s">
        <v>89</v>
      </c>
      <c r="BT46">
        <v>36</v>
      </c>
      <c r="BU46" t="s">
        <v>89</v>
      </c>
      <c r="BV46" t="s">
        <v>89</v>
      </c>
      <c r="BW46">
        <v>18</v>
      </c>
      <c r="BX46">
        <v>1990</v>
      </c>
      <c r="BY46">
        <v>17</v>
      </c>
      <c r="BZ46">
        <f t="shared" si="8"/>
        <v>-3</v>
      </c>
      <c r="CA46">
        <f t="shared" si="9"/>
        <v>1</v>
      </c>
      <c r="CB46" t="b">
        <f t="shared" si="10"/>
        <v>0</v>
      </c>
    </row>
    <row r="47" spans="1:80" x14ac:dyDescent="0.3">
      <c r="A47" t="s">
        <v>594</v>
      </c>
      <c r="B47" t="s">
        <v>191</v>
      </c>
      <c r="C47" t="s">
        <v>595</v>
      </c>
      <c r="D47">
        <v>41</v>
      </c>
      <c r="E47" s="1">
        <v>30750</v>
      </c>
      <c r="F47" t="s">
        <v>89</v>
      </c>
      <c r="G47" t="s">
        <v>400</v>
      </c>
      <c r="H47" t="s">
        <v>89</v>
      </c>
      <c r="I47" t="s">
        <v>596</v>
      </c>
      <c r="J47" t="s">
        <v>78</v>
      </c>
      <c r="K47" t="s">
        <v>89</v>
      </c>
      <c r="L47" t="s">
        <v>145</v>
      </c>
      <c r="M47">
        <v>20</v>
      </c>
      <c r="N47" t="s">
        <v>568</v>
      </c>
      <c r="O47">
        <v>2004</v>
      </c>
      <c r="P47" t="s">
        <v>597</v>
      </c>
      <c r="Q47" t="s">
        <v>598</v>
      </c>
      <c r="R47">
        <v>22139</v>
      </c>
      <c r="S47" t="s">
        <v>594</v>
      </c>
      <c r="T47" s="1">
        <v>30928</v>
      </c>
      <c r="U47">
        <v>1984</v>
      </c>
      <c r="V47" t="s">
        <v>599</v>
      </c>
      <c r="W47">
        <v>1.84</v>
      </c>
      <c r="X47" t="s">
        <v>600</v>
      </c>
      <c r="Y47" t="s">
        <v>136</v>
      </c>
      <c r="Z47" t="s">
        <v>87</v>
      </c>
      <c r="AA47" t="s">
        <v>601</v>
      </c>
      <c r="AB47" s="1">
        <v>42742</v>
      </c>
      <c r="AC47" t="s">
        <v>108</v>
      </c>
      <c r="AD47" t="s">
        <v>89</v>
      </c>
      <c r="AE47">
        <v>38999</v>
      </c>
      <c r="AF47">
        <v>22</v>
      </c>
      <c r="AG47" t="s">
        <v>573</v>
      </c>
      <c r="AH47">
        <v>38300</v>
      </c>
      <c r="AI47">
        <v>20</v>
      </c>
      <c r="AJ47" t="s">
        <v>575</v>
      </c>
      <c r="AK47">
        <v>20</v>
      </c>
      <c r="AL47">
        <v>35</v>
      </c>
      <c r="AM47">
        <v>737</v>
      </c>
      <c r="AN47">
        <v>121</v>
      </c>
      <c r="AO47">
        <v>9</v>
      </c>
      <c r="AP47" t="s">
        <v>93</v>
      </c>
      <c r="AQ47" t="s">
        <v>89</v>
      </c>
      <c r="AR47" t="s">
        <v>89</v>
      </c>
      <c r="AS47" t="s">
        <v>111</v>
      </c>
      <c r="AT47" s="1">
        <v>42742</v>
      </c>
      <c r="AU47">
        <v>2017</v>
      </c>
      <c r="AV47">
        <v>13</v>
      </c>
      <c r="AW47">
        <v>13</v>
      </c>
      <c r="AX47" t="s">
        <v>89</v>
      </c>
      <c r="AY47" t="s">
        <v>93</v>
      </c>
      <c r="AZ47">
        <v>0</v>
      </c>
      <c r="BA47">
        <v>0</v>
      </c>
      <c r="BB47">
        <v>0</v>
      </c>
      <c r="BC47">
        <v>0</v>
      </c>
      <c r="BD47">
        <v>324</v>
      </c>
      <c r="BE47">
        <v>25099</v>
      </c>
      <c r="BF47">
        <v>17</v>
      </c>
      <c r="BG47">
        <v>33</v>
      </c>
      <c r="BH47">
        <v>324</v>
      </c>
      <c r="BI47">
        <v>25099</v>
      </c>
      <c r="BJ47">
        <v>17</v>
      </c>
      <c r="BK47">
        <f t="shared" si="2"/>
        <v>324</v>
      </c>
      <c r="BL47">
        <f t="shared" si="3"/>
        <v>25099</v>
      </c>
      <c r="BM47">
        <f t="shared" si="4"/>
        <v>17</v>
      </c>
      <c r="BN47">
        <f t="shared" si="5"/>
        <v>0</v>
      </c>
      <c r="BO47">
        <f t="shared" si="6"/>
        <v>0</v>
      </c>
      <c r="BP47">
        <f t="shared" si="7"/>
        <v>0</v>
      </c>
      <c r="BQ47" t="s">
        <v>136</v>
      </c>
      <c r="BR47" t="s">
        <v>140</v>
      </c>
      <c r="BS47" s="1">
        <v>30750</v>
      </c>
      <c r="BT47">
        <v>41</v>
      </c>
      <c r="BU47" s="1">
        <v>42742</v>
      </c>
      <c r="BV47" s="1">
        <v>42917</v>
      </c>
      <c r="BW47">
        <v>13</v>
      </c>
      <c r="BX47">
        <v>1984</v>
      </c>
      <c r="BY47">
        <v>13</v>
      </c>
      <c r="BZ47">
        <f t="shared" si="8"/>
        <v>0</v>
      </c>
      <c r="CA47">
        <f t="shared" si="9"/>
        <v>0</v>
      </c>
      <c r="CB47" t="b">
        <f t="shared" si="10"/>
        <v>1</v>
      </c>
    </row>
    <row r="48" spans="1:80" x14ac:dyDescent="0.3">
      <c r="A48" t="s">
        <v>602</v>
      </c>
      <c r="B48" t="s">
        <v>603</v>
      </c>
      <c r="C48" t="s">
        <v>604</v>
      </c>
      <c r="D48">
        <v>34</v>
      </c>
      <c r="E48" s="1">
        <v>33239</v>
      </c>
      <c r="F48" t="s">
        <v>89</v>
      </c>
      <c r="G48" t="s">
        <v>605</v>
      </c>
      <c r="H48" t="s">
        <v>606</v>
      </c>
      <c r="I48" t="s">
        <v>227</v>
      </c>
      <c r="J48" t="s">
        <v>78</v>
      </c>
      <c r="K48" t="s">
        <v>89</v>
      </c>
      <c r="L48" t="s">
        <v>278</v>
      </c>
      <c r="M48">
        <v>20</v>
      </c>
      <c r="N48" t="s">
        <v>607</v>
      </c>
      <c r="O48">
        <v>2011</v>
      </c>
      <c r="P48" t="s">
        <v>608</v>
      </c>
      <c r="Q48" t="s">
        <v>609</v>
      </c>
      <c r="R48">
        <v>106837</v>
      </c>
      <c r="S48" t="s">
        <v>602</v>
      </c>
      <c r="T48" s="1">
        <v>33239</v>
      </c>
      <c r="U48">
        <v>1991</v>
      </c>
      <c r="V48" t="s">
        <v>610</v>
      </c>
      <c r="W48">
        <v>1.97</v>
      </c>
      <c r="X48" t="s">
        <v>611</v>
      </c>
      <c r="Y48" t="s">
        <v>235</v>
      </c>
      <c r="Z48" t="s">
        <v>87</v>
      </c>
      <c r="AA48" t="s">
        <v>476</v>
      </c>
      <c r="AB48" s="1">
        <v>45664</v>
      </c>
      <c r="AC48" t="s">
        <v>108</v>
      </c>
      <c r="AD48" t="s">
        <v>89</v>
      </c>
      <c r="AE48" t="s">
        <v>612</v>
      </c>
      <c r="AF48">
        <v>20</v>
      </c>
      <c r="AG48" t="s">
        <v>613</v>
      </c>
      <c r="AH48" t="s">
        <v>614</v>
      </c>
      <c r="AI48">
        <v>19</v>
      </c>
      <c r="AJ48" t="s">
        <v>615</v>
      </c>
      <c r="AK48">
        <v>19</v>
      </c>
      <c r="AL48">
        <v>6</v>
      </c>
      <c r="AM48">
        <v>176</v>
      </c>
      <c r="AN48">
        <v>28</v>
      </c>
      <c r="AO48">
        <v>3</v>
      </c>
      <c r="AP48" t="s">
        <v>93</v>
      </c>
      <c r="AQ48" t="s">
        <v>89</v>
      </c>
      <c r="AR48" t="s">
        <v>89</v>
      </c>
      <c r="AS48" t="s">
        <v>93</v>
      </c>
      <c r="AT48" t="s">
        <v>89</v>
      </c>
      <c r="AU48" t="s">
        <v>89</v>
      </c>
      <c r="AV48" t="s">
        <v>89</v>
      </c>
      <c r="AW48">
        <v>14</v>
      </c>
      <c r="AX48" t="s">
        <v>89</v>
      </c>
      <c r="AY48" t="s">
        <v>111</v>
      </c>
      <c r="AZ48">
        <v>1</v>
      </c>
      <c r="BA48">
        <v>2</v>
      </c>
      <c r="BB48">
        <v>180</v>
      </c>
      <c r="BC48">
        <v>0</v>
      </c>
      <c r="BD48">
        <v>189</v>
      </c>
      <c r="BE48">
        <v>15093</v>
      </c>
      <c r="BF48">
        <v>8</v>
      </c>
      <c r="BG48" t="s">
        <v>89</v>
      </c>
      <c r="BH48">
        <v>191</v>
      </c>
      <c r="BI48">
        <v>15273</v>
      </c>
      <c r="BJ48">
        <v>8</v>
      </c>
      <c r="BK48">
        <f t="shared" si="2"/>
        <v>191</v>
      </c>
      <c r="BL48">
        <f t="shared" si="3"/>
        <v>15273</v>
      </c>
      <c r="BM48">
        <f t="shared" si="4"/>
        <v>8</v>
      </c>
      <c r="BN48">
        <f t="shared" si="5"/>
        <v>0</v>
      </c>
      <c r="BO48">
        <f t="shared" si="6"/>
        <v>0</v>
      </c>
      <c r="BP48">
        <f t="shared" si="7"/>
        <v>0</v>
      </c>
      <c r="BQ48" t="s">
        <v>235</v>
      </c>
      <c r="BR48" t="s">
        <v>140</v>
      </c>
      <c r="BS48" s="1">
        <v>33239</v>
      </c>
      <c r="BT48">
        <v>35</v>
      </c>
      <c r="BU48" t="s">
        <v>89</v>
      </c>
      <c r="BV48" t="s">
        <v>89</v>
      </c>
      <c r="BW48">
        <v>16</v>
      </c>
      <c r="BX48">
        <v>1991</v>
      </c>
      <c r="BY48">
        <v>15</v>
      </c>
      <c r="BZ48">
        <f t="shared" si="8"/>
        <v>-2</v>
      </c>
      <c r="CA48">
        <f t="shared" si="9"/>
        <v>1</v>
      </c>
      <c r="CB48" t="b">
        <f t="shared" si="10"/>
        <v>0</v>
      </c>
    </row>
    <row r="49" spans="1:80" x14ac:dyDescent="0.3">
      <c r="A49" t="s">
        <v>616</v>
      </c>
      <c r="B49" t="s">
        <v>617</v>
      </c>
      <c r="C49" t="s">
        <v>618</v>
      </c>
      <c r="D49">
        <v>40</v>
      </c>
      <c r="E49" s="1">
        <v>31053</v>
      </c>
      <c r="F49" t="s">
        <v>89</v>
      </c>
      <c r="G49" t="s">
        <v>193</v>
      </c>
      <c r="H49" t="s">
        <v>619</v>
      </c>
      <c r="I49" t="s">
        <v>288</v>
      </c>
      <c r="J49" t="s">
        <v>78</v>
      </c>
      <c r="K49" t="s">
        <v>89</v>
      </c>
      <c r="L49" t="s">
        <v>117</v>
      </c>
      <c r="M49">
        <v>20</v>
      </c>
      <c r="N49" t="s">
        <v>620</v>
      </c>
      <c r="O49">
        <v>2005</v>
      </c>
      <c r="P49" t="s">
        <v>621</v>
      </c>
      <c r="Q49" t="s">
        <v>622</v>
      </c>
      <c r="R49">
        <v>37388</v>
      </c>
      <c r="S49" t="s">
        <v>616</v>
      </c>
      <c r="T49">
        <v>31199</v>
      </c>
      <c r="U49">
        <v>1985</v>
      </c>
      <c r="V49" t="s">
        <v>623</v>
      </c>
      <c r="W49">
        <v>1.85</v>
      </c>
      <c r="X49" t="s">
        <v>619</v>
      </c>
      <c r="Y49" t="s">
        <v>259</v>
      </c>
      <c r="Z49" t="s">
        <v>87</v>
      </c>
      <c r="AA49" t="s">
        <v>624</v>
      </c>
      <c r="AB49" t="s">
        <v>625</v>
      </c>
      <c r="AC49" t="s">
        <v>108</v>
      </c>
      <c r="AD49" t="s">
        <v>89</v>
      </c>
      <c r="AE49" s="1">
        <v>38839</v>
      </c>
      <c r="AF49">
        <v>21</v>
      </c>
      <c r="AG49" t="s">
        <v>573</v>
      </c>
      <c r="AH49" t="s">
        <v>626</v>
      </c>
      <c r="AI49">
        <v>22</v>
      </c>
      <c r="AJ49" t="s">
        <v>110</v>
      </c>
      <c r="AK49">
        <v>21</v>
      </c>
      <c r="AL49">
        <v>4</v>
      </c>
      <c r="AM49">
        <v>79</v>
      </c>
      <c r="AN49">
        <v>14</v>
      </c>
      <c r="AO49">
        <v>4</v>
      </c>
      <c r="AP49" t="s">
        <v>93</v>
      </c>
      <c r="AQ49" t="s">
        <v>89</v>
      </c>
      <c r="AR49" t="s">
        <v>89</v>
      </c>
      <c r="AS49" t="s">
        <v>111</v>
      </c>
      <c r="AT49" t="s">
        <v>625</v>
      </c>
      <c r="AU49">
        <v>2020</v>
      </c>
      <c r="AV49">
        <v>15</v>
      </c>
      <c r="AW49">
        <v>15</v>
      </c>
      <c r="AX49" t="s">
        <v>89</v>
      </c>
      <c r="AY49" t="s">
        <v>111</v>
      </c>
      <c r="AZ49">
        <v>8</v>
      </c>
      <c r="BA49">
        <v>29</v>
      </c>
      <c r="BB49">
        <v>1993</v>
      </c>
      <c r="BC49">
        <v>2</v>
      </c>
      <c r="BD49">
        <v>364</v>
      </c>
      <c r="BE49">
        <v>28811</v>
      </c>
      <c r="BF49">
        <v>30</v>
      </c>
      <c r="BG49">
        <v>35</v>
      </c>
      <c r="BH49">
        <v>393</v>
      </c>
      <c r="BI49">
        <v>30804</v>
      </c>
      <c r="BJ49">
        <v>32</v>
      </c>
      <c r="BK49">
        <f t="shared" si="2"/>
        <v>393</v>
      </c>
      <c r="BL49">
        <f t="shared" si="3"/>
        <v>30804</v>
      </c>
      <c r="BM49">
        <f t="shared" si="4"/>
        <v>32</v>
      </c>
      <c r="BN49">
        <f t="shared" si="5"/>
        <v>0</v>
      </c>
      <c r="BO49">
        <f t="shared" si="6"/>
        <v>0</v>
      </c>
      <c r="BP49">
        <f t="shared" si="7"/>
        <v>0</v>
      </c>
      <c r="BQ49" t="s">
        <v>259</v>
      </c>
      <c r="BR49" t="s">
        <v>94</v>
      </c>
      <c r="BS49" t="s">
        <v>89</v>
      </c>
      <c r="BT49">
        <v>41</v>
      </c>
      <c r="BU49" t="s">
        <v>625</v>
      </c>
      <c r="BV49" s="1">
        <v>43880</v>
      </c>
      <c r="BW49">
        <v>14</v>
      </c>
      <c r="BX49">
        <v>1985</v>
      </c>
      <c r="BY49">
        <v>14</v>
      </c>
      <c r="BZ49">
        <f t="shared" si="8"/>
        <v>1</v>
      </c>
      <c r="CA49">
        <f t="shared" si="9"/>
        <v>0</v>
      </c>
      <c r="CB49" t="b">
        <f t="shared" si="10"/>
        <v>0</v>
      </c>
    </row>
    <row r="50" spans="1:80" x14ac:dyDescent="0.3">
      <c r="A50" t="s">
        <v>627</v>
      </c>
      <c r="B50" t="s">
        <v>71</v>
      </c>
      <c r="C50" t="s">
        <v>628</v>
      </c>
      <c r="D50">
        <v>43</v>
      </c>
      <c r="E50" s="1">
        <v>30002</v>
      </c>
      <c r="F50" t="s">
        <v>89</v>
      </c>
      <c r="G50" t="s">
        <v>400</v>
      </c>
      <c r="H50" t="s">
        <v>89</v>
      </c>
      <c r="I50" t="s">
        <v>555</v>
      </c>
      <c r="J50" t="s">
        <v>78</v>
      </c>
      <c r="K50" t="s">
        <v>89</v>
      </c>
      <c r="L50" t="s">
        <v>145</v>
      </c>
      <c r="M50">
        <v>22</v>
      </c>
      <c r="N50" t="s">
        <v>629</v>
      </c>
      <c r="O50">
        <v>2004</v>
      </c>
      <c r="P50" t="s">
        <v>630</v>
      </c>
      <c r="Q50" t="s">
        <v>631</v>
      </c>
      <c r="R50">
        <v>29065</v>
      </c>
      <c r="S50" t="s">
        <v>632</v>
      </c>
      <c r="T50" t="s">
        <v>633</v>
      </c>
      <c r="U50">
        <v>1982</v>
      </c>
      <c r="V50" t="s">
        <v>304</v>
      </c>
      <c r="W50">
        <v>1.81</v>
      </c>
      <c r="X50" t="s">
        <v>76</v>
      </c>
      <c r="Y50" t="s">
        <v>86</v>
      </c>
      <c r="Z50" t="s">
        <v>87</v>
      </c>
      <c r="AA50" t="s">
        <v>634</v>
      </c>
      <c r="AB50" t="s">
        <v>635</v>
      </c>
      <c r="AC50" t="s">
        <v>108</v>
      </c>
      <c r="AD50" t="s">
        <v>89</v>
      </c>
      <c r="AE50" t="s">
        <v>636</v>
      </c>
      <c r="AF50">
        <v>25</v>
      </c>
      <c r="AG50" t="s">
        <v>91</v>
      </c>
      <c r="AH50" t="s">
        <v>505</v>
      </c>
      <c r="AI50">
        <v>22</v>
      </c>
      <c r="AJ50" t="s">
        <v>110</v>
      </c>
      <c r="AK50">
        <v>22</v>
      </c>
      <c r="AL50">
        <v>1</v>
      </c>
      <c r="AM50">
        <v>25</v>
      </c>
      <c r="AN50">
        <v>0</v>
      </c>
      <c r="AO50">
        <v>1</v>
      </c>
      <c r="AP50" t="s">
        <v>93</v>
      </c>
      <c r="AQ50" t="s">
        <v>89</v>
      </c>
      <c r="AR50" t="s">
        <v>89</v>
      </c>
      <c r="AS50" t="s">
        <v>111</v>
      </c>
      <c r="AT50" t="s">
        <v>635</v>
      </c>
      <c r="AU50">
        <v>2019</v>
      </c>
      <c r="AV50">
        <v>15</v>
      </c>
      <c r="AW50">
        <v>15</v>
      </c>
      <c r="AX50" t="s">
        <v>89</v>
      </c>
      <c r="AY50" t="s">
        <v>93</v>
      </c>
      <c r="AZ50">
        <v>0</v>
      </c>
      <c r="BA50">
        <v>0</v>
      </c>
      <c r="BB50">
        <v>0</v>
      </c>
      <c r="BC50">
        <v>0</v>
      </c>
      <c r="BD50">
        <v>371</v>
      </c>
      <c r="BE50">
        <v>24902</v>
      </c>
      <c r="BF50">
        <v>31</v>
      </c>
      <c r="BG50">
        <v>37</v>
      </c>
      <c r="BH50">
        <v>371</v>
      </c>
      <c r="BI50">
        <v>24902</v>
      </c>
      <c r="BJ50">
        <v>31</v>
      </c>
      <c r="BK50">
        <f t="shared" si="2"/>
        <v>371</v>
      </c>
      <c r="BL50">
        <f t="shared" si="3"/>
        <v>24902</v>
      </c>
      <c r="BM50">
        <f t="shared" si="4"/>
        <v>31</v>
      </c>
      <c r="BN50">
        <f t="shared" si="5"/>
        <v>0</v>
      </c>
      <c r="BO50">
        <f t="shared" si="6"/>
        <v>0</v>
      </c>
      <c r="BP50">
        <f t="shared" si="7"/>
        <v>0</v>
      </c>
      <c r="BQ50" t="s">
        <v>86</v>
      </c>
      <c r="BR50" t="s">
        <v>94</v>
      </c>
      <c r="BS50" s="1">
        <v>30002</v>
      </c>
      <c r="BT50">
        <v>43</v>
      </c>
      <c r="BU50" t="s">
        <v>635</v>
      </c>
      <c r="BV50" s="1">
        <v>43487</v>
      </c>
      <c r="BW50">
        <v>15</v>
      </c>
      <c r="BX50">
        <v>1982</v>
      </c>
      <c r="BY50">
        <v>15</v>
      </c>
      <c r="BZ50">
        <f t="shared" si="8"/>
        <v>0</v>
      </c>
      <c r="CA50">
        <f t="shared" si="9"/>
        <v>0</v>
      </c>
      <c r="CB50" t="b">
        <f t="shared" si="10"/>
        <v>1</v>
      </c>
    </row>
    <row r="51" spans="1:80" x14ac:dyDescent="0.3">
      <c r="A51" t="s">
        <v>637</v>
      </c>
      <c r="B51" t="s">
        <v>71</v>
      </c>
      <c r="C51" t="s">
        <v>638</v>
      </c>
      <c r="D51">
        <v>40</v>
      </c>
      <c r="E51" s="1">
        <v>31244</v>
      </c>
      <c r="F51" t="s">
        <v>89</v>
      </c>
      <c r="G51" t="s">
        <v>211</v>
      </c>
      <c r="H51" t="s">
        <v>89</v>
      </c>
      <c r="I51" t="s">
        <v>555</v>
      </c>
      <c r="J51" t="s">
        <v>639</v>
      </c>
      <c r="K51" t="s">
        <v>89</v>
      </c>
      <c r="L51" t="s">
        <v>145</v>
      </c>
      <c r="M51">
        <v>19</v>
      </c>
      <c r="N51" t="s">
        <v>640</v>
      </c>
      <c r="O51">
        <v>2004</v>
      </c>
      <c r="P51" t="s">
        <v>641</v>
      </c>
      <c r="Q51" t="s">
        <v>642</v>
      </c>
      <c r="R51">
        <v>65243</v>
      </c>
      <c r="S51" t="s">
        <v>637</v>
      </c>
      <c r="T51" t="s">
        <v>643</v>
      </c>
      <c r="U51">
        <v>1985</v>
      </c>
      <c r="V51" t="s">
        <v>644</v>
      </c>
      <c r="W51">
        <v>1.75</v>
      </c>
      <c r="X51" t="s">
        <v>76</v>
      </c>
      <c r="Y51" t="s">
        <v>86</v>
      </c>
      <c r="Z51" t="s">
        <v>87</v>
      </c>
      <c r="AA51" t="s">
        <v>645</v>
      </c>
      <c r="AB51" s="1">
        <v>45055</v>
      </c>
      <c r="AC51" t="s">
        <v>108</v>
      </c>
      <c r="AD51" t="s">
        <v>89</v>
      </c>
      <c r="AE51" t="s">
        <v>646</v>
      </c>
      <c r="AF51">
        <v>23</v>
      </c>
      <c r="AG51" t="s">
        <v>91</v>
      </c>
      <c r="AH51">
        <v>38333</v>
      </c>
      <c r="AI51">
        <v>19</v>
      </c>
      <c r="AJ51" t="s">
        <v>110</v>
      </c>
      <c r="AK51">
        <v>19</v>
      </c>
      <c r="AL51">
        <v>3</v>
      </c>
      <c r="AM51">
        <v>216</v>
      </c>
      <c r="AN51">
        <v>33</v>
      </c>
      <c r="AO51">
        <v>3</v>
      </c>
      <c r="AP51" t="s">
        <v>93</v>
      </c>
      <c r="AQ51" t="s">
        <v>89</v>
      </c>
      <c r="AR51" t="s">
        <v>89</v>
      </c>
      <c r="AS51" t="s">
        <v>111</v>
      </c>
      <c r="AT51">
        <v>45055</v>
      </c>
      <c r="AU51">
        <v>2023</v>
      </c>
      <c r="AV51">
        <v>19</v>
      </c>
      <c r="AW51">
        <v>19</v>
      </c>
      <c r="AX51" t="s">
        <v>89</v>
      </c>
      <c r="AY51" t="s">
        <v>93</v>
      </c>
      <c r="AZ51">
        <v>0</v>
      </c>
      <c r="BA51">
        <v>0</v>
      </c>
      <c r="BB51">
        <v>0</v>
      </c>
      <c r="BC51">
        <v>0</v>
      </c>
      <c r="BD51">
        <v>313</v>
      </c>
      <c r="BE51">
        <v>21779</v>
      </c>
      <c r="BF51">
        <v>13</v>
      </c>
      <c r="BG51">
        <v>38</v>
      </c>
      <c r="BH51">
        <v>313</v>
      </c>
      <c r="BI51">
        <v>21779</v>
      </c>
      <c r="BJ51">
        <v>13</v>
      </c>
      <c r="BK51">
        <f t="shared" si="2"/>
        <v>313</v>
      </c>
      <c r="BL51">
        <f t="shared" si="3"/>
        <v>21779</v>
      </c>
      <c r="BM51">
        <f t="shared" si="4"/>
        <v>13</v>
      </c>
      <c r="BN51">
        <f t="shared" si="5"/>
        <v>0</v>
      </c>
      <c r="BO51">
        <f t="shared" si="6"/>
        <v>0</v>
      </c>
      <c r="BP51">
        <f t="shared" si="7"/>
        <v>0</v>
      </c>
      <c r="BQ51" t="s">
        <v>86</v>
      </c>
      <c r="BR51" t="s">
        <v>94</v>
      </c>
      <c r="BS51" s="1">
        <v>31244</v>
      </c>
      <c r="BT51">
        <v>40</v>
      </c>
      <c r="BU51">
        <v>45055</v>
      </c>
      <c r="BV51" t="s">
        <v>89</v>
      </c>
      <c r="BW51">
        <v>19</v>
      </c>
      <c r="BX51">
        <v>1985</v>
      </c>
      <c r="BY51">
        <v>19</v>
      </c>
      <c r="BZ51">
        <f t="shared" si="8"/>
        <v>0</v>
      </c>
      <c r="CA51">
        <f t="shared" si="9"/>
        <v>0</v>
      </c>
      <c r="CB51" t="b">
        <f t="shared" si="10"/>
        <v>1</v>
      </c>
    </row>
    <row r="52" spans="1:80" x14ac:dyDescent="0.3">
      <c r="A52" t="s">
        <v>647</v>
      </c>
      <c r="B52" t="s">
        <v>71</v>
      </c>
      <c r="C52" t="s">
        <v>648</v>
      </c>
      <c r="D52">
        <v>39</v>
      </c>
      <c r="E52" s="1">
        <v>31465</v>
      </c>
      <c r="F52" t="s">
        <v>89</v>
      </c>
      <c r="G52" t="s">
        <v>143</v>
      </c>
      <c r="H52" t="s">
        <v>89</v>
      </c>
      <c r="I52" t="s">
        <v>299</v>
      </c>
      <c r="J52" t="s">
        <v>300</v>
      </c>
      <c r="K52" t="s">
        <v>89</v>
      </c>
      <c r="L52" t="s">
        <v>228</v>
      </c>
      <c r="M52">
        <v>24</v>
      </c>
      <c r="N52" t="s">
        <v>649</v>
      </c>
      <c r="O52">
        <v>2010</v>
      </c>
      <c r="P52" t="s">
        <v>650</v>
      </c>
      <c r="Q52" t="s">
        <v>651</v>
      </c>
      <c r="R52">
        <v>95483</v>
      </c>
      <c r="S52" t="s">
        <v>647</v>
      </c>
      <c r="T52" t="s">
        <v>652</v>
      </c>
      <c r="U52">
        <v>1986</v>
      </c>
      <c r="V52" t="s">
        <v>653</v>
      </c>
      <c r="W52">
        <v>1.75</v>
      </c>
      <c r="X52" t="s">
        <v>76</v>
      </c>
      <c r="Y52" t="s">
        <v>203</v>
      </c>
      <c r="Z52" t="s">
        <v>152</v>
      </c>
      <c r="AA52" t="s">
        <v>476</v>
      </c>
      <c r="AB52">
        <v>44568</v>
      </c>
      <c r="AC52" t="s">
        <v>108</v>
      </c>
      <c r="AD52" t="s">
        <v>89</v>
      </c>
      <c r="AE52" t="s">
        <v>654</v>
      </c>
      <c r="AF52">
        <v>25</v>
      </c>
      <c r="AG52" t="s">
        <v>91</v>
      </c>
      <c r="AH52" t="s">
        <v>614</v>
      </c>
      <c r="AI52">
        <v>24</v>
      </c>
      <c r="AJ52" t="s">
        <v>110</v>
      </c>
      <c r="AK52">
        <v>24</v>
      </c>
      <c r="AL52">
        <v>4</v>
      </c>
      <c r="AM52">
        <v>158</v>
      </c>
      <c r="AN52">
        <v>24</v>
      </c>
      <c r="AO52">
        <v>4</v>
      </c>
      <c r="AP52" t="s">
        <v>93</v>
      </c>
      <c r="AQ52" t="s">
        <v>89</v>
      </c>
      <c r="AR52" t="s">
        <v>89</v>
      </c>
      <c r="AS52" t="s">
        <v>93</v>
      </c>
      <c r="AT52" t="s">
        <v>89</v>
      </c>
      <c r="AU52" t="s">
        <v>89</v>
      </c>
      <c r="AV52" t="s">
        <v>89</v>
      </c>
      <c r="AW52">
        <v>15</v>
      </c>
      <c r="AX52" t="s">
        <v>89</v>
      </c>
      <c r="AY52" t="s">
        <v>93</v>
      </c>
      <c r="AZ52">
        <v>0</v>
      </c>
      <c r="BA52">
        <v>0</v>
      </c>
      <c r="BB52">
        <v>0</v>
      </c>
      <c r="BC52">
        <v>0</v>
      </c>
      <c r="BD52">
        <v>250</v>
      </c>
      <c r="BE52">
        <v>18017</v>
      </c>
      <c r="BF52">
        <v>3</v>
      </c>
      <c r="BG52" t="s">
        <v>89</v>
      </c>
      <c r="BH52">
        <v>250</v>
      </c>
      <c r="BI52">
        <v>18017</v>
      </c>
      <c r="BJ52">
        <v>3</v>
      </c>
      <c r="BK52">
        <f t="shared" si="2"/>
        <v>250</v>
      </c>
      <c r="BL52">
        <f t="shared" si="3"/>
        <v>18017</v>
      </c>
      <c r="BM52">
        <f t="shared" si="4"/>
        <v>3</v>
      </c>
      <c r="BN52">
        <f t="shared" si="5"/>
        <v>0</v>
      </c>
      <c r="BO52">
        <f t="shared" si="6"/>
        <v>0</v>
      </c>
      <c r="BP52">
        <f t="shared" si="7"/>
        <v>0</v>
      </c>
      <c r="BQ52" t="s">
        <v>203</v>
      </c>
      <c r="BR52" t="s">
        <v>140</v>
      </c>
      <c r="BS52" s="1">
        <v>31465</v>
      </c>
      <c r="BT52">
        <v>39</v>
      </c>
      <c r="BU52" t="s">
        <v>89</v>
      </c>
      <c r="BV52" t="s">
        <v>89</v>
      </c>
      <c r="BW52">
        <v>15</v>
      </c>
      <c r="BX52">
        <v>1986</v>
      </c>
      <c r="BY52">
        <v>15</v>
      </c>
      <c r="BZ52">
        <f t="shared" si="8"/>
        <v>0</v>
      </c>
      <c r="CA52">
        <f t="shared" si="9"/>
        <v>0</v>
      </c>
      <c r="CB52" t="b">
        <f t="shared" si="10"/>
        <v>1</v>
      </c>
    </row>
    <row r="53" spans="1:80" x14ac:dyDescent="0.3">
      <c r="A53" t="s">
        <v>655</v>
      </c>
      <c r="B53" t="s">
        <v>71</v>
      </c>
      <c r="C53" t="s">
        <v>656</v>
      </c>
      <c r="D53">
        <v>46</v>
      </c>
      <c r="E53" s="1">
        <v>29035</v>
      </c>
      <c r="F53" t="s">
        <v>89</v>
      </c>
      <c r="G53" t="s">
        <v>75</v>
      </c>
      <c r="H53" t="s">
        <v>89</v>
      </c>
      <c r="I53" t="s">
        <v>227</v>
      </c>
      <c r="J53" t="s">
        <v>89</v>
      </c>
      <c r="K53" t="s">
        <v>89</v>
      </c>
      <c r="L53" t="s">
        <v>657</v>
      </c>
      <c r="M53">
        <v>24</v>
      </c>
      <c r="N53" t="s">
        <v>267</v>
      </c>
      <c r="O53">
        <v>2003</v>
      </c>
      <c r="P53" t="s">
        <v>658</v>
      </c>
      <c r="Q53" t="s">
        <v>659</v>
      </c>
      <c r="R53">
        <v>29137</v>
      </c>
      <c r="S53" t="s">
        <v>655</v>
      </c>
      <c r="T53" t="s">
        <v>660</v>
      </c>
      <c r="U53">
        <v>1979</v>
      </c>
      <c r="V53" t="s">
        <v>661</v>
      </c>
      <c r="W53">
        <v>1.78</v>
      </c>
      <c r="X53" t="s">
        <v>76</v>
      </c>
      <c r="Y53" t="s">
        <v>235</v>
      </c>
      <c r="Z53" t="s">
        <v>87</v>
      </c>
      <c r="AA53" t="s">
        <v>662</v>
      </c>
      <c r="AB53">
        <v>43472</v>
      </c>
      <c r="AC53" t="s">
        <v>108</v>
      </c>
      <c r="AD53" t="s">
        <v>89</v>
      </c>
      <c r="AE53" t="s">
        <v>513</v>
      </c>
      <c r="AF53">
        <v>26</v>
      </c>
      <c r="AG53" t="s">
        <v>91</v>
      </c>
      <c r="AH53">
        <v>37632</v>
      </c>
      <c r="AI53">
        <v>24</v>
      </c>
      <c r="AJ53" t="s">
        <v>110</v>
      </c>
      <c r="AK53">
        <v>24</v>
      </c>
      <c r="AL53">
        <v>1</v>
      </c>
      <c r="AM53">
        <v>32</v>
      </c>
      <c r="AN53">
        <v>6</v>
      </c>
      <c r="AO53">
        <v>1</v>
      </c>
      <c r="AP53" t="s">
        <v>93</v>
      </c>
      <c r="AQ53" t="s">
        <v>89</v>
      </c>
      <c r="AR53" t="s">
        <v>89</v>
      </c>
      <c r="AS53" t="s">
        <v>111</v>
      </c>
      <c r="AT53">
        <v>43472</v>
      </c>
      <c r="AU53">
        <v>2019</v>
      </c>
      <c r="AV53">
        <v>16</v>
      </c>
      <c r="AW53">
        <v>16</v>
      </c>
      <c r="AX53" t="s">
        <v>89</v>
      </c>
      <c r="AY53" t="s">
        <v>93</v>
      </c>
      <c r="AZ53">
        <v>0</v>
      </c>
      <c r="BA53">
        <v>0</v>
      </c>
      <c r="BB53">
        <v>0</v>
      </c>
      <c r="BC53">
        <v>0</v>
      </c>
      <c r="BD53">
        <v>292</v>
      </c>
      <c r="BE53">
        <v>24861</v>
      </c>
      <c r="BF53">
        <v>30</v>
      </c>
      <c r="BG53">
        <v>40</v>
      </c>
      <c r="BH53">
        <v>292</v>
      </c>
      <c r="BI53">
        <v>24861</v>
      </c>
      <c r="BJ53">
        <v>30</v>
      </c>
      <c r="BK53">
        <f t="shared" si="2"/>
        <v>292</v>
      </c>
      <c r="BL53">
        <f t="shared" si="3"/>
        <v>24861</v>
      </c>
      <c r="BM53">
        <f t="shared" si="4"/>
        <v>30</v>
      </c>
      <c r="BN53">
        <f t="shared" si="5"/>
        <v>0</v>
      </c>
      <c r="BO53">
        <f t="shared" si="6"/>
        <v>0</v>
      </c>
      <c r="BP53">
        <f t="shared" si="7"/>
        <v>0</v>
      </c>
      <c r="BQ53" t="s">
        <v>235</v>
      </c>
      <c r="BR53" t="s">
        <v>140</v>
      </c>
      <c r="BS53" s="1">
        <v>29035</v>
      </c>
      <c r="BT53">
        <v>46</v>
      </c>
      <c r="BU53">
        <v>43472</v>
      </c>
      <c r="BV53" t="s">
        <v>89</v>
      </c>
      <c r="BW53">
        <v>16</v>
      </c>
      <c r="BX53">
        <v>1979</v>
      </c>
      <c r="BY53">
        <v>16</v>
      </c>
      <c r="BZ53">
        <f t="shared" si="8"/>
        <v>0</v>
      </c>
      <c r="CA53">
        <f t="shared" si="9"/>
        <v>0</v>
      </c>
      <c r="CB53" t="b">
        <f t="shared" si="10"/>
        <v>1</v>
      </c>
    </row>
    <row r="54" spans="1:80" x14ac:dyDescent="0.3">
      <c r="A54" t="s">
        <v>663</v>
      </c>
      <c r="B54" t="s">
        <v>71</v>
      </c>
      <c r="C54" t="s">
        <v>664</v>
      </c>
      <c r="D54">
        <v>29</v>
      </c>
      <c r="E54" t="s">
        <v>665</v>
      </c>
      <c r="F54" t="s">
        <v>666</v>
      </c>
      <c r="G54" t="s">
        <v>75</v>
      </c>
      <c r="H54" t="s">
        <v>667</v>
      </c>
      <c r="I54" t="s">
        <v>668</v>
      </c>
      <c r="J54" t="s">
        <v>78</v>
      </c>
      <c r="K54" t="s">
        <v>669</v>
      </c>
      <c r="L54" t="s">
        <v>324</v>
      </c>
      <c r="M54">
        <v>17</v>
      </c>
      <c r="N54" t="s">
        <v>644</v>
      </c>
      <c r="O54">
        <v>2013</v>
      </c>
      <c r="P54" t="s">
        <v>670</v>
      </c>
      <c r="Q54" t="s">
        <v>671</v>
      </c>
      <c r="R54">
        <v>204103</v>
      </c>
      <c r="S54" t="s">
        <v>663</v>
      </c>
      <c r="T54" t="s">
        <v>672</v>
      </c>
      <c r="U54">
        <v>1996</v>
      </c>
      <c r="V54" t="s">
        <v>673</v>
      </c>
      <c r="W54">
        <v>1.78</v>
      </c>
      <c r="X54" t="s">
        <v>674</v>
      </c>
      <c r="Y54" t="s">
        <v>494</v>
      </c>
      <c r="Z54" t="s">
        <v>87</v>
      </c>
      <c r="AA54" t="s">
        <v>669</v>
      </c>
      <c r="AB54" s="1">
        <v>45268</v>
      </c>
      <c r="AC54" t="s">
        <v>170</v>
      </c>
      <c r="AD54" t="s">
        <v>89</v>
      </c>
      <c r="AE54" t="s">
        <v>675</v>
      </c>
      <c r="AF54">
        <v>17</v>
      </c>
      <c r="AG54" t="s">
        <v>91</v>
      </c>
      <c r="AH54" s="1">
        <v>41435</v>
      </c>
      <c r="AI54">
        <v>17</v>
      </c>
      <c r="AJ54" t="s">
        <v>110</v>
      </c>
      <c r="AK54">
        <v>17</v>
      </c>
      <c r="AL54">
        <v>15</v>
      </c>
      <c r="AM54">
        <v>368</v>
      </c>
      <c r="AN54">
        <v>61</v>
      </c>
      <c r="AO54">
        <v>7</v>
      </c>
      <c r="AP54" t="s">
        <v>93</v>
      </c>
      <c r="AQ54" t="s">
        <v>89</v>
      </c>
      <c r="AR54" t="s">
        <v>89</v>
      </c>
      <c r="AS54" t="s">
        <v>93</v>
      </c>
      <c r="AT54" t="s">
        <v>89</v>
      </c>
      <c r="AU54" t="s">
        <v>89</v>
      </c>
      <c r="AV54" t="s">
        <v>89</v>
      </c>
      <c r="AW54">
        <v>12</v>
      </c>
      <c r="AX54">
        <v>11</v>
      </c>
      <c r="AY54" t="s">
        <v>111</v>
      </c>
      <c r="AZ54">
        <v>4</v>
      </c>
      <c r="BA54">
        <v>8</v>
      </c>
      <c r="BB54">
        <v>275</v>
      </c>
      <c r="BC54">
        <v>0</v>
      </c>
      <c r="BD54">
        <v>422</v>
      </c>
      <c r="BE54">
        <v>23215</v>
      </c>
      <c r="BF54">
        <v>33</v>
      </c>
      <c r="BG54" t="s">
        <v>89</v>
      </c>
      <c r="BH54">
        <v>430</v>
      </c>
      <c r="BI54">
        <v>23490</v>
      </c>
      <c r="BJ54">
        <v>33</v>
      </c>
      <c r="BK54">
        <f t="shared" si="2"/>
        <v>430</v>
      </c>
      <c r="BL54">
        <f t="shared" si="3"/>
        <v>23490</v>
      </c>
      <c r="BM54">
        <f t="shared" si="4"/>
        <v>33</v>
      </c>
      <c r="BN54">
        <f t="shared" si="5"/>
        <v>0</v>
      </c>
      <c r="BO54">
        <f t="shared" si="6"/>
        <v>0</v>
      </c>
      <c r="BP54">
        <f t="shared" si="7"/>
        <v>0</v>
      </c>
      <c r="BQ54" t="s">
        <v>494</v>
      </c>
      <c r="BR54" t="s">
        <v>112</v>
      </c>
      <c r="BS54" s="1">
        <v>35089</v>
      </c>
      <c r="BT54">
        <v>30</v>
      </c>
      <c r="BU54" t="s">
        <v>89</v>
      </c>
      <c r="BV54" t="s">
        <v>89</v>
      </c>
      <c r="BW54">
        <v>13</v>
      </c>
      <c r="BX54">
        <v>1996</v>
      </c>
      <c r="BY54">
        <v>12</v>
      </c>
      <c r="BZ54">
        <f t="shared" si="8"/>
        <v>-1</v>
      </c>
      <c r="CA54">
        <f t="shared" si="9"/>
        <v>1</v>
      </c>
      <c r="CB54" t="b">
        <f t="shared" si="10"/>
        <v>0</v>
      </c>
    </row>
    <row r="55" spans="1:80" x14ac:dyDescent="0.3">
      <c r="A55" t="s">
        <v>676</v>
      </c>
      <c r="B55" t="s">
        <v>191</v>
      </c>
      <c r="C55" t="s">
        <v>677</v>
      </c>
      <c r="D55">
        <v>39</v>
      </c>
      <c r="E55" s="1">
        <v>31408</v>
      </c>
      <c r="F55" t="s">
        <v>89</v>
      </c>
      <c r="G55" t="s">
        <v>241</v>
      </c>
      <c r="H55" t="s">
        <v>194</v>
      </c>
      <c r="I55" t="s">
        <v>227</v>
      </c>
      <c r="J55" t="s">
        <v>78</v>
      </c>
      <c r="K55" t="s">
        <v>89</v>
      </c>
      <c r="L55" t="s">
        <v>163</v>
      </c>
      <c r="M55">
        <v>20</v>
      </c>
      <c r="N55" t="s">
        <v>678</v>
      </c>
      <c r="O55">
        <v>2006</v>
      </c>
      <c r="P55" t="s">
        <v>679</v>
      </c>
      <c r="Q55" t="s">
        <v>680</v>
      </c>
      <c r="R55">
        <v>51118</v>
      </c>
      <c r="S55" t="s">
        <v>676</v>
      </c>
      <c r="T55" t="s">
        <v>681</v>
      </c>
      <c r="U55">
        <v>1985</v>
      </c>
      <c r="V55" t="s">
        <v>682</v>
      </c>
      <c r="W55">
        <v>1.91</v>
      </c>
      <c r="X55" t="s">
        <v>600</v>
      </c>
      <c r="Y55" t="s">
        <v>235</v>
      </c>
      <c r="Z55" t="s">
        <v>87</v>
      </c>
      <c r="AA55" t="s">
        <v>588</v>
      </c>
      <c r="AB55" s="1">
        <v>44933</v>
      </c>
      <c r="AC55" t="s">
        <v>108</v>
      </c>
      <c r="AD55" t="s">
        <v>395</v>
      </c>
      <c r="AE55" t="s">
        <v>683</v>
      </c>
      <c r="AF55">
        <v>21</v>
      </c>
      <c r="AG55" t="s">
        <v>206</v>
      </c>
      <c r="AH55" t="s">
        <v>92</v>
      </c>
      <c r="AI55" t="s">
        <v>89</v>
      </c>
      <c r="AJ55" t="s">
        <v>92</v>
      </c>
      <c r="AK55">
        <v>21</v>
      </c>
      <c r="AL55">
        <v>22</v>
      </c>
      <c r="AM55">
        <v>530</v>
      </c>
      <c r="AN55">
        <v>90</v>
      </c>
      <c r="AO55">
        <v>8</v>
      </c>
      <c r="AP55" t="s">
        <v>93</v>
      </c>
      <c r="AQ55" t="s">
        <v>89</v>
      </c>
      <c r="AR55" t="s">
        <v>89</v>
      </c>
      <c r="AS55" t="s">
        <v>111</v>
      </c>
      <c r="AT55">
        <v>44933</v>
      </c>
      <c r="AU55">
        <v>2023</v>
      </c>
      <c r="AV55">
        <v>17</v>
      </c>
      <c r="AW55">
        <v>17</v>
      </c>
      <c r="AX55" t="s">
        <v>89</v>
      </c>
      <c r="AY55" t="s">
        <v>111</v>
      </c>
      <c r="AZ55">
        <v>9</v>
      </c>
      <c r="BA55">
        <v>23</v>
      </c>
      <c r="BB55">
        <v>2070</v>
      </c>
      <c r="BC55">
        <v>0</v>
      </c>
      <c r="BD55">
        <v>478</v>
      </c>
      <c r="BE55">
        <v>41136</v>
      </c>
      <c r="BF55">
        <v>28</v>
      </c>
      <c r="BG55">
        <v>38</v>
      </c>
      <c r="BH55">
        <v>501</v>
      </c>
      <c r="BI55">
        <v>43206</v>
      </c>
      <c r="BJ55">
        <v>28</v>
      </c>
      <c r="BK55">
        <f t="shared" si="2"/>
        <v>501</v>
      </c>
      <c r="BL55">
        <f t="shared" si="3"/>
        <v>43206</v>
      </c>
      <c r="BM55">
        <f t="shared" si="4"/>
        <v>28</v>
      </c>
      <c r="BN55">
        <f t="shared" si="5"/>
        <v>0</v>
      </c>
      <c r="BO55">
        <f t="shared" si="6"/>
        <v>0</v>
      </c>
      <c r="BP55">
        <f t="shared" si="7"/>
        <v>0</v>
      </c>
      <c r="BQ55" t="s">
        <v>235</v>
      </c>
      <c r="BR55" t="s">
        <v>140</v>
      </c>
      <c r="BS55" s="1">
        <v>31408</v>
      </c>
      <c r="BT55">
        <v>40</v>
      </c>
      <c r="BU55">
        <v>44933</v>
      </c>
      <c r="BV55" t="s">
        <v>89</v>
      </c>
      <c r="BW55">
        <v>17</v>
      </c>
      <c r="BX55">
        <v>1985</v>
      </c>
      <c r="BY55">
        <v>17</v>
      </c>
      <c r="BZ55">
        <f t="shared" si="8"/>
        <v>0</v>
      </c>
      <c r="CA55">
        <f t="shared" si="9"/>
        <v>0</v>
      </c>
      <c r="CB55" t="b">
        <f t="shared" si="10"/>
        <v>1</v>
      </c>
    </row>
    <row r="56" spans="1:80" x14ac:dyDescent="0.3">
      <c r="A56" t="s">
        <v>684</v>
      </c>
      <c r="B56" t="s">
        <v>71</v>
      </c>
      <c r="C56" t="s">
        <v>685</v>
      </c>
      <c r="D56">
        <v>33</v>
      </c>
      <c r="E56" t="s">
        <v>686</v>
      </c>
      <c r="F56" t="s">
        <v>265</v>
      </c>
      <c r="G56" t="s">
        <v>687</v>
      </c>
      <c r="H56" t="s">
        <v>89</v>
      </c>
      <c r="I56" t="s">
        <v>116</v>
      </c>
      <c r="J56" t="s">
        <v>78</v>
      </c>
      <c r="K56" t="s">
        <v>527</v>
      </c>
      <c r="L56" t="s">
        <v>324</v>
      </c>
      <c r="M56">
        <v>21</v>
      </c>
      <c r="N56" t="s">
        <v>162</v>
      </c>
      <c r="O56">
        <v>2013</v>
      </c>
      <c r="P56" t="s">
        <v>688</v>
      </c>
      <c r="Q56" t="s">
        <v>689</v>
      </c>
      <c r="R56">
        <v>288318</v>
      </c>
      <c r="S56" t="s">
        <v>690</v>
      </c>
      <c r="T56" t="s">
        <v>691</v>
      </c>
      <c r="U56">
        <v>1992</v>
      </c>
      <c r="V56" t="s">
        <v>122</v>
      </c>
      <c r="W56">
        <v>1.73</v>
      </c>
      <c r="X56" t="s">
        <v>76</v>
      </c>
      <c r="Y56" t="s">
        <v>494</v>
      </c>
      <c r="Z56" t="s">
        <v>87</v>
      </c>
      <c r="AA56" t="s">
        <v>531</v>
      </c>
      <c r="AB56" t="s">
        <v>692</v>
      </c>
      <c r="AC56" t="s">
        <v>170</v>
      </c>
      <c r="AD56" t="s">
        <v>89</v>
      </c>
      <c r="AE56" t="s">
        <v>693</v>
      </c>
      <c r="AF56">
        <v>21</v>
      </c>
      <c r="AG56" t="s">
        <v>91</v>
      </c>
      <c r="AH56" t="s">
        <v>694</v>
      </c>
      <c r="AI56">
        <v>24</v>
      </c>
      <c r="AJ56" t="s">
        <v>110</v>
      </c>
      <c r="AK56">
        <v>21</v>
      </c>
      <c r="AL56">
        <v>4</v>
      </c>
      <c r="AM56">
        <v>91</v>
      </c>
      <c r="AN56">
        <v>11</v>
      </c>
      <c r="AO56">
        <v>3</v>
      </c>
      <c r="AP56" t="s">
        <v>93</v>
      </c>
      <c r="AQ56" t="s">
        <v>89</v>
      </c>
      <c r="AR56" t="s">
        <v>89</v>
      </c>
      <c r="AS56" t="s">
        <v>93</v>
      </c>
      <c r="AT56" t="s">
        <v>89</v>
      </c>
      <c r="AU56" t="s">
        <v>89</v>
      </c>
      <c r="AV56" t="s">
        <v>89</v>
      </c>
      <c r="AW56">
        <v>12</v>
      </c>
      <c r="AX56">
        <v>23</v>
      </c>
      <c r="AY56" t="s">
        <v>93</v>
      </c>
      <c r="AZ56">
        <v>0</v>
      </c>
      <c r="BA56">
        <v>0</v>
      </c>
      <c r="BB56">
        <v>0</v>
      </c>
      <c r="BC56">
        <v>0</v>
      </c>
      <c r="BD56">
        <v>401</v>
      </c>
      <c r="BE56">
        <v>26750</v>
      </c>
      <c r="BF56">
        <v>58</v>
      </c>
      <c r="BG56" t="s">
        <v>89</v>
      </c>
      <c r="BH56">
        <v>401</v>
      </c>
      <c r="BI56">
        <v>26750</v>
      </c>
      <c r="BJ56">
        <v>58</v>
      </c>
      <c r="BK56">
        <f t="shared" si="2"/>
        <v>401</v>
      </c>
      <c r="BL56">
        <f t="shared" si="3"/>
        <v>26750</v>
      </c>
      <c r="BM56">
        <f t="shared" si="4"/>
        <v>58</v>
      </c>
      <c r="BN56">
        <f t="shared" si="5"/>
        <v>0</v>
      </c>
      <c r="BO56">
        <f t="shared" si="6"/>
        <v>0</v>
      </c>
      <c r="BP56">
        <f t="shared" si="7"/>
        <v>0</v>
      </c>
      <c r="BQ56" t="s">
        <v>494</v>
      </c>
      <c r="BR56" t="s">
        <v>112</v>
      </c>
      <c r="BS56" t="s">
        <v>89</v>
      </c>
      <c r="BT56">
        <v>34</v>
      </c>
      <c r="BU56" t="s">
        <v>89</v>
      </c>
      <c r="BV56" t="s">
        <v>89</v>
      </c>
      <c r="BW56">
        <v>13</v>
      </c>
      <c r="BX56">
        <v>1992</v>
      </c>
      <c r="BY56">
        <v>12</v>
      </c>
      <c r="BZ56">
        <f t="shared" si="8"/>
        <v>-1</v>
      </c>
      <c r="CA56">
        <f t="shared" si="9"/>
        <v>1</v>
      </c>
      <c r="CB56" t="b">
        <f t="shared" si="10"/>
        <v>0</v>
      </c>
    </row>
    <row r="57" spans="1:80" x14ac:dyDescent="0.3">
      <c r="A57" t="s">
        <v>695</v>
      </c>
      <c r="B57" t="s">
        <v>71</v>
      </c>
      <c r="C57" t="s">
        <v>696</v>
      </c>
      <c r="D57">
        <v>33</v>
      </c>
      <c r="E57">
        <v>33642</v>
      </c>
      <c r="F57" t="s">
        <v>89</v>
      </c>
      <c r="G57" t="s">
        <v>518</v>
      </c>
      <c r="H57" t="s">
        <v>76</v>
      </c>
      <c r="I57" t="s">
        <v>116</v>
      </c>
      <c r="J57" t="s">
        <v>89</v>
      </c>
      <c r="K57" t="s">
        <v>89</v>
      </c>
      <c r="L57" t="s">
        <v>80</v>
      </c>
      <c r="M57">
        <v>20</v>
      </c>
      <c r="N57" t="s">
        <v>508</v>
      </c>
      <c r="O57">
        <v>2012</v>
      </c>
      <c r="P57" t="s">
        <v>697</v>
      </c>
      <c r="Q57" t="s">
        <v>698</v>
      </c>
      <c r="R57">
        <v>73858</v>
      </c>
      <c r="S57" t="s">
        <v>695</v>
      </c>
      <c r="T57">
        <v>33818</v>
      </c>
      <c r="U57">
        <v>1992</v>
      </c>
      <c r="V57" t="s">
        <v>699</v>
      </c>
      <c r="W57">
        <v>1.71</v>
      </c>
      <c r="X57" t="s">
        <v>76</v>
      </c>
      <c r="Y57" t="s">
        <v>391</v>
      </c>
      <c r="Z57" t="s">
        <v>152</v>
      </c>
      <c r="AA57" t="s">
        <v>700</v>
      </c>
      <c r="AB57" s="1">
        <v>44203</v>
      </c>
      <c r="AC57" t="s">
        <v>108</v>
      </c>
      <c r="AD57" t="s">
        <v>89</v>
      </c>
      <c r="AE57" t="s">
        <v>701</v>
      </c>
      <c r="AF57">
        <v>21</v>
      </c>
      <c r="AG57" t="s">
        <v>91</v>
      </c>
      <c r="AH57" s="1">
        <v>41495</v>
      </c>
      <c r="AI57">
        <v>21</v>
      </c>
      <c r="AJ57" t="s">
        <v>110</v>
      </c>
      <c r="AK57">
        <v>21</v>
      </c>
      <c r="AL57">
        <v>3</v>
      </c>
      <c r="AM57">
        <v>344</v>
      </c>
      <c r="AN57">
        <v>42</v>
      </c>
      <c r="AO57">
        <v>2</v>
      </c>
      <c r="AP57" t="s">
        <v>93</v>
      </c>
      <c r="AQ57" t="s">
        <v>89</v>
      </c>
      <c r="AR57" t="s">
        <v>89</v>
      </c>
      <c r="AS57" t="s">
        <v>111</v>
      </c>
      <c r="AT57">
        <v>44203</v>
      </c>
      <c r="AU57">
        <v>2021</v>
      </c>
      <c r="AV57">
        <v>9</v>
      </c>
      <c r="AW57">
        <v>9</v>
      </c>
      <c r="AX57" t="s">
        <v>89</v>
      </c>
      <c r="AY57" t="s">
        <v>93</v>
      </c>
      <c r="AZ57">
        <v>0</v>
      </c>
      <c r="BA57">
        <v>0</v>
      </c>
      <c r="BB57">
        <v>0</v>
      </c>
      <c r="BC57">
        <v>0</v>
      </c>
      <c r="BD57">
        <v>60</v>
      </c>
      <c r="BE57">
        <v>2477</v>
      </c>
      <c r="BF57">
        <v>3</v>
      </c>
      <c r="BG57">
        <v>29</v>
      </c>
      <c r="BH57">
        <v>60</v>
      </c>
      <c r="BI57">
        <v>2477</v>
      </c>
      <c r="BJ57">
        <v>3</v>
      </c>
      <c r="BK57">
        <f t="shared" si="2"/>
        <v>60</v>
      </c>
      <c r="BL57">
        <f t="shared" si="3"/>
        <v>2477</v>
      </c>
      <c r="BM57">
        <f t="shared" si="4"/>
        <v>3</v>
      </c>
      <c r="BN57">
        <f t="shared" si="5"/>
        <v>0</v>
      </c>
      <c r="BO57">
        <f t="shared" si="6"/>
        <v>0</v>
      </c>
      <c r="BP57">
        <f t="shared" si="7"/>
        <v>0</v>
      </c>
      <c r="BQ57" t="s">
        <v>391</v>
      </c>
      <c r="BR57" t="s">
        <v>112</v>
      </c>
      <c r="BS57" t="s">
        <v>89</v>
      </c>
      <c r="BT57">
        <v>34</v>
      </c>
      <c r="BU57">
        <v>44203</v>
      </c>
      <c r="BV57" t="s">
        <v>89</v>
      </c>
      <c r="BW57">
        <v>8</v>
      </c>
      <c r="BX57">
        <v>1992</v>
      </c>
      <c r="BY57">
        <v>8</v>
      </c>
      <c r="BZ57">
        <f t="shared" si="8"/>
        <v>1</v>
      </c>
      <c r="CA57">
        <f t="shared" si="9"/>
        <v>0</v>
      </c>
      <c r="CB57" t="b">
        <f t="shared" si="10"/>
        <v>0</v>
      </c>
    </row>
    <row r="58" spans="1:80" x14ac:dyDescent="0.3">
      <c r="A58" t="s">
        <v>702</v>
      </c>
      <c r="B58" t="s">
        <v>71</v>
      </c>
      <c r="C58" t="s">
        <v>703</v>
      </c>
      <c r="D58">
        <v>38</v>
      </c>
      <c r="E58" t="s">
        <v>704</v>
      </c>
      <c r="F58" t="s">
        <v>705</v>
      </c>
      <c r="G58" t="s">
        <v>241</v>
      </c>
      <c r="H58" t="s">
        <v>89</v>
      </c>
      <c r="I58" t="s">
        <v>178</v>
      </c>
      <c r="J58" t="s">
        <v>78</v>
      </c>
      <c r="K58" t="s">
        <v>706</v>
      </c>
      <c r="L58" t="s">
        <v>80</v>
      </c>
      <c r="M58">
        <v>25</v>
      </c>
      <c r="N58" t="s">
        <v>301</v>
      </c>
      <c r="O58">
        <v>2012</v>
      </c>
      <c r="P58" t="s">
        <v>707</v>
      </c>
      <c r="Q58" t="s">
        <v>708</v>
      </c>
      <c r="R58">
        <v>71271</v>
      </c>
      <c r="S58" t="s">
        <v>702</v>
      </c>
      <c r="T58" t="s">
        <v>709</v>
      </c>
      <c r="U58">
        <v>1987</v>
      </c>
      <c r="V58" t="s">
        <v>304</v>
      </c>
      <c r="W58">
        <v>1.9</v>
      </c>
      <c r="X58" t="s">
        <v>76</v>
      </c>
      <c r="Y58" t="s">
        <v>186</v>
      </c>
      <c r="Z58" t="s">
        <v>87</v>
      </c>
      <c r="AA58" t="s">
        <v>706</v>
      </c>
      <c r="AB58" s="1">
        <v>45511</v>
      </c>
      <c r="AC58" t="s">
        <v>170</v>
      </c>
      <c r="AD58" t="s">
        <v>442</v>
      </c>
      <c r="AE58" t="s">
        <v>710</v>
      </c>
      <c r="AF58">
        <v>25</v>
      </c>
      <c r="AG58" t="s">
        <v>91</v>
      </c>
      <c r="AH58" t="s">
        <v>92</v>
      </c>
      <c r="AI58" t="s">
        <v>89</v>
      </c>
      <c r="AJ58" t="s">
        <v>92</v>
      </c>
      <c r="AK58">
        <v>25</v>
      </c>
      <c r="AL58">
        <v>2</v>
      </c>
      <c r="AM58">
        <v>42</v>
      </c>
      <c r="AN58">
        <v>11</v>
      </c>
      <c r="AO58">
        <v>2</v>
      </c>
      <c r="AP58" t="s">
        <v>93</v>
      </c>
      <c r="AQ58" t="s">
        <v>89</v>
      </c>
      <c r="AR58" t="s">
        <v>89</v>
      </c>
      <c r="AS58" t="s">
        <v>93</v>
      </c>
      <c r="AT58" t="s">
        <v>89</v>
      </c>
      <c r="AU58" t="s">
        <v>89</v>
      </c>
      <c r="AV58" t="s">
        <v>89</v>
      </c>
      <c r="AW58">
        <v>13</v>
      </c>
      <c r="AX58">
        <v>13</v>
      </c>
      <c r="AY58" t="s">
        <v>93</v>
      </c>
      <c r="AZ58">
        <v>0</v>
      </c>
      <c r="BA58">
        <v>0</v>
      </c>
      <c r="BB58">
        <v>0</v>
      </c>
      <c r="BC58">
        <v>0</v>
      </c>
      <c r="BD58">
        <v>224</v>
      </c>
      <c r="BE58">
        <v>20126</v>
      </c>
      <c r="BF58">
        <v>0</v>
      </c>
      <c r="BG58" t="s">
        <v>89</v>
      </c>
      <c r="BH58">
        <v>224</v>
      </c>
      <c r="BI58">
        <v>20126</v>
      </c>
      <c r="BJ58">
        <v>0</v>
      </c>
      <c r="BK58">
        <f t="shared" si="2"/>
        <v>224</v>
      </c>
      <c r="BL58">
        <f t="shared" si="3"/>
        <v>20126</v>
      </c>
      <c r="BM58">
        <f t="shared" si="4"/>
        <v>0</v>
      </c>
      <c r="BN58">
        <f t="shared" si="5"/>
        <v>0</v>
      </c>
      <c r="BO58">
        <f t="shared" si="6"/>
        <v>0</v>
      </c>
      <c r="BP58">
        <f t="shared" si="7"/>
        <v>0</v>
      </c>
      <c r="BQ58" t="s">
        <v>186</v>
      </c>
      <c r="BR58" t="s">
        <v>186</v>
      </c>
      <c r="BS58" t="s">
        <v>89</v>
      </c>
      <c r="BT58">
        <v>39</v>
      </c>
      <c r="BU58" t="s">
        <v>89</v>
      </c>
      <c r="BV58" t="s">
        <v>89</v>
      </c>
      <c r="BW58">
        <v>14</v>
      </c>
      <c r="BX58">
        <v>1987</v>
      </c>
      <c r="BY58">
        <v>13</v>
      </c>
      <c r="BZ58">
        <f t="shared" si="8"/>
        <v>-1</v>
      </c>
      <c r="CA58">
        <f t="shared" si="9"/>
        <v>1</v>
      </c>
      <c r="CB58" t="b">
        <f t="shared" si="10"/>
        <v>0</v>
      </c>
    </row>
    <row r="59" spans="1:80" x14ac:dyDescent="0.3">
      <c r="A59" t="s">
        <v>711</v>
      </c>
      <c r="B59" t="s">
        <v>71</v>
      </c>
      <c r="C59" t="s">
        <v>712</v>
      </c>
      <c r="D59">
        <v>40</v>
      </c>
      <c r="E59">
        <v>31003</v>
      </c>
      <c r="F59" t="s">
        <v>89</v>
      </c>
      <c r="G59" t="s">
        <v>518</v>
      </c>
      <c r="H59" t="s">
        <v>89</v>
      </c>
      <c r="I59" t="s">
        <v>340</v>
      </c>
      <c r="J59" t="s">
        <v>78</v>
      </c>
      <c r="K59" t="s">
        <v>89</v>
      </c>
      <c r="L59" t="s">
        <v>180</v>
      </c>
      <c r="M59">
        <v>22</v>
      </c>
      <c r="N59" t="s">
        <v>364</v>
      </c>
      <c r="O59">
        <v>2007</v>
      </c>
      <c r="P59" t="s">
        <v>713</v>
      </c>
      <c r="Q59" t="s">
        <v>714</v>
      </c>
      <c r="R59">
        <v>57866</v>
      </c>
      <c r="S59" t="s">
        <v>711</v>
      </c>
      <c r="T59" t="s">
        <v>715</v>
      </c>
      <c r="U59">
        <v>1984</v>
      </c>
      <c r="V59" t="s">
        <v>716</v>
      </c>
      <c r="W59">
        <v>1.72</v>
      </c>
      <c r="X59" t="s">
        <v>76</v>
      </c>
      <c r="Y59" t="s">
        <v>123</v>
      </c>
      <c r="Z59" t="s">
        <v>87</v>
      </c>
      <c r="AA59" t="s">
        <v>717</v>
      </c>
      <c r="AB59" t="s">
        <v>718</v>
      </c>
      <c r="AC59" t="s">
        <v>108</v>
      </c>
      <c r="AD59" t="s">
        <v>89</v>
      </c>
      <c r="AE59" t="s">
        <v>719</v>
      </c>
      <c r="AF59">
        <v>23</v>
      </c>
      <c r="AG59" t="s">
        <v>91</v>
      </c>
      <c r="AH59">
        <v>39091</v>
      </c>
      <c r="AI59">
        <v>22</v>
      </c>
      <c r="AJ59" t="s">
        <v>110</v>
      </c>
      <c r="AK59">
        <v>22</v>
      </c>
      <c r="AL59">
        <v>4</v>
      </c>
      <c r="AM59">
        <v>99</v>
      </c>
      <c r="AN59">
        <v>14</v>
      </c>
      <c r="AO59">
        <v>3</v>
      </c>
      <c r="AP59" t="s">
        <v>93</v>
      </c>
      <c r="AQ59" t="s">
        <v>89</v>
      </c>
      <c r="AR59" t="s">
        <v>89</v>
      </c>
      <c r="AS59" t="s">
        <v>111</v>
      </c>
      <c r="AT59" t="s">
        <v>718</v>
      </c>
      <c r="AU59">
        <v>2018</v>
      </c>
      <c r="AV59">
        <v>11</v>
      </c>
      <c r="AW59">
        <v>11</v>
      </c>
      <c r="AX59" t="s">
        <v>89</v>
      </c>
      <c r="AY59" t="s">
        <v>93</v>
      </c>
      <c r="AZ59">
        <v>0</v>
      </c>
      <c r="BA59">
        <v>0</v>
      </c>
      <c r="BB59">
        <v>0</v>
      </c>
      <c r="BC59">
        <v>0</v>
      </c>
      <c r="BD59">
        <v>234</v>
      </c>
      <c r="BE59">
        <v>14346</v>
      </c>
      <c r="BF59">
        <v>60</v>
      </c>
      <c r="BG59">
        <v>34</v>
      </c>
      <c r="BH59">
        <v>234</v>
      </c>
      <c r="BI59">
        <v>14346</v>
      </c>
      <c r="BJ59">
        <v>60</v>
      </c>
      <c r="BK59">
        <f t="shared" si="2"/>
        <v>234</v>
      </c>
      <c r="BL59">
        <f t="shared" si="3"/>
        <v>14346</v>
      </c>
      <c r="BM59">
        <f t="shared" si="4"/>
        <v>60</v>
      </c>
      <c r="BN59">
        <f t="shared" si="5"/>
        <v>0</v>
      </c>
      <c r="BO59">
        <f t="shared" si="6"/>
        <v>0</v>
      </c>
      <c r="BP59">
        <f t="shared" si="7"/>
        <v>0</v>
      </c>
      <c r="BQ59" t="s">
        <v>123</v>
      </c>
      <c r="BR59" t="s">
        <v>112</v>
      </c>
      <c r="BS59" s="1">
        <v>31003</v>
      </c>
      <c r="BT59">
        <v>41</v>
      </c>
      <c r="BU59" t="s">
        <v>718</v>
      </c>
      <c r="BV59" s="1">
        <v>43129</v>
      </c>
      <c r="BW59">
        <v>12</v>
      </c>
      <c r="BX59">
        <v>1984</v>
      </c>
      <c r="BY59">
        <v>12</v>
      </c>
      <c r="BZ59">
        <f t="shared" si="8"/>
        <v>-1</v>
      </c>
      <c r="CA59">
        <f t="shared" si="9"/>
        <v>0</v>
      </c>
      <c r="CB59" t="b">
        <f t="shared" si="10"/>
        <v>0</v>
      </c>
    </row>
    <row r="60" spans="1:80" x14ac:dyDescent="0.3">
      <c r="A60" t="s">
        <v>720</v>
      </c>
      <c r="B60" t="s">
        <v>71</v>
      </c>
      <c r="C60" t="s">
        <v>721</v>
      </c>
      <c r="D60">
        <v>37</v>
      </c>
      <c r="E60" s="1">
        <v>32288</v>
      </c>
      <c r="F60" t="s">
        <v>89</v>
      </c>
      <c r="G60" t="s">
        <v>413</v>
      </c>
      <c r="H60" t="s">
        <v>76</v>
      </c>
      <c r="I60" t="s">
        <v>722</v>
      </c>
      <c r="J60" t="s">
        <v>300</v>
      </c>
      <c r="K60" t="s">
        <v>89</v>
      </c>
      <c r="L60" t="s">
        <v>163</v>
      </c>
      <c r="M60">
        <v>18</v>
      </c>
      <c r="N60" t="s">
        <v>118</v>
      </c>
      <c r="O60">
        <v>2006</v>
      </c>
      <c r="P60" t="s">
        <v>723</v>
      </c>
      <c r="Q60" t="s">
        <v>724</v>
      </c>
      <c r="R60">
        <v>44073</v>
      </c>
      <c r="S60" t="s">
        <v>720</v>
      </c>
      <c r="T60" t="s">
        <v>725</v>
      </c>
      <c r="U60">
        <v>1988</v>
      </c>
      <c r="V60" t="s">
        <v>122</v>
      </c>
      <c r="W60">
        <v>1.84</v>
      </c>
      <c r="X60" t="s">
        <v>76</v>
      </c>
      <c r="Y60" t="s">
        <v>86</v>
      </c>
      <c r="Z60" t="s">
        <v>152</v>
      </c>
      <c r="AA60" t="s">
        <v>726</v>
      </c>
      <c r="AB60" s="1">
        <v>44568</v>
      </c>
      <c r="AC60" t="s">
        <v>108</v>
      </c>
      <c r="AD60" t="s">
        <v>442</v>
      </c>
      <c r="AE60">
        <v>39578</v>
      </c>
      <c r="AF60">
        <v>20</v>
      </c>
      <c r="AG60" t="s">
        <v>91</v>
      </c>
      <c r="AH60" t="s">
        <v>727</v>
      </c>
      <c r="AI60">
        <v>18</v>
      </c>
      <c r="AJ60" t="s">
        <v>110</v>
      </c>
      <c r="AK60">
        <v>18</v>
      </c>
      <c r="AL60">
        <v>7</v>
      </c>
      <c r="AM60">
        <v>188</v>
      </c>
      <c r="AN60">
        <v>39</v>
      </c>
      <c r="AO60">
        <v>5</v>
      </c>
      <c r="AP60" t="s">
        <v>93</v>
      </c>
      <c r="AQ60" t="s">
        <v>89</v>
      </c>
      <c r="AR60" t="s">
        <v>89</v>
      </c>
      <c r="AS60" t="s">
        <v>111</v>
      </c>
      <c r="AT60" s="1">
        <v>44568</v>
      </c>
      <c r="AU60">
        <v>2022</v>
      </c>
      <c r="AV60">
        <v>16</v>
      </c>
      <c r="AW60">
        <v>16</v>
      </c>
      <c r="AX60" t="s">
        <v>89</v>
      </c>
      <c r="AY60" t="s">
        <v>93</v>
      </c>
      <c r="AZ60">
        <v>0</v>
      </c>
      <c r="BA60">
        <v>0</v>
      </c>
      <c r="BB60">
        <v>0</v>
      </c>
      <c r="BC60">
        <v>0</v>
      </c>
      <c r="BD60">
        <v>437</v>
      </c>
      <c r="BE60">
        <v>27112</v>
      </c>
      <c r="BF60">
        <v>51</v>
      </c>
      <c r="BG60">
        <v>34</v>
      </c>
      <c r="BH60">
        <v>437</v>
      </c>
      <c r="BI60">
        <v>27112</v>
      </c>
      <c r="BJ60">
        <v>51</v>
      </c>
      <c r="BK60">
        <f t="shared" si="2"/>
        <v>437</v>
      </c>
      <c r="BL60">
        <f t="shared" si="3"/>
        <v>27112</v>
      </c>
      <c r="BM60">
        <f t="shared" si="4"/>
        <v>51</v>
      </c>
      <c r="BN60">
        <f t="shared" si="5"/>
        <v>0</v>
      </c>
      <c r="BO60">
        <f t="shared" si="6"/>
        <v>0</v>
      </c>
      <c r="BP60">
        <f t="shared" si="7"/>
        <v>0</v>
      </c>
      <c r="BQ60" t="s">
        <v>86</v>
      </c>
      <c r="BR60" t="s">
        <v>94</v>
      </c>
      <c r="BS60" s="1">
        <v>32288</v>
      </c>
      <c r="BT60">
        <v>37</v>
      </c>
      <c r="BU60" s="1">
        <v>44568</v>
      </c>
      <c r="BV60" s="1">
        <v>44743</v>
      </c>
      <c r="BW60">
        <v>16</v>
      </c>
      <c r="BX60">
        <v>1988</v>
      </c>
      <c r="BY60">
        <v>16</v>
      </c>
      <c r="BZ60">
        <f t="shared" si="8"/>
        <v>0</v>
      </c>
      <c r="CA60">
        <f t="shared" si="9"/>
        <v>0</v>
      </c>
      <c r="CB60" t="b">
        <f t="shared" si="10"/>
        <v>1</v>
      </c>
    </row>
    <row r="61" spans="1:80" x14ac:dyDescent="0.3">
      <c r="A61" t="s">
        <v>728</v>
      </c>
      <c r="B61" t="s">
        <v>729</v>
      </c>
      <c r="C61" t="s">
        <v>730</v>
      </c>
      <c r="D61">
        <v>36</v>
      </c>
      <c r="E61">
        <v>32542</v>
      </c>
      <c r="F61" t="s">
        <v>89</v>
      </c>
      <c r="G61" t="s">
        <v>731</v>
      </c>
      <c r="H61" t="s">
        <v>732</v>
      </c>
      <c r="I61" t="s">
        <v>348</v>
      </c>
      <c r="J61" t="s">
        <v>78</v>
      </c>
      <c r="K61" t="s">
        <v>89</v>
      </c>
      <c r="L61" t="s">
        <v>228</v>
      </c>
      <c r="M61">
        <v>21</v>
      </c>
      <c r="N61" t="s">
        <v>733</v>
      </c>
      <c r="O61">
        <v>2010</v>
      </c>
      <c r="P61" t="s">
        <v>734</v>
      </c>
      <c r="Q61" t="s">
        <v>735</v>
      </c>
      <c r="R61">
        <v>76699</v>
      </c>
      <c r="S61" t="s">
        <v>728</v>
      </c>
      <c r="T61">
        <v>32569</v>
      </c>
      <c r="U61">
        <v>1989</v>
      </c>
      <c r="V61" t="s">
        <v>736</v>
      </c>
      <c r="W61">
        <v>1.72</v>
      </c>
      <c r="X61" t="s">
        <v>732</v>
      </c>
      <c r="Y61" t="s">
        <v>136</v>
      </c>
      <c r="Z61" t="s">
        <v>87</v>
      </c>
      <c r="AA61" t="s">
        <v>737</v>
      </c>
      <c r="AB61" s="1">
        <v>42737</v>
      </c>
      <c r="AC61" t="s">
        <v>108</v>
      </c>
      <c r="AD61" t="s">
        <v>89</v>
      </c>
      <c r="AE61">
        <v>39543</v>
      </c>
      <c r="AF61">
        <v>19</v>
      </c>
      <c r="AG61" t="s">
        <v>738</v>
      </c>
      <c r="AH61">
        <v>40917</v>
      </c>
      <c r="AI61">
        <v>23</v>
      </c>
      <c r="AJ61" t="s">
        <v>110</v>
      </c>
      <c r="AK61">
        <v>19</v>
      </c>
      <c r="AL61">
        <v>1</v>
      </c>
      <c r="AM61">
        <v>10</v>
      </c>
      <c r="AN61">
        <v>1</v>
      </c>
      <c r="AO61">
        <v>1</v>
      </c>
      <c r="AP61" t="s">
        <v>93</v>
      </c>
      <c r="AQ61" t="s">
        <v>89</v>
      </c>
      <c r="AR61" t="s">
        <v>89</v>
      </c>
      <c r="AS61" t="s">
        <v>111</v>
      </c>
      <c r="AT61">
        <v>42737</v>
      </c>
      <c r="AU61">
        <v>2017</v>
      </c>
      <c r="AV61">
        <v>7</v>
      </c>
      <c r="AW61">
        <v>7</v>
      </c>
      <c r="AX61" t="s">
        <v>89</v>
      </c>
      <c r="AY61" t="s">
        <v>93</v>
      </c>
      <c r="AZ61">
        <v>0</v>
      </c>
      <c r="BA61">
        <v>0</v>
      </c>
      <c r="BB61">
        <v>0</v>
      </c>
      <c r="BC61">
        <v>0</v>
      </c>
      <c r="BD61">
        <v>93</v>
      </c>
      <c r="BE61">
        <v>8045</v>
      </c>
      <c r="BF61">
        <v>0</v>
      </c>
      <c r="BG61">
        <v>28</v>
      </c>
      <c r="BH61">
        <v>93</v>
      </c>
      <c r="BI61">
        <v>8045</v>
      </c>
      <c r="BJ61">
        <v>0</v>
      </c>
      <c r="BK61">
        <f t="shared" si="2"/>
        <v>93</v>
      </c>
      <c r="BL61">
        <f t="shared" si="3"/>
        <v>8045</v>
      </c>
      <c r="BM61">
        <f t="shared" si="4"/>
        <v>0</v>
      </c>
      <c r="BN61">
        <f t="shared" si="5"/>
        <v>0</v>
      </c>
      <c r="BO61">
        <f t="shared" si="6"/>
        <v>0</v>
      </c>
      <c r="BP61">
        <f t="shared" si="7"/>
        <v>0</v>
      </c>
      <c r="BQ61" t="s">
        <v>136</v>
      </c>
      <c r="BR61" t="s">
        <v>140</v>
      </c>
      <c r="BS61" t="s">
        <v>89</v>
      </c>
      <c r="BT61">
        <v>37</v>
      </c>
      <c r="BU61">
        <v>42737</v>
      </c>
      <c r="BV61" t="s">
        <v>89</v>
      </c>
      <c r="BW61">
        <v>9</v>
      </c>
      <c r="BX61">
        <v>1989</v>
      </c>
      <c r="BY61">
        <v>9</v>
      </c>
      <c r="BZ61">
        <f t="shared" si="8"/>
        <v>-2</v>
      </c>
      <c r="CA61">
        <f t="shared" si="9"/>
        <v>0</v>
      </c>
      <c r="CB61" t="b">
        <f t="shared" si="10"/>
        <v>0</v>
      </c>
    </row>
    <row r="62" spans="1:80" x14ac:dyDescent="0.3">
      <c r="A62" t="s">
        <v>739</v>
      </c>
      <c r="B62" t="s">
        <v>71</v>
      </c>
      <c r="C62" t="s">
        <v>740</v>
      </c>
      <c r="D62">
        <v>37</v>
      </c>
      <c r="E62" s="1">
        <v>32150</v>
      </c>
      <c r="F62" t="s">
        <v>89</v>
      </c>
      <c r="G62" t="s">
        <v>413</v>
      </c>
      <c r="H62" t="s">
        <v>76</v>
      </c>
      <c r="I62" t="s">
        <v>437</v>
      </c>
      <c r="J62" t="s">
        <v>78</v>
      </c>
      <c r="K62" t="s">
        <v>89</v>
      </c>
      <c r="L62" t="s">
        <v>163</v>
      </c>
      <c r="M62">
        <v>18</v>
      </c>
      <c r="N62" t="s">
        <v>741</v>
      </c>
      <c r="O62">
        <v>2006</v>
      </c>
      <c r="P62" t="s">
        <v>742</v>
      </c>
      <c r="Q62" t="s">
        <v>743</v>
      </c>
      <c r="R62">
        <v>45383</v>
      </c>
      <c r="S62" t="s">
        <v>739</v>
      </c>
      <c r="T62">
        <v>32356</v>
      </c>
      <c r="U62">
        <v>1988</v>
      </c>
      <c r="V62" t="s">
        <v>744</v>
      </c>
      <c r="W62">
        <v>1.83</v>
      </c>
      <c r="X62" t="s">
        <v>76</v>
      </c>
      <c r="Y62" t="s">
        <v>123</v>
      </c>
      <c r="Z62" t="s">
        <v>87</v>
      </c>
      <c r="AA62" t="s">
        <v>745</v>
      </c>
      <c r="AB62">
        <v>44933</v>
      </c>
      <c r="AC62" t="s">
        <v>108</v>
      </c>
      <c r="AD62" t="s">
        <v>442</v>
      </c>
      <c r="AE62" t="s">
        <v>746</v>
      </c>
      <c r="AF62">
        <v>18</v>
      </c>
      <c r="AG62" t="s">
        <v>91</v>
      </c>
      <c r="AH62" t="s">
        <v>747</v>
      </c>
      <c r="AI62">
        <v>20</v>
      </c>
      <c r="AJ62" t="s">
        <v>110</v>
      </c>
      <c r="AK62">
        <v>18</v>
      </c>
      <c r="AL62">
        <v>8</v>
      </c>
      <c r="AM62">
        <v>384</v>
      </c>
      <c r="AN62">
        <v>72</v>
      </c>
      <c r="AO62">
        <v>6</v>
      </c>
      <c r="AP62" t="s">
        <v>93</v>
      </c>
      <c r="AQ62" t="s">
        <v>89</v>
      </c>
      <c r="AR62" t="s">
        <v>89</v>
      </c>
      <c r="AS62" t="s">
        <v>111</v>
      </c>
      <c r="AT62">
        <v>44933</v>
      </c>
      <c r="AU62">
        <v>2023</v>
      </c>
      <c r="AV62">
        <v>17</v>
      </c>
      <c r="AW62">
        <v>17</v>
      </c>
      <c r="AX62" t="s">
        <v>89</v>
      </c>
      <c r="AY62" t="s">
        <v>93</v>
      </c>
      <c r="AZ62">
        <v>0</v>
      </c>
      <c r="BA62">
        <v>0</v>
      </c>
      <c r="BB62">
        <v>0</v>
      </c>
      <c r="BC62">
        <v>0</v>
      </c>
      <c r="BD62">
        <v>406</v>
      </c>
      <c r="BE62">
        <v>22625</v>
      </c>
      <c r="BF62">
        <v>62</v>
      </c>
      <c r="BG62">
        <v>35</v>
      </c>
      <c r="BH62">
        <v>406</v>
      </c>
      <c r="BI62">
        <v>22625</v>
      </c>
      <c r="BJ62">
        <v>62</v>
      </c>
      <c r="BK62">
        <f t="shared" si="2"/>
        <v>406</v>
      </c>
      <c r="BL62">
        <f t="shared" si="3"/>
        <v>22625</v>
      </c>
      <c r="BM62">
        <f t="shared" si="4"/>
        <v>62</v>
      </c>
      <c r="BN62">
        <f t="shared" si="5"/>
        <v>0</v>
      </c>
      <c r="BO62">
        <f t="shared" si="6"/>
        <v>0</v>
      </c>
      <c r="BP62">
        <f t="shared" si="7"/>
        <v>0</v>
      </c>
      <c r="BQ62" t="s">
        <v>123</v>
      </c>
      <c r="BR62" t="s">
        <v>112</v>
      </c>
      <c r="BS62" t="s">
        <v>89</v>
      </c>
      <c r="BT62">
        <v>38</v>
      </c>
      <c r="BU62">
        <v>44933</v>
      </c>
      <c r="BV62" t="s">
        <v>89</v>
      </c>
      <c r="BW62">
        <v>17</v>
      </c>
      <c r="BX62">
        <v>1988</v>
      </c>
      <c r="BY62">
        <v>17</v>
      </c>
      <c r="BZ62">
        <f t="shared" si="8"/>
        <v>0</v>
      </c>
      <c r="CA62">
        <f t="shared" si="9"/>
        <v>0</v>
      </c>
      <c r="CB62" t="b">
        <f t="shared" si="10"/>
        <v>1</v>
      </c>
    </row>
    <row r="63" spans="1:80" x14ac:dyDescent="0.3">
      <c r="A63" t="s">
        <v>748</v>
      </c>
      <c r="B63" t="s">
        <v>71</v>
      </c>
      <c r="C63" t="s">
        <v>749</v>
      </c>
      <c r="D63">
        <v>36</v>
      </c>
      <c r="E63" s="1">
        <v>32551</v>
      </c>
      <c r="F63" t="s">
        <v>89</v>
      </c>
      <c r="G63" t="s">
        <v>298</v>
      </c>
      <c r="H63" t="s">
        <v>89</v>
      </c>
      <c r="I63" t="s">
        <v>750</v>
      </c>
      <c r="J63" t="s">
        <v>78</v>
      </c>
      <c r="K63" t="s">
        <v>89</v>
      </c>
      <c r="L63" t="s">
        <v>254</v>
      </c>
      <c r="M63">
        <v>20</v>
      </c>
      <c r="N63" t="s">
        <v>751</v>
      </c>
      <c r="O63">
        <v>2009</v>
      </c>
      <c r="P63" t="s">
        <v>752</v>
      </c>
      <c r="Q63" t="s">
        <v>753</v>
      </c>
      <c r="R63">
        <v>152985</v>
      </c>
      <c r="S63" t="s">
        <v>748</v>
      </c>
      <c r="T63">
        <v>32844</v>
      </c>
      <c r="U63">
        <v>1989</v>
      </c>
      <c r="V63" t="s">
        <v>214</v>
      </c>
      <c r="W63">
        <v>1.76</v>
      </c>
      <c r="X63" t="s">
        <v>76</v>
      </c>
      <c r="Y63" t="s">
        <v>106</v>
      </c>
      <c r="Z63" t="s">
        <v>87</v>
      </c>
      <c r="AA63" t="s">
        <v>754</v>
      </c>
      <c r="AB63" s="1">
        <v>44203</v>
      </c>
      <c r="AC63" t="s">
        <v>170</v>
      </c>
      <c r="AD63" t="s">
        <v>89</v>
      </c>
      <c r="AE63" t="s">
        <v>755</v>
      </c>
      <c r="AF63">
        <v>22</v>
      </c>
      <c r="AG63" t="s">
        <v>91</v>
      </c>
      <c r="AH63" t="s">
        <v>756</v>
      </c>
      <c r="AI63">
        <v>21</v>
      </c>
      <c r="AJ63" t="s">
        <v>110</v>
      </c>
      <c r="AK63">
        <v>21</v>
      </c>
      <c r="AL63" t="s">
        <v>89</v>
      </c>
      <c r="AM63" t="s">
        <v>89</v>
      </c>
      <c r="AN63" t="s">
        <v>89</v>
      </c>
      <c r="AO63">
        <v>0</v>
      </c>
      <c r="AP63" t="s">
        <v>93</v>
      </c>
      <c r="AQ63" t="s">
        <v>89</v>
      </c>
      <c r="AR63" t="s">
        <v>89</v>
      </c>
      <c r="AS63" t="s">
        <v>93</v>
      </c>
      <c r="AT63" t="s">
        <v>89</v>
      </c>
      <c r="AU63" t="s">
        <v>89</v>
      </c>
      <c r="AV63" t="s">
        <v>89</v>
      </c>
      <c r="AW63">
        <v>16</v>
      </c>
      <c r="AX63">
        <v>22</v>
      </c>
      <c r="AY63" t="s">
        <v>93</v>
      </c>
      <c r="AZ63">
        <v>0</v>
      </c>
      <c r="BA63">
        <v>0</v>
      </c>
      <c r="BB63">
        <v>0</v>
      </c>
      <c r="BC63">
        <v>0</v>
      </c>
      <c r="BD63">
        <v>3</v>
      </c>
      <c r="BE63">
        <v>98</v>
      </c>
      <c r="BF63">
        <v>0</v>
      </c>
      <c r="BG63" t="s">
        <v>89</v>
      </c>
      <c r="BH63">
        <v>3</v>
      </c>
      <c r="BI63">
        <v>98</v>
      </c>
      <c r="BJ63">
        <v>0</v>
      </c>
      <c r="BK63">
        <f t="shared" si="2"/>
        <v>3</v>
      </c>
      <c r="BL63">
        <f t="shared" si="3"/>
        <v>98</v>
      </c>
      <c r="BM63">
        <f t="shared" si="4"/>
        <v>0</v>
      </c>
      <c r="BN63">
        <f t="shared" si="5"/>
        <v>0</v>
      </c>
      <c r="BO63">
        <f t="shared" si="6"/>
        <v>0</v>
      </c>
      <c r="BP63">
        <f t="shared" si="7"/>
        <v>0</v>
      </c>
      <c r="BQ63" t="s">
        <v>106</v>
      </c>
      <c r="BR63" t="s">
        <v>112</v>
      </c>
      <c r="BS63" t="s">
        <v>89</v>
      </c>
      <c r="BT63">
        <v>37</v>
      </c>
      <c r="BU63" t="s">
        <v>89</v>
      </c>
      <c r="BV63" t="s">
        <v>89</v>
      </c>
      <c r="BW63">
        <v>16</v>
      </c>
      <c r="BX63">
        <v>1989</v>
      </c>
      <c r="BY63">
        <v>15</v>
      </c>
      <c r="BZ63">
        <f t="shared" si="8"/>
        <v>0</v>
      </c>
      <c r="CA63">
        <f t="shared" si="9"/>
        <v>1</v>
      </c>
      <c r="CB63" t="b">
        <f t="shared" si="10"/>
        <v>1</v>
      </c>
    </row>
    <row r="64" spans="1:80" x14ac:dyDescent="0.3">
      <c r="A64" t="s">
        <v>757</v>
      </c>
      <c r="B64" t="s">
        <v>71</v>
      </c>
      <c r="C64" t="s">
        <v>758</v>
      </c>
      <c r="D64">
        <v>28</v>
      </c>
      <c r="E64" t="s">
        <v>759</v>
      </c>
      <c r="F64" t="s">
        <v>760</v>
      </c>
      <c r="G64" t="s">
        <v>75</v>
      </c>
      <c r="H64" t="s">
        <v>76</v>
      </c>
      <c r="I64" t="s">
        <v>195</v>
      </c>
      <c r="J64" t="s">
        <v>300</v>
      </c>
      <c r="K64" t="s">
        <v>761</v>
      </c>
      <c r="L64" t="s">
        <v>762</v>
      </c>
      <c r="M64">
        <v>17</v>
      </c>
      <c r="N64" t="s">
        <v>763</v>
      </c>
      <c r="O64">
        <v>2014</v>
      </c>
      <c r="P64" t="s">
        <v>764</v>
      </c>
      <c r="Q64" t="s">
        <v>765</v>
      </c>
      <c r="R64">
        <v>295414</v>
      </c>
      <c r="S64" t="s">
        <v>757</v>
      </c>
      <c r="T64" s="1">
        <v>35674</v>
      </c>
      <c r="U64">
        <v>1997</v>
      </c>
      <c r="V64" t="s">
        <v>766</v>
      </c>
      <c r="W64">
        <v>1.78</v>
      </c>
      <c r="X64" t="s">
        <v>76</v>
      </c>
      <c r="Y64" t="s">
        <v>203</v>
      </c>
      <c r="Z64" t="s">
        <v>152</v>
      </c>
      <c r="AA64" t="s">
        <v>767</v>
      </c>
      <c r="AB64" s="1">
        <v>45846</v>
      </c>
      <c r="AC64" t="s">
        <v>188</v>
      </c>
      <c r="AD64" t="s">
        <v>89</v>
      </c>
      <c r="AE64" t="s">
        <v>330</v>
      </c>
      <c r="AF64">
        <v>17</v>
      </c>
      <c r="AG64" t="s">
        <v>91</v>
      </c>
      <c r="AH64" t="s">
        <v>92</v>
      </c>
      <c r="AI64" t="s">
        <v>89</v>
      </c>
      <c r="AJ64" t="s">
        <v>92</v>
      </c>
      <c r="AK64">
        <v>17</v>
      </c>
      <c r="AL64">
        <v>5</v>
      </c>
      <c r="AM64">
        <v>322</v>
      </c>
      <c r="AN64">
        <v>47</v>
      </c>
      <c r="AO64">
        <v>4</v>
      </c>
      <c r="AP64" t="s">
        <v>93</v>
      </c>
      <c r="AQ64" t="s">
        <v>89</v>
      </c>
      <c r="AR64" t="s">
        <v>89</v>
      </c>
      <c r="AS64" t="s">
        <v>93</v>
      </c>
      <c r="AT64" t="s">
        <v>89</v>
      </c>
      <c r="AU64" t="s">
        <v>89</v>
      </c>
      <c r="AV64" t="s">
        <v>89</v>
      </c>
      <c r="AW64">
        <v>11</v>
      </c>
      <c r="AX64">
        <v>21</v>
      </c>
      <c r="AY64" t="s">
        <v>93</v>
      </c>
      <c r="AZ64">
        <v>0</v>
      </c>
      <c r="BA64">
        <v>0</v>
      </c>
      <c r="BB64">
        <v>0</v>
      </c>
      <c r="BC64">
        <v>0</v>
      </c>
      <c r="BD64">
        <v>173</v>
      </c>
      <c r="BE64">
        <v>11901</v>
      </c>
      <c r="BF64">
        <v>4</v>
      </c>
      <c r="BG64" t="s">
        <v>89</v>
      </c>
      <c r="BH64">
        <v>173</v>
      </c>
      <c r="BI64">
        <v>11901</v>
      </c>
      <c r="BJ64">
        <v>4</v>
      </c>
      <c r="BK64">
        <f t="shared" si="2"/>
        <v>173</v>
      </c>
      <c r="BL64">
        <f t="shared" si="3"/>
        <v>11901</v>
      </c>
      <c r="BM64">
        <f t="shared" si="4"/>
        <v>4</v>
      </c>
      <c r="BN64">
        <f t="shared" si="5"/>
        <v>0</v>
      </c>
      <c r="BO64">
        <f t="shared" si="6"/>
        <v>0</v>
      </c>
      <c r="BP64">
        <f t="shared" si="7"/>
        <v>0</v>
      </c>
      <c r="BQ64" t="s">
        <v>203</v>
      </c>
      <c r="BR64" t="s">
        <v>140</v>
      </c>
      <c r="BS64" s="1">
        <v>35439</v>
      </c>
      <c r="BT64">
        <v>29</v>
      </c>
      <c r="BU64" t="s">
        <v>89</v>
      </c>
      <c r="BV64" t="s">
        <v>89</v>
      </c>
      <c r="BW64">
        <v>12</v>
      </c>
      <c r="BX64">
        <v>1997</v>
      </c>
      <c r="BY64">
        <v>11</v>
      </c>
      <c r="BZ64">
        <f t="shared" si="8"/>
        <v>-1</v>
      </c>
      <c r="CA64">
        <f t="shared" si="9"/>
        <v>1</v>
      </c>
      <c r="CB64" t="b">
        <f t="shared" si="10"/>
        <v>0</v>
      </c>
    </row>
    <row r="65" spans="1:80" x14ac:dyDescent="0.3">
      <c r="A65" t="s">
        <v>768</v>
      </c>
      <c r="B65" t="s">
        <v>71</v>
      </c>
      <c r="C65" t="s">
        <v>769</v>
      </c>
      <c r="D65">
        <v>34</v>
      </c>
      <c r="E65" s="1">
        <v>33159</v>
      </c>
      <c r="F65" t="s">
        <v>89</v>
      </c>
      <c r="G65" t="s">
        <v>143</v>
      </c>
      <c r="H65" t="s">
        <v>89</v>
      </c>
      <c r="I65" t="s">
        <v>401</v>
      </c>
      <c r="J65" t="s">
        <v>89</v>
      </c>
      <c r="K65" t="s">
        <v>89</v>
      </c>
      <c r="L65" t="s">
        <v>228</v>
      </c>
      <c r="M65">
        <v>19</v>
      </c>
      <c r="N65" t="s">
        <v>181</v>
      </c>
      <c r="O65">
        <v>2010</v>
      </c>
      <c r="P65" t="s">
        <v>770</v>
      </c>
      <c r="Q65" t="s">
        <v>771</v>
      </c>
      <c r="R65">
        <v>125870</v>
      </c>
      <c r="S65" t="s">
        <v>768</v>
      </c>
      <c r="T65" t="s">
        <v>772</v>
      </c>
      <c r="U65">
        <v>1990</v>
      </c>
      <c r="V65" t="s">
        <v>122</v>
      </c>
      <c r="W65">
        <v>1.75</v>
      </c>
      <c r="X65" t="s">
        <v>76</v>
      </c>
      <c r="Y65" t="s">
        <v>391</v>
      </c>
      <c r="Z65" t="s">
        <v>87</v>
      </c>
      <c r="AA65" t="s">
        <v>773</v>
      </c>
      <c r="AB65" s="1">
        <v>45999</v>
      </c>
      <c r="AC65" t="s">
        <v>108</v>
      </c>
      <c r="AD65" t="s">
        <v>89</v>
      </c>
      <c r="AE65" t="s">
        <v>774</v>
      </c>
      <c r="AF65">
        <v>20</v>
      </c>
      <c r="AG65" t="s">
        <v>91</v>
      </c>
      <c r="AH65" t="s">
        <v>306</v>
      </c>
      <c r="AI65">
        <v>20</v>
      </c>
      <c r="AJ65" t="s">
        <v>110</v>
      </c>
      <c r="AK65">
        <v>20</v>
      </c>
      <c r="AL65">
        <v>1</v>
      </c>
      <c r="AM65">
        <v>80</v>
      </c>
      <c r="AN65">
        <v>5</v>
      </c>
      <c r="AO65">
        <v>1</v>
      </c>
      <c r="AP65" t="s">
        <v>93</v>
      </c>
      <c r="AQ65" t="s">
        <v>89</v>
      </c>
      <c r="AR65" t="s">
        <v>89</v>
      </c>
      <c r="AS65" t="s">
        <v>93</v>
      </c>
      <c r="AT65" t="s">
        <v>89</v>
      </c>
      <c r="AU65" t="s">
        <v>89</v>
      </c>
      <c r="AV65" t="s">
        <v>89</v>
      </c>
      <c r="AW65">
        <v>15</v>
      </c>
      <c r="AX65">
        <v>22</v>
      </c>
      <c r="AY65" t="s">
        <v>93</v>
      </c>
      <c r="AZ65">
        <v>0</v>
      </c>
      <c r="BA65">
        <v>0</v>
      </c>
      <c r="BB65">
        <v>0</v>
      </c>
      <c r="BC65">
        <v>0</v>
      </c>
      <c r="BD65">
        <v>169</v>
      </c>
      <c r="BE65">
        <v>9653</v>
      </c>
      <c r="BF65">
        <v>19</v>
      </c>
      <c r="BG65" t="s">
        <v>89</v>
      </c>
      <c r="BH65">
        <v>169</v>
      </c>
      <c r="BI65">
        <v>9653</v>
      </c>
      <c r="BJ65">
        <v>19</v>
      </c>
      <c r="BK65">
        <f t="shared" si="2"/>
        <v>169</v>
      </c>
      <c r="BL65">
        <f t="shared" si="3"/>
        <v>9653</v>
      </c>
      <c r="BM65">
        <f t="shared" si="4"/>
        <v>19</v>
      </c>
      <c r="BN65">
        <f t="shared" si="5"/>
        <v>0</v>
      </c>
      <c r="BO65">
        <f t="shared" si="6"/>
        <v>0</v>
      </c>
      <c r="BP65">
        <f t="shared" si="7"/>
        <v>0</v>
      </c>
      <c r="BQ65" t="s">
        <v>391</v>
      </c>
      <c r="BR65" t="s">
        <v>112</v>
      </c>
      <c r="BS65" s="1">
        <v>33159</v>
      </c>
      <c r="BT65">
        <v>35</v>
      </c>
      <c r="BU65" t="s">
        <v>89</v>
      </c>
      <c r="BV65" t="s">
        <v>89</v>
      </c>
      <c r="BW65">
        <v>15</v>
      </c>
      <c r="BX65">
        <v>1990</v>
      </c>
      <c r="BY65">
        <v>14</v>
      </c>
      <c r="BZ65">
        <f t="shared" si="8"/>
        <v>0</v>
      </c>
      <c r="CA65">
        <f t="shared" si="9"/>
        <v>1</v>
      </c>
      <c r="CB65" t="b">
        <f t="shared" si="10"/>
        <v>1</v>
      </c>
    </row>
    <row r="66" spans="1:80" x14ac:dyDescent="0.3">
      <c r="A66" t="s">
        <v>775</v>
      </c>
      <c r="B66" t="s">
        <v>776</v>
      </c>
      <c r="C66" t="s">
        <v>777</v>
      </c>
      <c r="D66">
        <v>40</v>
      </c>
      <c r="E66" s="1">
        <v>30981</v>
      </c>
      <c r="F66" t="s">
        <v>89</v>
      </c>
      <c r="G66" t="s">
        <v>518</v>
      </c>
      <c r="H66" t="s">
        <v>778</v>
      </c>
      <c r="I66" t="s">
        <v>299</v>
      </c>
      <c r="J66" t="s">
        <v>639</v>
      </c>
      <c r="K66" t="s">
        <v>89</v>
      </c>
      <c r="L66" t="s">
        <v>145</v>
      </c>
      <c r="M66">
        <v>19</v>
      </c>
      <c r="N66" t="s">
        <v>304</v>
      </c>
      <c r="O66">
        <v>2004</v>
      </c>
      <c r="P66" t="s">
        <v>779</v>
      </c>
      <c r="Q66" t="s">
        <v>780</v>
      </c>
      <c r="R66">
        <v>34495</v>
      </c>
      <c r="S66" t="s">
        <v>775</v>
      </c>
      <c r="T66" t="s">
        <v>781</v>
      </c>
      <c r="U66">
        <v>1984</v>
      </c>
      <c r="V66" t="s">
        <v>782</v>
      </c>
      <c r="W66">
        <v>1.72</v>
      </c>
      <c r="X66" t="s">
        <v>783</v>
      </c>
      <c r="Y66" t="s">
        <v>203</v>
      </c>
      <c r="Z66" t="s">
        <v>392</v>
      </c>
      <c r="AA66" t="s">
        <v>784</v>
      </c>
      <c r="AB66" s="1">
        <v>44568</v>
      </c>
      <c r="AC66" t="s">
        <v>108</v>
      </c>
      <c r="AD66" t="s">
        <v>89</v>
      </c>
      <c r="AE66" t="s">
        <v>785</v>
      </c>
      <c r="AF66">
        <v>17</v>
      </c>
      <c r="AG66" t="s">
        <v>786</v>
      </c>
      <c r="AH66" t="s">
        <v>92</v>
      </c>
      <c r="AI66" t="s">
        <v>89</v>
      </c>
      <c r="AJ66" t="s">
        <v>92</v>
      </c>
      <c r="AK66">
        <v>17</v>
      </c>
      <c r="AL66">
        <v>25</v>
      </c>
      <c r="AM66">
        <v>456</v>
      </c>
      <c r="AN66">
        <v>59</v>
      </c>
      <c r="AO66">
        <v>10</v>
      </c>
      <c r="AP66" t="s">
        <v>93</v>
      </c>
      <c r="AQ66" t="s">
        <v>89</v>
      </c>
      <c r="AR66" t="s">
        <v>89</v>
      </c>
      <c r="AS66" t="s">
        <v>111</v>
      </c>
      <c r="AT66">
        <v>44568</v>
      </c>
      <c r="AU66">
        <v>2022</v>
      </c>
      <c r="AV66">
        <v>18</v>
      </c>
      <c r="AW66">
        <v>18</v>
      </c>
      <c r="AX66" t="s">
        <v>89</v>
      </c>
      <c r="AY66" t="s">
        <v>93</v>
      </c>
      <c r="AZ66">
        <v>0</v>
      </c>
      <c r="BA66">
        <v>0</v>
      </c>
      <c r="BB66">
        <v>0</v>
      </c>
      <c r="BC66">
        <v>0</v>
      </c>
      <c r="BD66">
        <v>492</v>
      </c>
      <c r="BE66">
        <v>34168</v>
      </c>
      <c r="BF66">
        <v>35</v>
      </c>
      <c r="BG66">
        <v>38</v>
      </c>
      <c r="BH66">
        <v>492</v>
      </c>
      <c r="BI66">
        <v>34168</v>
      </c>
      <c r="BJ66">
        <v>35</v>
      </c>
      <c r="BK66">
        <f t="shared" si="2"/>
        <v>492</v>
      </c>
      <c r="BL66">
        <f t="shared" si="3"/>
        <v>34168</v>
      </c>
      <c r="BM66">
        <f t="shared" si="4"/>
        <v>35</v>
      </c>
      <c r="BN66">
        <f t="shared" si="5"/>
        <v>0</v>
      </c>
      <c r="BO66">
        <f t="shared" si="6"/>
        <v>0</v>
      </c>
      <c r="BP66">
        <f t="shared" si="7"/>
        <v>0</v>
      </c>
      <c r="BQ66" t="s">
        <v>203</v>
      </c>
      <c r="BR66" t="s">
        <v>140</v>
      </c>
      <c r="BS66" s="1">
        <v>30981</v>
      </c>
      <c r="BT66">
        <v>41</v>
      </c>
      <c r="BU66">
        <v>44568</v>
      </c>
      <c r="BV66" t="s">
        <v>89</v>
      </c>
      <c r="BW66">
        <v>21</v>
      </c>
      <c r="BX66">
        <v>1984</v>
      </c>
      <c r="BY66">
        <v>21</v>
      </c>
      <c r="BZ66">
        <f t="shared" si="8"/>
        <v>-3</v>
      </c>
      <c r="CA66">
        <f t="shared" si="9"/>
        <v>0</v>
      </c>
      <c r="CB66" t="b">
        <f t="shared" si="10"/>
        <v>0</v>
      </c>
    </row>
    <row r="67" spans="1:80" x14ac:dyDescent="0.3">
      <c r="A67" t="s">
        <v>787</v>
      </c>
      <c r="B67" t="s">
        <v>71</v>
      </c>
      <c r="C67" t="s">
        <v>788</v>
      </c>
      <c r="D67">
        <v>31</v>
      </c>
      <c r="E67" t="s">
        <v>789</v>
      </c>
      <c r="F67" t="s">
        <v>790</v>
      </c>
      <c r="G67" t="s">
        <v>211</v>
      </c>
      <c r="H67" t="s">
        <v>76</v>
      </c>
      <c r="I67" t="s">
        <v>791</v>
      </c>
      <c r="J67" t="s">
        <v>300</v>
      </c>
      <c r="K67" t="s">
        <v>415</v>
      </c>
      <c r="L67" t="s">
        <v>762</v>
      </c>
      <c r="M67">
        <v>20</v>
      </c>
      <c r="N67" t="s">
        <v>137</v>
      </c>
      <c r="O67">
        <v>2014</v>
      </c>
      <c r="P67" t="s">
        <v>792</v>
      </c>
      <c r="Q67" t="s">
        <v>793</v>
      </c>
      <c r="R67">
        <v>158057</v>
      </c>
      <c r="S67" t="s">
        <v>787</v>
      </c>
      <c r="T67" t="s">
        <v>794</v>
      </c>
      <c r="U67">
        <v>1993</v>
      </c>
      <c r="V67" t="s">
        <v>795</v>
      </c>
      <c r="W67">
        <v>1.74</v>
      </c>
      <c r="X67" t="s">
        <v>76</v>
      </c>
      <c r="Y67" t="s">
        <v>494</v>
      </c>
      <c r="Z67" t="s">
        <v>152</v>
      </c>
      <c r="AA67" t="s">
        <v>796</v>
      </c>
      <c r="AB67" t="s">
        <v>797</v>
      </c>
      <c r="AC67" t="s">
        <v>798</v>
      </c>
      <c r="AD67" t="s">
        <v>799</v>
      </c>
      <c r="AE67">
        <v>41681</v>
      </c>
      <c r="AF67">
        <v>20</v>
      </c>
      <c r="AG67" t="s">
        <v>91</v>
      </c>
      <c r="AH67">
        <v>42644</v>
      </c>
      <c r="AI67">
        <v>22</v>
      </c>
      <c r="AJ67" t="s">
        <v>110</v>
      </c>
      <c r="AK67">
        <v>20</v>
      </c>
      <c r="AL67">
        <v>8</v>
      </c>
      <c r="AM67">
        <v>453</v>
      </c>
      <c r="AN67">
        <v>69</v>
      </c>
      <c r="AO67">
        <v>4</v>
      </c>
      <c r="AP67" t="s">
        <v>93</v>
      </c>
      <c r="AQ67" t="s">
        <v>89</v>
      </c>
      <c r="AR67" t="s">
        <v>89</v>
      </c>
      <c r="AS67" t="s">
        <v>93</v>
      </c>
      <c r="AT67" t="s">
        <v>89</v>
      </c>
      <c r="AU67" t="s">
        <v>89</v>
      </c>
      <c r="AV67" t="s">
        <v>89</v>
      </c>
      <c r="AW67">
        <v>11</v>
      </c>
      <c r="AX67">
        <v>47</v>
      </c>
      <c r="AY67" t="s">
        <v>93</v>
      </c>
      <c r="AZ67">
        <v>0</v>
      </c>
      <c r="BA67">
        <v>0</v>
      </c>
      <c r="BB67">
        <v>0</v>
      </c>
      <c r="BC67">
        <v>0</v>
      </c>
      <c r="BD67">
        <v>302</v>
      </c>
      <c r="BE67">
        <v>17069</v>
      </c>
      <c r="BF67">
        <v>47</v>
      </c>
      <c r="BG67" t="s">
        <v>89</v>
      </c>
      <c r="BH67">
        <v>302</v>
      </c>
      <c r="BI67">
        <v>17069</v>
      </c>
      <c r="BJ67">
        <v>47</v>
      </c>
      <c r="BK67">
        <f t="shared" ref="BK67:BK130" si="11">+BA67+BD67</f>
        <v>302</v>
      </c>
      <c r="BL67">
        <f t="shared" ref="BL67:BL130" si="12">+BB67+BE67</f>
        <v>17069</v>
      </c>
      <c r="BM67">
        <f t="shared" ref="BM67:BM130" si="13">+BC67+BF67</f>
        <v>47</v>
      </c>
      <c r="BN67">
        <f t="shared" ref="BN67:BN130" si="14">+BK67-BH67</f>
        <v>0</v>
      </c>
      <c r="BO67">
        <f t="shared" ref="BO67:BO130" si="15">+BL67-BI67</f>
        <v>0</v>
      </c>
      <c r="BP67">
        <f t="shared" ref="BP67:BP130" si="16">+BM67-BJ67</f>
        <v>0</v>
      </c>
      <c r="BQ67" t="s">
        <v>494</v>
      </c>
      <c r="BR67" t="s">
        <v>112</v>
      </c>
      <c r="BS67" s="1">
        <v>34333</v>
      </c>
      <c r="BT67">
        <v>32</v>
      </c>
      <c r="BU67" t="s">
        <v>89</v>
      </c>
      <c r="BV67" t="s">
        <v>89</v>
      </c>
      <c r="BW67">
        <v>12</v>
      </c>
      <c r="BX67">
        <v>1993</v>
      </c>
      <c r="BY67">
        <v>11</v>
      </c>
      <c r="BZ67">
        <f t="shared" ref="BZ67:BZ130" si="17">+AW67-BW67</f>
        <v>-1</v>
      </c>
      <c r="CA67">
        <f t="shared" ref="CA67:CA130" si="18">+BW67-BY67</f>
        <v>1</v>
      </c>
      <c r="CB67" t="b">
        <f t="shared" ref="CB67:CB130" si="19">+BW67=AW67</f>
        <v>0</v>
      </c>
    </row>
    <row r="68" spans="1:80" x14ac:dyDescent="0.3">
      <c r="A68" t="s">
        <v>800</v>
      </c>
      <c r="B68" t="s">
        <v>156</v>
      </c>
      <c r="C68" t="s">
        <v>801</v>
      </c>
      <c r="D68">
        <v>29</v>
      </c>
      <c r="E68" s="1">
        <v>35095</v>
      </c>
      <c r="F68" t="s">
        <v>89</v>
      </c>
      <c r="G68" t="s">
        <v>89</v>
      </c>
      <c r="H68" t="s">
        <v>89</v>
      </c>
      <c r="I68" t="s">
        <v>802</v>
      </c>
      <c r="J68" t="s">
        <v>89</v>
      </c>
      <c r="K68" t="s">
        <v>89</v>
      </c>
      <c r="L68" t="s">
        <v>324</v>
      </c>
      <c r="M68">
        <v>17</v>
      </c>
      <c r="N68" t="s">
        <v>301</v>
      </c>
      <c r="O68">
        <v>2013</v>
      </c>
      <c r="P68" t="s">
        <v>803</v>
      </c>
      <c r="Q68" t="s">
        <v>804</v>
      </c>
      <c r="R68">
        <v>336103</v>
      </c>
      <c r="S68" t="s">
        <v>800</v>
      </c>
      <c r="T68" t="s">
        <v>805</v>
      </c>
      <c r="U68">
        <v>1996</v>
      </c>
      <c r="V68" t="s">
        <v>806</v>
      </c>
      <c r="W68">
        <v>1.77</v>
      </c>
      <c r="X68" t="s">
        <v>219</v>
      </c>
      <c r="Y68" t="s">
        <v>391</v>
      </c>
      <c r="Z68" t="s">
        <v>152</v>
      </c>
      <c r="AA68" t="s">
        <v>807</v>
      </c>
      <c r="AB68" s="1">
        <v>45298</v>
      </c>
      <c r="AC68" t="s">
        <v>170</v>
      </c>
      <c r="AD68" t="s">
        <v>89</v>
      </c>
      <c r="AE68" t="s">
        <v>808</v>
      </c>
      <c r="AF68">
        <v>18</v>
      </c>
      <c r="AG68" t="s">
        <v>91</v>
      </c>
      <c r="AH68" t="s">
        <v>809</v>
      </c>
      <c r="AI68">
        <v>29</v>
      </c>
      <c r="AJ68" t="s">
        <v>459</v>
      </c>
      <c r="AK68">
        <v>18</v>
      </c>
      <c r="AL68" t="s">
        <v>89</v>
      </c>
      <c r="AM68" t="s">
        <v>89</v>
      </c>
      <c r="AN68" t="s">
        <v>89</v>
      </c>
      <c r="AO68">
        <v>0</v>
      </c>
      <c r="AP68" t="s">
        <v>93</v>
      </c>
      <c r="AQ68" t="s">
        <v>89</v>
      </c>
      <c r="AR68" t="s">
        <v>89</v>
      </c>
      <c r="AS68" t="s">
        <v>93</v>
      </c>
      <c r="AT68" t="s">
        <v>89</v>
      </c>
      <c r="AU68" t="s">
        <v>89</v>
      </c>
      <c r="AV68" t="s">
        <v>89</v>
      </c>
      <c r="AW68">
        <v>12</v>
      </c>
      <c r="AX68">
        <v>22</v>
      </c>
      <c r="AY68" t="s">
        <v>93</v>
      </c>
      <c r="AZ68">
        <v>0</v>
      </c>
      <c r="BA68">
        <v>0</v>
      </c>
      <c r="BB68">
        <v>0</v>
      </c>
      <c r="BC68">
        <v>0</v>
      </c>
      <c r="BD68">
        <v>1</v>
      </c>
      <c r="BE68">
        <v>37</v>
      </c>
      <c r="BF68">
        <v>0</v>
      </c>
      <c r="BG68" t="s">
        <v>89</v>
      </c>
      <c r="BH68">
        <v>1</v>
      </c>
      <c r="BI68">
        <v>37</v>
      </c>
      <c r="BJ68">
        <v>0</v>
      </c>
      <c r="BK68">
        <f t="shared" si="11"/>
        <v>1</v>
      </c>
      <c r="BL68">
        <f t="shared" si="12"/>
        <v>37</v>
      </c>
      <c r="BM68">
        <f t="shared" si="13"/>
        <v>0</v>
      </c>
      <c r="BN68">
        <f t="shared" si="14"/>
        <v>0</v>
      </c>
      <c r="BO68">
        <f t="shared" si="15"/>
        <v>0</v>
      </c>
      <c r="BP68">
        <f t="shared" si="16"/>
        <v>0</v>
      </c>
      <c r="BQ68" t="s">
        <v>391</v>
      </c>
      <c r="BR68" t="s">
        <v>112</v>
      </c>
      <c r="BS68" s="1">
        <v>35095</v>
      </c>
      <c r="BT68">
        <v>30</v>
      </c>
      <c r="BU68" t="s">
        <v>89</v>
      </c>
      <c r="BV68" t="s">
        <v>89</v>
      </c>
      <c r="BW68">
        <v>12</v>
      </c>
      <c r="BX68">
        <v>1996</v>
      </c>
      <c r="BY68">
        <v>11</v>
      </c>
      <c r="BZ68">
        <f t="shared" si="17"/>
        <v>0</v>
      </c>
      <c r="CA68">
        <f t="shared" si="18"/>
        <v>1</v>
      </c>
      <c r="CB68" t="b">
        <f t="shared" si="19"/>
        <v>1</v>
      </c>
    </row>
    <row r="69" spans="1:80" x14ac:dyDescent="0.3">
      <c r="A69" t="s">
        <v>810</v>
      </c>
      <c r="B69" t="s">
        <v>71</v>
      </c>
      <c r="C69" t="s">
        <v>811</v>
      </c>
      <c r="D69">
        <v>37</v>
      </c>
      <c r="E69" s="1">
        <v>32052</v>
      </c>
      <c r="F69" t="s">
        <v>89</v>
      </c>
      <c r="G69" t="s">
        <v>160</v>
      </c>
      <c r="H69" t="s">
        <v>89</v>
      </c>
      <c r="I69" t="s">
        <v>348</v>
      </c>
      <c r="J69" t="s">
        <v>78</v>
      </c>
      <c r="K69" t="s">
        <v>89</v>
      </c>
      <c r="L69" t="s">
        <v>254</v>
      </c>
      <c r="M69">
        <v>21</v>
      </c>
      <c r="N69" t="s">
        <v>519</v>
      </c>
      <c r="O69">
        <v>2009</v>
      </c>
      <c r="P69" t="s">
        <v>812</v>
      </c>
      <c r="Q69" t="s">
        <v>813</v>
      </c>
      <c r="R69">
        <v>71989</v>
      </c>
      <c r="S69" t="s">
        <v>810</v>
      </c>
      <c r="T69">
        <v>31818</v>
      </c>
      <c r="U69">
        <v>1987</v>
      </c>
      <c r="V69" t="s">
        <v>122</v>
      </c>
      <c r="W69">
        <v>1.76</v>
      </c>
      <c r="X69" t="s">
        <v>76</v>
      </c>
      <c r="Y69" t="s">
        <v>136</v>
      </c>
      <c r="Z69" t="s">
        <v>87</v>
      </c>
      <c r="AA69" t="s">
        <v>814</v>
      </c>
      <c r="AB69" s="1">
        <v>44568</v>
      </c>
      <c r="AC69" t="s">
        <v>108</v>
      </c>
      <c r="AD69" t="s">
        <v>89</v>
      </c>
      <c r="AE69" t="s">
        <v>815</v>
      </c>
      <c r="AF69">
        <v>21</v>
      </c>
      <c r="AG69" t="s">
        <v>91</v>
      </c>
      <c r="AH69" t="s">
        <v>816</v>
      </c>
      <c r="AI69">
        <v>23</v>
      </c>
      <c r="AJ69" t="s">
        <v>110</v>
      </c>
      <c r="AK69">
        <v>21</v>
      </c>
      <c r="AL69" t="s">
        <v>89</v>
      </c>
      <c r="AM69" t="s">
        <v>89</v>
      </c>
      <c r="AN69" t="s">
        <v>89</v>
      </c>
      <c r="AO69">
        <v>0</v>
      </c>
      <c r="AP69" t="s">
        <v>93</v>
      </c>
      <c r="AQ69" t="s">
        <v>89</v>
      </c>
      <c r="AR69" t="s">
        <v>89</v>
      </c>
      <c r="AS69" t="s">
        <v>111</v>
      </c>
      <c r="AT69" s="1">
        <v>44568</v>
      </c>
      <c r="AU69">
        <v>2022</v>
      </c>
      <c r="AV69">
        <v>13</v>
      </c>
      <c r="AW69">
        <v>13</v>
      </c>
      <c r="AX69" t="s">
        <v>89</v>
      </c>
      <c r="AY69" t="s">
        <v>93</v>
      </c>
      <c r="AZ69">
        <v>0</v>
      </c>
      <c r="BA69">
        <v>0</v>
      </c>
      <c r="BB69">
        <v>0</v>
      </c>
      <c r="BC69">
        <v>0</v>
      </c>
      <c r="BD69">
        <v>17</v>
      </c>
      <c r="BE69">
        <v>1307</v>
      </c>
      <c r="BF69">
        <v>1</v>
      </c>
      <c r="BG69">
        <v>35</v>
      </c>
      <c r="BH69">
        <v>17</v>
      </c>
      <c r="BI69">
        <v>1307</v>
      </c>
      <c r="BJ69">
        <v>1</v>
      </c>
      <c r="BK69">
        <f t="shared" si="11"/>
        <v>17</v>
      </c>
      <c r="BL69">
        <f t="shared" si="12"/>
        <v>1307</v>
      </c>
      <c r="BM69">
        <f t="shared" si="13"/>
        <v>1</v>
      </c>
      <c r="BN69">
        <f t="shared" si="14"/>
        <v>0</v>
      </c>
      <c r="BO69">
        <f t="shared" si="15"/>
        <v>0</v>
      </c>
      <c r="BP69">
        <f t="shared" si="16"/>
        <v>0</v>
      </c>
      <c r="BQ69" t="s">
        <v>136</v>
      </c>
      <c r="BR69" t="s">
        <v>140</v>
      </c>
      <c r="BS69" t="s">
        <v>89</v>
      </c>
      <c r="BT69">
        <v>39</v>
      </c>
      <c r="BU69" s="1">
        <v>44568</v>
      </c>
      <c r="BV69" s="1">
        <v>44743</v>
      </c>
      <c r="BW69">
        <v>14</v>
      </c>
      <c r="BX69">
        <v>1987</v>
      </c>
      <c r="BY69">
        <v>14</v>
      </c>
      <c r="BZ69">
        <f t="shared" si="17"/>
        <v>-1</v>
      </c>
      <c r="CA69">
        <f t="shared" si="18"/>
        <v>0</v>
      </c>
      <c r="CB69" t="b">
        <f t="shared" si="19"/>
        <v>0</v>
      </c>
    </row>
    <row r="70" spans="1:80" x14ac:dyDescent="0.3">
      <c r="A70" t="s">
        <v>817</v>
      </c>
      <c r="B70" t="s">
        <v>71</v>
      </c>
      <c r="C70" t="s">
        <v>818</v>
      </c>
      <c r="D70">
        <v>48</v>
      </c>
      <c r="E70">
        <v>28092</v>
      </c>
      <c r="F70" t="s">
        <v>89</v>
      </c>
      <c r="G70" t="s">
        <v>819</v>
      </c>
      <c r="H70" t="s">
        <v>76</v>
      </c>
      <c r="I70" t="s">
        <v>227</v>
      </c>
      <c r="J70" t="s">
        <v>89</v>
      </c>
      <c r="K70" t="s">
        <v>89</v>
      </c>
      <c r="L70" t="s">
        <v>196</v>
      </c>
      <c r="M70">
        <v>23</v>
      </c>
      <c r="N70" t="s">
        <v>820</v>
      </c>
      <c r="O70">
        <v>2000</v>
      </c>
      <c r="P70" t="s">
        <v>821</v>
      </c>
      <c r="Q70" t="s">
        <v>822</v>
      </c>
      <c r="R70">
        <v>7615</v>
      </c>
      <c r="S70" t="s">
        <v>817</v>
      </c>
      <c r="T70" t="s">
        <v>823</v>
      </c>
      <c r="U70">
        <v>1976</v>
      </c>
      <c r="V70" t="s">
        <v>824</v>
      </c>
      <c r="W70">
        <v>1.87</v>
      </c>
      <c r="X70" t="s">
        <v>76</v>
      </c>
      <c r="Y70" t="s">
        <v>235</v>
      </c>
      <c r="Z70" t="s">
        <v>87</v>
      </c>
      <c r="AA70" t="s">
        <v>137</v>
      </c>
      <c r="AB70">
        <v>40915</v>
      </c>
      <c r="AC70" t="s">
        <v>108</v>
      </c>
      <c r="AD70" t="s">
        <v>89</v>
      </c>
      <c r="AE70" s="1">
        <v>36808</v>
      </c>
      <c r="AF70">
        <v>23</v>
      </c>
      <c r="AG70" t="s">
        <v>91</v>
      </c>
      <c r="AH70" s="1">
        <v>35955</v>
      </c>
      <c r="AI70">
        <v>21</v>
      </c>
      <c r="AJ70" t="s">
        <v>110</v>
      </c>
      <c r="AK70">
        <v>21</v>
      </c>
      <c r="AL70">
        <v>3</v>
      </c>
      <c r="AM70">
        <v>201</v>
      </c>
      <c r="AN70">
        <v>44</v>
      </c>
      <c r="AO70">
        <v>2</v>
      </c>
      <c r="AP70" t="s">
        <v>93</v>
      </c>
      <c r="AQ70" t="s">
        <v>89</v>
      </c>
      <c r="AR70" t="s">
        <v>89</v>
      </c>
      <c r="AS70" t="s">
        <v>111</v>
      </c>
      <c r="AT70">
        <v>40915</v>
      </c>
      <c r="AU70">
        <v>2012</v>
      </c>
      <c r="AV70">
        <v>12</v>
      </c>
      <c r="AW70">
        <v>12</v>
      </c>
      <c r="AX70" t="s">
        <v>89</v>
      </c>
      <c r="AY70" t="s">
        <v>93</v>
      </c>
      <c r="AZ70">
        <v>0</v>
      </c>
      <c r="BA70">
        <v>0</v>
      </c>
      <c r="BB70">
        <v>0</v>
      </c>
      <c r="BC70">
        <v>0</v>
      </c>
      <c r="BD70">
        <v>196</v>
      </c>
      <c r="BE70">
        <v>15015</v>
      </c>
      <c r="BF70">
        <v>5</v>
      </c>
      <c r="BG70">
        <v>36</v>
      </c>
      <c r="BH70">
        <v>196</v>
      </c>
      <c r="BI70">
        <v>15015</v>
      </c>
      <c r="BJ70">
        <v>5</v>
      </c>
      <c r="BK70">
        <f t="shared" si="11"/>
        <v>196</v>
      </c>
      <c r="BL70">
        <f t="shared" si="12"/>
        <v>15015</v>
      </c>
      <c r="BM70">
        <f t="shared" si="13"/>
        <v>5</v>
      </c>
      <c r="BN70">
        <f t="shared" si="14"/>
        <v>0</v>
      </c>
      <c r="BO70">
        <f t="shared" si="15"/>
        <v>0</v>
      </c>
      <c r="BP70">
        <f t="shared" si="16"/>
        <v>0</v>
      </c>
      <c r="BQ70" t="s">
        <v>235</v>
      </c>
      <c r="BR70" t="s">
        <v>140</v>
      </c>
      <c r="BS70" s="1">
        <v>28092</v>
      </c>
      <c r="BT70">
        <v>49</v>
      </c>
      <c r="BU70">
        <v>40915</v>
      </c>
      <c r="BV70" t="s">
        <v>89</v>
      </c>
      <c r="BW70">
        <v>15</v>
      </c>
      <c r="BX70">
        <v>1976</v>
      </c>
      <c r="BY70">
        <v>15</v>
      </c>
      <c r="BZ70">
        <f t="shared" si="17"/>
        <v>-3</v>
      </c>
      <c r="CA70">
        <f t="shared" si="18"/>
        <v>0</v>
      </c>
      <c r="CB70" t="b">
        <f t="shared" si="19"/>
        <v>0</v>
      </c>
    </row>
    <row r="71" spans="1:80" x14ac:dyDescent="0.3">
      <c r="A71" t="s">
        <v>825</v>
      </c>
      <c r="B71" t="s">
        <v>826</v>
      </c>
      <c r="C71" t="s">
        <v>827</v>
      </c>
      <c r="D71">
        <v>39</v>
      </c>
      <c r="E71" t="s">
        <v>828</v>
      </c>
      <c r="F71" t="s">
        <v>829</v>
      </c>
      <c r="G71" t="s">
        <v>687</v>
      </c>
      <c r="H71" t="s">
        <v>830</v>
      </c>
      <c r="I71" t="s">
        <v>668</v>
      </c>
      <c r="J71" t="s">
        <v>89</v>
      </c>
      <c r="K71" t="s">
        <v>831</v>
      </c>
      <c r="L71" t="s">
        <v>228</v>
      </c>
      <c r="M71">
        <v>24</v>
      </c>
      <c r="N71" t="s">
        <v>164</v>
      </c>
      <c r="O71">
        <v>2010</v>
      </c>
      <c r="P71" t="s">
        <v>832</v>
      </c>
      <c r="Q71" t="s">
        <v>833</v>
      </c>
      <c r="R71">
        <v>86167</v>
      </c>
      <c r="S71" t="s">
        <v>825</v>
      </c>
      <c r="T71" t="s">
        <v>834</v>
      </c>
      <c r="U71">
        <v>1986</v>
      </c>
      <c r="V71" t="s">
        <v>835</v>
      </c>
      <c r="W71">
        <v>1.73</v>
      </c>
      <c r="X71" t="s">
        <v>830</v>
      </c>
      <c r="Y71" t="s">
        <v>494</v>
      </c>
      <c r="Z71" t="s">
        <v>152</v>
      </c>
      <c r="AA71" t="s">
        <v>836</v>
      </c>
      <c r="AB71" s="1">
        <v>42856</v>
      </c>
      <c r="AC71" t="s">
        <v>837</v>
      </c>
      <c r="AD71" t="s">
        <v>89</v>
      </c>
      <c r="AE71" t="s">
        <v>838</v>
      </c>
      <c r="AF71">
        <v>18</v>
      </c>
      <c r="AG71" t="s">
        <v>839</v>
      </c>
      <c r="AH71" s="1">
        <v>41336</v>
      </c>
      <c r="AI71">
        <v>26</v>
      </c>
      <c r="AJ71" t="s">
        <v>840</v>
      </c>
      <c r="AK71">
        <v>18</v>
      </c>
      <c r="AL71">
        <v>5</v>
      </c>
      <c r="AM71">
        <v>189</v>
      </c>
      <c r="AN71">
        <v>31</v>
      </c>
      <c r="AO71">
        <v>5</v>
      </c>
      <c r="AP71" t="s">
        <v>93</v>
      </c>
      <c r="AQ71" t="s">
        <v>89</v>
      </c>
      <c r="AR71" t="s">
        <v>89</v>
      </c>
      <c r="AS71" t="s">
        <v>93</v>
      </c>
      <c r="AT71" t="s">
        <v>89</v>
      </c>
      <c r="AU71" t="s">
        <v>89</v>
      </c>
      <c r="AV71" t="s">
        <v>89</v>
      </c>
      <c r="AW71">
        <v>15</v>
      </c>
      <c r="AX71">
        <v>41</v>
      </c>
      <c r="AY71" t="s">
        <v>93</v>
      </c>
      <c r="AZ71">
        <v>0</v>
      </c>
      <c r="BA71">
        <v>0</v>
      </c>
      <c r="BB71">
        <v>0</v>
      </c>
      <c r="BC71">
        <v>0</v>
      </c>
      <c r="BD71">
        <v>358</v>
      </c>
      <c r="BE71">
        <v>25730</v>
      </c>
      <c r="BF71">
        <v>67</v>
      </c>
      <c r="BG71" t="s">
        <v>89</v>
      </c>
      <c r="BH71">
        <v>358</v>
      </c>
      <c r="BI71">
        <v>25730</v>
      </c>
      <c r="BJ71">
        <v>67</v>
      </c>
      <c r="BK71">
        <f t="shared" si="11"/>
        <v>358</v>
      </c>
      <c r="BL71">
        <f t="shared" si="12"/>
        <v>25730</v>
      </c>
      <c r="BM71">
        <f t="shared" si="13"/>
        <v>67</v>
      </c>
      <c r="BN71">
        <f t="shared" si="14"/>
        <v>0</v>
      </c>
      <c r="BO71">
        <f t="shared" si="15"/>
        <v>0</v>
      </c>
      <c r="BP71">
        <f t="shared" si="16"/>
        <v>0</v>
      </c>
      <c r="BQ71" t="s">
        <v>494</v>
      </c>
      <c r="BR71" t="s">
        <v>112</v>
      </c>
      <c r="BS71" s="1">
        <v>31576</v>
      </c>
      <c r="BT71">
        <v>39</v>
      </c>
      <c r="BU71" t="s">
        <v>89</v>
      </c>
      <c r="BV71" t="s">
        <v>89</v>
      </c>
      <c r="BW71">
        <v>21</v>
      </c>
      <c r="BX71">
        <v>1986</v>
      </c>
      <c r="BY71">
        <v>21</v>
      </c>
      <c r="BZ71">
        <f t="shared" si="17"/>
        <v>-6</v>
      </c>
      <c r="CA71">
        <f t="shared" si="18"/>
        <v>0</v>
      </c>
      <c r="CB71" t="b">
        <f t="shared" si="19"/>
        <v>0</v>
      </c>
    </row>
    <row r="72" spans="1:80" x14ac:dyDescent="0.3">
      <c r="A72" t="s">
        <v>841</v>
      </c>
      <c r="B72" t="s">
        <v>842</v>
      </c>
      <c r="C72" t="s">
        <v>843</v>
      </c>
      <c r="D72">
        <v>40</v>
      </c>
      <c r="E72" s="1">
        <v>31016</v>
      </c>
      <c r="F72" t="s">
        <v>89</v>
      </c>
      <c r="G72" t="s">
        <v>226</v>
      </c>
      <c r="H72" t="s">
        <v>844</v>
      </c>
      <c r="I72" t="s">
        <v>348</v>
      </c>
      <c r="J72" t="s">
        <v>78</v>
      </c>
      <c r="K72" t="s">
        <v>89</v>
      </c>
      <c r="L72" t="s">
        <v>845</v>
      </c>
      <c r="M72">
        <v>17</v>
      </c>
      <c r="N72" t="s">
        <v>846</v>
      </c>
      <c r="O72">
        <v>2002</v>
      </c>
      <c r="P72" t="s">
        <v>847</v>
      </c>
      <c r="Q72" t="s">
        <v>848</v>
      </c>
      <c r="R72">
        <v>9619</v>
      </c>
      <c r="S72" t="s">
        <v>841</v>
      </c>
      <c r="T72" t="s">
        <v>849</v>
      </c>
      <c r="U72">
        <v>1984</v>
      </c>
      <c r="V72" t="s">
        <v>850</v>
      </c>
      <c r="W72">
        <v>1.85</v>
      </c>
      <c r="X72" t="s">
        <v>851</v>
      </c>
      <c r="Y72" t="s">
        <v>136</v>
      </c>
      <c r="Z72" t="s">
        <v>87</v>
      </c>
      <c r="AA72" t="s">
        <v>852</v>
      </c>
      <c r="AB72" t="s">
        <v>625</v>
      </c>
      <c r="AC72" t="s">
        <v>108</v>
      </c>
      <c r="AD72" t="s">
        <v>89</v>
      </c>
      <c r="AE72" t="s">
        <v>853</v>
      </c>
      <c r="AF72">
        <v>18</v>
      </c>
      <c r="AG72">
        <v>0</v>
      </c>
      <c r="AH72" t="s">
        <v>854</v>
      </c>
      <c r="AI72">
        <v>27</v>
      </c>
      <c r="AJ72" t="s">
        <v>855</v>
      </c>
      <c r="AK72">
        <v>18</v>
      </c>
      <c r="AL72">
        <v>7</v>
      </c>
      <c r="AM72">
        <v>2626</v>
      </c>
      <c r="AN72">
        <v>65</v>
      </c>
      <c r="AO72">
        <v>5</v>
      </c>
      <c r="AP72" t="s">
        <v>93</v>
      </c>
      <c r="AQ72" t="s">
        <v>89</v>
      </c>
      <c r="AR72" t="s">
        <v>89</v>
      </c>
      <c r="AS72" t="s">
        <v>111</v>
      </c>
      <c r="AT72" t="s">
        <v>625</v>
      </c>
      <c r="AU72">
        <v>2020</v>
      </c>
      <c r="AV72">
        <v>18</v>
      </c>
      <c r="AW72">
        <v>18</v>
      </c>
      <c r="AX72" t="s">
        <v>89</v>
      </c>
      <c r="AY72" t="s">
        <v>111</v>
      </c>
      <c r="AZ72">
        <v>9</v>
      </c>
      <c r="BA72">
        <v>36</v>
      </c>
      <c r="BB72">
        <v>3144</v>
      </c>
      <c r="BC72">
        <v>0</v>
      </c>
      <c r="BD72">
        <v>406</v>
      </c>
      <c r="BE72">
        <v>33598</v>
      </c>
      <c r="BF72">
        <v>8</v>
      </c>
      <c r="BG72">
        <v>36</v>
      </c>
      <c r="BH72">
        <v>442</v>
      </c>
      <c r="BI72">
        <v>36742</v>
      </c>
      <c r="BJ72">
        <v>8</v>
      </c>
      <c r="BK72">
        <f t="shared" si="11"/>
        <v>442</v>
      </c>
      <c r="BL72">
        <f t="shared" si="12"/>
        <v>36742</v>
      </c>
      <c r="BM72">
        <f t="shared" si="13"/>
        <v>8</v>
      </c>
      <c r="BN72">
        <f t="shared" si="14"/>
        <v>0</v>
      </c>
      <c r="BO72">
        <f t="shared" si="15"/>
        <v>0</v>
      </c>
      <c r="BP72">
        <f t="shared" si="16"/>
        <v>0</v>
      </c>
      <c r="BQ72" t="s">
        <v>136</v>
      </c>
      <c r="BR72" t="s">
        <v>140</v>
      </c>
      <c r="BS72" s="1">
        <v>31016</v>
      </c>
      <c r="BT72">
        <v>41</v>
      </c>
      <c r="BU72" t="s">
        <v>625</v>
      </c>
      <c r="BV72" s="1">
        <v>43880</v>
      </c>
      <c r="BW72">
        <v>18</v>
      </c>
      <c r="BX72">
        <v>1984</v>
      </c>
      <c r="BY72">
        <v>18</v>
      </c>
      <c r="BZ72">
        <f t="shared" si="17"/>
        <v>0</v>
      </c>
      <c r="CA72">
        <f t="shared" si="18"/>
        <v>0</v>
      </c>
      <c r="CB72" t="b">
        <f t="shared" si="19"/>
        <v>1</v>
      </c>
    </row>
    <row r="73" spans="1:80" x14ac:dyDescent="0.3">
      <c r="A73" t="s">
        <v>856</v>
      </c>
      <c r="B73" t="s">
        <v>71</v>
      </c>
      <c r="C73" t="s">
        <v>857</v>
      </c>
      <c r="D73">
        <v>43</v>
      </c>
      <c r="E73">
        <v>30084</v>
      </c>
      <c r="F73" t="s">
        <v>89</v>
      </c>
      <c r="G73" t="s">
        <v>858</v>
      </c>
      <c r="H73" t="s">
        <v>76</v>
      </c>
      <c r="I73" t="s">
        <v>386</v>
      </c>
      <c r="J73" t="s">
        <v>89</v>
      </c>
      <c r="K73" t="s">
        <v>89</v>
      </c>
      <c r="L73" t="s">
        <v>845</v>
      </c>
      <c r="M73">
        <v>20</v>
      </c>
      <c r="N73" t="s">
        <v>146</v>
      </c>
      <c r="O73">
        <v>2002</v>
      </c>
      <c r="P73" t="s">
        <v>859</v>
      </c>
      <c r="Q73" t="s">
        <v>860</v>
      </c>
      <c r="R73">
        <v>51536</v>
      </c>
      <c r="S73" t="s">
        <v>856</v>
      </c>
      <c r="T73" t="s">
        <v>861</v>
      </c>
      <c r="U73">
        <v>1982</v>
      </c>
      <c r="V73" t="s">
        <v>644</v>
      </c>
      <c r="W73">
        <v>1.6</v>
      </c>
      <c r="X73" t="s">
        <v>76</v>
      </c>
      <c r="Y73" t="s">
        <v>391</v>
      </c>
      <c r="Z73" t="s">
        <v>152</v>
      </c>
      <c r="AA73" t="s">
        <v>862</v>
      </c>
      <c r="AB73" s="1">
        <v>41646</v>
      </c>
      <c r="AC73" t="s">
        <v>108</v>
      </c>
      <c r="AD73" t="s">
        <v>89</v>
      </c>
      <c r="AE73" s="1">
        <v>37296</v>
      </c>
      <c r="AF73">
        <v>20</v>
      </c>
      <c r="AG73" t="s">
        <v>91</v>
      </c>
      <c r="AH73" s="1">
        <v>37781</v>
      </c>
      <c r="AI73">
        <v>21</v>
      </c>
      <c r="AJ73" t="s">
        <v>110</v>
      </c>
      <c r="AK73">
        <v>20</v>
      </c>
      <c r="AL73">
        <v>3</v>
      </c>
      <c r="AM73">
        <v>351</v>
      </c>
      <c r="AN73">
        <v>52</v>
      </c>
      <c r="AO73">
        <v>3</v>
      </c>
      <c r="AP73" t="s">
        <v>93</v>
      </c>
      <c r="AQ73" t="s">
        <v>89</v>
      </c>
      <c r="AR73" t="s">
        <v>89</v>
      </c>
      <c r="AS73" t="s">
        <v>111</v>
      </c>
      <c r="AT73">
        <v>41646</v>
      </c>
      <c r="AU73">
        <v>2014</v>
      </c>
      <c r="AV73">
        <v>12</v>
      </c>
      <c r="AW73">
        <v>12</v>
      </c>
      <c r="AX73" t="s">
        <v>89</v>
      </c>
      <c r="AY73" t="s">
        <v>93</v>
      </c>
      <c r="AZ73">
        <v>0</v>
      </c>
      <c r="BA73">
        <v>0</v>
      </c>
      <c r="BB73">
        <v>0</v>
      </c>
      <c r="BC73">
        <v>0</v>
      </c>
      <c r="BD73">
        <v>258</v>
      </c>
      <c r="BE73">
        <v>18618</v>
      </c>
      <c r="BF73">
        <v>39</v>
      </c>
      <c r="BG73">
        <v>32</v>
      </c>
      <c r="BH73">
        <v>258</v>
      </c>
      <c r="BI73">
        <v>18618</v>
      </c>
      <c r="BJ73">
        <v>39</v>
      </c>
      <c r="BK73">
        <f t="shared" si="11"/>
        <v>258</v>
      </c>
      <c r="BL73">
        <f t="shared" si="12"/>
        <v>18618</v>
      </c>
      <c r="BM73">
        <f t="shared" si="13"/>
        <v>39</v>
      </c>
      <c r="BN73">
        <f t="shared" si="14"/>
        <v>0</v>
      </c>
      <c r="BO73">
        <f t="shared" si="15"/>
        <v>0</v>
      </c>
      <c r="BP73">
        <f t="shared" si="16"/>
        <v>0</v>
      </c>
      <c r="BQ73" t="s">
        <v>391</v>
      </c>
      <c r="BR73" t="s">
        <v>112</v>
      </c>
      <c r="BS73" s="1">
        <v>30084</v>
      </c>
      <c r="BT73">
        <v>43</v>
      </c>
      <c r="BU73">
        <v>41646</v>
      </c>
      <c r="BV73" t="s">
        <v>89</v>
      </c>
      <c r="BW73">
        <v>12</v>
      </c>
      <c r="BX73">
        <v>1982</v>
      </c>
      <c r="BY73">
        <v>12</v>
      </c>
      <c r="BZ73">
        <f t="shared" si="17"/>
        <v>0</v>
      </c>
      <c r="CA73">
        <f t="shared" si="18"/>
        <v>0</v>
      </c>
      <c r="CB73" t="b">
        <f t="shared" si="19"/>
        <v>1</v>
      </c>
    </row>
    <row r="74" spans="1:80" x14ac:dyDescent="0.3">
      <c r="A74" t="s">
        <v>863</v>
      </c>
      <c r="B74" t="s">
        <v>71</v>
      </c>
      <c r="C74" t="s">
        <v>864</v>
      </c>
      <c r="D74">
        <v>47</v>
      </c>
      <c r="E74" s="1">
        <v>28560</v>
      </c>
      <c r="F74" t="s">
        <v>89</v>
      </c>
      <c r="G74" t="s">
        <v>413</v>
      </c>
      <c r="H74" t="s">
        <v>76</v>
      </c>
      <c r="I74" t="s">
        <v>865</v>
      </c>
      <c r="J74" t="s">
        <v>89</v>
      </c>
      <c r="K74" t="s">
        <v>89</v>
      </c>
      <c r="L74" t="s">
        <v>866</v>
      </c>
      <c r="M74">
        <v>20</v>
      </c>
      <c r="N74" t="s">
        <v>164</v>
      </c>
      <c r="O74">
        <v>1998</v>
      </c>
      <c r="P74" t="s">
        <v>867</v>
      </c>
      <c r="Q74" t="s">
        <v>868</v>
      </c>
      <c r="R74">
        <v>7506</v>
      </c>
      <c r="S74" t="s">
        <v>863</v>
      </c>
      <c r="T74" s="1">
        <v>28797</v>
      </c>
      <c r="U74">
        <v>1978</v>
      </c>
      <c r="V74" t="s">
        <v>640</v>
      </c>
      <c r="W74">
        <v>1.83</v>
      </c>
      <c r="X74" t="s">
        <v>76</v>
      </c>
      <c r="Y74" t="s">
        <v>391</v>
      </c>
      <c r="Z74" t="s">
        <v>152</v>
      </c>
      <c r="AA74" t="s">
        <v>745</v>
      </c>
      <c r="AB74" s="1">
        <v>40544</v>
      </c>
      <c r="AC74" t="s">
        <v>108</v>
      </c>
      <c r="AD74" t="s">
        <v>89</v>
      </c>
      <c r="AE74">
        <v>36254</v>
      </c>
      <c r="AF74">
        <v>21</v>
      </c>
      <c r="AG74" t="s">
        <v>91</v>
      </c>
      <c r="AH74" t="s">
        <v>869</v>
      </c>
      <c r="AI74">
        <v>20</v>
      </c>
      <c r="AJ74" t="s">
        <v>110</v>
      </c>
      <c r="AK74">
        <v>20</v>
      </c>
      <c r="AL74">
        <v>1</v>
      </c>
      <c r="AM74">
        <v>29</v>
      </c>
      <c r="AN74">
        <v>6</v>
      </c>
      <c r="AO74">
        <v>1</v>
      </c>
      <c r="AP74" t="s">
        <v>93</v>
      </c>
      <c r="AQ74" t="s">
        <v>89</v>
      </c>
      <c r="AR74" t="s">
        <v>89</v>
      </c>
      <c r="AS74" t="s">
        <v>111</v>
      </c>
      <c r="AT74" s="1">
        <v>40544</v>
      </c>
      <c r="AU74">
        <v>2011</v>
      </c>
      <c r="AV74">
        <v>13</v>
      </c>
      <c r="AW74">
        <v>13</v>
      </c>
      <c r="AX74" t="s">
        <v>89</v>
      </c>
      <c r="AY74" t="s">
        <v>111</v>
      </c>
      <c r="AZ74">
        <v>3</v>
      </c>
      <c r="BA74">
        <v>9</v>
      </c>
      <c r="BB74">
        <v>398</v>
      </c>
      <c r="BC74">
        <v>2</v>
      </c>
      <c r="BD74">
        <v>326</v>
      </c>
      <c r="BE74">
        <v>17402</v>
      </c>
      <c r="BF74">
        <v>72</v>
      </c>
      <c r="BG74">
        <v>33</v>
      </c>
      <c r="BH74">
        <v>335</v>
      </c>
      <c r="BI74">
        <v>17800</v>
      </c>
      <c r="BJ74">
        <v>74</v>
      </c>
      <c r="BK74">
        <f t="shared" si="11"/>
        <v>335</v>
      </c>
      <c r="BL74">
        <f t="shared" si="12"/>
        <v>17800</v>
      </c>
      <c r="BM74">
        <f t="shared" si="13"/>
        <v>74</v>
      </c>
      <c r="BN74">
        <f t="shared" si="14"/>
        <v>0</v>
      </c>
      <c r="BO74">
        <f t="shared" si="15"/>
        <v>0</v>
      </c>
      <c r="BP74">
        <f t="shared" si="16"/>
        <v>0</v>
      </c>
      <c r="BQ74" t="s">
        <v>391</v>
      </c>
      <c r="BR74" t="s">
        <v>112</v>
      </c>
      <c r="BS74" s="1">
        <v>28560</v>
      </c>
      <c r="BT74">
        <v>47</v>
      </c>
      <c r="BU74" s="1">
        <v>40544</v>
      </c>
      <c r="BV74" s="1">
        <v>40544</v>
      </c>
      <c r="BW74">
        <v>13</v>
      </c>
      <c r="BX74">
        <v>1978</v>
      </c>
      <c r="BY74">
        <v>13</v>
      </c>
      <c r="BZ74">
        <f t="shared" si="17"/>
        <v>0</v>
      </c>
      <c r="CA74">
        <f t="shared" si="18"/>
        <v>0</v>
      </c>
      <c r="CB74" t="b">
        <f t="shared" si="19"/>
        <v>1</v>
      </c>
    </row>
    <row r="75" spans="1:80" x14ac:dyDescent="0.3">
      <c r="A75" t="s">
        <v>870</v>
      </c>
      <c r="B75" t="s">
        <v>71</v>
      </c>
      <c r="C75" t="s">
        <v>871</v>
      </c>
      <c r="D75">
        <v>36</v>
      </c>
      <c r="E75" t="s">
        <v>872</v>
      </c>
      <c r="F75" t="s">
        <v>873</v>
      </c>
      <c r="G75" t="s">
        <v>819</v>
      </c>
      <c r="H75" t="s">
        <v>76</v>
      </c>
      <c r="I75" t="s">
        <v>227</v>
      </c>
      <c r="J75" t="s">
        <v>78</v>
      </c>
      <c r="K75" t="s">
        <v>874</v>
      </c>
      <c r="L75" t="s">
        <v>130</v>
      </c>
      <c r="M75">
        <v>19</v>
      </c>
      <c r="N75" t="s">
        <v>644</v>
      </c>
      <c r="O75">
        <v>2008</v>
      </c>
      <c r="P75" t="s">
        <v>875</v>
      </c>
      <c r="Q75" t="s">
        <v>876</v>
      </c>
      <c r="R75">
        <v>53077</v>
      </c>
      <c r="S75" t="s">
        <v>870</v>
      </c>
      <c r="T75" t="s">
        <v>877</v>
      </c>
      <c r="U75">
        <v>1989</v>
      </c>
      <c r="V75" t="s">
        <v>878</v>
      </c>
      <c r="W75">
        <v>1.88</v>
      </c>
      <c r="X75" t="s">
        <v>76</v>
      </c>
      <c r="Y75" t="s">
        <v>235</v>
      </c>
      <c r="Z75" t="s">
        <v>87</v>
      </c>
      <c r="AA75" t="s">
        <v>879</v>
      </c>
      <c r="AB75" t="s">
        <v>880</v>
      </c>
      <c r="AC75" t="s">
        <v>170</v>
      </c>
      <c r="AD75" t="s">
        <v>89</v>
      </c>
      <c r="AE75" t="s">
        <v>646</v>
      </c>
      <c r="AF75">
        <v>20</v>
      </c>
      <c r="AG75" t="s">
        <v>91</v>
      </c>
      <c r="AH75" t="s">
        <v>881</v>
      </c>
      <c r="AI75">
        <v>35</v>
      </c>
      <c r="AJ75" t="s">
        <v>882</v>
      </c>
      <c r="AK75">
        <v>20</v>
      </c>
      <c r="AL75">
        <v>12</v>
      </c>
      <c r="AM75">
        <v>361</v>
      </c>
      <c r="AN75">
        <v>61</v>
      </c>
      <c r="AO75">
        <v>7</v>
      </c>
      <c r="AP75" t="s">
        <v>93</v>
      </c>
      <c r="AQ75" t="s">
        <v>89</v>
      </c>
      <c r="AR75" t="s">
        <v>89</v>
      </c>
      <c r="AS75" t="s">
        <v>93</v>
      </c>
      <c r="AT75" t="s">
        <v>89</v>
      </c>
      <c r="AU75" t="s">
        <v>89</v>
      </c>
      <c r="AV75" t="s">
        <v>89</v>
      </c>
      <c r="AW75">
        <v>17</v>
      </c>
      <c r="AX75">
        <v>4</v>
      </c>
      <c r="AY75" t="s">
        <v>93</v>
      </c>
      <c r="AZ75">
        <v>0</v>
      </c>
      <c r="BA75">
        <v>0</v>
      </c>
      <c r="BB75">
        <v>0</v>
      </c>
      <c r="BC75">
        <v>0</v>
      </c>
      <c r="BD75">
        <v>322</v>
      </c>
      <c r="BE75">
        <v>26841</v>
      </c>
      <c r="BF75">
        <v>17</v>
      </c>
      <c r="BG75" t="s">
        <v>89</v>
      </c>
      <c r="BH75">
        <v>322</v>
      </c>
      <c r="BI75">
        <v>26841</v>
      </c>
      <c r="BJ75">
        <v>17</v>
      </c>
      <c r="BK75">
        <f t="shared" si="11"/>
        <v>322</v>
      </c>
      <c r="BL75">
        <f t="shared" si="12"/>
        <v>26841</v>
      </c>
      <c r="BM75">
        <f t="shared" si="13"/>
        <v>17</v>
      </c>
      <c r="BN75">
        <f t="shared" si="14"/>
        <v>0</v>
      </c>
      <c r="BO75">
        <f t="shared" si="15"/>
        <v>0</v>
      </c>
      <c r="BP75">
        <f t="shared" si="16"/>
        <v>0</v>
      </c>
      <c r="BQ75" t="s">
        <v>235</v>
      </c>
      <c r="BR75" t="s">
        <v>140</v>
      </c>
      <c r="BS75" s="1">
        <v>32535</v>
      </c>
      <c r="BT75">
        <v>37</v>
      </c>
      <c r="BU75" t="s">
        <v>89</v>
      </c>
      <c r="BV75" t="s">
        <v>89</v>
      </c>
      <c r="BW75">
        <v>17</v>
      </c>
      <c r="BX75">
        <v>1989</v>
      </c>
      <c r="BY75">
        <v>16</v>
      </c>
      <c r="BZ75">
        <f t="shared" si="17"/>
        <v>0</v>
      </c>
      <c r="CA75">
        <f t="shared" si="18"/>
        <v>1</v>
      </c>
      <c r="CB75" t="b">
        <f t="shared" si="19"/>
        <v>1</v>
      </c>
    </row>
    <row r="76" spans="1:80" x14ac:dyDescent="0.3">
      <c r="A76" t="s">
        <v>883</v>
      </c>
      <c r="B76" t="s">
        <v>71</v>
      </c>
      <c r="C76" t="s">
        <v>884</v>
      </c>
      <c r="D76">
        <v>37</v>
      </c>
      <c r="E76">
        <v>32222</v>
      </c>
      <c r="F76" t="s">
        <v>89</v>
      </c>
      <c r="G76" t="s">
        <v>75</v>
      </c>
      <c r="H76" t="s">
        <v>76</v>
      </c>
      <c r="I76" t="s">
        <v>340</v>
      </c>
      <c r="J76" t="s">
        <v>78</v>
      </c>
      <c r="K76" t="s">
        <v>89</v>
      </c>
      <c r="L76" t="s">
        <v>163</v>
      </c>
      <c r="M76">
        <v>18</v>
      </c>
      <c r="N76" t="s">
        <v>118</v>
      </c>
      <c r="O76">
        <v>2006</v>
      </c>
      <c r="P76" t="s">
        <v>885</v>
      </c>
      <c r="Q76" t="s">
        <v>886</v>
      </c>
      <c r="R76">
        <v>45335</v>
      </c>
      <c r="S76" t="s">
        <v>883</v>
      </c>
      <c r="T76" t="s">
        <v>887</v>
      </c>
      <c r="U76">
        <v>1988</v>
      </c>
      <c r="V76" t="s">
        <v>122</v>
      </c>
      <c r="W76">
        <v>1.78</v>
      </c>
      <c r="X76" t="s">
        <v>76</v>
      </c>
      <c r="Y76" t="s">
        <v>369</v>
      </c>
      <c r="Z76" t="s">
        <v>87</v>
      </c>
      <c r="AA76" t="s">
        <v>888</v>
      </c>
      <c r="AB76" s="1">
        <v>44568</v>
      </c>
      <c r="AC76" t="s">
        <v>108</v>
      </c>
      <c r="AD76" t="s">
        <v>89</v>
      </c>
      <c r="AE76" t="s">
        <v>889</v>
      </c>
      <c r="AF76">
        <v>20</v>
      </c>
      <c r="AG76" t="s">
        <v>91</v>
      </c>
      <c r="AH76" t="s">
        <v>727</v>
      </c>
      <c r="AI76">
        <v>18</v>
      </c>
      <c r="AJ76" t="s">
        <v>110</v>
      </c>
      <c r="AK76">
        <v>18</v>
      </c>
      <c r="AL76">
        <v>4</v>
      </c>
      <c r="AM76">
        <v>218</v>
      </c>
      <c r="AN76">
        <v>23</v>
      </c>
      <c r="AO76">
        <v>4</v>
      </c>
      <c r="AP76" t="s">
        <v>93</v>
      </c>
      <c r="AQ76" t="s">
        <v>89</v>
      </c>
      <c r="AR76" t="s">
        <v>89</v>
      </c>
      <c r="AS76" t="s">
        <v>111</v>
      </c>
      <c r="AT76">
        <v>44568</v>
      </c>
      <c r="AU76">
        <v>2022</v>
      </c>
      <c r="AV76">
        <v>16</v>
      </c>
      <c r="AW76">
        <v>16</v>
      </c>
      <c r="AX76" t="s">
        <v>89</v>
      </c>
      <c r="AY76" t="s">
        <v>93</v>
      </c>
      <c r="AZ76">
        <v>0</v>
      </c>
      <c r="BA76">
        <v>0</v>
      </c>
      <c r="BB76">
        <v>0</v>
      </c>
      <c r="BC76">
        <v>0</v>
      </c>
      <c r="BD76">
        <v>309</v>
      </c>
      <c r="BE76">
        <v>16037</v>
      </c>
      <c r="BF76">
        <v>57</v>
      </c>
      <c r="BG76">
        <v>34</v>
      </c>
      <c r="BH76">
        <v>309</v>
      </c>
      <c r="BI76">
        <v>16037</v>
      </c>
      <c r="BJ76">
        <v>57</v>
      </c>
      <c r="BK76">
        <f t="shared" si="11"/>
        <v>309</v>
      </c>
      <c r="BL76">
        <f t="shared" si="12"/>
        <v>16037</v>
      </c>
      <c r="BM76">
        <f t="shared" si="13"/>
        <v>57</v>
      </c>
      <c r="BN76">
        <f t="shared" si="14"/>
        <v>0</v>
      </c>
      <c r="BO76">
        <f t="shared" si="15"/>
        <v>0</v>
      </c>
      <c r="BP76">
        <f t="shared" si="16"/>
        <v>0</v>
      </c>
      <c r="BQ76" t="s">
        <v>369</v>
      </c>
      <c r="BR76" t="s">
        <v>112</v>
      </c>
      <c r="BS76" s="1">
        <v>32222</v>
      </c>
      <c r="BT76">
        <v>37</v>
      </c>
      <c r="BU76">
        <v>44568</v>
      </c>
      <c r="BV76" t="s">
        <v>89</v>
      </c>
      <c r="BW76">
        <v>16</v>
      </c>
      <c r="BX76">
        <v>1988</v>
      </c>
      <c r="BY76">
        <v>16</v>
      </c>
      <c r="BZ76">
        <f t="shared" si="17"/>
        <v>0</v>
      </c>
      <c r="CA76">
        <f t="shared" si="18"/>
        <v>0</v>
      </c>
      <c r="CB76" t="b">
        <f t="shared" si="19"/>
        <v>1</v>
      </c>
    </row>
    <row r="77" spans="1:80" x14ac:dyDescent="0.3">
      <c r="A77" t="s">
        <v>890</v>
      </c>
      <c r="B77" t="s">
        <v>71</v>
      </c>
      <c r="C77" t="s">
        <v>891</v>
      </c>
      <c r="D77">
        <v>39</v>
      </c>
      <c r="E77">
        <v>31383</v>
      </c>
      <c r="F77" t="s">
        <v>89</v>
      </c>
      <c r="G77" t="s">
        <v>400</v>
      </c>
      <c r="H77" t="s">
        <v>89</v>
      </c>
      <c r="I77" t="s">
        <v>195</v>
      </c>
      <c r="J77" t="s">
        <v>300</v>
      </c>
      <c r="K77" t="s">
        <v>89</v>
      </c>
      <c r="L77" t="s">
        <v>130</v>
      </c>
      <c r="M77">
        <v>22</v>
      </c>
      <c r="N77" t="s">
        <v>892</v>
      </c>
      <c r="O77">
        <v>2008</v>
      </c>
      <c r="P77" t="s">
        <v>893</v>
      </c>
      <c r="Q77" t="s">
        <v>894</v>
      </c>
      <c r="R77">
        <v>73319</v>
      </c>
      <c r="S77" t="s">
        <v>890</v>
      </c>
      <c r="T77">
        <v>31090</v>
      </c>
      <c r="U77">
        <v>1985</v>
      </c>
      <c r="V77" t="s">
        <v>895</v>
      </c>
      <c r="W77">
        <v>1.82</v>
      </c>
      <c r="X77" t="s">
        <v>76</v>
      </c>
      <c r="Y77" t="s">
        <v>203</v>
      </c>
      <c r="Z77" t="s">
        <v>152</v>
      </c>
      <c r="AA77" t="s">
        <v>896</v>
      </c>
      <c r="AB77" s="1">
        <v>44568</v>
      </c>
      <c r="AC77" t="s">
        <v>108</v>
      </c>
      <c r="AD77" t="s">
        <v>89</v>
      </c>
      <c r="AE77" t="s">
        <v>237</v>
      </c>
      <c r="AF77">
        <v>24</v>
      </c>
      <c r="AG77" t="s">
        <v>91</v>
      </c>
      <c r="AH77" t="s">
        <v>719</v>
      </c>
      <c r="AI77">
        <v>22</v>
      </c>
      <c r="AJ77" t="s">
        <v>110</v>
      </c>
      <c r="AK77">
        <v>22</v>
      </c>
      <c r="AL77">
        <v>13</v>
      </c>
      <c r="AM77">
        <v>455</v>
      </c>
      <c r="AN77">
        <v>71</v>
      </c>
      <c r="AO77">
        <v>9</v>
      </c>
      <c r="AP77" t="s">
        <v>93</v>
      </c>
      <c r="AQ77" t="s">
        <v>89</v>
      </c>
      <c r="AR77" t="s">
        <v>89</v>
      </c>
      <c r="AS77" t="s">
        <v>111</v>
      </c>
      <c r="AT77">
        <v>44568</v>
      </c>
      <c r="AU77">
        <v>2022</v>
      </c>
      <c r="AV77">
        <v>14</v>
      </c>
      <c r="AW77">
        <v>14</v>
      </c>
      <c r="AX77" t="s">
        <v>89</v>
      </c>
      <c r="AY77" t="s">
        <v>93</v>
      </c>
      <c r="AZ77">
        <v>0</v>
      </c>
      <c r="BA77">
        <v>0</v>
      </c>
      <c r="BB77">
        <v>0</v>
      </c>
      <c r="BC77">
        <v>0</v>
      </c>
      <c r="BD77">
        <v>350</v>
      </c>
      <c r="BE77">
        <v>29808</v>
      </c>
      <c r="BF77">
        <v>13</v>
      </c>
      <c r="BG77">
        <v>37</v>
      </c>
      <c r="BH77">
        <v>350</v>
      </c>
      <c r="BI77">
        <v>29808</v>
      </c>
      <c r="BJ77">
        <v>13</v>
      </c>
      <c r="BK77">
        <f t="shared" si="11"/>
        <v>350</v>
      </c>
      <c r="BL77">
        <f t="shared" si="12"/>
        <v>29808</v>
      </c>
      <c r="BM77">
        <f t="shared" si="13"/>
        <v>13</v>
      </c>
      <c r="BN77">
        <f t="shared" si="14"/>
        <v>0</v>
      </c>
      <c r="BO77">
        <f t="shared" si="15"/>
        <v>0</v>
      </c>
      <c r="BP77">
        <f t="shared" si="16"/>
        <v>0</v>
      </c>
      <c r="BQ77" t="s">
        <v>203</v>
      </c>
      <c r="BR77" t="s">
        <v>140</v>
      </c>
      <c r="BS77" t="s">
        <v>89</v>
      </c>
      <c r="BT77">
        <v>41</v>
      </c>
      <c r="BU77">
        <v>44568</v>
      </c>
      <c r="BV77" t="s">
        <v>89</v>
      </c>
      <c r="BW77">
        <v>15</v>
      </c>
      <c r="BX77">
        <v>1985</v>
      </c>
      <c r="BY77">
        <v>15</v>
      </c>
      <c r="BZ77">
        <f t="shared" si="17"/>
        <v>-1</v>
      </c>
      <c r="CA77">
        <f t="shared" si="18"/>
        <v>0</v>
      </c>
      <c r="CB77" t="b">
        <f t="shared" si="19"/>
        <v>0</v>
      </c>
    </row>
    <row r="78" spans="1:80" x14ac:dyDescent="0.3">
      <c r="A78" t="s">
        <v>897</v>
      </c>
      <c r="B78" t="s">
        <v>71</v>
      </c>
      <c r="C78" t="s">
        <v>898</v>
      </c>
      <c r="D78">
        <v>45</v>
      </c>
      <c r="E78" s="1">
        <v>29346</v>
      </c>
      <c r="F78" t="s">
        <v>89</v>
      </c>
      <c r="G78" t="s">
        <v>193</v>
      </c>
      <c r="H78" t="s">
        <v>76</v>
      </c>
      <c r="I78" t="s">
        <v>227</v>
      </c>
      <c r="J78" t="s">
        <v>78</v>
      </c>
      <c r="K78" t="s">
        <v>89</v>
      </c>
      <c r="L78" t="s">
        <v>866</v>
      </c>
      <c r="M78">
        <v>18</v>
      </c>
      <c r="N78" t="s">
        <v>146</v>
      </c>
      <c r="O78">
        <v>1998</v>
      </c>
      <c r="P78" t="s">
        <v>899</v>
      </c>
      <c r="Q78" t="s">
        <v>900</v>
      </c>
      <c r="R78">
        <v>7881</v>
      </c>
      <c r="S78" t="s">
        <v>897</v>
      </c>
      <c r="T78">
        <v>29346</v>
      </c>
      <c r="U78">
        <v>1980</v>
      </c>
      <c r="V78" t="s">
        <v>644</v>
      </c>
      <c r="W78">
        <v>1.86</v>
      </c>
      <c r="X78" t="s">
        <v>76</v>
      </c>
      <c r="Y78" t="s">
        <v>235</v>
      </c>
      <c r="Z78" t="s">
        <v>87</v>
      </c>
      <c r="AA78" t="s">
        <v>901</v>
      </c>
      <c r="AB78" t="s">
        <v>902</v>
      </c>
      <c r="AC78" t="s">
        <v>108</v>
      </c>
      <c r="AD78" t="s">
        <v>89</v>
      </c>
      <c r="AE78">
        <v>1999</v>
      </c>
      <c r="AF78">
        <v>18</v>
      </c>
      <c r="AG78" t="s">
        <v>91</v>
      </c>
      <c r="AH78">
        <v>2014</v>
      </c>
      <c r="AI78">
        <v>33</v>
      </c>
      <c r="AJ78">
        <v>0</v>
      </c>
      <c r="AK78">
        <v>18</v>
      </c>
      <c r="AL78">
        <v>3</v>
      </c>
      <c r="AM78">
        <v>107</v>
      </c>
      <c r="AN78">
        <v>19</v>
      </c>
      <c r="AO78">
        <v>2</v>
      </c>
      <c r="AP78" t="s">
        <v>93</v>
      </c>
      <c r="AQ78" t="s">
        <v>89</v>
      </c>
      <c r="AR78" t="s">
        <v>89</v>
      </c>
      <c r="AS78" t="s">
        <v>111</v>
      </c>
      <c r="AT78" t="s">
        <v>902</v>
      </c>
      <c r="AU78">
        <v>2018</v>
      </c>
      <c r="AV78">
        <v>20</v>
      </c>
      <c r="AW78">
        <v>20</v>
      </c>
      <c r="AX78" t="s">
        <v>89</v>
      </c>
      <c r="AY78" t="s">
        <v>93</v>
      </c>
      <c r="AZ78">
        <v>0</v>
      </c>
      <c r="BA78">
        <v>0</v>
      </c>
      <c r="BB78">
        <v>0</v>
      </c>
      <c r="BC78">
        <v>0</v>
      </c>
      <c r="BD78">
        <v>452</v>
      </c>
      <c r="BE78">
        <v>37950</v>
      </c>
      <c r="BF78">
        <v>22</v>
      </c>
      <c r="BG78">
        <v>38</v>
      </c>
      <c r="BH78">
        <v>452</v>
      </c>
      <c r="BI78">
        <v>37950</v>
      </c>
      <c r="BJ78">
        <v>22</v>
      </c>
      <c r="BK78">
        <f t="shared" si="11"/>
        <v>452</v>
      </c>
      <c r="BL78">
        <f t="shared" si="12"/>
        <v>37950</v>
      </c>
      <c r="BM78">
        <f t="shared" si="13"/>
        <v>22</v>
      </c>
      <c r="BN78">
        <f t="shared" si="14"/>
        <v>0</v>
      </c>
      <c r="BO78">
        <f t="shared" si="15"/>
        <v>0</v>
      </c>
      <c r="BP78">
        <f t="shared" si="16"/>
        <v>0</v>
      </c>
      <c r="BQ78" t="s">
        <v>235</v>
      </c>
      <c r="BR78" t="s">
        <v>140</v>
      </c>
      <c r="BS78" t="s">
        <v>89</v>
      </c>
      <c r="BT78">
        <v>46</v>
      </c>
      <c r="BU78" t="s">
        <v>902</v>
      </c>
      <c r="BV78" s="1">
        <v>43300</v>
      </c>
      <c r="BW78">
        <v>20</v>
      </c>
      <c r="BX78">
        <v>1980</v>
      </c>
      <c r="BY78">
        <v>20</v>
      </c>
      <c r="BZ78">
        <f t="shared" si="17"/>
        <v>0</v>
      </c>
      <c r="CA78">
        <f t="shared" si="18"/>
        <v>0</v>
      </c>
      <c r="CB78" t="b">
        <f t="shared" si="19"/>
        <v>1</v>
      </c>
    </row>
    <row r="79" spans="1:80" x14ac:dyDescent="0.3">
      <c r="A79" t="s">
        <v>903</v>
      </c>
      <c r="B79" t="s">
        <v>71</v>
      </c>
      <c r="C79" t="s">
        <v>904</v>
      </c>
      <c r="D79">
        <v>38</v>
      </c>
      <c r="E79" s="1">
        <v>31861</v>
      </c>
      <c r="F79" t="s">
        <v>89</v>
      </c>
      <c r="G79" t="s">
        <v>385</v>
      </c>
      <c r="H79" t="s">
        <v>89</v>
      </c>
      <c r="I79" t="s">
        <v>596</v>
      </c>
      <c r="J79" t="s">
        <v>78</v>
      </c>
      <c r="K79" t="s">
        <v>89</v>
      </c>
      <c r="L79" t="s">
        <v>180</v>
      </c>
      <c r="M79">
        <v>20</v>
      </c>
      <c r="N79" t="s">
        <v>279</v>
      </c>
      <c r="O79">
        <v>2007</v>
      </c>
      <c r="P79" t="s">
        <v>905</v>
      </c>
      <c r="Q79" t="s">
        <v>906</v>
      </c>
      <c r="R79">
        <v>57816</v>
      </c>
      <c r="S79" t="s">
        <v>903</v>
      </c>
      <c r="T79" t="s">
        <v>907</v>
      </c>
      <c r="U79">
        <v>1987</v>
      </c>
      <c r="V79" t="s">
        <v>908</v>
      </c>
      <c r="W79">
        <v>1.64</v>
      </c>
      <c r="X79" t="s">
        <v>76</v>
      </c>
      <c r="Y79" t="s">
        <v>86</v>
      </c>
      <c r="Z79" t="s">
        <v>87</v>
      </c>
      <c r="AA79" t="s">
        <v>909</v>
      </c>
      <c r="AB79" s="1">
        <v>43505</v>
      </c>
      <c r="AC79" t="s">
        <v>170</v>
      </c>
      <c r="AD79" t="s">
        <v>89</v>
      </c>
      <c r="AE79" t="s">
        <v>910</v>
      </c>
      <c r="AF79">
        <v>21</v>
      </c>
      <c r="AG79" t="s">
        <v>91</v>
      </c>
      <c r="AH79" t="s">
        <v>911</v>
      </c>
      <c r="AI79">
        <v>20</v>
      </c>
      <c r="AJ79" t="s">
        <v>110</v>
      </c>
      <c r="AK79">
        <v>20</v>
      </c>
      <c r="AL79">
        <v>6</v>
      </c>
      <c r="AM79">
        <v>301</v>
      </c>
      <c r="AN79">
        <v>34</v>
      </c>
      <c r="AO79">
        <v>4</v>
      </c>
      <c r="AP79" t="s">
        <v>93</v>
      </c>
      <c r="AQ79" t="s">
        <v>89</v>
      </c>
      <c r="AR79" t="s">
        <v>89</v>
      </c>
      <c r="AS79" t="s">
        <v>93</v>
      </c>
      <c r="AT79" t="s">
        <v>89</v>
      </c>
      <c r="AU79" t="s">
        <v>89</v>
      </c>
      <c r="AV79" t="s">
        <v>89</v>
      </c>
      <c r="AW79">
        <v>18</v>
      </c>
      <c r="AX79">
        <v>11</v>
      </c>
      <c r="AY79" t="s">
        <v>93</v>
      </c>
      <c r="AZ79">
        <v>0</v>
      </c>
      <c r="BA79">
        <v>0</v>
      </c>
      <c r="BB79">
        <v>0</v>
      </c>
      <c r="BC79">
        <v>0</v>
      </c>
      <c r="BD79">
        <v>258</v>
      </c>
      <c r="BE79">
        <v>20717</v>
      </c>
      <c r="BF79">
        <v>5</v>
      </c>
      <c r="BG79" t="s">
        <v>89</v>
      </c>
      <c r="BH79">
        <v>258</v>
      </c>
      <c r="BI79">
        <v>20717</v>
      </c>
      <c r="BJ79">
        <v>5</v>
      </c>
      <c r="BK79">
        <f t="shared" si="11"/>
        <v>258</v>
      </c>
      <c r="BL79">
        <f t="shared" si="12"/>
        <v>20717</v>
      </c>
      <c r="BM79">
        <f t="shared" si="13"/>
        <v>5</v>
      </c>
      <c r="BN79">
        <f t="shared" si="14"/>
        <v>0</v>
      </c>
      <c r="BO79">
        <f t="shared" si="15"/>
        <v>0</v>
      </c>
      <c r="BP79">
        <f t="shared" si="16"/>
        <v>0</v>
      </c>
      <c r="BQ79" t="s">
        <v>86</v>
      </c>
      <c r="BR79" t="s">
        <v>94</v>
      </c>
      <c r="BS79" s="1">
        <v>31861</v>
      </c>
      <c r="BT79">
        <v>38</v>
      </c>
      <c r="BU79" t="s">
        <v>89</v>
      </c>
      <c r="BV79" t="s">
        <v>89</v>
      </c>
      <c r="BW79">
        <v>18</v>
      </c>
      <c r="BX79">
        <v>1987</v>
      </c>
      <c r="BY79">
        <v>18</v>
      </c>
      <c r="BZ79">
        <f t="shared" si="17"/>
        <v>0</v>
      </c>
      <c r="CA79">
        <f t="shared" si="18"/>
        <v>0</v>
      </c>
      <c r="CB79" t="b">
        <f t="shared" si="19"/>
        <v>1</v>
      </c>
    </row>
    <row r="80" spans="1:80" x14ac:dyDescent="0.3">
      <c r="A80" t="s">
        <v>912</v>
      </c>
      <c r="B80" t="s">
        <v>71</v>
      </c>
      <c r="C80" t="s">
        <v>913</v>
      </c>
      <c r="D80">
        <v>33</v>
      </c>
      <c r="E80" t="s">
        <v>914</v>
      </c>
      <c r="F80" t="s">
        <v>705</v>
      </c>
      <c r="G80" t="s">
        <v>518</v>
      </c>
      <c r="H80" t="s">
        <v>76</v>
      </c>
      <c r="I80" t="s">
        <v>299</v>
      </c>
      <c r="J80" t="s">
        <v>300</v>
      </c>
      <c r="K80" t="s">
        <v>438</v>
      </c>
      <c r="L80" t="s">
        <v>278</v>
      </c>
      <c r="M80">
        <v>19</v>
      </c>
      <c r="N80" t="s">
        <v>304</v>
      </c>
      <c r="O80">
        <v>2011</v>
      </c>
      <c r="P80" t="s">
        <v>915</v>
      </c>
      <c r="Q80" t="s">
        <v>916</v>
      </c>
      <c r="R80">
        <v>207917</v>
      </c>
      <c r="S80" t="s">
        <v>912</v>
      </c>
      <c r="T80" s="1">
        <v>33731</v>
      </c>
      <c r="U80">
        <v>1992</v>
      </c>
      <c r="V80" t="s">
        <v>304</v>
      </c>
      <c r="W80">
        <v>1.71</v>
      </c>
      <c r="X80" t="s">
        <v>76</v>
      </c>
      <c r="Y80" t="s">
        <v>203</v>
      </c>
      <c r="Z80" t="s">
        <v>152</v>
      </c>
      <c r="AA80" t="s">
        <v>438</v>
      </c>
      <c r="AB80" t="s">
        <v>917</v>
      </c>
      <c r="AC80" t="s">
        <v>170</v>
      </c>
      <c r="AD80" t="s">
        <v>442</v>
      </c>
      <c r="AE80" s="1">
        <v>41125</v>
      </c>
      <c r="AF80">
        <v>19</v>
      </c>
      <c r="AG80" t="s">
        <v>91</v>
      </c>
      <c r="AH80" t="s">
        <v>92</v>
      </c>
      <c r="AI80" t="s">
        <v>89</v>
      </c>
      <c r="AJ80" t="s">
        <v>92</v>
      </c>
      <c r="AK80">
        <v>19</v>
      </c>
      <c r="AL80">
        <v>11</v>
      </c>
      <c r="AM80">
        <v>683</v>
      </c>
      <c r="AN80">
        <v>107</v>
      </c>
      <c r="AO80">
        <v>7</v>
      </c>
      <c r="AP80" t="s">
        <v>93</v>
      </c>
      <c r="AQ80" t="s">
        <v>89</v>
      </c>
      <c r="AR80" t="s">
        <v>89</v>
      </c>
      <c r="AS80" t="s">
        <v>93</v>
      </c>
      <c r="AT80" t="s">
        <v>89</v>
      </c>
      <c r="AU80" t="s">
        <v>89</v>
      </c>
      <c r="AV80" t="s">
        <v>89</v>
      </c>
      <c r="AW80">
        <v>14</v>
      </c>
      <c r="AX80">
        <v>18</v>
      </c>
      <c r="AY80" t="s">
        <v>111</v>
      </c>
      <c r="AZ80">
        <v>3</v>
      </c>
      <c r="BA80">
        <v>3</v>
      </c>
      <c r="BB80">
        <v>225</v>
      </c>
      <c r="BC80">
        <v>0</v>
      </c>
      <c r="BD80">
        <v>345</v>
      </c>
      <c r="BE80">
        <v>23969</v>
      </c>
      <c r="BF80">
        <v>14</v>
      </c>
      <c r="BG80" t="s">
        <v>89</v>
      </c>
      <c r="BH80">
        <v>348</v>
      </c>
      <c r="BI80">
        <v>24194</v>
      </c>
      <c r="BJ80">
        <v>14</v>
      </c>
      <c r="BK80">
        <f t="shared" si="11"/>
        <v>348</v>
      </c>
      <c r="BL80">
        <f t="shared" si="12"/>
        <v>24194</v>
      </c>
      <c r="BM80">
        <f t="shared" si="13"/>
        <v>14</v>
      </c>
      <c r="BN80">
        <f t="shared" si="14"/>
        <v>0</v>
      </c>
      <c r="BO80">
        <f t="shared" si="15"/>
        <v>0</v>
      </c>
      <c r="BP80">
        <f t="shared" si="16"/>
        <v>0</v>
      </c>
      <c r="BQ80" t="s">
        <v>203</v>
      </c>
      <c r="BR80" t="s">
        <v>140</v>
      </c>
      <c r="BS80" s="1">
        <v>33790</v>
      </c>
      <c r="BT80">
        <v>33</v>
      </c>
      <c r="BU80" t="s">
        <v>89</v>
      </c>
      <c r="BV80" t="s">
        <v>89</v>
      </c>
      <c r="BW80">
        <v>14</v>
      </c>
      <c r="BX80">
        <v>1992</v>
      </c>
      <c r="BY80">
        <v>14</v>
      </c>
      <c r="BZ80">
        <f t="shared" si="17"/>
        <v>0</v>
      </c>
      <c r="CA80">
        <f t="shared" si="18"/>
        <v>0</v>
      </c>
      <c r="CB80" t="b">
        <f t="shared" si="19"/>
        <v>1</v>
      </c>
    </row>
    <row r="81" spans="1:80" x14ac:dyDescent="0.3">
      <c r="A81" t="s">
        <v>918</v>
      </c>
      <c r="B81" t="s">
        <v>71</v>
      </c>
      <c r="C81" t="s">
        <v>919</v>
      </c>
      <c r="D81">
        <v>35</v>
      </c>
      <c r="E81" t="s">
        <v>920</v>
      </c>
      <c r="F81" t="s">
        <v>265</v>
      </c>
      <c r="G81" t="s">
        <v>143</v>
      </c>
      <c r="H81" t="s">
        <v>89</v>
      </c>
      <c r="I81" t="s">
        <v>555</v>
      </c>
      <c r="J81" t="s">
        <v>639</v>
      </c>
      <c r="K81" t="s">
        <v>457</v>
      </c>
      <c r="L81" t="s">
        <v>228</v>
      </c>
      <c r="M81">
        <v>20</v>
      </c>
      <c r="N81" t="s">
        <v>81</v>
      </c>
      <c r="O81">
        <v>2010</v>
      </c>
      <c r="P81" t="s">
        <v>921</v>
      </c>
      <c r="Q81" t="s">
        <v>922</v>
      </c>
      <c r="R81">
        <v>185401</v>
      </c>
      <c r="S81" t="s">
        <v>918</v>
      </c>
      <c r="T81" t="s">
        <v>923</v>
      </c>
      <c r="U81">
        <v>1989</v>
      </c>
      <c r="V81" t="s">
        <v>122</v>
      </c>
      <c r="W81">
        <v>1.75</v>
      </c>
      <c r="X81" t="s">
        <v>76</v>
      </c>
      <c r="Y81" t="s">
        <v>106</v>
      </c>
      <c r="Z81" t="s">
        <v>392</v>
      </c>
      <c r="AA81" t="s">
        <v>924</v>
      </c>
      <c r="AB81" t="s">
        <v>925</v>
      </c>
      <c r="AC81" t="s">
        <v>170</v>
      </c>
      <c r="AD81" t="s">
        <v>89</v>
      </c>
      <c r="AE81" t="s">
        <v>926</v>
      </c>
      <c r="AF81">
        <v>21</v>
      </c>
      <c r="AG81" t="s">
        <v>91</v>
      </c>
      <c r="AH81" t="s">
        <v>927</v>
      </c>
      <c r="AI81">
        <v>22</v>
      </c>
      <c r="AJ81" t="s">
        <v>855</v>
      </c>
      <c r="AK81">
        <v>21</v>
      </c>
      <c r="AL81">
        <v>2</v>
      </c>
      <c r="AM81">
        <v>118</v>
      </c>
      <c r="AN81">
        <v>18</v>
      </c>
      <c r="AO81">
        <v>2</v>
      </c>
      <c r="AP81" t="s">
        <v>93</v>
      </c>
      <c r="AQ81" t="s">
        <v>89</v>
      </c>
      <c r="AR81" t="s">
        <v>89</v>
      </c>
      <c r="AS81" t="s">
        <v>93</v>
      </c>
      <c r="AT81" t="s">
        <v>89</v>
      </c>
      <c r="AU81" t="s">
        <v>89</v>
      </c>
      <c r="AV81" t="s">
        <v>89</v>
      </c>
      <c r="AW81">
        <v>15</v>
      </c>
      <c r="AX81">
        <v>7</v>
      </c>
      <c r="AY81" t="s">
        <v>93</v>
      </c>
      <c r="AZ81">
        <v>0</v>
      </c>
      <c r="BA81">
        <v>0</v>
      </c>
      <c r="BB81">
        <v>0</v>
      </c>
      <c r="BC81">
        <v>0</v>
      </c>
      <c r="BD81">
        <v>158</v>
      </c>
      <c r="BE81">
        <v>10827</v>
      </c>
      <c r="BF81">
        <v>16</v>
      </c>
      <c r="BG81" t="s">
        <v>89</v>
      </c>
      <c r="BH81">
        <v>158</v>
      </c>
      <c r="BI81">
        <v>10827</v>
      </c>
      <c r="BJ81">
        <v>16</v>
      </c>
      <c r="BK81">
        <f t="shared" si="11"/>
        <v>158</v>
      </c>
      <c r="BL81">
        <f t="shared" si="12"/>
        <v>10827</v>
      </c>
      <c r="BM81">
        <f t="shared" si="13"/>
        <v>16</v>
      </c>
      <c r="BN81">
        <f t="shared" si="14"/>
        <v>0</v>
      </c>
      <c r="BO81">
        <f t="shared" si="15"/>
        <v>0</v>
      </c>
      <c r="BP81">
        <f t="shared" si="16"/>
        <v>0</v>
      </c>
      <c r="BQ81" t="s">
        <v>106</v>
      </c>
      <c r="BR81" t="s">
        <v>112</v>
      </c>
      <c r="BS81" s="1">
        <v>32775</v>
      </c>
      <c r="BT81">
        <v>36</v>
      </c>
      <c r="BU81" t="s">
        <v>89</v>
      </c>
      <c r="BV81" t="s">
        <v>89</v>
      </c>
      <c r="BW81">
        <v>15</v>
      </c>
      <c r="BX81">
        <v>1989</v>
      </c>
      <c r="BY81">
        <v>14</v>
      </c>
      <c r="BZ81">
        <f t="shared" si="17"/>
        <v>0</v>
      </c>
      <c r="CA81">
        <f t="shared" si="18"/>
        <v>1</v>
      </c>
      <c r="CB81" t="b">
        <f t="shared" si="19"/>
        <v>1</v>
      </c>
    </row>
    <row r="82" spans="1:80" x14ac:dyDescent="0.3">
      <c r="A82" t="s">
        <v>928</v>
      </c>
      <c r="B82" t="s">
        <v>71</v>
      </c>
      <c r="C82" t="s">
        <v>929</v>
      </c>
      <c r="D82">
        <v>34</v>
      </c>
      <c r="E82" s="1">
        <v>33226</v>
      </c>
      <c r="F82" t="s">
        <v>89</v>
      </c>
      <c r="G82" t="s">
        <v>160</v>
      </c>
      <c r="H82" t="s">
        <v>89</v>
      </c>
      <c r="I82" t="s">
        <v>386</v>
      </c>
      <c r="J82" t="s">
        <v>78</v>
      </c>
      <c r="K82" t="s">
        <v>89</v>
      </c>
      <c r="L82" t="s">
        <v>278</v>
      </c>
      <c r="M82">
        <v>20</v>
      </c>
      <c r="N82" t="s">
        <v>162</v>
      </c>
      <c r="O82">
        <v>2011</v>
      </c>
      <c r="P82" t="s">
        <v>930</v>
      </c>
      <c r="Q82" t="s">
        <v>931</v>
      </c>
      <c r="R82">
        <v>99559</v>
      </c>
      <c r="S82" t="s">
        <v>928</v>
      </c>
      <c r="T82" t="s">
        <v>932</v>
      </c>
      <c r="U82">
        <v>1990</v>
      </c>
      <c r="V82" t="s">
        <v>361</v>
      </c>
      <c r="W82">
        <v>1.8</v>
      </c>
      <c r="X82" t="s">
        <v>76</v>
      </c>
      <c r="Y82" t="s">
        <v>391</v>
      </c>
      <c r="Z82" t="s">
        <v>87</v>
      </c>
      <c r="AA82" t="s">
        <v>476</v>
      </c>
      <c r="AB82" s="1">
        <v>45298</v>
      </c>
      <c r="AC82" t="s">
        <v>108</v>
      </c>
      <c r="AD82" t="s">
        <v>89</v>
      </c>
      <c r="AE82" t="s">
        <v>933</v>
      </c>
      <c r="AF82">
        <v>21</v>
      </c>
      <c r="AG82" t="s">
        <v>91</v>
      </c>
      <c r="AH82" t="s">
        <v>934</v>
      </c>
      <c r="AI82">
        <v>18</v>
      </c>
      <c r="AJ82" t="s">
        <v>110</v>
      </c>
      <c r="AK82">
        <v>18</v>
      </c>
      <c r="AL82">
        <v>8</v>
      </c>
      <c r="AM82">
        <v>258</v>
      </c>
      <c r="AN82">
        <v>37</v>
      </c>
      <c r="AO82">
        <v>7</v>
      </c>
      <c r="AP82" t="s">
        <v>93</v>
      </c>
      <c r="AQ82" t="s">
        <v>89</v>
      </c>
      <c r="AR82" t="s">
        <v>89</v>
      </c>
      <c r="AS82" t="s">
        <v>93</v>
      </c>
      <c r="AT82" t="s">
        <v>89</v>
      </c>
      <c r="AU82" t="s">
        <v>89</v>
      </c>
      <c r="AV82" t="s">
        <v>89</v>
      </c>
      <c r="AW82">
        <v>14</v>
      </c>
      <c r="AX82" t="s">
        <v>89</v>
      </c>
      <c r="AY82" t="s">
        <v>93</v>
      </c>
      <c r="AZ82">
        <v>0</v>
      </c>
      <c r="BA82">
        <v>0</v>
      </c>
      <c r="BB82">
        <v>0</v>
      </c>
      <c r="BC82">
        <v>0</v>
      </c>
      <c r="BD82">
        <v>194</v>
      </c>
      <c r="BE82">
        <v>9768</v>
      </c>
      <c r="BF82">
        <v>14</v>
      </c>
      <c r="BG82" t="s">
        <v>89</v>
      </c>
      <c r="BH82">
        <v>194</v>
      </c>
      <c r="BI82">
        <v>9768</v>
      </c>
      <c r="BJ82">
        <v>14</v>
      </c>
      <c r="BK82">
        <f t="shared" si="11"/>
        <v>194</v>
      </c>
      <c r="BL82">
        <f t="shared" si="12"/>
        <v>9768</v>
      </c>
      <c r="BM82">
        <f t="shared" si="13"/>
        <v>14</v>
      </c>
      <c r="BN82">
        <f t="shared" si="14"/>
        <v>0</v>
      </c>
      <c r="BO82">
        <f t="shared" si="15"/>
        <v>0</v>
      </c>
      <c r="BP82">
        <f t="shared" si="16"/>
        <v>0</v>
      </c>
      <c r="BQ82" t="s">
        <v>391</v>
      </c>
      <c r="BR82" t="s">
        <v>112</v>
      </c>
      <c r="BS82" s="1">
        <v>33226</v>
      </c>
      <c r="BT82">
        <v>35</v>
      </c>
      <c r="BU82" t="s">
        <v>89</v>
      </c>
      <c r="BV82" t="s">
        <v>89</v>
      </c>
      <c r="BW82">
        <v>17</v>
      </c>
      <c r="BX82">
        <v>1990</v>
      </c>
      <c r="BY82">
        <v>16</v>
      </c>
      <c r="BZ82">
        <f t="shared" si="17"/>
        <v>-3</v>
      </c>
      <c r="CA82">
        <f t="shared" si="18"/>
        <v>1</v>
      </c>
      <c r="CB82" t="b">
        <f t="shared" si="19"/>
        <v>0</v>
      </c>
    </row>
    <row r="83" spans="1:80" x14ac:dyDescent="0.3">
      <c r="A83" t="s">
        <v>935</v>
      </c>
      <c r="B83" t="s">
        <v>71</v>
      </c>
      <c r="C83" t="s">
        <v>936</v>
      </c>
      <c r="D83">
        <v>47</v>
      </c>
      <c r="E83" s="1">
        <v>28537</v>
      </c>
      <c r="F83" t="s">
        <v>89</v>
      </c>
      <c r="G83" t="s">
        <v>535</v>
      </c>
      <c r="H83" t="s">
        <v>76</v>
      </c>
      <c r="I83" t="s">
        <v>722</v>
      </c>
      <c r="J83" t="s">
        <v>639</v>
      </c>
      <c r="K83" t="s">
        <v>89</v>
      </c>
      <c r="L83" t="s">
        <v>937</v>
      </c>
      <c r="M83">
        <v>16</v>
      </c>
      <c r="N83" t="s">
        <v>268</v>
      </c>
      <c r="O83">
        <v>1994</v>
      </c>
      <c r="P83" t="s">
        <v>938</v>
      </c>
      <c r="Q83" t="s">
        <v>939</v>
      </c>
      <c r="R83">
        <v>23306</v>
      </c>
      <c r="S83" t="s">
        <v>935</v>
      </c>
      <c r="T83" t="s">
        <v>940</v>
      </c>
      <c r="U83">
        <v>1978</v>
      </c>
      <c r="V83" t="s">
        <v>941</v>
      </c>
      <c r="W83">
        <v>1.67</v>
      </c>
      <c r="X83" t="s">
        <v>76</v>
      </c>
      <c r="Y83" t="s">
        <v>86</v>
      </c>
      <c r="Z83" t="s">
        <v>392</v>
      </c>
      <c r="AA83" t="s">
        <v>942</v>
      </c>
      <c r="AB83" t="s">
        <v>943</v>
      </c>
      <c r="AC83" t="s">
        <v>108</v>
      </c>
      <c r="AD83" t="s">
        <v>89</v>
      </c>
      <c r="AE83">
        <v>34978</v>
      </c>
      <c r="AF83">
        <v>17</v>
      </c>
      <c r="AG83" t="s">
        <v>91</v>
      </c>
      <c r="AH83">
        <v>35073</v>
      </c>
      <c r="AI83">
        <v>18</v>
      </c>
      <c r="AJ83" t="s">
        <v>110</v>
      </c>
      <c r="AK83">
        <v>17</v>
      </c>
      <c r="AL83" t="s">
        <v>89</v>
      </c>
      <c r="AM83" t="s">
        <v>89</v>
      </c>
      <c r="AN83" t="s">
        <v>89</v>
      </c>
      <c r="AO83">
        <v>0</v>
      </c>
      <c r="AP83" t="s">
        <v>93</v>
      </c>
      <c r="AQ83" t="s">
        <v>89</v>
      </c>
      <c r="AR83" t="s">
        <v>89</v>
      </c>
      <c r="AS83" t="s">
        <v>111</v>
      </c>
      <c r="AT83" t="s">
        <v>943</v>
      </c>
      <c r="AU83">
        <v>2014</v>
      </c>
      <c r="AV83">
        <v>20</v>
      </c>
      <c r="AW83">
        <v>20</v>
      </c>
      <c r="AX83" t="s">
        <v>89</v>
      </c>
      <c r="AY83" t="s">
        <v>93</v>
      </c>
      <c r="AZ83">
        <v>0</v>
      </c>
      <c r="BA83">
        <v>0</v>
      </c>
      <c r="BB83">
        <v>0</v>
      </c>
      <c r="BC83">
        <v>0</v>
      </c>
      <c r="BD83">
        <v>421</v>
      </c>
      <c r="BE83">
        <v>30514</v>
      </c>
      <c r="BF83">
        <v>24</v>
      </c>
      <c r="BG83">
        <v>36</v>
      </c>
      <c r="BH83">
        <v>421</v>
      </c>
      <c r="BI83">
        <v>30514</v>
      </c>
      <c r="BJ83">
        <v>24</v>
      </c>
      <c r="BK83">
        <f t="shared" si="11"/>
        <v>421</v>
      </c>
      <c r="BL83">
        <f t="shared" si="12"/>
        <v>30514</v>
      </c>
      <c r="BM83">
        <f t="shared" si="13"/>
        <v>24</v>
      </c>
      <c r="BN83">
        <f t="shared" si="14"/>
        <v>0</v>
      </c>
      <c r="BO83">
        <f t="shared" si="15"/>
        <v>0</v>
      </c>
      <c r="BP83">
        <f t="shared" si="16"/>
        <v>0</v>
      </c>
      <c r="BQ83" t="s">
        <v>86</v>
      </c>
      <c r="BR83" t="s">
        <v>94</v>
      </c>
      <c r="BS83" s="1">
        <v>28537</v>
      </c>
      <c r="BT83">
        <v>48</v>
      </c>
      <c r="BU83" t="s">
        <v>943</v>
      </c>
      <c r="BV83" s="1">
        <v>41843</v>
      </c>
      <c r="BW83">
        <v>19</v>
      </c>
      <c r="BX83">
        <v>1978</v>
      </c>
      <c r="BY83">
        <v>19</v>
      </c>
      <c r="BZ83">
        <f t="shared" si="17"/>
        <v>1</v>
      </c>
      <c r="CA83">
        <f t="shared" si="18"/>
        <v>0</v>
      </c>
      <c r="CB83" t="b">
        <f t="shared" si="19"/>
        <v>0</v>
      </c>
    </row>
    <row r="84" spans="1:80" x14ac:dyDescent="0.3">
      <c r="A84" t="s">
        <v>944</v>
      </c>
      <c r="B84" t="s">
        <v>156</v>
      </c>
      <c r="C84" t="s">
        <v>945</v>
      </c>
      <c r="D84">
        <v>46</v>
      </c>
      <c r="E84" s="1">
        <v>28936</v>
      </c>
      <c r="F84" t="s">
        <v>89</v>
      </c>
      <c r="G84" t="s">
        <v>211</v>
      </c>
      <c r="H84" t="s">
        <v>177</v>
      </c>
      <c r="I84" t="s">
        <v>253</v>
      </c>
      <c r="J84" t="s">
        <v>89</v>
      </c>
      <c r="K84" t="s">
        <v>89</v>
      </c>
      <c r="L84" t="s">
        <v>196</v>
      </c>
      <c r="M84">
        <v>21</v>
      </c>
      <c r="N84" t="s">
        <v>741</v>
      </c>
      <c r="O84">
        <v>2000</v>
      </c>
      <c r="P84" t="s">
        <v>946</v>
      </c>
      <c r="Q84" t="s">
        <v>947</v>
      </c>
      <c r="R84">
        <v>3954</v>
      </c>
      <c r="S84" t="s">
        <v>944</v>
      </c>
      <c r="T84" t="s">
        <v>948</v>
      </c>
      <c r="U84">
        <v>1979</v>
      </c>
      <c r="V84" t="s">
        <v>949</v>
      </c>
      <c r="W84">
        <v>1.8</v>
      </c>
      <c r="X84" t="s">
        <v>950</v>
      </c>
      <c r="Y84" t="s">
        <v>259</v>
      </c>
      <c r="Z84" t="s">
        <v>87</v>
      </c>
      <c r="AA84" t="s">
        <v>951</v>
      </c>
      <c r="AB84">
        <v>41071</v>
      </c>
      <c r="AC84" t="s">
        <v>108</v>
      </c>
      <c r="AD84" t="s">
        <v>89</v>
      </c>
      <c r="AE84" t="s">
        <v>952</v>
      </c>
      <c r="AF84">
        <v>19</v>
      </c>
      <c r="AG84" t="s">
        <v>613</v>
      </c>
      <c r="AH84" t="s">
        <v>92</v>
      </c>
      <c r="AI84" t="s">
        <v>89</v>
      </c>
      <c r="AJ84" t="s">
        <v>92</v>
      </c>
      <c r="AK84">
        <v>19</v>
      </c>
      <c r="AL84">
        <v>2</v>
      </c>
      <c r="AM84">
        <v>42</v>
      </c>
      <c r="AN84">
        <v>9</v>
      </c>
      <c r="AO84">
        <v>2</v>
      </c>
      <c r="AP84" t="s">
        <v>93</v>
      </c>
      <c r="AQ84" t="s">
        <v>89</v>
      </c>
      <c r="AR84" t="s">
        <v>89</v>
      </c>
      <c r="AS84" t="s">
        <v>111</v>
      </c>
      <c r="AT84">
        <v>41071</v>
      </c>
      <c r="AU84">
        <v>2012</v>
      </c>
      <c r="AV84">
        <v>12</v>
      </c>
      <c r="AW84">
        <v>12</v>
      </c>
      <c r="AX84" t="s">
        <v>89</v>
      </c>
      <c r="AY84" t="s">
        <v>93</v>
      </c>
      <c r="AZ84">
        <v>0</v>
      </c>
      <c r="BA84">
        <v>0</v>
      </c>
      <c r="BB84">
        <v>0</v>
      </c>
      <c r="BC84">
        <v>0</v>
      </c>
      <c r="BD84">
        <v>286</v>
      </c>
      <c r="BE84">
        <v>19680</v>
      </c>
      <c r="BF84">
        <v>6</v>
      </c>
      <c r="BG84">
        <v>33</v>
      </c>
      <c r="BH84">
        <v>286</v>
      </c>
      <c r="BI84">
        <v>19680</v>
      </c>
      <c r="BJ84">
        <v>6</v>
      </c>
      <c r="BK84">
        <f t="shared" si="11"/>
        <v>286</v>
      </c>
      <c r="BL84">
        <f t="shared" si="12"/>
        <v>19680</v>
      </c>
      <c r="BM84">
        <f t="shared" si="13"/>
        <v>6</v>
      </c>
      <c r="BN84">
        <f t="shared" si="14"/>
        <v>0</v>
      </c>
      <c r="BO84">
        <f t="shared" si="15"/>
        <v>0</v>
      </c>
      <c r="BP84">
        <f t="shared" si="16"/>
        <v>0</v>
      </c>
      <c r="BQ84" t="s">
        <v>259</v>
      </c>
      <c r="BR84" t="s">
        <v>94</v>
      </c>
      <c r="BS84" s="1">
        <v>28936</v>
      </c>
      <c r="BT84">
        <v>46</v>
      </c>
      <c r="BU84">
        <v>41071</v>
      </c>
      <c r="BV84" t="s">
        <v>89</v>
      </c>
      <c r="BW84">
        <v>14</v>
      </c>
      <c r="BX84">
        <v>1979</v>
      </c>
      <c r="BY84">
        <v>14</v>
      </c>
      <c r="BZ84">
        <f t="shared" si="17"/>
        <v>-2</v>
      </c>
      <c r="CA84">
        <f t="shared" si="18"/>
        <v>0</v>
      </c>
      <c r="CB84" t="b">
        <f t="shared" si="19"/>
        <v>0</v>
      </c>
    </row>
    <row r="85" spans="1:80" x14ac:dyDescent="0.3">
      <c r="A85" t="s">
        <v>953</v>
      </c>
      <c r="B85" t="s">
        <v>71</v>
      </c>
      <c r="C85" t="s">
        <v>954</v>
      </c>
      <c r="D85">
        <v>35</v>
      </c>
      <c r="E85" s="1">
        <v>32741</v>
      </c>
      <c r="F85" t="s">
        <v>89</v>
      </c>
      <c r="G85" t="s">
        <v>143</v>
      </c>
      <c r="H85" t="s">
        <v>76</v>
      </c>
      <c r="I85" t="s">
        <v>955</v>
      </c>
      <c r="J85" t="s">
        <v>78</v>
      </c>
      <c r="K85" t="s">
        <v>89</v>
      </c>
      <c r="L85" t="s">
        <v>130</v>
      </c>
      <c r="M85">
        <v>18</v>
      </c>
      <c r="N85" t="s">
        <v>956</v>
      </c>
      <c r="O85">
        <v>2008</v>
      </c>
      <c r="P85" t="s">
        <v>957</v>
      </c>
      <c r="Q85" t="s">
        <v>958</v>
      </c>
      <c r="R85">
        <v>88490</v>
      </c>
      <c r="S85" t="s">
        <v>953</v>
      </c>
      <c r="T85" t="s">
        <v>959</v>
      </c>
      <c r="U85">
        <v>1989</v>
      </c>
      <c r="V85" t="s">
        <v>960</v>
      </c>
      <c r="W85">
        <v>1.77</v>
      </c>
      <c r="X85" t="s">
        <v>76</v>
      </c>
      <c r="Y85" t="s">
        <v>494</v>
      </c>
      <c r="Z85" t="s">
        <v>87</v>
      </c>
      <c r="AA85" t="s">
        <v>146</v>
      </c>
      <c r="AB85" s="1">
        <v>44933</v>
      </c>
      <c r="AC85" t="s">
        <v>108</v>
      </c>
      <c r="AD85" t="s">
        <v>223</v>
      </c>
      <c r="AE85" t="s">
        <v>961</v>
      </c>
      <c r="AF85">
        <v>19</v>
      </c>
      <c r="AG85" t="s">
        <v>962</v>
      </c>
      <c r="AH85" t="s">
        <v>963</v>
      </c>
      <c r="AI85">
        <v>20</v>
      </c>
      <c r="AJ85" t="s">
        <v>110</v>
      </c>
      <c r="AK85">
        <v>19</v>
      </c>
      <c r="AL85">
        <v>9</v>
      </c>
      <c r="AM85">
        <v>281</v>
      </c>
      <c r="AN85">
        <v>57</v>
      </c>
      <c r="AO85">
        <v>5</v>
      </c>
      <c r="AP85" t="s">
        <v>93</v>
      </c>
      <c r="AQ85" t="s">
        <v>89</v>
      </c>
      <c r="AR85" t="s">
        <v>89</v>
      </c>
      <c r="AS85" t="s">
        <v>111</v>
      </c>
      <c r="AT85">
        <v>44933</v>
      </c>
      <c r="AU85">
        <v>2023</v>
      </c>
      <c r="AV85">
        <v>15</v>
      </c>
      <c r="AW85">
        <v>15</v>
      </c>
      <c r="AX85" t="s">
        <v>89</v>
      </c>
      <c r="AY85" t="s">
        <v>111</v>
      </c>
      <c r="AZ85">
        <v>2</v>
      </c>
      <c r="BA85">
        <v>1</v>
      </c>
      <c r="BB85">
        <v>45</v>
      </c>
      <c r="BC85">
        <v>0</v>
      </c>
      <c r="BD85">
        <v>349</v>
      </c>
      <c r="BE85">
        <v>23094</v>
      </c>
      <c r="BF85">
        <v>29</v>
      </c>
      <c r="BG85">
        <v>34</v>
      </c>
      <c r="BH85">
        <v>350</v>
      </c>
      <c r="BI85">
        <v>23139</v>
      </c>
      <c r="BJ85">
        <v>29</v>
      </c>
      <c r="BK85">
        <f t="shared" si="11"/>
        <v>350</v>
      </c>
      <c r="BL85">
        <f t="shared" si="12"/>
        <v>23139</v>
      </c>
      <c r="BM85">
        <f t="shared" si="13"/>
        <v>29</v>
      </c>
      <c r="BN85">
        <f t="shared" si="14"/>
        <v>0</v>
      </c>
      <c r="BO85">
        <f t="shared" si="15"/>
        <v>0</v>
      </c>
      <c r="BP85">
        <f t="shared" si="16"/>
        <v>0</v>
      </c>
      <c r="BQ85" t="s">
        <v>494</v>
      </c>
      <c r="BR85" t="s">
        <v>112</v>
      </c>
      <c r="BS85" s="1">
        <v>32741</v>
      </c>
      <c r="BT85">
        <v>36</v>
      </c>
      <c r="BU85">
        <v>44933</v>
      </c>
      <c r="BV85" t="s">
        <v>89</v>
      </c>
      <c r="BW85">
        <v>15</v>
      </c>
      <c r="BX85">
        <v>1989</v>
      </c>
      <c r="BY85">
        <v>15</v>
      </c>
      <c r="BZ85">
        <f t="shared" si="17"/>
        <v>0</v>
      </c>
      <c r="CA85">
        <f t="shared" si="18"/>
        <v>0</v>
      </c>
      <c r="CB85" t="b">
        <f t="shared" si="19"/>
        <v>1</v>
      </c>
    </row>
    <row r="86" spans="1:80" x14ac:dyDescent="0.3">
      <c r="A86" t="s">
        <v>964</v>
      </c>
      <c r="B86" t="s">
        <v>71</v>
      </c>
      <c r="C86" t="s">
        <v>965</v>
      </c>
      <c r="D86">
        <v>38</v>
      </c>
      <c r="E86">
        <v>31739</v>
      </c>
      <c r="F86" t="s">
        <v>89</v>
      </c>
      <c r="G86" t="s">
        <v>687</v>
      </c>
      <c r="H86" t="s">
        <v>76</v>
      </c>
      <c r="I86" t="s">
        <v>116</v>
      </c>
      <c r="J86" t="s">
        <v>89</v>
      </c>
      <c r="K86" t="s">
        <v>89</v>
      </c>
      <c r="L86" t="s">
        <v>117</v>
      </c>
      <c r="M86">
        <v>18</v>
      </c>
      <c r="N86" t="s">
        <v>304</v>
      </c>
      <c r="O86">
        <v>2005</v>
      </c>
      <c r="P86" t="s">
        <v>966</v>
      </c>
      <c r="Q86" t="s">
        <v>967</v>
      </c>
      <c r="R86">
        <v>39783</v>
      </c>
      <c r="S86" t="s">
        <v>964</v>
      </c>
      <c r="T86" t="s">
        <v>968</v>
      </c>
      <c r="U86">
        <v>1986</v>
      </c>
      <c r="V86" t="s">
        <v>969</v>
      </c>
      <c r="W86">
        <v>1.75</v>
      </c>
      <c r="X86" t="s">
        <v>76</v>
      </c>
      <c r="Y86" t="s">
        <v>391</v>
      </c>
      <c r="Z86" t="s">
        <v>87</v>
      </c>
      <c r="AA86" t="s">
        <v>970</v>
      </c>
      <c r="AB86" t="s">
        <v>971</v>
      </c>
      <c r="AC86" t="s">
        <v>108</v>
      </c>
      <c r="AD86" t="s">
        <v>89</v>
      </c>
      <c r="AE86" t="s">
        <v>972</v>
      </c>
      <c r="AF86">
        <v>19</v>
      </c>
      <c r="AG86" t="s">
        <v>91</v>
      </c>
      <c r="AH86" t="s">
        <v>449</v>
      </c>
      <c r="AI86">
        <v>20</v>
      </c>
      <c r="AJ86" t="s">
        <v>110</v>
      </c>
      <c r="AK86">
        <v>19</v>
      </c>
      <c r="AL86">
        <v>2</v>
      </c>
      <c r="AM86">
        <v>282</v>
      </c>
      <c r="AN86">
        <v>43</v>
      </c>
      <c r="AO86">
        <v>2</v>
      </c>
      <c r="AP86" t="s">
        <v>93</v>
      </c>
      <c r="AQ86" t="s">
        <v>89</v>
      </c>
      <c r="AR86" t="s">
        <v>89</v>
      </c>
      <c r="AS86" t="s">
        <v>111</v>
      </c>
      <c r="AT86" t="s">
        <v>971</v>
      </c>
      <c r="AU86">
        <v>2020</v>
      </c>
      <c r="AV86">
        <v>15</v>
      </c>
      <c r="AW86">
        <v>15</v>
      </c>
      <c r="AX86" t="s">
        <v>89</v>
      </c>
      <c r="AY86" t="s">
        <v>93</v>
      </c>
      <c r="AZ86">
        <v>0</v>
      </c>
      <c r="BA86">
        <v>0</v>
      </c>
      <c r="BB86">
        <v>0</v>
      </c>
      <c r="BC86">
        <v>0</v>
      </c>
      <c r="BD86">
        <v>351</v>
      </c>
      <c r="BE86">
        <v>22325</v>
      </c>
      <c r="BF86">
        <v>71</v>
      </c>
      <c r="BG86">
        <v>34</v>
      </c>
      <c r="BH86">
        <v>351</v>
      </c>
      <c r="BI86">
        <v>22325</v>
      </c>
      <c r="BJ86">
        <v>71</v>
      </c>
      <c r="BK86">
        <f t="shared" si="11"/>
        <v>351</v>
      </c>
      <c r="BL86">
        <f t="shared" si="12"/>
        <v>22325</v>
      </c>
      <c r="BM86">
        <f t="shared" si="13"/>
        <v>71</v>
      </c>
      <c r="BN86">
        <f t="shared" si="14"/>
        <v>0</v>
      </c>
      <c r="BO86">
        <f t="shared" si="15"/>
        <v>0</v>
      </c>
      <c r="BP86">
        <f t="shared" si="16"/>
        <v>0</v>
      </c>
      <c r="BQ86" t="s">
        <v>391</v>
      </c>
      <c r="BR86" t="s">
        <v>112</v>
      </c>
      <c r="BS86" s="1">
        <v>31739</v>
      </c>
      <c r="BT86">
        <v>39</v>
      </c>
      <c r="BU86" t="s">
        <v>971</v>
      </c>
      <c r="BV86" s="1">
        <v>44091</v>
      </c>
      <c r="BW86">
        <v>15</v>
      </c>
      <c r="BX86">
        <v>1986</v>
      </c>
      <c r="BY86">
        <v>15</v>
      </c>
      <c r="BZ86">
        <f t="shared" si="17"/>
        <v>0</v>
      </c>
      <c r="CA86">
        <f t="shared" si="18"/>
        <v>0</v>
      </c>
      <c r="CB86" t="b">
        <f t="shared" si="19"/>
        <v>1</v>
      </c>
    </row>
    <row r="87" spans="1:80" x14ac:dyDescent="0.3">
      <c r="A87" t="s">
        <v>973</v>
      </c>
      <c r="B87" t="s">
        <v>71</v>
      </c>
      <c r="C87" t="s">
        <v>974</v>
      </c>
      <c r="D87">
        <v>36</v>
      </c>
      <c r="E87">
        <v>32629</v>
      </c>
      <c r="F87" t="s">
        <v>89</v>
      </c>
      <c r="G87" t="s">
        <v>400</v>
      </c>
      <c r="H87" t="s">
        <v>89</v>
      </c>
      <c r="I87" t="s">
        <v>227</v>
      </c>
      <c r="J87" t="s">
        <v>78</v>
      </c>
      <c r="K87" t="s">
        <v>89</v>
      </c>
      <c r="L87" t="s">
        <v>254</v>
      </c>
      <c r="M87">
        <v>20</v>
      </c>
      <c r="N87" t="s">
        <v>162</v>
      </c>
      <c r="O87">
        <v>2009</v>
      </c>
      <c r="P87" t="s">
        <v>975</v>
      </c>
      <c r="Q87" t="s">
        <v>976</v>
      </c>
      <c r="R87">
        <v>137174</v>
      </c>
      <c r="S87" t="s">
        <v>973</v>
      </c>
      <c r="T87">
        <v>32513</v>
      </c>
      <c r="U87">
        <v>1989</v>
      </c>
      <c r="V87" t="s">
        <v>122</v>
      </c>
      <c r="W87">
        <v>1.82</v>
      </c>
      <c r="X87" t="s">
        <v>76</v>
      </c>
      <c r="Y87" t="s">
        <v>235</v>
      </c>
      <c r="Z87" t="s">
        <v>87</v>
      </c>
      <c r="AA87" t="s">
        <v>476</v>
      </c>
      <c r="AB87">
        <v>45664</v>
      </c>
      <c r="AC87" t="s">
        <v>108</v>
      </c>
      <c r="AD87" t="s">
        <v>223</v>
      </c>
      <c r="AE87" t="s">
        <v>654</v>
      </c>
      <c r="AF87">
        <v>22</v>
      </c>
      <c r="AG87" t="s">
        <v>91</v>
      </c>
      <c r="AH87">
        <v>40238</v>
      </c>
      <c r="AI87">
        <v>20</v>
      </c>
      <c r="AJ87" t="s">
        <v>110</v>
      </c>
      <c r="AK87">
        <v>20</v>
      </c>
      <c r="AL87">
        <v>7</v>
      </c>
      <c r="AM87">
        <v>118</v>
      </c>
      <c r="AN87">
        <v>19</v>
      </c>
      <c r="AO87">
        <v>5</v>
      </c>
      <c r="AP87" t="s">
        <v>93</v>
      </c>
      <c r="AQ87" t="s">
        <v>89</v>
      </c>
      <c r="AR87" t="s">
        <v>89</v>
      </c>
      <c r="AS87" t="s">
        <v>93</v>
      </c>
      <c r="AT87" t="s">
        <v>89</v>
      </c>
      <c r="AU87" t="s">
        <v>89</v>
      </c>
      <c r="AV87" t="s">
        <v>89</v>
      </c>
      <c r="AW87">
        <v>16</v>
      </c>
      <c r="AX87" t="s">
        <v>89</v>
      </c>
      <c r="AY87" t="s">
        <v>93</v>
      </c>
      <c r="AZ87">
        <v>0</v>
      </c>
      <c r="BA87">
        <v>0</v>
      </c>
      <c r="BB87">
        <v>0</v>
      </c>
      <c r="BC87">
        <v>0</v>
      </c>
      <c r="BD87">
        <v>365</v>
      </c>
      <c r="BE87">
        <v>30345</v>
      </c>
      <c r="BF87">
        <v>13</v>
      </c>
      <c r="BG87" t="s">
        <v>89</v>
      </c>
      <c r="BH87">
        <v>365</v>
      </c>
      <c r="BI87">
        <v>30345</v>
      </c>
      <c r="BJ87">
        <v>13</v>
      </c>
      <c r="BK87">
        <f t="shared" si="11"/>
        <v>365</v>
      </c>
      <c r="BL87">
        <f t="shared" si="12"/>
        <v>30345</v>
      </c>
      <c r="BM87">
        <f t="shared" si="13"/>
        <v>13</v>
      </c>
      <c r="BN87">
        <f t="shared" si="14"/>
        <v>0</v>
      </c>
      <c r="BO87">
        <f t="shared" si="15"/>
        <v>0</v>
      </c>
      <c r="BP87">
        <f t="shared" si="16"/>
        <v>0</v>
      </c>
      <c r="BQ87" t="s">
        <v>235</v>
      </c>
      <c r="BR87" t="s">
        <v>140</v>
      </c>
      <c r="BS87" t="s">
        <v>89</v>
      </c>
      <c r="BT87">
        <v>37</v>
      </c>
      <c r="BU87" t="s">
        <v>89</v>
      </c>
      <c r="BV87" t="s">
        <v>89</v>
      </c>
      <c r="BW87">
        <v>17</v>
      </c>
      <c r="BX87">
        <v>1989</v>
      </c>
      <c r="BY87">
        <v>16</v>
      </c>
      <c r="BZ87">
        <f t="shared" si="17"/>
        <v>-1</v>
      </c>
      <c r="CA87">
        <f t="shared" si="18"/>
        <v>1</v>
      </c>
      <c r="CB87" t="b">
        <f t="shared" si="19"/>
        <v>0</v>
      </c>
    </row>
    <row r="88" spans="1:80" x14ac:dyDescent="0.3">
      <c r="A88" t="s">
        <v>977</v>
      </c>
      <c r="B88" t="s">
        <v>156</v>
      </c>
      <c r="C88" t="s">
        <v>978</v>
      </c>
      <c r="D88">
        <v>37</v>
      </c>
      <c r="E88" s="1">
        <v>32127</v>
      </c>
      <c r="F88" t="s">
        <v>89</v>
      </c>
      <c r="G88" t="s">
        <v>687</v>
      </c>
      <c r="H88" t="s">
        <v>89</v>
      </c>
      <c r="I88" t="s">
        <v>161</v>
      </c>
      <c r="J88" t="s">
        <v>300</v>
      </c>
      <c r="K88" t="s">
        <v>89</v>
      </c>
      <c r="L88" t="s">
        <v>278</v>
      </c>
      <c r="M88">
        <v>23</v>
      </c>
      <c r="N88" t="s">
        <v>763</v>
      </c>
      <c r="O88">
        <v>2011</v>
      </c>
      <c r="P88" t="s">
        <v>979</v>
      </c>
      <c r="Q88" t="s">
        <v>980</v>
      </c>
      <c r="R88">
        <v>68558</v>
      </c>
      <c r="S88" t="s">
        <v>977</v>
      </c>
      <c r="T88" t="s">
        <v>981</v>
      </c>
      <c r="U88">
        <v>1987</v>
      </c>
      <c r="V88" t="s">
        <v>982</v>
      </c>
      <c r="W88">
        <v>1.74</v>
      </c>
      <c r="X88" t="s">
        <v>169</v>
      </c>
      <c r="Y88" t="s">
        <v>123</v>
      </c>
      <c r="Z88" t="s">
        <v>152</v>
      </c>
      <c r="AA88" t="s">
        <v>983</v>
      </c>
      <c r="AB88" s="1">
        <v>45292</v>
      </c>
      <c r="AC88" t="s">
        <v>108</v>
      </c>
      <c r="AD88" t="s">
        <v>89</v>
      </c>
      <c r="AE88" t="s">
        <v>984</v>
      </c>
      <c r="AF88">
        <v>21</v>
      </c>
      <c r="AG88" t="s">
        <v>985</v>
      </c>
      <c r="AH88">
        <v>43257</v>
      </c>
      <c r="AI88">
        <v>30</v>
      </c>
      <c r="AJ88" t="s">
        <v>986</v>
      </c>
      <c r="AK88">
        <v>21</v>
      </c>
      <c r="AL88">
        <v>2</v>
      </c>
      <c r="AM88">
        <v>93</v>
      </c>
      <c r="AN88">
        <v>15</v>
      </c>
      <c r="AO88">
        <v>2</v>
      </c>
      <c r="AP88" t="s">
        <v>93</v>
      </c>
      <c r="AQ88" t="s">
        <v>89</v>
      </c>
      <c r="AR88" t="s">
        <v>89</v>
      </c>
      <c r="AS88" t="s">
        <v>111</v>
      </c>
      <c r="AT88">
        <v>45292</v>
      </c>
      <c r="AU88">
        <v>2024</v>
      </c>
      <c r="AV88">
        <v>13</v>
      </c>
      <c r="AW88">
        <v>13</v>
      </c>
      <c r="AX88" t="s">
        <v>89</v>
      </c>
      <c r="AY88" t="s">
        <v>93</v>
      </c>
      <c r="AZ88">
        <v>0</v>
      </c>
      <c r="BA88">
        <v>0</v>
      </c>
      <c r="BB88">
        <v>0</v>
      </c>
      <c r="BC88">
        <v>0</v>
      </c>
      <c r="BD88">
        <v>63</v>
      </c>
      <c r="BE88">
        <v>2595</v>
      </c>
      <c r="BF88">
        <v>7</v>
      </c>
      <c r="BG88">
        <v>37</v>
      </c>
      <c r="BH88">
        <v>63</v>
      </c>
      <c r="BI88">
        <v>2595</v>
      </c>
      <c r="BJ88">
        <v>7</v>
      </c>
      <c r="BK88">
        <f t="shared" si="11"/>
        <v>63</v>
      </c>
      <c r="BL88">
        <f t="shared" si="12"/>
        <v>2595</v>
      </c>
      <c r="BM88">
        <f t="shared" si="13"/>
        <v>7</v>
      </c>
      <c r="BN88">
        <f t="shared" si="14"/>
        <v>0</v>
      </c>
      <c r="BO88">
        <f t="shared" si="15"/>
        <v>0</v>
      </c>
      <c r="BP88">
        <f t="shared" si="16"/>
        <v>0</v>
      </c>
      <c r="BQ88" t="s">
        <v>123</v>
      </c>
      <c r="BR88" t="s">
        <v>112</v>
      </c>
      <c r="BS88" s="1">
        <v>32127</v>
      </c>
      <c r="BT88">
        <v>38</v>
      </c>
      <c r="BU88">
        <v>45292</v>
      </c>
      <c r="BV88" t="s">
        <v>89</v>
      </c>
      <c r="BW88">
        <v>16</v>
      </c>
      <c r="BX88">
        <v>1987</v>
      </c>
      <c r="BY88">
        <v>16</v>
      </c>
      <c r="BZ88">
        <f t="shared" si="17"/>
        <v>-3</v>
      </c>
      <c r="CA88">
        <f t="shared" si="18"/>
        <v>0</v>
      </c>
      <c r="CB88" t="b">
        <f t="shared" si="19"/>
        <v>0</v>
      </c>
    </row>
    <row r="89" spans="1:80" x14ac:dyDescent="0.3">
      <c r="A89" t="s">
        <v>987</v>
      </c>
      <c r="B89" t="s">
        <v>71</v>
      </c>
      <c r="C89" t="s">
        <v>988</v>
      </c>
      <c r="D89">
        <v>33</v>
      </c>
      <c r="E89" t="s">
        <v>989</v>
      </c>
      <c r="F89" t="s">
        <v>705</v>
      </c>
      <c r="G89" t="s">
        <v>535</v>
      </c>
      <c r="H89" t="s">
        <v>89</v>
      </c>
      <c r="I89" t="s">
        <v>161</v>
      </c>
      <c r="J89" t="s">
        <v>639</v>
      </c>
      <c r="K89" t="s">
        <v>990</v>
      </c>
      <c r="L89" t="s">
        <v>278</v>
      </c>
      <c r="M89">
        <v>19</v>
      </c>
      <c r="N89" t="s">
        <v>301</v>
      </c>
      <c r="O89">
        <v>2011</v>
      </c>
      <c r="P89" t="s">
        <v>991</v>
      </c>
      <c r="Q89" t="s">
        <v>992</v>
      </c>
      <c r="R89">
        <v>188853</v>
      </c>
      <c r="S89" t="s">
        <v>987</v>
      </c>
      <c r="T89" t="s">
        <v>993</v>
      </c>
      <c r="U89">
        <v>1991</v>
      </c>
      <c r="V89" t="s">
        <v>304</v>
      </c>
      <c r="W89">
        <v>1.72</v>
      </c>
      <c r="X89" t="s">
        <v>76</v>
      </c>
      <c r="Y89" t="s">
        <v>106</v>
      </c>
      <c r="Z89" t="s">
        <v>392</v>
      </c>
      <c r="AA89" t="s">
        <v>994</v>
      </c>
      <c r="AB89" t="s">
        <v>995</v>
      </c>
      <c r="AC89" t="s">
        <v>108</v>
      </c>
      <c r="AD89" t="s">
        <v>89</v>
      </c>
      <c r="AE89" s="1">
        <v>40584</v>
      </c>
      <c r="AF89">
        <v>20</v>
      </c>
      <c r="AG89" t="s">
        <v>91</v>
      </c>
      <c r="AH89" t="s">
        <v>92</v>
      </c>
      <c r="AI89" t="s">
        <v>89</v>
      </c>
      <c r="AJ89" t="s">
        <v>92</v>
      </c>
      <c r="AK89">
        <v>20</v>
      </c>
      <c r="AL89">
        <v>4</v>
      </c>
      <c r="AM89">
        <v>344</v>
      </c>
      <c r="AN89">
        <v>39</v>
      </c>
      <c r="AO89">
        <v>4</v>
      </c>
      <c r="AP89" t="s">
        <v>93</v>
      </c>
      <c r="AQ89" t="s">
        <v>89</v>
      </c>
      <c r="AR89" t="s">
        <v>89</v>
      </c>
      <c r="AS89" t="s">
        <v>93</v>
      </c>
      <c r="AT89" t="s">
        <v>89</v>
      </c>
      <c r="AU89" t="s">
        <v>89</v>
      </c>
      <c r="AV89" t="s">
        <v>89</v>
      </c>
      <c r="AW89">
        <v>14</v>
      </c>
      <c r="AX89">
        <v>10</v>
      </c>
      <c r="AY89" t="s">
        <v>93</v>
      </c>
      <c r="AZ89">
        <v>0</v>
      </c>
      <c r="BA89">
        <v>0</v>
      </c>
      <c r="BB89">
        <v>0</v>
      </c>
      <c r="BC89">
        <v>0</v>
      </c>
      <c r="BD89">
        <v>362</v>
      </c>
      <c r="BE89">
        <v>26841</v>
      </c>
      <c r="BF89">
        <v>63</v>
      </c>
      <c r="BG89" t="s">
        <v>89</v>
      </c>
      <c r="BH89">
        <v>362</v>
      </c>
      <c r="BI89">
        <v>26841</v>
      </c>
      <c r="BJ89">
        <v>63</v>
      </c>
      <c r="BK89">
        <f t="shared" si="11"/>
        <v>362</v>
      </c>
      <c r="BL89">
        <f t="shared" si="12"/>
        <v>26841</v>
      </c>
      <c r="BM89">
        <f t="shared" si="13"/>
        <v>63</v>
      </c>
      <c r="BN89">
        <f t="shared" si="14"/>
        <v>0</v>
      </c>
      <c r="BO89">
        <f t="shared" si="15"/>
        <v>0</v>
      </c>
      <c r="BP89">
        <f t="shared" si="16"/>
        <v>0</v>
      </c>
      <c r="BQ89" t="s">
        <v>106</v>
      </c>
      <c r="BR89" t="s">
        <v>112</v>
      </c>
      <c r="BS89" s="1">
        <v>33501</v>
      </c>
      <c r="BT89">
        <v>34</v>
      </c>
      <c r="BU89" t="s">
        <v>89</v>
      </c>
      <c r="BV89" t="s">
        <v>89</v>
      </c>
      <c r="BW89">
        <v>14</v>
      </c>
      <c r="BX89">
        <v>1991</v>
      </c>
      <c r="BY89">
        <v>13</v>
      </c>
      <c r="BZ89">
        <f t="shared" si="17"/>
        <v>0</v>
      </c>
      <c r="CA89">
        <f t="shared" si="18"/>
        <v>1</v>
      </c>
      <c r="CB89" t="b">
        <f t="shared" si="19"/>
        <v>1</v>
      </c>
    </row>
    <row r="90" spans="1:80" x14ac:dyDescent="0.3">
      <c r="A90" t="s">
        <v>996</v>
      </c>
      <c r="B90" t="s">
        <v>997</v>
      </c>
      <c r="C90" t="s">
        <v>998</v>
      </c>
      <c r="D90">
        <v>33</v>
      </c>
      <c r="E90" s="1">
        <v>33705</v>
      </c>
      <c r="F90" t="s">
        <v>89</v>
      </c>
      <c r="G90" t="s">
        <v>176</v>
      </c>
      <c r="H90" t="s">
        <v>999</v>
      </c>
      <c r="I90" t="s">
        <v>227</v>
      </c>
      <c r="J90" t="s">
        <v>78</v>
      </c>
      <c r="K90" t="s">
        <v>89</v>
      </c>
      <c r="L90" t="s">
        <v>228</v>
      </c>
      <c r="M90">
        <v>18</v>
      </c>
      <c r="N90" t="s">
        <v>1000</v>
      </c>
      <c r="O90">
        <v>2010</v>
      </c>
      <c r="P90" t="s">
        <v>1001</v>
      </c>
      <c r="Q90" t="s">
        <v>1002</v>
      </c>
      <c r="R90">
        <v>167093</v>
      </c>
      <c r="S90" t="s">
        <v>1003</v>
      </c>
      <c r="T90" t="s">
        <v>1004</v>
      </c>
      <c r="U90">
        <v>1992</v>
      </c>
      <c r="V90" t="s">
        <v>1005</v>
      </c>
      <c r="W90">
        <v>1.88</v>
      </c>
      <c r="X90" t="s">
        <v>999</v>
      </c>
      <c r="Y90" t="s">
        <v>235</v>
      </c>
      <c r="Z90" t="s">
        <v>87</v>
      </c>
      <c r="AA90" t="s">
        <v>476</v>
      </c>
      <c r="AB90" s="1">
        <v>45297</v>
      </c>
      <c r="AC90" t="s">
        <v>108</v>
      </c>
      <c r="AD90" t="s">
        <v>89</v>
      </c>
      <c r="AE90">
        <v>40760</v>
      </c>
      <c r="AF90">
        <v>19</v>
      </c>
      <c r="AG90" t="s">
        <v>1006</v>
      </c>
      <c r="AH90">
        <v>45048</v>
      </c>
      <c r="AI90">
        <v>30</v>
      </c>
      <c r="AJ90" t="s">
        <v>110</v>
      </c>
      <c r="AK90">
        <v>19</v>
      </c>
      <c r="AL90">
        <v>5</v>
      </c>
      <c r="AM90">
        <v>145</v>
      </c>
      <c r="AN90">
        <v>19</v>
      </c>
      <c r="AO90">
        <v>3</v>
      </c>
      <c r="AP90" t="s">
        <v>93</v>
      </c>
      <c r="AQ90" t="s">
        <v>89</v>
      </c>
      <c r="AR90" t="s">
        <v>89</v>
      </c>
      <c r="AS90" t="s">
        <v>93</v>
      </c>
      <c r="AT90" t="s">
        <v>89</v>
      </c>
      <c r="AU90" t="s">
        <v>89</v>
      </c>
      <c r="AV90" t="s">
        <v>89</v>
      </c>
      <c r="AW90">
        <v>15</v>
      </c>
      <c r="AX90" t="s">
        <v>89</v>
      </c>
      <c r="AY90" t="s">
        <v>93</v>
      </c>
      <c r="AZ90">
        <v>0</v>
      </c>
      <c r="BA90">
        <v>0</v>
      </c>
      <c r="BB90">
        <v>0</v>
      </c>
      <c r="BC90">
        <v>0</v>
      </c>
      <c r="BD90">
        <v>151</v>
      </c>
      <c r="BE90">
        <v>12031</v>
      </c>
      <c r="BF90">
        <v>1</v>
      </c>
      <c r="BG90" t="s">
        <v>89</v>
      </c>
      <c r="BH90">
        <v>151</v>
      </c>
      <c r="BI90">
        <v>12031</v>
      </c>
      <c r="BJ90">
        <v>1</v>
      </c>
      <c r="BK90">
        <f t="shared" si="11"/>
        <v>151</v>
      </c>
      <c r="BL90">
        <f t="shared" si="12"/>
        <v>12031</v>
      </c>
      <c r="BM90">
        <f t="shared" si="13"/>
        <v>1</v>
      </c>
      <c r="BN90">
        <f t="shared" si="14"/>
        <v>0</v>
      </c>
      <c r="BO90">
        <f t="shared" si="15"/>
        <v>0</v>
      </c>
      <c r="BP90">
        <f t="shared" si="16"/>
        <v>0</v>
      </c>
      <c r="BQ90" t="s">
        <v>235</v>
      </c>
      <c r="BR90" t="s">
        <v>140</v>
      </c>
      <c r="BS90" t="s">
        <v>89</v>
      </c>
      <c r="BT90">
        <v>34</v>
      </c>
      <c r="BU90" t="s">
        <v>89</v>
      </c>
      <c r="BV90" t="s">
        <v>89</v>
      </c>
      <c r="BW90">
        <v>15</v>
      </c>
      <c r="BX90">
        <v>1992</v>
      </c>
      <c r="BY90">
        <v>14</v>
      </c>
      <c r="BZ90">
        <f t="shared" si="17"/>
        <v>0</v>
      </c>
      <c r="CA90">
        <f t="shared" si="18"/>
        <v>1</v>
      </c>
      <c r="CB90" t="b">
        <f t="shared" si="19"/>
        <v>1</v>
      </c>
    </row>
    <row r="91" spans="1:80" x14ac:dyDescent="0.3">
      <c r="A91" t="s">
        <v>1007</v>
      </c>
      <c r="B91" t="s">
        <v>1008</v>
      </c>
      <c r="C91" t="s">
        <v>1009</v>
      </c>
      <c r="D91">
        <v>38</v>
      </c>
      <c r="E91" s="1">
        <v>31981</v>
      </c>
      <c r="F91" t="s">
        <v>89</v>
      </c>
      <c r="G91" t="s">
        <v>115</v>
      </c>
      <c r="H91" t="s">
        <v>1010</v>
      </c>
      <c r="I91" t="s">
        <v>116</v>
      </c>
      <c r="J91" t="s">
        <v>300</v>
      </c>
      <c r="K91" t="s">
        <v>89</v>
      </c>
      <c r="L91" t="s">
        <v>657</v>
      </c>
      <c r="M91">
        <v>16</v>
      </c>
      <c r="N91" t="s">
        <v>1011</v>
      </c>
      <c r="O91">
        <v>2003</v>
      </c>
      <c r="P91" t="s">
        <v>1012</v>
      </c>
      <c r="Q91" t="s">
        <v>1013</v>
      </c>
      <c r="R91">
        <v>21748</v>
      </c>
      <c r="S91" t="s">
        <v>1007</v>
      </c>
      <c r="T91" t="s">
        <v>1014</v>
      </c>
      <c r="U91">
        <v>1987</v>
      </c>
      <c r="V91" t="s">
        <v>1015</v>
      </c>
      <c r="W91">
        <v>1.8</v>
      </c>
      <c r="X91" t="s">
        <v>1010</v>
      </c>
      <c r="Y91" t="s">
        <v>494</v>
      </c>
      <c r="Z91" t="s">
        <v>152</v>
      </c>
      <c r="AA91" t="s">
        <v>1016</v>
      </c>
      <c r="AB91" s="1">
        <v>44933</v>
      </c>
      <c r="AC91" t="s">
        <v>108</v>
      </c>
      <c r="AD91" t="s">
        <v>89</v>
      </c>
      <c r="AE91" t="s">
        <v>1017</v>
      </c>
      <c r="AF91">
        <v>16</v>
      </c>
      <c r="AG91" t="s">
        <v>573</v>
      </c>
      <c r="AH91" t="s">
        <v>1018</v>
      </c>
      <c r="AI91">
        <v>19</v>
      </c>
      <c r="AJ91" t="s">
        <v>575</v>
      </c>
      <c r="AK91">
        <v>16</v>
      </c>
      <c r="AL91">
        <v>28</v>
      </c>
      <c r="AM91">
        <v>987</v>
      </c>
      <c r="AN91">
        <v>132</v>
      </c>
      <c r="AO91">
        <v>11</v>
      </c>
      <c r="AP91" t="s">
        <v>93</v>
      </c>
      <c r="AQ91" t="s">
        <v>89</v>
      </c>
      <c r="AR91" t="s">
        <v>89</v>
      </c>
      <c r="AS91" t="s">
        <v>111</v>
      </c>
      <c r="AT91" s="1">
        <v>44933</v>
      </c>
      <c r="AU91">
        <v>2023</v>
      </c>
      <c r="AV91">
        <v>20</v>
      </c>
      <c r="AW91">
        <v>20</v>
      </c>
      <c r="AX91" t="s">
        <v>89</v>
      </c>
      <c r="AY91" t="s">
        <v>111</v>
      </c>
      <c r="AZ91">
        <v>6</v>
      </c>
      <c r="BA91">
        <v>8</v>
      </c>
      <c r="BB91">
        <v>251</v>
      </c>
      <c r="BC91">
        <v>0</v>
      </c>
      <c r="BD91">
        <v>298</v>
      </c>
      <c r="BE91">
        <v>16961</v>
      </c>
      <c r="BF91">
        <v>55</v>
      </c>
      <c r="BG91">
        <v>36</v>
      </c>
      <c r="BH91">
        <v>306</v>
      </c>
      <c r="BI91">
        <v>17212</v>
      </c>
      <c r="BJ91">
        <v>55</v>
      </c>
      <c r="BK91">
        <f t="shared" si="11"/>
        <v>306</v>
      </c>
      <c r="BL91">
        <f t="shared" si="12"/>
        <v>17212</v>
      </c>
      <c r="BM91">
        <f t="shared" si="13"/>
        <v>55</v>
      </c>
      <c r="BN91">
        <f t="shared" si="14"/>
        <v>0</v>
      </c>
      <c r="BO91">
        <f t="shared" si="15"/>
        <v>0</v>
      </c>
      <c r="BP91">
        <f t="shared" si="16"/>
        <v>0</v>
      </c>
      <c r="BQ91" t="s">
        <v>494</v>
      </c>
      <c r="BR91" t="s">
        <v>112</v>
      </c>
      <c r="BS91" s="1">
        <v>31981</v>
      </c>
      <c r="BT91">
        <v>38</v>
      </c>
      <c r="BU91" s="1">
        <v>44933</v>
      </c>
      <c r="BV91" s="1">
        <v>45108</v>
      </c>
      <c r="BW91">
        <v>20</v>
      </c>
      <c r="BX91">
        <v>1987</v>
      </c>
      <c r="BY91">
        <v>20</v>
      </c>
      <c r="BZ91">
        <f t="shared" si="17"/>
        <v>0</v>
      </c>
      <c r="CA91">
        <f t="shared" si="18"/>
        <v>0</v>
      </c>
      <c r="CB91" t="b">
        <f t="shared" si="19"/>
        <v>1</v>
      </c>
    </row>
    <row r="92" spans="1:80" x14ac:dyDescent="0.3">
      <c r="A92" t="s">
        <v>1019</v>
      </c>
      <c r="B92" t="s">
        <v>71</v>
      </c>
      <c r="C92" t="s">
        <v>1020</v>
      </c>
      <c r="D92">
        <v>33</v>
      </c>
      <c r="E92" s="1">
        <v>33697</v>
      </c>
      <c r="F92" t="s">
        <v>89</v>
      </c>
      <c r="G92" t="s">
        <v>75</v>
      </c>
      <c r="H92" t="s">
        <v>89</v>
      </c>
      <c r="I92" t="s">
        <v>750</v>
      </c>
      <c r="J92" t="s">
        <v>78</v>
      </c>
      <c r="K92" t="s">
        <v>89</v>
      </c>
      <c r="L92" t="s">
        <v>762</v>
      </c>
      <c r="M92">
        <v>22</v>
      </c>
      <c r="N92" t="s">
        <v>181</v>
      </c>
      <c r="O92">
        <v>2014</v>
      </c>
      <c r="P92" t="s">
        <v>1021</v>
      </c>
      <c r="Q92" t="s">
        <v>1022</v>
      </c>
      <c r="R92">
        <v>285957</v>
      </c>
      <c r="S92" t="s">
        <v>1019</v>
      </c>
      <c r="T92">
        <v>33667</v>
      </c>
      <c r="U92">
        <v>1992</v>
      </c>
      <c r="V92" t="s">
        <v>1023</v>
      </c>
      <c r="W92">
        <v>1.8</v>
      </c>
      <c r="X92" t="s">
        <v>76</v>
      </c>
      <c r="Y92" t="s">
        <v>86</v>
      </c>
      <c r="Z92" t="s">
        <v>87</v>
      </c>
      <c r="AA92" t="s">
        <v>1024</v>
      </c>
      <c r="AB92" t="s">
        <v>1025</v>
      </c>
      <c r="AC92" t="s">
        <v>108</v>
      </c>
      <c r="AD92" t="s">
        <v>89</v>
      </c>
      <c r="AE92" t="s">
        <v>1026</v>
      </c>
      <c r="AF92">
        <v>22</v>
      </c>
      <c r="AG92" t="s">
        <v>91</v>
      </c>
      <c r="AH92" t="s">
        <v>1027</v>
      </c>
      <c r="AI92">
        <v>23</v>
      </c>
      <c r="AJ92" t="s">
        <v>110</v>
      </c>
      <c r="AK92">
        <v>22</v>
      </c>
      <c r="AL92">
        <v>1</v>
      </c>
      <c r="AM92">
        <v>214</v>
      </c>
      <c r="AN92">
        <v>20</v>
      </c>
      <c r="AO92">
        <v>1</v>
      </c>
      <c r="AP92" t="s">
        <v>93</v>
      </c>
      <c r="AQ92" t="s">
        <v>89</v>
      </c>
      <c r="AR92" t="s">
        <v>89</v>
      </c>
      <c r="AS92" t="s">
        <v>93</v>
      </c>
      <c r="AT92" t="s">
        <v>89</v>
      </c>
      <c r="AU92" t="s">
        <v>89</v>
      </c>
      <c r="AV92" t="s">
        <v>89</v>
      </c>
      <c r="AW92">
        <v>11</v>
      </c>
      <c r="AX92">
        <v>14</v>
      </c>
      <c r="AY92" t="s">
        <v>93</v>
      </c>
      <c r="AZ92">
        <v>0</v>
      </c>
      <c r="BA92">
        <v>0</v>
      </c>
      <c r="BB92">
        <v>0</v>
      </c>
      <c r="BC92">
        <v>0</v>
      </c>
      <c r="BD92">
        <v>22</v>
      </c>
      <c r="BE92">
        <v>911</v>
      </c>
      <c r="BF92">
        <v>0</v>
      </c>
      <c r="BG92" t="s">
        <v>89</v>
      </c>
      <c r="BH92">
        <v>22</v>
      </c>
      <c r="BI92">
        <v>911</v>
      </c>
      <c r="BJ92">
        <v>0</v>
      </c>
      <c r="BK92">
        <f t="shared" si="11"/>
        <v>22</v>
      </c>
      <c r="BL92">
        <f t="shared" si="12"/>
        <v>911</v>
      </c>
      <c r="BM92">
        <f t="shared" si="13"/>
        <v>0</v>
      </c>
      <c r="BN92">
        <f t="shared" si="14"/>
        <v>0</v>
      </c>
      <c r="BO92">
        <f t="shared" si="15"/>
        <v>0</v>
      </c>
      <c r="BP92">
        <f t="shared" si="16"/>
        <v>0</v>
      </c>
      <c r="BQ92" t="s">
        <v>86</v>
      </c>
      <c r="BR92" t="s">
        <v>94</v>
      </c>
      <c r="BS92" t="s">
        <v>89</v>
      </c>
      <c r="BT92">
        <v>34</v>
      </c>
      <c r="BU92" t="s">
        <v>89</v>
      </c>
      <c r="BV92" t="s">
        <v>89</v>
      </c>
      <c r="BW92">
        <v>12</v>
      </c>
      <c r="BX92">
        <v>1992</v>
      </c>
      <c r="BY92">
        <v>11</v>
      </c>
      <c r="BZ92">
        <f t="shared" si="17"/>
        <v>-1</v>
      </c>
      <c r="CA92">
        <f t="shared" si="18"/>
        <v>1</v>
      </c>
      <c r="CB92" t="b">
        <f t="shared" si="19"/>
        <v>0</v>
      </c>
    </row>
    <row r="93" spans="1:80" x14ac:dyDescent="0.3">
      <c r="A93" t="s">
        <v>1028</v>
      </c>
      <c r="B93" t="s">
        <v>191</v>
      </c>
      <c r="C93" t="s">
        <v>1029</v>
      </c>
      <c r="D93">
        <v>33</v>
      </c>
      <c r="E93" t="s">
        <v>1030</v>
      </c>
      <c r="F93" t="s">
        <v>1031</v>
      </c>
      <c r="G93" t="s">
        <v>226</v>
      </c>
      <c r="H93" t="s">
        <v>194</v>
      </c>
      <c r="I93" t="s">
        <v>1032</v>
      </c>
      <c r="J93" t="s">
        <v>78</v>
      </c>
      <c r="K93" t="s">
        <v>1033</v>
      </c>
      <c r="L93" t="s">
        <v>228</v>
      </c>
      <c r="M93">
        <v>18</v>
      </c>
      <c r="N93" t="s">
        <v>1034</v>
      </c>
      <c r="O93">
        <v>2010</v>
      </c>
      <c r="P93" t="s">
        <v>1035</v>
      </c>
      <c r="Q93" t="s">
        <v>1036</v>
      </c>
      <c r="R93">
        <v>89450</v>
      </c>
      <c r="S93" t="s">
        <v>1028</v>
      </c>
      <c r="T93" t="s">
        <v>1037</v>
      </c>
      <c r="U93">
        <v>1992</v>
      </c>
      <c r="V93" t="s">
        <v>1038</v>
      </c>
      <c r="W93">
        <v>1.85</v>
      </c>
      <c r="X93" t="s">
        <v>1039</v>
      </c>
      <c r="Y93" t="s">
        <v>235</v>
      </c>
      <c r="Z93" t="s">
        <v>87</v>
      </c>
      <c r="AA93" t="s">
        <v>1040</v>
      </c>
      <c r="AB93" t="s">
        <v>1041</v>
      </c>
      <c r="AC93" t="s">
        <v>108</v>
      </c>
      <c r="AD93" t="s">
        <v>89</v>
      </c>
      <c r="AE93" t="s">
        <v>1042</v>
      </c>
      <c r="AF93">
        <v>19</v>
      </c>
      <c r="AG93" t="s">
        <v>206</v>
      </c>
      <c r="AH93" t="s">
        <v>1043</v>
      </c>
      <c r="AI93">
        <v>19</v>
      </c>
      <c r="AJ93" t="s">
        <v>1044</v>
      </c>
      <c r="AK93">
        <v>19</v>
      </c>
      <c r="AL93" t="s">
        <v>89</v>
      </c>
      <c r="AM93" t="s">
        <v>89</v>
      </c>
      <c r="AN93" t="s">
        <v>89</v>
      </c>
      <c r="AO93">
        <v>0</v>
      </c>
      <c r="AP93" t="s">
        <v>93</v>
      </c>
      <c r="AQ93" t="s">
        <v>89</v>
      </c>
      <c r="AR93" t="s">
        <v>89</v>
      </c>
      <c r="AS93" t="s">
        <v>93</v>
      </c>
      <c r="AT93" t="s">
        <v>89</v>
      </c>
      <c r="AU93" t="s">
        <v>89</v>
      </c>
      <c r="AV93" t="s">
        <v>89</v>
      </c>
      <c r="AW93">
        <v>15</v>
      </c>
      <c r="AX93">
        <v>29</v>
      </c>
      <c r="AY93" t="s">
        <v>93</v>
      </c>
      <c r="AZ93">
        <v>0</v>
      </c>
      <c r="BA93">
        <v>0</v>
      </c>
      <c r="BB93">
        <v>0</v>
      </c>
      <c r="BC93">
        <v>0</v>
      </c>
      <c r="BD93">
        <v>315</v>
      </c>
      <c r="BE93">
        <v>23178</v>
      </c>
      <c r="BF93">
        <v>11</v>
      </c>
      <c r="BG93" t="s">
        <v>89</v>
      </c>
      <c r="BH93">
        <v>315</v>
      </c>
      <c r="BI93">
        <v>23178</v>
      </c>
      <c r="BJ93">
        <v>11</v>
      </c>
      <c r="BK93">
        <f t="shared" si="11"/>
        <v>315</v>
      </c>
      <c r="BL93">
        <f t="shared" si="12"/>
        <v>23178</v>
      </c>
      <c r="BM93">
        <f t="shared" si="13"/>
        <v>11</v>
      </c>
      <c r="BN93">
        <f t="shared" si="14"/>
        <v>0</v>
      </c>
      <c r="BO93">
        <f t="shared" si="15"/>
        <v>0</v>
      </c>
      <c r="BP93">
        <f t="shared" si="16"/>
        <v>0</v>
      </c>
      <c r="BQ93" t="s">
        <v>235</v>
      </c>
      <c r="BR93" t="s">
        <v>140</v>
      </c>
      <c r="BS93" s="1">
        <v>33654</v>
      </c>
      <c r="BT93">
        <v>33</v>
      </c>
      <c r="BU93" t="s">
        <v>89</v>
      </c>
      <c r="BV93" t="s">
        <v>89</v>
      </c>
      <c r="BW93">
        <v>14</v>
      </c>
      <c r="BX93">
        <v>1992</v>
      </c>
      <c r="BY93">
        <v>14</v>
      </c>
      <c r="BZ93">
        <f t="shared" si="17"/>
        <v>1</v>
      </c>
      <c r="CA93">
        <f t="shared" si="18"/>
        <v>0</v>
      </c>
      <c r="CB93" t="b">
        <f t="shared" si="19"/>
        <v>0</v>
      </c>
    </row>
    <row r="94" spans="1:80" x14ac:dyDescent="0.3">
      <c r="A94" t="s">
        <v>1045</v>
      </c>
      <c r="B94" t="s">
        <v>71</v>
      </c>
      <c r="C94" t="s">
        <v>1046</v>
      </c>
      <c r="D94">
        <v>43</v>
      </c>
      <c r="E94" s="1">
        <v>30021</v>
      </c>
      <c r="F94" t="s">
        <v>89</v>
      </c>
      <c r="G94" t="s">
        <v>277</v>
      </c>
      <c r="H94" t="s">
        <v>89</v>
      </c>
      <c r="I94" t="s">
        <v>437</v>
      </c>
      <c r="J94" t="s">
        <v>78</v>
      </c>
      <c r="K94" t="s">
        <v>89</v>
      </c>
      <c r="L94" t="s">
        <v>845</v>
      </c>
      <c r="M94">
        <v>20</v>
      </c>
      <c r="N94" t="s">
        <v>1047</v>
      </c>
      <c r="O94">
        <v>2002</v>
      </c>
      <c r="P94" t="s">
        <v>1048</v>
      </c>
      <c r="Q94" t="s">
        <v>1049</v>
      </c>
      <c r="R94">
        <v>15981</v>
      </c>
      <c r="S94" t="s">
        <v>1050</v>
      </c>
      <c r="T94">
        <v>30258</v>
      </c>
      <c r="U94">
        <v>1982</v>
      </c>
      <c r="V94" t="s">
        <v>1051</v>
      </c>
      <c r="W94">
        <v>1.88</v>
      </c>
      <c r="X94" t="s">
        <v>1052</v>
      </c>
      <c r="Y94" t="s">
        <v>123</v>
      </c>
      <c r="Z94" t="s">
        <v>392</v>
      </c>
      <c r="AA94" t="s">
        <v>634</v>
      </c>
      <c r="AB94" s="1">
        <v>44203</v>
      </c>
      <c r="AC94" t="s">
        <v>108</v>
      </c>
      <c r="AD94" t="s">
        <v>89</v>
      </c>
      <c r="AE94" t="s">
        <v>1053</v>
      </c>
      <c r="AF94">
        <v>18</v>
      </c>
      <c r="AG94" t="s">
        <v>1054</v>
      </c>
      <c r="AH94" s="1">
        <v>37721</v>
      </c>
      <c r="AI94">
        <v>21</v>
      </c>
      <c r="AJ94" t="s">
        <v>110</v>
      </c>
      <c r="AK94">
        <v>18</v>
      </c>
      <c r="AL94">
        <v>5</v>
      </c>
      <c r="AM94">
        <v>371</v>
      </c>
      <c r="AN94">
        <v>45</v>
      </c>
      <c r="AO94">
        <v>5</v>
      </c>
      <c r="AP94" t="s">
        <v>93</v>
      </c>
      <c r="AQ94" t="s">
        <v>89</v>
      </c>
      <c r="AR94" t="s">
        <v>89</v>
      </c>
      <c r="AS94" t="s">
        <v>111</v>
      </c>
      <c r="AT94" s="1">
        <v>44203</v>
      </c>
      <c r="AU94">
        <v>2021</v>
      </c>
      <c r="AV94">
        <v>19</v>
      </c>
      <c r="AW94">
        <v>19</v>
      </c>
      <c r="AX94" t="s">
        <v>89</v>
      </c>
      <c r="AY94" t="s">
        <v>93</v>
      </c>
      <c r="AZ94">
        <v>0</v>
      </c>
      <c r="BA94">
        <v>0</v>
      </c>
      <c r="BB94">
        <v>0</v>
      </c>
      <c r="BC94">
        <v>0</v>
      </c>
      <c r="BD94">
        <v>417</v>
      </c>
      <c r="BE94">
        <v>25332</v>
      </c>
      <c r="BF94">
        <v>99</v>
      </c>
      <c r="BG94">
        <v>39</v>
      </c>
      <c r="BH94">
        <v>417</v>
      </c>
      <c r="BI94">
        <v>25332</v>
      </c>
      <c r="BJ94">
        <v>99</v>
      </c>
      <c r="BK94">
        <f t="shared" si="11"/>
        <v>417</v>
      </c>
      <c r="BL94">
        <f t="shared" si="12"/>
        <v>25332</v>
      </c>
      <c r="BM94">
        <f t="shared" si="13"/>
        <v>99</v>
      </c>
      <c r="BN94">
        <f t="shared" si="14"/>
        <v>0</v>
      </c>
      <c r="BO94">
        <f t="shared" si="15"/>
        <v>0</v>
      </c>
      <c r="BP94">
        <f t="shared" si="16"/>
        <v>0</v>
      </c>
      <c r="BQ94" t="s">
        <v>123</v>
      </c>
      <c r="BR94" t="s">
        <v>112</v>
      </c>
      <c r="BS94" t="s">
        <v>89</v>
      </c>
      <c r="BT94">
        <v>44</v>
      </c>
      <c r="BU94" s="1">
        <v>44203</v>
      </c>
      <c r="BV94" s="1">
        <v>44378</v>
      </c>
      <c r="BW94">
        <v>21</v>
      </c>
      <c r="BX94">
        <v>1982</v>
      </c>
      <c r="BY94">
        <v>21</v>
      </c>
      <c r="BZ94">
        <f t="shared" si="17"/>
        <v>-2</v>
      </c>
      <c r="CA94">
        <f t="shared" si="18"/>
        <v>0</v>
      </c>
      <c r="CB94" t="b">
        <f t="shared" si="19"/>
        <v>0</v>
      </c>
    </row>
    <row r="95" spans="1:80" x14ac:dyDescent="0.3">
      <c r="A95" t="s">
        <v>1055</v>
      </c>
      <c r="B95" t="s">
        <v>1056</v>
      </c>
      <c r="C95" t="s">
        <v>1057</v>
      </c>
      <c r="D95">
        <v>37</v>
      </c>
      <c r="E95">
        <v>32029</v>
      </c>
      <c r="F95" t="s">
        <v>89</v>
      </c>
      <c r="G95" t="s">
        <v>226</v>
      </c>
      <c r="H95" t="s">
        <v>1058</v>
      </c>
      <c r="I95" t="s">
        <v>1059</v>
      </c>
      <c r="J95" t="s">
        <v>639</v>
      </c>
      <c r="K95" t="s">
        <v>89</v>
      </c>
      <c r="L95" t="s">
        <v>145</v>
      </c>
      <c r="M95">
        <v>16</v>
      </c>
      <c r="N95" t="s">
        <v>682</v>
      </c>
      <c r="O95">
        <v>2004</v>
      </c>
      <c r="P95" t="s">
        <v>1060</v>
      </c>
      <c r="Q95" t="s">
        <v>1061</v>
      </c>
      <c r="R95">
        <v>27394</v>
      </c>
      <c r="S95" t="s">
        <v>1062</v>
      </c>
      <c r="T95" t="s">
        <v>1063</v>
      </c>
      <c r="U95">
        <v>1987</v>
      </c>
      <c r="V95" t="s">
        <v>1064</v>
      </c>
      <c r="W95">
        <v>1.85</v>
      </c>
      <c r="X95" t="s">
        <v>1065</v>
      </c>
      <c r="Y95" t="s">
        <v>259</v>
      </c>
      <c r="Z95" t="s">
        <v>87</v>
      </c>
      <c r="AA95" t="s">
        <v>1066</v>
      </c>
      <c r="AB95" t="s">
        <v>1067</v>
      </c>
      <c r="AC95" t="s">
        <v>108</v>
      </c>
      <c r="AD95" t="s">
        <v>395</v>
      </c>
      <c r="AE95" s="1">
        <v>38176</v>
      </c>
      <c r="AF95">
        <v>16</v>
      </c>
      <c r="AG95" t="s">
        <v>206</v>
      </c>
      <c r="AH95" t="s">
        <v>92</v>
      </c>
      <c r="AI95" t="s">
        <v>89</v>
      </c>
      <c r="AJ95" t="s">
        <v>92</v>
      </c>
      <c r="AK95">
        <v>16</v>
      </c>
      <c r="AL95">
        <v>9</v>
      </c>
      <c r="AM95">
        <v>264</v>
      </c>
      <c r="AN95">
        <v>40</v>
      </c>
      <c r="AO95">
        <v>6</v>
      </c>
      <c r="AP95" t="s">
        <v>93</v>
      </c>
      <c r="AQ95" t="s">
        <v>89</v>
      </c>
      <c r="AR95" t="s">
        <v>89</v>
      </c>
      <c r="AS95" t="s">
        <v>111</v>
      </c>
      <c r="AT95" t="s">
        <v>1067</v>
      </c>
      <c r="AU95">
        <v>2023</v>
      </c>
      <c r="AV95">
        <v>19</v>
      </c>
      <c r="AW95">
        <v>19</v>
      </c>
      <c r="AX95" t="s">
        <v>89</v>
      </c>
      <c r="AY95" t="s">
        <v>111</v>
      </c>
      <c r="AZ95">
        <v>5</v>
      </c>
      <c r="BA95">
        <v>18</v>
      </c>
      <c r="BB95">
        <v>1497</v>
      </c>
      <c r="BC95">
        <v>0</v>
      </c>
      <c r="BD95">
        <v>355</v>
      </c>
      <c r="BE95">
        <v>25543</v>
      </c>
      <c r="BF95">
        <v>11</v>
      </c>
      <c r="BG95">
        <v>36</v>
      </c>
      <c r="BH95">
        <v>373</v>
      </c>
      <c r="BI95">
        <v>27040</v>
      </c>
      <c r="BJ95">
        <v>11</v>
      </c>
      <c r="BK95">
        <f t="shared" si="11"/>
        <v>373</v>
      </c>
      <c r="BL95">
        <f t="shared" si="12"/>
        <v>27040</v>
      </c>
      <c r="BM95">
        <f t="shared" si="13"/>
        <v>11</v>
      </c>
      <c r="BN95">
        <f t="shared" si="14"/>
        <v>0</v>
      </c>
      <c r="BO95">
        <f t="shared" si="15"/>
        <v>0</v>
      </c>
      <c r="BP95">
        <f t="shared" si="16"/>
        <v>0</v>
      </c>
      <c r="BQ95" t="s">
        <v>259</v>
      </c>
      <c r="BR95" t="s">
        <v>94</v>
      </c>
      <c r="BS95" t="s">
        <v>89</v>
      </c>
      <c r="BT95">
        <v>39</v>
      </c>
      <c r="BU95" t="s">
        <v>1067</v>
      </c>
      <c r="BV95" s="1">
        <v>45244</v>
      </c>
      <c r="BW95">
        <v>20</v>
      </c>
      <c r="BX95">
        <v>1987</v>
      </c>
      <c r="BY95">
        <v>20</v>
      </c>
      <c r="BZ95">
        <f t="shared" si="17"/>
        <v>-1</v>
      </c>
      <c r="CA95">
        <f t="shared" si="18"/>
        <v>0</v>
      </c>
      <c r="CB95" t="b">
        <f t="shared" si="19"/>
        <v>0</v>
      </c>
    </row>
    <row r="96" spans="1:80" x14ac:dyDescent="0.3">
      <c r="A96" t="s">
        <v>1068</v>
      </c>
      <c r="B96" t="s">
        <v>1069</v>
      </c>
      <c r="C96" t="s">
        <v>1070</v>
      </c>
      <c r="D96">
        <v>40</v>
      </c>
      <c r="E96" s="1">
        <v>31091</v>
      </c>
      <c r="F96" t="s">
        <v>89</v>
      </c>
      <c r="G96" t="s">
        <v>241</v>
      </c>
      <c r="H96" t="s">
        <v>1071</v>
      </c>
      <c r="I96" t="s">
        <v>253</v>
      </c>
      <c r="J96" t="s">
        <v>78</v>
      </c>
      <c r="K96" t="s">
        <v>89</v>
      </c>
      <c r="L96" t="s">
        <v>845</v>
      </c>
      <c r="M96">
        <v>17</v>
      </c>
      <c r="N96" t="s">
        <v>1072</v>
      </c>
      <c r="O96">
        <v>2002</v>
      </c>
      <c r="P96" t="s">
        <v>1073</v>
      </c>
      <c r="Q96" t="s">
        <v>1074</v>
      </c>
      <c r="R96">
        <v>12883</v>
      </c>
      <c r="S96" t="s">
        <v>1068</v>
      </c>
      <c r="T96" t="s">
        <v>1075</v>
      </c>
      <c r="U96">
        <v>1985</v>
      </c>
      <c r="V96" t="s">
        <v>1076</v>
      </c>
      <c r="W96" t="s">
        <v>89</v>
      </c>
      <c r="X96" t="s">
        <v>1071</v>
      </c>
      <c r="Y96" t="s">
        <v>259</v>
      </c>
      <c r="Z96" t="s">
        <v>89</v>
      </c>
      <c r="AA96" t="s">
        <v>990</v>
      </c>
      <c r="AB96" t="s">
        <v>1077</v>
      </c>
      <c r="AC96" t="s">
        <v>108</v>
      </c>
      <c r="AD96" t="s">
        <v>89</v>
      </c>
      <c r="AE96">
        <v>37268</v>
      </c>
      <c r="AF96">
        <v>17</v>
      </c>
      <c r="AG96" t="s">
        <v>1078</v>
      </c>
      <c r="AH96" t="s">
        <v>1079</v>
      </c>
      <c r="AI96">
        <v>27</v>
      </c>
      <c r="AJ96" t="s">
        <v>1044</v>
      </c>
      <c r="AK96">
        <v>17</v>
      </c>
      <c r="AL96">
        <v>3</v>
      </c>
      <c r="AM96">
        <v>186</v>
      </c>
      <c r="AN96">
        <v>33</v>
      </c>
      <c r="AO96">
        <v>2</v>
      </c>
      <c r="AP96" t="s">
        <v>93</v>
      </c>
      <c r="AQ96" t="s">
        <v>89</v>
      </c>
      <c r="AR96" t="s">
        <v>89</v>
      </c>
      <c r="AS96" t="s">
        <v>111</v>
      </c>
      <c r="AT96" t="s">
        <v>1077</v>
      </c>
      <c r="AU96">
        <v>2020</v>
      </c>
      <c r="AV96">
        <v>18</v>
      </c>
      <c r="AW96">
        <v>18</v>
      </c>
      <c r="AX96" t="s">
        <v>89</v>
      </c>
      <c r="AY96" t="s">
        <v>111</v>
      </c>
      <c r="AZ96">
        <v>14</v>
      </c>
      <c r="BA96">
        <v>54</v>
      </c>
      <c r="BB96">
        <v>3542</v>
      </c>
      <c r="BC96">
        <v>1</v>
      </c>
      <c r="BD96">
        <v>400</v>
      </c>
      <c r="BE96">
        <v>29424</v>
      </c>
      <c r="BF96">
        <v>17</v>
      </c>
      <c r="BG96">
        <v>35</v>
      </c>
      <c r="BH96">
        <v>454</v>
      </c>
      <c r="BI96">
        <v>32966</v>
      </c>
      <c r="BJ96">
        <v>18</v>
      </c>
      <c r="BK96">
        <f t="shared" si="11"/>
        <v>454</v>
      </c>
      <c r="BL96">
        <f t="shared" si="12"/>
        <v>32966</v>
      </c>
      <c r="BM96">
        <f t="shared" si="13"/>
        <v>18</v>
      </c>
      <c r="BN96">
        <f t="shared" si="14"/>
        <v>0</v>
      </c>
      <c r="BO96">
        <f t="shared" si="15"/>
        <v>0</v>
      </c>
      <c r="BP96">
        <f t="shared" si="16"/>
        <v>0</v>
      </c>
      <c r="BQ96" t="s">
        <v>259</v>
      </c>
      <c r="BR96" t="s">
        <v>94</v>
      </c>
      <c r="BS96" s="1">
        <v>31091</v>
      </c>
      <c r="BT96">
        <v>41</v>
      </c>
      <c r="BU96" t="s">
        <v>1077</v>
      </c>
      <c r="BV96" s="1">
        <v>43974</v>
      </c>
      <c r="BW96">
        <v>18</v>
      </c>
      <c r="BX96">
        <v>1985</v>
      </c>
      <c r="BY96">
        <v>18</v>
      </c>
      <c r="BZ96">
        <f t="shared" si="17"/>
        <v>0</v>
      </c>
      <c r="CA96">
        <f t="shared" si="18"/>
        <v>0</v>
      </c>
      <c r="CB96" t="b">
        <f t="shared" si="19"/>
        <v>1</v>
      </c>
    </row>
    <row r="97" spans="1:80" x14ac:dyDescent="0.3">
      <c r="A97" t="s">
        <v>1080</v>
      </c>
      <c r="B97" t="s">
        <v>71</v>
      </c>
      <c r="C97" t="s">
        <v>1081</v>
      </c>
      <c r="D97">
        <v>39</v>
      </c>
      <c r="E97" s="1">
        <v>31263</v>
      </c>
      <c r="F97" t="s">
        <v>89</v>
      </c>
      <c r="G97" t="s">
        <v>413</v>
      </c>
      <c r="H97" t="s">
        <v>76</v>
      </c>
      <c r="I97" t="s">
        <v>227</v>
      </c>
      <c r="J97" t="s">
        <v>78</v>
      </c>
      <c r="K97" t="s">
        <v>89</v>
      </c>
      <c r="L97" t="s">
        <v>657</v>
      </c>
      <c r="M97">
        <v>17</v>
      </c>
      <c r="N97" t="s">
        <v>629</v>
      </c>
      <c r="O97">
        <v>2003</v>
      </c>
      <c r="P97" t="s">
        <v>1082</v>
      </c>
      <c r="Q97" t="s">
        <v>1083</v>
      </c>
      <c r="R97">
        <v>7781</v>
      </c>
      <c r="S97" t="s">
        <v>1084</v>
      </c>
      <c r="T97" t="s">
        <v>1085</v>
      </c>
      <c r="U97">
        <v>1985</v>
      </c>
      <c r="V97" t="s">
        <v>1047</v>
      </c>
      <c r="W97">
        <v>1.83</v>
      </c>
      <c r="X97" t="s">
        <v>76</v>
      </c>
      <c r="Y97" t="s">
        <v>235</v>
      </c>
      <c r="Z97" t="s">
        <v>87</v>
      </c>
      <c r="AA97" t="s">
        <v>370</v>
      </c>
      <c r="AB97" t="s">
        <v>1086</v>
      </c>
      <c r="AC97" t="s">
        <v>108</v>
      </c>
      <c r="AD97" t="s">
        <v>89</v>
      </c>
      <c r="AE97" t="s">
        <v>1087</v>
      </c>
      <c r="AF97">
        <v>18</v>
      </c>
      <c r="AG97" t="s">
        <v>91</v>
      </c>
      <c r="AH97" s="1">
        <v>37721</v>
      </c>
      <c r="AI97">
        <v>18</v>
      </c>
      <c r="AJ97" t="s">
        <v>110</v>
      </c>
      <c r="AK97">
        <v>18</v>
      </c>
      <c r="AL97">
        <v>13</v>
      </c>
      <c r="AM97">
        <v>411</v>
      </c>
      <c r="AN97">
        <v>78</v>
      </c>
      <c r="AO97">
        <v>8</v>
      </c>
      <c r="AP97" t="s">
        <v>93</v>
      </c>
      <c r="AQ97" t="s">
        <v>89</v>
      </c>
      <c r="AR97" t="s">
        <v>89</v>
      </c>
      <c r="AS97" t="s">
        <v>111</v>
      </c>
      <c r="AT97" t="s">
        <v>1086</v>
      </c>
      <c r="AU97">
        <v>2020</v>
      </c>
      <c r="AV97">
        <v>17</v>
      </c>
      <c r="AW97">
        <v>17</v>
      </c>
      <c r="AX97" t="s">
        <v>89</v>
      </c>
      <c r="AY97" t="s">
        <v>93</v>
      </c>
      <c r="AZ97">
        <v>0</v>
      </c>
      <c r="BA97">
        <v>0</v>
      </c>
      <c r="BB97">
        <v>0</v>
      </c>
      <c r="BC97">
        <v>0</v>
      </c>
      <c r="BD97">
        <v>417</v>
      </c>
      <c r="BE97">
        <v>34582</v>
      </c>
      <c r="BF97">
        <v>18</v>
      </c>
      <c r="BG97">
        <v>35</v>
      </c>
      <c r="BH97">
        <v>417</v>
      </c>
      <c r="BI97">
        <v>34582</v>
      </c>
      <c r="BJ97">
        <v>18</v>
      </c>
      <c r="BK97">
        <f t="shared" si="11"/>
        <v>417</v>
      </c>
      <c r="BL97">
        <f t="shared" si="12"/>
        <v>34582</v>
      </c>
      <c r="BM97">
        <f t="shared" si="13"/>
        <v>18</v>
      </c>
      <c r="BN97">
        <f t="shared" si="14"/>
        <v>0</v>
      </c>
      <c r="BO97">
        <f t="shared" si="15"/>
        <v>0</v>
      </c>
      <c r="BP97">
        <f t="shared" si="16"/>
        <v>0</v>
      </c>
      <c r="BQ97" t="s">
        <v>235</v>
      </c>
      <c r="BR97" t="s">
        <v>140</v>
      </c>
      <c r="BS97" t="s">
        <v>89</v>
      </c>
      <c r="BT97">
        <v>41</v>
      </c>
      <c r="BU97" t="s">
        <v>1086</v>
      </c>
      <c r="BV97" s="1">
        <v>44033</v>
      </c>
      <c r="BW97">
        <v>17</v>
      </c>
      <c r="BX97">
        <v>1985</v>
      </c>
      <c r="BY97">
        <v>17</v>
      </c>
      <c r="BZ97">
        <f t="shared" si="17"/>
        <v>0</v>
      </c>
      <c r="CA97">
        <f t="shared" si="18"/>
        <v>0</v>
      </c>
      <c r="CB97" t="b">
        <f t="shared" si="19"/>
        <v>1</v>
      </c>
    </row>
    <row r="98" spans="1:80" x14ac:dyDescent="0.3">
      <c r="A98" t="s">
        <v>1088</v>
      </c>
      <c r="B98" t="s">
        <v>1089</v>
      </c>
      <c r="C98" t="s">
        <v>1090</v>
      </c>
      <c r="D98">
        <v>36</v>
      </c>
      <c r="E98" t="s">
        <v>1091</v>
      </c>
      <c r="F98" t="s">
        <v>1092</v>
      </c>
      <c r="G98" t="s">
        <v>385</v>
      </c>
      <c r="H98" t="s">
        <v>1093</v>
      </c>
      <c r="I98" t="s">
        <v>116</v>
      </c>
      <c r="J98" t="s">
        <v>78</v>
      </c>
      <c r="K98" t="s">
        <v>304</v>
      </c>
      <c r="L98" t="s">
        <v>130</v>
      </c>
      <c r="M98">
        <v>19</v>
      </c>
      <c r="N98" t="s">
        <v>620</v>
      </c>
      <c r="O98">
        <v>2008</v>
      </c>
      <c r="P98" t="s">
        <v>1094</v>
      </c>
      <c r="Q98" t="s">
        <v>1095</v>
      </c>
      <c r="R98">
        <v>40433</v>
      </c>
      <c r="S98" t="s">
        <v>1088</v>
      </c>
      <c r="T98" t="s">
        <v>1096</v>
      </c>
      <c r="U98">
        <v>1988</v>
      </c>
      <c r="V98" t="s">
        <v>1097</v>
      </c>
      <c r="W98">
        <v>1.69</v>
      </c>
      <c r="X98" t="s">
        <v>1093</v>
      </c>
      <c r="Y98" t="s">
        <v>123</v>
      </c>
      <c r="Z98" t="s">
        <v>87</v>
      </c>
      <c r="AA98" t="s">
        <v>1098</v>
      </c>
      <c r="AB98" s="1">
        <v>45666</v>
      </c>
      <c r="AC98" t="s">
        <v>170</v>
      </c>
      <c r="AD98" t="s">
        <v>223</v>
      </c>
      <c r="AE98">
        <v>2005</v>
      </c>
      <c r="AF98">
        <v>16</v>
      </c>
      <c r="AG98" t="s">
        <v>1099</v>
      </c>
      <c r="AH98" t="s">
        <v>89</v>
      </c>
      <c r="AI98" t="s">
        <v>89</v>
      </c>
      <c r="AJ98" t="s">
        <v>89</v>
      </c>
      <c r="AK98">
        <v>16</v>
      </c>
      <c r="AL98">
        <v>33</v>
      </c>
      <c r="AM98">
        <v>872</v>
      </c>
      <c r="AN98">
        <v>160</v>
      </c>
      <c r="AO98">
        <v>13</v>
      </c>
      <c r="AP98" t="s">
        <v>93</v>
      </c>
      <c r="AQ98" t="s">
        <v>89</v>
      </c>
      <c r="AR98" t="s">
        <v>89</v>
      </c>
      <c r="AS98" t="s">
        <v>93</v>
      </c>
      <c r="AT98" t="s">
        <v>89</v>
      </c>
      <c r="AU98" t="s">
        <v>89</v>
      </c>
      <c r="AV98" t="s">
        <v>89</v>
      </c>
      <c r="AW98">
        <v>17</v>
      </c>
      <c r="AX98">
        <v>10</v>
      </c>
      <c r="AY98" t="s">
        <v>111</v>
      </c>
      <c r="AZ98">
        <v>16</v>
      </c>
      <c r="BA98">
        <v>87</v>
      </c>
      <c r="BB98">
        <v>7401</v>
      </c>
      <c r="BC98">
        <v>23</v>
      </c>
      <c r="BD98">
        <v>631</v>
      </c>
      <c r="BE98">
        <v>39877</v>
      </c>
      <c r="BF98">
        <v>190</v>
      </c>
      <c r="BG98" t="s">
        <v>89</v>
      </c>
      <c r="BH98">
        <v>718</v>
      </c>
      <c r="BI98">
        <v>47278</v>
      </c>
      <c r="BJ98">
        <v>213</v>
      </c>
      <c r="BK98">
        <f t="shared" si="11"/>
        <v>718</v>
      </c>
      <c r="BL98">
        <f t="shared" si="12"/>
        <v>47278</v>
      </c>
      <c r="BM98">
        <f t="shared" si="13"/>
        <v>213</v>
      </c>
      <c r="BN98">
        <f t="shared" si="14"/>
        <v>0</v>
      </c>
      <c r="BO98">
        <f t="shared" si="15"/>
        <v>0</v>
      </c>
      <c r="BP98">
        <f t="shared" si="16"/>
        <v>0</v>
      </c>
      <c r="BQ98" t="s">
        <v>123</v>
      </c>
      <c r="BR98" t="s">
        <v>112</v>
      </c>
      <c r="BS98" s="1">
        <v>32496</v>
      </c>
      <c r="BT98">
        <v>37</v>
      </c>
      <c r="BU98" t="s">
        <v>89</v>
      </c>
      <c r="BV98" t="s">
        <v>89</v>
      </c>
      <c r="BW98">
        <v>21</v>
      </c>
      <c r="BX98">
        <v>1988</v>
      </c>
      <c r="BY98">
        <v>20</v>
      </c>
      <c r="BZ98">
        <f t="shared" si="17"/>
        <v>-4</v>
      </c>
      <c r="CA98">
        <f t="shared" si="18"/>
        <v>1</v>
      </c>
      <c r="CB98" t="b">
        <f t="shared" si="19"/>
        <v>0</v>
      </c>
    </row>
    <row r="99" spans="1:80" x14ac:dyDescent="0.3">
      <c r="A99" t="s">
        <v>1100</v>
      </c>
      <c r="B99" t="s">
        <v>71</v>
      </c>
      <c r="C99" t="s">
        <v>1101</v>
      </c>
      <c r="D99">
        <v>29</v>
      </c>
      <c r="E99" t="s">
        <v>1102</v>
      </c>
      <c r="F99" t="s">
        <v>1103</v>
      </c>
      <c r="G99" t="s">
        <v>400</v>
      </c>
      <c r="H99" t="s">
        <v>76</v>
      </c>
      <c r="I99" t="s">
        <v>1104</v>
      </c>
      <c r="J99" t="s">
        <v>300</v>
      </c>
      <c r="K99" t="s">
        <v>763</v>
      </c>
      <c r="L99" t="s">
        <v>762</v>
      </c>
      <c r="M99">
        <v>18</v>
      </c>
      <c r="N99" t="s">
        <v>763</v>
      </c>
      <c r="O99">
        <v>2014</v>
      </c>
      <c r="P99" t="s">
        <v>1105</v>
      </c>
      <c r="Q99" t="s">
        <v>1106</v>
      </c>
      <c r="R99">
        <v>356197</v>
      </c>
      <c r="S99" t="s">
        <v>1100</v>
      </c>
      <c r="T99" s="1">
        <v>35312</v>
      </c>
      <c r="U99">
        <v>1996</v>
      </c>
      <c r="V99" t="s">
        <v>1107</v>
      </c>
      <c r="W99">
        <v>1.84</v>
      </c>
      <c r="X99" t="s">
        <v>76</v>
      </c>
      <c r="Y99" t="s">
        <v>203</v>
      </c>
      <c r="Z99" t="s">
        <v>152</v>
      </c>
      <c r="AA99" t="s">
        <v>763</v>
      </c>
      <c r="AB99">
        <v>42376</v>
      </c>
      <c r="AC99" t="s">
        <v>170</v>
      </c>
      <c r="AD99" t="s">
        <v>89</v>
      </c>
      <c r="AE99">
        <v>42128</v>
      </c>
      <c r="AF99">
        <v>18</v>
      </c>
      <c r="AG99" t="s">
        <v>91</v>
      </c>
      <c r="AH99" t="s">
        <v>1108</v>
      </c>
      <c r="AI99">
        <v>20</v>
      </c>
      <c r="AJ99" t="s">
        <v>110</v>
      </c>
      <c r="AK99">
        <v>18</v>
      </c>
      <c r="AL99">
        <v>12</v>
      </c>
      <c r="AM99">
        <v>525</v>
      </c>
      <c r="AN99">
        <v>83</v>
      </c>
      <c r="AO99">
        <v>6</v>
      </c>
      <c r="AP99" t="s">
        <v>93</v>
      </c>
      <c r="AQ99" t="s">
        <v>89</v>
      </c>
      <c r="AR99" t="s">
        <v>89</v>
      </c>
      <c r="AS99" t="s">
        <v>93</v>
      </c>
      <c r="AT99" t="s">
        <v>89</v>
      </c>
      <c r="AU99" t="s">
        <v>89</v>
      </c>
      <c r="AV99" t="s">
        <v>89</v>
      </c>
      <c r="AW99">
        <v>11</v>
      </c>
      <c r="AX99">
        <v>24</v>
      </c>
      <c r="AY99" t="s">
        <v>111</v>
      </c>
      <c r="AZ99">
        <v>1</v>
      </c>
      <c r="BA99">
        <v>1</v>
      </c>
      <c r="BB99">
        <v>20</v>
      </c>
      <c r="BC99">
        <v>0</v>
      </c>
      <c r="BD99">
        <v>303</v>
      </c>
      <c r="BE99">
        <v>19086</v>
      </c>
      <c r="BF99">
        <v>23</v>
      </c>
      <c r="BG99" t="s">
        <v>89</v>
      </c>
      <c r="BH99">
        <v>304</v>
      </c>
      <c r="BI99">
        <v>19106</v>
      </c>
      <c r="BJ99">
        <v>23</v>
      </c>
      <c r="BK99">
        <f t="shared" si="11"/>
        <v>304</v>
      </c>
      <c r="BL99">
        <f t="shared" si="12"/>
        <v>19106</v>
      </c>
      <c r="BM99">
        <f t="shared" si="13"/>
        <v>23</v>
      </c>
      <c r="BN99">
        <f t="shared" si="14"/>
        <v>0</v>
      </c>
      <c r="BO99">
        <f t="shared" si="15"/>
        <v>0</v>
      </c>
      <c r="BP99">
        <f t="shared" si="16"/>
        <v>0</v>
      </c>
      <c r="BQ99" t="s">
        <v>203</v>
      </c>
      <c r="BR99" t="s">
        <v>140</v>
      </c>
      <c r="BS99" s="1">
        <v>35164</v>
      </c>
      <c r="BT99">
        <v>29</v>
      </c>
      <c r="BU99" t="s">
        <v>89</v>
      </c>
      <c r="BV99" t="s">
        <v>89</v>
      </c>
      <c r="BW99">
        <v>11</v>
      </c>
      <c r="BX99">
        <v>1996</v>
      </c>
      <c r="BY99">
        <v>11</v>
      </c>
      <c r="BZ99">
        <f t="shared" si="17"/>
        <v>0</v>
      </c>
      <c r="CA99">
        <f t="shared" si="18"/>
        <v>0</v>
      </c>
      <c r="CB99" t="b">
        <f t="shared" si="19"/>
        <v>1</v>
      </c>
    </row>
    <row r="100" spans="1:80" x14ac:dyDescent="0.3">
      <c r="A100" t="s">
        <v>1109</v>
      </c>
      <c r="B100" t="s">
        <v>1110</v>
      </c>
      <c r="C100" t="s">
        <v>1111</v>
      </c>
      <c r="D100">
        <v>36</v>
      </c>
      <c r="E100">
        <v>32540</v>
      </c>
      <c r="F100" t="s">
        <v>89</v>
      </c>
      <c r="G100" t="s">
        <v>176</v>
      </c>
      <c r="H100" t="s">
        <v>1112</v>
      </c>
      <c r="I100" t="s">
        <v>437</v>
      </c>
      <c r="J100" t="s">
        <v>78</v>
      </c>
      <c r="K100" t="s">
        <v>89</v>
      </c>
      <c r="L100" t="s">
        <v>228</v>
      </c>
      <c r="M100">
        <v>21</v>
      </c>
      <c r="N100" t="s">
        <v>1113</v>
      </c>
      <c r="O100">
        <v>2010</v>
      </c>
      <c r="P100" t="s">
        <v>1114</v>
      </c>
      <c r="Q100" t="s">
        <v>1115</v>
      </c>
      <c r="R100">
        <v>90024</v>
      </c>
      <c r="S100" t="s">
        <v>1116</v>
      </c>
      <c r="T100">
        <v>32510</v>
      </c>
      <c r="U100">
        <v>1989</v>
      </c>
      <c r="V100" t="s">
        <v>1117</v>
      </c>
      <c r="W100">
        <v>1.84</v>
      </c>
      <c r="X100" t="s">
        <v>1112</v>
      </c>
      <c r="Y100" t="s">
        <v>123</v>
      </c>
      <c r="Z100" t="s">
        <v>87</v>
      </c>
      <c r="AA100" t="s">
        <v>1118</v>
      </c>
      <c r="AB100">
        <v>45665</v>
      </c>
      <c r="AC100" t="s">
        <v>108</v>
      </c>
      <c r="AD100" t="s">
        <v>89</v>
      </c>
      <c r="AE100" t="s">
        <v>1119</v>
      </c>
      <c r="AF100">
        <v>19</v>
      </c>
      <c r="AG100" t="s">
        <v>1120</v>
      </c>
      <c r="AH100" t="s">
        <v>1121</v>
      </c>
      <c r="AI100">
        <v>35</v>
      </c>
      <c r="AJ100" t="s">
        <v>1122</v>
      </c>
      <c r="AK100">
        <v>19</v>
      </c>
      <c r="AL100">
        <v>34</v>
      </c>
      <c r="AM100">
        <v>1182</v>
      </c>
      <c r="AN100">
        <v>153</v>
      </c>
      <c r="AO100">
        <v>12</v>
      </c>
      <c r="AP100" t="s">
        <v>93</v>
      </c>
      <c r="AQ100" t="s">
        <v>89</v>
      </c>
      <c r="AR100" t="s">
        <v>89</v>
      </c>
      <c r="AS100" t="s">
        <v>93</v>
      </c>
      <c r="AT100" t="s">
        <v>89</v>
      </c>
      <c r="AU100" t="s">
        <v>89</v>
      </c>
      <c r="AV100" t="s">
        <v>89</v>
      </c>
      <c r="AW100">
        <v>15</v>
      </c>
      <c r="AX100" t="s">
        <v>89</v>
      </c>
      <c r="AY100" t="s">
        <v>111</v>
      </c>
      <c r="AZ100">
        <v>17</v>
      </c>
      <c r="BA100">
        <v>66</v>
      </c>
      <c r="BB100">
        <v>3461</v>
      </c>
      <c r="BC100">
        <v>16</v>
      </c>
      <c r="BD100">
        <v>308</v>
      </c>
      <c r="BE100">
        <v>18822</v>
      </c>
      <c r="BF100">
        <v>120</v>
      </c>
      <c r="BG100" t="s">
        <v>89</v>
      </c>
      <c r="BH100">
        <v>374</v>
      </c>
      <c r="BI100">
        <v>22283</v>
      </c>
      <c r="BJ100">
        <v>136</v>
      </c>
      <c r="BK100">
        <f t="shared" si="11"/>
        <v>374</v>
      </c>
      <c r="BL100">
        <f t="shared" si="12"/>
        <v>22283</v>
      </c>
      <c r="BM100">
        <f t="shared" si="13"/>
        <v>136</v>
      </c>
      <c r="BN100">
        <f t="shared" si="14"/>
        <v>0</v>
      </c>
      <c r="BO100">
        <f t="shared" si="15"/>
        <v>0</v>
      </c>
      <c r="BP100">
        <f t="shared" si="16"/>
        <v>0</v>
      </c>
      <c r="BQ100" t="s">
        <v>123</v>
      </c>
      <c r="BR100" t="s">
        <v>112</v>
      </c>
      <c r="BS100" t="s">
        <v>89</v>
      </c>
      <c r="BT100">
        <v>37</v>
      </c>
      <c r="BU100" t="s">
        <v>89</v>
      </c>
      <c r="BV100" t="s">
        <v>89</v>
      </c>
      <c r="BW100">
        <v>18</v>
      </c>
      <c r="BX100">
        <v>1989</v>
      </c>
      <c r="BY100">
        <v>17</v>
      </c>
      <c r="BZ100">
        <f t="shared" si="17"/>
        <v>-3</v>
      </c>
      <c r="CA100">
        <f t="shared" si="18"/>
        <v>1</v>
      </c>
      <c r="CB100" t="b">
        <f t="shared" si="19"/>
        <v>0</v>
      </c>
    </row>
    <row r="101" spans="1:80" x14ac:dyDescent="0.3">
      <c r="A101" t="s">
        <v>1123</v>
      </c>
      <c r="B101" t="s">
        <v>603</v>
      </c>
      <c r="C101" t="s">
        <v>1124</v>
      </c>
      <c r="D101">
        <v>35</v>
      </c>
      <c r="E101" s="1">
        <v>32938</v>
      </c>
      <c r="F101" t="s">
        <v>89</v>
      </c>
      <c r="G101" t="s">
        <v>277</v>
      </c>
      <c r="H101" t="s">
        <v>1125</v>
      </c>
      <c r="I101" t="s">
        <v>453</v>
      </c>
      <c r="J101" t="s">
        <v>78</v>
      </c>
      <c r="K101" t="s">
        <v>89</v>
      </c>
      <c r="L101" t="s">
        <v>130</v>
      </c>
      <c r="M101">
        <v>18</v>
      </c>
      <c r="N101" t="s">
        <v>1126</v>
      </c>
      <c r="O101">
        <v>2008</v>
      </c>
      <c r="P101" t="s">
        <v>1127</v>
      </c>
      <c r="Q101" t="s">
        <v>1128</v>
      </c>
      <c r="R101">
        <v>135778</v>
      </c>
      <c r="S101" t="s">
        <v>1129</v>
      </c>
      <c r="T101" s="1">
        <v>32938</v>
      </c>
      <c r="U101">
        <v>1990</v>
      </c>
      <c r="V101" t="s">
        <v>1130</v>
      </c>
      <c r="W101">
        <v>1.89</v>
      </c>
      <c r="X101" t="s">
        <v>606</v>
      </c>
      <c r="Y101" t="s">
        <v>1131</v>
      </c>
      <c r="Z101" t="s">
        <v>87</v>
      </c>
      <c r="AA101" t="s">
        <v>476</v>
      </c>
      <c r="AB101" s="1">
        <v>45298</v>
      </c>
      <c r="AC101" t="s">
        <v>89</v>
      </c>
      <c r="AD101" t="s">
        <v>89</v>
      </c>
      <c r="AE101">
        <v>2008</v>
      </c>
      <c r="AF101">
        <v>18</v>
      </c>
      <c r="AG101" t="s">
        <v>206</v>
      </c>
      <c r="AH101" s="1">
        <v>2014</v>
      </c>
      <c r="AI101">
        <v>24</v>
      </c>
      <c r="AJ101">
        <v>0</v>
      </c>
      <c r="AK101">
        <v>18</v>
      </c>
      <c r="AL101">
        <v>3</v>
      </c>
      <c r="AM101">
        <v>75</v>
      </c>
      <c r="AN101">
        <v>14</v>
      </c>
      <c r="AO101">
        <v>3</v>
      </c>
      <c r="AP101" t="s">
        <v>93</v>
      </c>
      <c r="AQ101" t="s">
        <v>89</v>
      </c>
      <c r="AR101" t="s">
        <v>89</v>
      </c>
      <c r="AS101" t="s">
        <v>93</v>
      </c>
      <c r="AT101" t="s">
        <v>89</v>
      </c>
      <c r="AU101" t="s">
        <v>89</v>
      </c>
      <c r="AV101" t="s">
        <v>89</v>
      </c>
      <c r="AW101">
        <v>17</v>
      </c>
      <c r="AX101" t="s">
        <v>89</v>
      </c>
      <c r="AY101" t="s">
        <v>111</v>
      </c>
      <c r="AZ101">
        <v>13</v>
      </c>
      <c r="BA101">
        <v>25</v>
      </c>
      <c r="BB101">
        <v>1352</v>
      </c>
      <c r="BC101">
        <v>1</v>
      </c>
      <c r="BD101">
        <v>415</v>
      </c>
      <c r="BE101">
        <v>31135</v>
      </c>
      <c r="BF101">
        <v>22</v>
      </c>
      <c r="BG101" t="s">
        <v>89</v>
      </c>
      <c r="BH101">
        <v>440</v>
      </c>
      <c r="BI101">
        <v>32487</v>
      </c>
      <c r="BJ101">
        <v>23</v>
      </c>
      <c r="BK101">
        <f t="shared" si="11"/>
        <v>440</v>
      </c>
      <c r="BL101">
        <f t="shared" si="12"/>
        <v>32487</v>
      </c>
      <c r="BM101">
        <f t="shared" si="13"/>
        <v>23</v>
      </c>
      <c r="BN101">
        <f t="shared" si="14"/>
        <v>0</v>
      </c>
      <c r="BO101">
        <f t="shared" si="15"/>
        <v>0</v>
      </c>
      <c r="BP101">
        <f t="shared" si="16"/>
        <v>0</v>
      </c>
      <c r="BQ101" t="s">
        <v>1131</v>
      </c>
      <c r="BR101" t="s">
        <v>94</v>
      </c>
      <c r="BS101" s="1">
        <v>33027</v>
      </c>
      <c r="BT101">
        <v>35</v>
      </c>
      <c r="BU101" t="s">
        <v>89</v>
      </c>
      <c r="BV101" t="s">
        <v>89</v>
      </c>
      <c r="BW101">
        <v>17</v>
      </c>
      <c r="BX101">
        <v>1990</v>
      </c>
      <c r="BY101">
        <v>17</v>
      </c>
      <c r="BZ101">
        <f t="shared" si="17"/>
        <v>0</v>
      </c>
      <c r="CA101">
        <f t="shared" si="18"/>
        <v>0</v>
      </c>
      <c r="CB101" t="b">
        <f t="shared" si="19"/>
        <v>1</v>
      </c>
    </row>
    <row r="102" spans="1:80" x14ac:dyDescent="0.3">
      <c r="A102" t="s">
        <v>1132</v>
      </c>
      <c r="B102" t="s">
        <v>71</v>
      </c>
      <c r="C102" t="s">
        <v>1133</v>
      </c>
      <c r="D102">
        <v>34</v>
      </c>
      <c r="E102" t="s">
        <v>1134</v>
      </c>
      <c r="F102" t="s">
        <v>1135</v>
      </c>
      <c r="G102" t="s">
        <v>176</v>
      </c>
      <c r="H102" t="s">
        <v>89</v>
      </c>
      <c r="I102" t="s">
        <v>1136</v>
      </c>
      <c r="J102" t="s">
        <v>89</v>
      </c>
      <c r="K102" t="s">
        <v>1137</v>
      </c>
      <c r="L102" t="s">
        <v>130</v>
      </c>
      <c r="M102">
        <v>17</v>
      </c>
      <c r="N102" t="s">
        <v>361</v>
      </c>
      <c r="O102">
        <v>2008</v>
      </c>
      <c r="P102" t="s">
        <v>1138</v>
      </c>
      <c r="Q102" t="s">
        <v>1139</v>
      </c>
      <c r="R102">
        <v>96540</v>
      </c>
      <c r="S102" t="s">
        <v>1132</v>
      </c>
      <c r="T102" t="s">
        <v>1140</v>
      </c>
      <c r="U102">
        <v>1991</v>
      </c>
      <c r="V102" t="s">
        <v>1141</v>
      </c>
      <c r="W102">
        <v>1.84</v>
      </c>
      <c r="X102" t="s">
        <v>76</v>
      </c>
      <c r="Y102" t="s">
        <v>123</v>
      </c>
      <c r="Z102" t="s">
        <v>152</v>
      </c>
      <c r="AA102" t="s">
        <v>896</v>
      </c>
      <c r="AB102" t="s">
        <v>1142</v>
      </c>
      <c r="AC102" t="s">
        <v>170</v>
      </c>
      <c r="AD102" t="s">
        <v>89</v>
      </c>
      <c r="AE102" t="s">
        <v>561</v>
      </c>
      <c r="AF102">
        <v>23</v>
      </c>
      <c r="AG102" t="s">
        <v>91</v>
      </c>
      <c r="AH102" t="s">
        <v>1143</v>
      </c>
      <c r="AI102">
        <v>17</v>
      </c>
      <c r="AJ102" t="s">
        <v>110</v>
      </c>
      <c r="AK102">
        <v>17</v>
      </c>
      <c r="AL102" t="s">
        <v>89</v>
      </c>
      <c r="AM102" t="s">
        <v>89</v>
      </c>
      <c r="AN102" t="s">
        <v>89</v>
      </c>
      <c r="AO102">
        <v>0</v>
      </c>
      <c r="AP102" t="s">
        <v>93</v>
      </c>
      <c r="AQ102" t="s">
        <v>89</v>
      </c>
      <c r="AR102" t="s">
        <v>89</v>
      </c>
      <c r="AS102" t="s">
        <v>93</v>
      </c>
      <c r="AT102" t="s">
        <v>89</v>
      </c>
      <c r="AU102" t="s">
        <v>89</v>
      </c>
      <c r="AV102" t="s">
        <v>89</v>
      </c>
      <c r="AW102">
        <v>17</v>
      </c>
      <c r="AX102">
        <v>9</v>
      </c>
      <c r="AY102" t="s">
        <v>93</v>
      </c>
      <c r="AZ102">
        <v>0</v>
      </c>
      <c r="BA102">
        <v>0</v>
      </c>
      <c r="BB102">
        <v>0</v>
      </c>
      <c r="BC102">
        <v>0</v>
      </c>
      <c r="BD102">
        <v>424</v>
      </c>
      <c r="BE102">
        <v>24308</v>
      </c>
      <c r="BF102">
        <v>98</v>
      </c>
      <c r="BG102" t="s">
        <v>89</v>
      </c>
      <c r="BH102">
        <v>424</v>
      </c>
      <c r="BI102">
        <v>24308</v>
      </c>
      <c r="BJ102">
        <v>98</v>
      </c>
      <c r="BK102">
        <f t="shared" si="11"/>
        <v>424</v>
      </c>
      <c r="BL102">
        <f t="shared" si="12"/>
        <v>24308</v>
      </c>
      <c r="BM102">
        <f t="shared" si="13"/>
        <v>98</v>
      </c>
      <c r="BN102">
        <f t="shared" si="14"/>
        <v>0</v>
      </c>
      <c r="BO102">
        <f t="shared" si="15"/>
        <v>0</v>
      </c>
      <c r="BP102">
        <f t="shared" si="16"/>
        <v>0</v>
      </c>
      <c r="BQ102" t="s">
        <v>123</v>
      </c>
      <c r="BR102" t="s">
        <v>112</v>
      </c>
      <c r="BS102" s="1">
        <v>33259</v>
      </c>
      <c r="BT102">
        <v>35</v>
      </c>
      <c r="BU102" t="s">
        <v>89</v>
      </c>
      <c r="BV102" t="s">
        <v>89</v>
      </c>
      <c r="BW102">
        <v>18</v>
      </c>
      <c r="BX102">
        <v>1991</v>
      </c>
      <c r="BY102">
        <v>17</v>
      </c>
      <c r="BZ102">
        <f t="shared" si="17"/>
        <v>-1</v>
      </c>
      <c r="CA102">
        <f t="shared" si="18"/>
        <v>1</v>
      </c>
      <c r="CB102" t="b">
        <f t="shared" si="19"/>
        <v>0</v>
      </c>
    </row>
    <row r="103" spans="1:80" x14ac:dyDescent="0.3">
      <c r="A103" t="s">
        <v>1144</v>
      </c>
      <c r="B103" t="s">
        <v>1056</v>
      </c>
      <c r="C103" t="s">
        <v>1145</v>
      </c>
      <c r="D103">
        <v>37</v>
      </c>
      <c r="E103" t="s">
        <v>1146</v>
      </c>
      <c r="F103" t="s">
        <v>1147</v>
      </c>
      <c r="G103" t="s">
        <v>193</v>
      </c>
      <c r="H103" t="s">
        <v>1148</v>
      </c>
      <c r="I103" t="s">
        <v>596</v>
      </c>
      <c r="J103" t="s">
        <v>78</v>
      </c>
      <c r="K103" t="s">
        <v>181</v>
      </c>
      <c r="L103" t="s">
        <v>228</v>
      </c>
      <c r="M103">
        <v>22</v>
      </c>
      <c r="N103" t="s">
        <v>229</v>
      </c>
      <c r="O103">
        <v>2010</v>
      </c>
      <c r="P103" t="s">
        <v>1149</v>
      </c>
      <c r="Q103" t="s">
        <v>1150</v>
      </c>
      <c r="R103">
        <v>111508</v>
      </c>
      <c r="S103" t="s">
        <v>1144</v>
      </c>
      <c r="T103">
        <v>32421</v>
      </c>
      <c r="U103">
        <v>1988</v>
      </c>
      <c r="V103" t="s">
        <v>1151</v>
      </c>
      <c r="W103">
        <v>1.89</v>
      </c>
      <c r="X103" t="s">
        <v>1065</v>
      </c>
      <c r="Y103" t="s">
        <v>136</v>
      </c>
      <c r="Z103" t="s">
        <v>87</v>
      </c>
      <c r="AA103" t="s">
        <v>181</v>
      </c>
      <c r="AB103" t="s">
        <v>1152</v>
      </c>
      <c r="AC103" t="s">
        <v>170</v>
      </c>
      <c r="AD103" t="s">
        <v>89</v>
      </c>
      <c r="AE103" t="s">
        <v>306</v>
      </c>
      <c r="AF103">
        <v>23</v>
      </c>
      <c r="AG103" t="s">
        <v>91</v>
      </c>
      <c r="AH103" t="s">
        <v>237</v>
      </c>
      <c r="AI103">
        <v>22</v>
      </c>
      <c r="AJ103" t="s">
        <v>110</v>
      </c>
      <c r="AK103">
        <v>22</v>
      </c>
      <c r="AL103">
        <v>2</v>
      </c>
      <c r="AM103">
        <v>61</v>
      </c>
      <c r="AN103">
        <v>9</v>
      </c>
      <c r="AO103">
        <v>1</v>
      </c>
      <c r="AP103" t="s">
        <v>93</v>
      </c>
      <c r="AQ103" t="s">
        <v>89</v>
      </c>
      <c r="AR103" t="s">
        <v>89</v>
      </c>
      <c r="AS103" t="s">
        <v>93</v>
      </c>
      <c r="AT103" t="s">
        <v>89</v>
      </c>
      <c r="AU103" t="s">
        <v>89</v>
      </c>
      <c r="AV103" t="s">
        <v>89</v>
      </c>
      <c r="AW103">
        <v>15</v>
      </c>
      <c r="AX103">
        <v>12</v>
      </c>
      <c r="AY103" t="s">
        <v>111</v>
      </c>
      <c r="AZ103">
        <v>9</v>
      </c>
      <c r="BA103">
        <v>12</v>
      </c>
      <c r="BB103">
        <v>812</v>
      </c>
      <c r="BC103">
        <v>0</v>
      </c>
      <c r="BD103">
        <v>499</v>
      </c>
      <c r="BE103">
        <v>38942</v>
      </c>
      <c r="BF103">
        <v>9</v>
      </c>
      <c r="BG103" t="s">
        <v>89</v>
      </c>
      <c r="BH103">
        <v>511</v>
      </c>
      <c r="BI103">
        <v>39754</v>
      </c>
      <c r="BJ103">
        <v>9</v>
      </c>
      <c r="BK103">
        <f t="shared" si="11"/>
        <v>511</v>
      </c>
      <c r="BL103">
        <f t="shared" si="12"/>
        <v>39754</v>
      </c>
      <c r="BM103">
        <f t="shared" si="13"/>
        <v>9</v>
      </c>
      <c r="BN103">
        <f t="shared" si="14"/>
        <v>0</v>
      </c>
      <c r="BO103">
        <f t="shared" si="15"/>
        <v>0</v>
      </c>
      <c r="BP103">
        <f t="shared" si="16"/>
        <v>0</v>
      </c>
      <c r="BQ103" t="s">
        <v>136</v>
      </c>
      <c r="BR103" t="s">
        <v>140</v>
      </c>
      <c r="BS103" t="s">
        <v>89</v>
      </c>
      <c r="BT103">
        <v>38</v>
      </c>
      <c r="BU103" t="s">
        <v>89</v>
      </c>
      <c r="BV103" t="s">
        <v>89</v>
      </c>
      <c r="BW103">
        <v>16</v>
      </c>
      <c r="BX103">
        <v>1988</v>
      </c>
      <c r="BY103">
        <v>15</v>
      </c>
      <c r="BZ103">
        <f t="shared" si="17"/>
        <v>-1</v>
      </c>
      <c r="CA103">
        <f t="shared" si="18"/>
        <v>1</v>
      </c>
      <c r="CB103" t="b">
        <f t="shared" si="19"/>
        <v>0</v>
      </c>
    </row>
    <row r="104" spans="1:80" x14ac:dyDescent="0.3">
      <c r="A104" t="s">
        <v>1153</v>
      </c>
      <c r="B104" t="s">
        <v>1056</v>
      </c>
      <c r="C104" t="s">
        <v>1154</v>
      </c>
      <c r="D104">
        <v>41</v>
      </c>
      <c r="E104" s="1">
        <v>30605</v>
      </c>
      <c r="F104" t="s">
        <v>89</v>
      </c>
      <c r="G104" t="s">
        <v>115</v>
      </c>
      <c r="H104" t="s">
        <v>1058</v>
      </c>
      <c r="I104" t="s">
        <v>437</v>
      </c>
      <c r="J104" t="s">
        <v>78</v>
      </c>
      <c r="K104" t="s">
        <v>89</v>
      </c>
      <c r="L104" t="s">
        <v>145</v>
      </c>
      <c r="M104">
        <v>20</v>
      </c>
      <c r="N104" t="s">
        <v>1155</v>
      </c>
      <c r="O104">
        <v>2004</v>
      </c>
      <c r="P104" t="s">
        <v>1156</v>
      </c>
      <c r="Q104" t="s">
        <v>1157</v>
      </c>
      <c r="R104">
        <v>18416</v>
      </c>
      <c r="S104" t="s">
        <v>1153</v>
      </c>
      <c r="T104" t="s">
        <v>1158</v>
      </c>
      <c r="U104">
        <v>1983</v>
      </c>
      <c r="V104" t="s">
        <v>1064</v>
      </c>
      <c r="W104">
        <v>1.8</v>
      </c>
      <c r="X104" t="s">
        <v>1159</v>
      </c>
      <c r="Y104" t="s">
        <v>123</v>
      </c>
      <c r="Z104" t="s">
        <v>87</v>
      </c>
      <c r="AA104" t="s">
        <v>1160</v>
      </c>
      <c r="AB104">
        <v>43837</v>
      </c>
      <c r="AC104" t="s">
        <v>108</v>
      </c>
      <c r="AD104" t="s">
        <v>89</v>
      </c>
      <c r="AE104">
        <v>38176</v>
      </c>
      <c r="AF104">
        <v>20</v>
      </c>
      <c r="AG104" t="s">
        <v>1161</v>
      </c>
      <c r="AH104" t="s">
        <v>1162</v>
      </c>
      <c r="AI104">
        <v>18</v>
      </c>
      <c r="AJ104" t="s">
        <v>1122</v>
      </c>
      <c r="AK104">
        <v>18</v>
      </c>
      <c r="AL104" t="s">
        <v>89</v>
      </c>
      <c r="AM104" t="s">
        <v>89</v>
      </c>
      <c r="AN104" t="s">
        <v>89</v>
      </c>
      <c r="AO104">
        <v>0</v>
      </c>
      <c r="AP104" t="s">
        <v>93</v>
      </c>
      <c r="AQ104" t="s">
        <v>89</v>
      </c>
      <c r="AR104" t="s">
        <v>89</v>
      </c>
      <c r="AS104" t="s">
        <v>111</v>
      </c>
      <c r="AT104">
        <v>43837</v>
      </c>
      <c r="AU104">
        <v>2020</v>
      </c>
      <c r="AV104">
        <v>16</v>
      </c>
      <c r="AW104">
        <v>16</v>
      </c>
      <c r="AX104" t="s">
        <v>89</v>
      </c>
      <c r="AY104" t="s">
        <v>93</v>
      </c>
      <c r="AZ104">
        <v>0</v>
      </c>
      <c r="BA104">
        <v>0</v>
      </c>
      <c r="BB104">
        <v>0</v>
      </c>
      <c r="BC104">
        <v>0</v>
      </c>
      <c r="BD104">
        <v>212</v>
      </c>
      <c r="BE104">
        <v>13886</v>
      </c>
      <c r="BF104">
        <v>45</v>
      </c>
      <c r="BG104">
        <v>37</v>
      </c>
      <c r="BH104">
        <v>212</v>
      </c>
      <c r="BI104">
        <v>13886</v>
      </c>
      <c r="BJ104">
        <v>45</v>
      </c>
      <c r="BK104">
        <f t="shared" si="11"/>
        <v>212</v>
      </c>
      <c r="BL104">
        <f t="shared" si="12"/>
        <v>13886</v>
      </c>
      <c r="BM104">
        <f t="shared" si="13"/>
        <v>45</v>
      </c>
      <c r="BN104">
        <f t="shared" si="14"/>
        <v>0</v>
      </c>
      <c r="BO104">
        <f t="shared" si="15"/>
        <v>0</v>
      </c>
      <c r="BP104">
        <f t="shared" si="16"/>
        <v>0</v>
      </c>
      <c r="BQ104" t="s">
        <v>123</v>
      </c>
      <c r="BR104" t="s">
        <v>112</v>
      </c>
      <c r="BS104" s="1">
        <v>30605</v>
      </c>
      <c r="BT104">
        <v>42</v>
      </c>
      <c r="BU104">
        <v>43837</v>
      </c>
      <c r="BV104" t="s">
        <v>89</v>
      </c>
      <c r="BW104">
        <v>19</v>
      </c>
      <c r="BX104">
        <v>1983</v>
      </c>
      <c r="BY104">
        <v>19</v>
      </c>
      <c r="BZ104">
        <f t="shared" si="17"/>
        <v>-3</v>
      </c>
      <c r="CA104">
        <f t="shared" si="18"/>
        <v>0</v>
      </c>
      <c r="CB104" t="b">
        <f t="shared" si="19"/>
        <v>0</v>
      </c>
    </row>
    <row r="105" spans="1:80" x14ac:dyDescent="0.3">
      <c r="A105" t="s">
        <v>1163</v>
      </c>
      <c r="B105" t="s">
        <v>191</v>
      </c>
      <c r="C105" t="s">
        <v>1164</v>
      </c>
      <c r="D105">
        <v>37</v>
      </c>
      <c r="E105" t="s">
        <v>1165</v>
      </c>
      <c r="F105" t="s">
        <v>1166</v>
      </c>
      <c r="G105" t="s">
        <v>400</v>
      </c>
      <c r="H105" t="s">
        <v>194</v>
      </c>
      <c r="I105" t="s">
        <v>195</v>
      </c>
      <c r="J105" t="s">
        <v>300</v>
      </c>
      <c r="K105" t="s">
        <v>1167</v>
      </c>
      <c r="L105" t="s">
        <v>130</v>
      </c>
      <c r="M105">
        <v>20</v>
      </c>
      <c r="N105" t="s">
        <v>1168</v>
      </c>
      <c r="O105">
        <v>2008</v>
      </c>
      <c r="P105" t="s">
        <v>1169</v>
      </c>
      <c r="Q105" t="s">
        <v>1170</v>
      </c>
      <c r="R105">
        <v>57515</v>
      </c>
      <c r="S105" t="s">
        <v>1163</v>
      </c>
      <c r="T105" t="s">
        <v>1171</v>
      </c>
      <c r="U105">
        <v>1987</v>
      </c>
      <c r="V105" t="s">
        <v>1172</v>
      </c>
      <c r="W105">
        <v>1.87</v>
      </c>
      <c r="X105" t="s">
        <v>1173</v>
      </c>
      <c r="Y105" t="s">
        <v>235</v>
      </c>
      <c r="Z105" t="s">
        <v>152</v>
      </c>
      <c r="AA105" t="s">
        <v>1174</v>
      </c>
      <c r="AB105" s="1">
        <v>45754</v>
      </c>
      <c r="AC105" t="s">
        <v>170</v>
      </c>
      <c r="AD105" t="s">
        <v>223</v>
      </c>
      <c r="AE105" t="s">
        <v>1175</v>
      </c>
      <c r="AF105">
        <v>20</v>
      </c>
      <c r="AG105" t="s">
        <v>613</v>
      </c>
      <c r="AH105" t="s">
        <v>1176</v>
      </c>
      <c r="AI105">
        <v>19</v>
      </c>
      <c r="AJ105" t="s">
        <v>1044</v>
      </c>
      <c r="AK105">
        <v>19</v>
      </c>
      <c r="AL105">
        <v>5</v>
      </c>
      <c r="AM105">
        <v>352</v>
      </c>
      <c r="AN105">
        <v>37</v>
      </c>
      <c r="AO105">
        <v>5</v>
      </c>
      <c r="AP105" t="s">
        <v>93</v>
      </c>
      <c r="AQ105" t="s">
        <v>89</v>
      </c>
      <c r="AR105" t="s">
        <v>89</v>
      </c>
      <c r="AS105" t="s">
        <v>93</v>
      </c>
      <c r="AT105" t="s">
        <v>89</v>
      </c>
      <c r="AU105" t="s">
        <v>89</v>
      </c>
      <c r="AV105" t="s">
        <v>89</v>
      </c>
      <c r="AW105">
        <v>17</v>
      </c>
      <c r="AX105">
        <v>22</v>
      </c>
      <c r="AY105" t="s">
        <v>93</v>
      </c>
      <c r="AZ105">
        <v>0</v>
      </c>
      <c r="BA105">
        <v>0</v>
      </c>
      <c r="BB105">
        <v>0</v>
      </c>
      <c r="BC105">
        <v>0</v>
      </c>
      <c r="BD105">
        <v>318</v>
      </c>
      <c r="BE105">
        <v>26927</v>
      </c>
      <c r="BF105">
        <v>4</v>
      </c>
      <c r="BG105" t="s">
        <v>89</v>
      </c>
      <c r="BH105">
        <v>318</v>
      </c>
      <c r="BI105">
        <v>26927</v>
      </c>
      <c r="BJ105">
        <v>4</v>
      </c>
      <c r="BK105">
        <f t="shared" si="11"/>
        <v>318</v>
      </c>
      <c r="BL105">
        <f t="shared" si="12"/>
        <v>26927</v>
      </c>
      <c r="BM105">
        <f t="shared" si="13"/>
        <v>4</v>
      </c>
      <c r="BN105">
        <f t="shared" si="14"/>
        <v>0</v>
      </c>
      <c r="BO105">
        <f t="shared" si="15"/>
        <v>0</v>
      </c>
      <c r="BP105">
        <f t="shared" si="16"/>
        <v>0</v>
      </c>
      <c r="BQ105" t="s">
        <v>235</v>
      </c>
      <c r="BR105" t="s">
        <v>140</v>
      </c>
      <c r="BS105" s="1">
        <v>32035</v>
      </c>
      <c r="BT105">
        <v>38</v>
      </c>
      <c r="BU105" t="s">
        <v>89</v>
      </c>
      <c r="BV105" t="s">
        <v>89</v>
      </c>
      <c r="BW105">
        <v>19</v>
      </c>
      <c r="BX105">
        <v>1987</v>
      </c>
      <c r="BY105">
        <v>18</v>
      </c>
      <c r="BZ105">
        <f t="shared" si="17"/>
        <v>-2</v>
      </c>
      <c r="CA105">
        <f t="shared" si="18"/>
        <v>1</v>
      </c>
      <c r="CB105" t="b">
        <f t="shared" si="19"/>
        <v>0</v>
      </c>
    </row>
    <row r="106" spans="1:80" x14ac:dyDescent="0.3">
      <c r="A106" t="s">
        <v>1177</v>
      </c>
      <c r="B106" t="s">
        <v>71</v>
      </c>
      <c r="C106" t="s">
        <v>1178</v>
      </c>
      <c r="D106">
        <v>38</v>
      </c>
      <c r="E106" t="s">
        <v>1179</v>
      </c>
      <c r="F106" t="s">
        <v>1180</v>
      </c>
      <c r="G106" t="s">
        <v>75</v>
      </c>
      <c r="H106" t="s">
        <v>89</v>
      </c>
      <c r="I106" t="s">
        <v>375</v>
      </c>
      <c r="J106" t="s">
        <v>78</v>
      </c>
      <c r="K106" t="s">
        <v>1181</v>
      </c>
      <c r="L106" t="s">
        <v>228</v>
      </c>
      <c r="M106">
        <v>23</v>
      </c>
      <c r="N106" t="s">
        <v>105</v>
      </c>
      <c r="O106">
        <v>2010</v>
      </c>
      <c r="P106" t="s">
        <v>1182</v>
      </c>
      <c r="Q106" t="s">
        <v>1183</v>
      </c>
      <c r="R106">
        <v>71548</v>
      </c>
      <c r="S106" t="s">
        <v>1177</v>
      </c>
      <c r="T106" t="s">
        <v>1184</v>
      </c>
      <c r="U106">
        <v>1987</v>
      </c>
      <c r="V106" t="s">
        <v>1185</v>
      </c>
      <c r="W106">
        <v>1.78</v>
      </c>
      <c r="X106" t="s">
        <v>76</v>
      </c>
      <c r="Y106" t="s">
        <v>235</v>
      </c>
      <c r="Z106" t="s">
        <v>87</v>
      </c>
      <c r="AA106" t="s">
        <v>1186</v>
      </c>
      <c r="AB106" t="s">
        <v>1187</v>
      </c>
      <c r="AC106" t="s">
        <v>170</v>
      </c>
      <c r="AD106" t="s">
        <v>89</v>
      </c>
      <c r="AE106" s="1">
        <v>41549</v>
      </c>
      <c r="AF106">
        <v>25</v>
      </c>
      <c r="AG106" t="s">
        <v>91</v>
      </c>
      <c r="AH106" t="s">
        <v>237</v>
      </c>
      <c r="AI106">
        <v>23</v>
      </c>
      <c r="AJ106" t="s">
        <v>110</v>
      </c>
      <c r="AK106">
        <v>23</v>
      </c>
      <c r="AL106">
        <v>15</v>
      </c>
      <c r="AM106">
        <v>732</v>
      </c>
      <c r="AN106">
        <v>98</v>
      </c>
      <c r="AO106">
        <v>9</v>
      </c>
      <c r="AP106" t="s">
        <v>93</v>
      </c>
      <c r="AQ106" t="s">
        <v>89</v>
      </c>
      <c r="AR106" t="s">
        <v>89</v>
      </c>
      <c r="AS106" t="s">
        <v>93</v>
      </c>
      <c r="AT106" t="s">
        <v>89</v>
      </c>
      <c r="AU106" t="s">
        <v>89</v>
      </c>
      <c r="AV106" t="s">
        <v>89</v>
      </c>
      <c r="AW106">
        <v>15</v>
      </c>
      <c r="AX106">
        <v>23</v>
      </c>
      <c r="AY106" t="s">
        <v>93</v>
      </c>
      <c r="AZ106">
        <v>0</v>
      </c>
      <c r="BA106">
        <v>0</v>
      </c>
      <c r="BB106">
        <v>0</v>
      </c>
      <c r="BC106">
        <v>0</v>
      </c>
      <c r="BD106">
        <v>436</v>
      </c>
      <c r="BE106">
        <v>35141</v>
      </c>
      <c r="BF106">
        <v>11</v>
      </c>
      <c r="BG106" t="s">
        <v>89</v>
      </c>
      <c r="BH106">
        <v>436</v>
      </c>
      <c r="BI106">
        <v>35141</v>
      </c>
      <c r="BJ106">
        <v>11</v>
      </c>
      <c r="BK106">
        <f t="shared" si="11"/>
        <v>436</v>
      </c>
      <c r="BL106">
        <f t="shared" si="12"/>
        <v>35141</v>
      </c>
      <c r="BM106">
        <f t="shared" si="13"/>
        <v>11</v>
      </c>
      <c r="BN106">
        <f t="shared" si="14"/>
        <v>0</v>
      </c>
      <c r="BO106">
        <f t="shared" si="15"/>
        <v>0</v>
      </c>
      <c r="BP106">
        <f t="shared" si="16"/>
        <v>0</v>
      </c>
      <c r="BQ106" t="s">
        <v>235</v>
      </c>
      <c r="BR106" t="s">
        <v>140</v>
      </c>
      <c r="BS106" s="1">
        <v>31912</v>
      </c>
      <c r="BT106">
        <v>38</v>
      </c>
      <c r="BU106" t="s">
        <v>89</v>
      </c>
      <c r="BV106" t="s">
        <v>89</v>
      </c>
      <c r="BW106">
        <v>15</v>
      </c>
      <c r="BX106">
        <v>1987</v>
      </c>
      <c r="BY106">
        <v>15</v>
      </c>
      <c r="BZ106">
        <f t="shared" si="17"/>
        <v>0</v>
      </c>
      <c r="CA106">
        <f t="shared" si="18"/>
        <v>0</v>
      </c>
      <c r="CB106" t="b">
        <f t="shared" si="19"/>
        <v>1</v>
      </c>
    </row>
    <row r="107" spans="1:80" x14ac:dyDescent="0.3">
      <c r="A107" t="s">
        <v>1188</v>
      </c>
      <c r="B107" t="s">
        <v>71</v>
      </c>
      <c r="C107" t="s">
        <v>1189</v>
      </c>
      <c r="D107">
        <v>33</v>
      </c>
      <c r="E107" s="1">
        <v>33642</v>
      </c>
      <c r="F107" t="s">
        <v>89</v>
      </c>
      <c r="G107" t="s">
        <v>298</v>
      </c>
      <c r="H107" t="s">
        <v>89</v>
      </c>
      <c r="I107" t="s">
        <v>1190</v>
      </c>
      <c r="J107" t="s">
        <v>78</v>
      </c>
      <c r="K107" t="s">
        <v>89</v>
      </c>
      <c r="L107" t="s">
        <v>324</v>
      </c>
      <c r="M107">
        <v>21</v>
      </c>
      <c r="N107" t="s">
        <v>1181</v>
      </c>
      <c r="O107">
        <v>2013</v>
      </c>
      <c r="P107" t="s">
        <v>1191</v>
      </c>
      <c r="Q107" t="s">
        <v>1192</v>
      </c>
      <c r="R107">
        <v>197545</v>
      </c>
      <c r="S107" t="s">
        <v>1188</v>
      </c>
      <c r="T107" s="1">
        <v>33818</v>
      </c>
      <c r="U107">
        <v>1992</v>
      </c>
      <c r="V107" t="s">
        <v>1193</v>
      </c>
      <c r="W107">
        <v>1.75</v>
      </c>
      <c r="X107" t="s">
        <v>76</v>
      </c>
      <c r="Y107" t="s">
        <v>136</v>
      </c>
      <c r="Z107" t="s">
        <v>87</v>
      </c>
      <c r="AA107" t="s">
        <v>1193</v>
      </c>
      <c r="AB107" s="1">
        <v>45664</v>
      </c>
      <c r="AC107" t="s">
        <v>108</v>
      </c>
      <c r="AD107" t="s">
        <v>89</v>
      </c>
      <c r="AE107">
        <v>2014</v>
      </c>
      <c r="AF107">
        <v>22</v>
      </c>
      <c r="AG107" t="s">
        <v>91</v>
      </c>
      <c r="AH107">
        <v>2013</v>
      </c>
      <c r="AI107">
        <v>21</v>
      </c>
      <c r="AJ107">
        <v>0</v>
      </c>
      <c r="AK107">
        <v>21</v>
      </c>
      <c r="AL107">
        <v>16</v>
      </c>
      <c r="AM107">
        <v>238</v>
      </c>
      <c r="AN107">
        <v>35</v>
      </c>
      <c r="AO107">
        <v>6</v>
      </c>
      <c r="AP107" t="s">
        <v>93</v>
      </c>
      <c r="AQ107" t="s">
        <v>89</v>
      </c>
      <c r="AR107" t="s">
        <v>89</v>
      </c>
      <c r="AS107" t="s">
        <v>111</v>
      </c>
      <c r="AT107">
        <v>45664</v>
      </c>
      <c r="AU107">
        <v>2025</v>
      </c>
      <c r="AV107">
        <v>12</v>
      </c>
      <c r="AW107">
        <v>12</v>
      </c>
      <c r="AX107" t="s">
        <v>89</v>
      </c>
      <c r="AY107" t="s">
        <v>93</v>
      </c>
      <c r="AZ107">
        <v>0</v>
      </c>
      <c r="BA107">
        <v>0</v>
      </c>
      <c r="BB107">
        <v>0</v>
      </c>
      <c r="BC107">
        <v>0</v>
      </c>
      <c r="BD107">
        <v>307</v>
      </c>
      <c r="BE107">
        <v>21999</v>
      </c>
      <c r="BF107">
        <v>12</v>
      </c>
      <c r="BG107">
        <v>33</v>
      </c>
      <c r="BH107">
        <v>307</v>
      </c>
      <c r="BI107">
        <v>21999</v>
      </c>
      <c r="BJ107">
        <v>12</v>
      </c>
      <c r="BK107">
        <f t="shared" si="11"/>
        <v>307</v>
      </c>
      <c r="BL107">
        <f t="shared" si="12"/>
        <v>21999</v>
      </c>
      <c r="BM107">
        <f t="shared" si="13"/>
        <v>12</v>
      </c>
      <c r="BN107">
        <f t="shared" si="14"/>
        <v>0</v>
      </c>
      <c r="BO107">
        <f t="shared" si="15"/>
        <v>0</v>
      </c>
      <c r="BP107">
        <f t="shared" si="16"/>
        <v>0</v>
      </c>
      <c r="BQ107" t="s">
        <v>136</v>
      </c>
      <c r="BR107" t="s">
        <v>140</v>
      </c>
      <c r="BS107" s="1">
        <v>33642</v>
      </c>
      <c r="BT107">
        <v>34</v>
      </c>
      <c r="BU107">
        <v>45664</v>
      </c>
      <c r="BV107" t="s">
        <v>89</v>
      </c>
      <c r="BW107">
        <v>12</v>
      </c>
      <c r="BX107">
        <v>1992</v>
      </c>
      <c r="BY107">
        <v>12</v>
      </c>
      <c r="BZ107">
        <f t="shared" si="17"/>
        <v>0</v>
      </c>
      <c r="CA107">
        <f t="shared" si="18"/>
        <v>0</v>
      </c>
      <c r="CB107" t="b">
        <f t="shared" si="19"/>
        <v>1</v>
      </c>
    </row>
    <row r="108" spans="1:80" x14ac:dyDescent="0.3">
      <c r="A108" t="s">
        <v>1194</v>
      </c>
      <c r="B108" t="s">
        <v>71</v>
      </c>
      <c r="C108" t="s">
        <v>1195</v>
      </c>
      <c r="D108">
        <v>35</v>
      </c>
      <c r="E108" t="s">
        <v>1196</v>
      </c>
      <c r="F108" t="s">
        <v>1197</v>
      </c>
      <c r="G108" t="s">
        <v>97</v>
      </c>
      <c r="H108" t="s">
        <v>76</v>
      </c>
      <c r="I108" t="s">
        <v>1198</v>
      </c>
      <c r="J108" t="s">
        <v>78</v>
      </c>
      <c r="K108" t="s">
        <v>1199</v>
      </c>
      <c r="L108" t="s">
        <v>130</v>
      </c>
      <c r="M108">
        <v>18</v>
      </c>
      <c r="N108" t="s">
        <v>508</v>
      </c>
      <c r="O108">
        <v>2008</v>
      </c>
      <c r="P108" t="s">
        <v>1200</v>
      </c>
      <c r="Q108" t="s">
        <v>1201</v>
      </c>
      <c r="R108">
        <v>99343</v>
      </c>
      <c r="S108" t="s">
        <v>1194</v>
      </c>
      <c r="T108" t="s">
        <v>1202</v>
      </c>
      <c r="U108">
        <v>1989</v>
      </c>
      <c r="V108" t="s">
        <v>795</v>
      </c>
      <c r="W108">
        <v>1.82</v>
      </c>
      <c r="X108" t="s">
        <v>76</v>
      </c>
      <c r="Y108" t="s">
        <v>86</v>
      </c>
      <c r="Z108" t="s">
        <v>87</v>
      </c>
      <c r="AA108" t="s">
        <v>1199</v>
      </c>
      <c r="AB108" t="s">
        <v>1203</v>
      </c>
      <c r="AC108" t="s">
        <v>188</v>
      </c>
      <c r="AD108" t="s">
        <v>89</v>
      </c>
      <c r="AE108" t="s">
        <v>371</v>
      </c>
      <c r="AF108">
        <v>20</v>
      </c>
      <c r="AG108" t="s">
        <v>91</v>
      </c>
      <c r="AH108" s="1">
        <v>39815</v>
      </c>
      <c r="AI108">
        <v>19</v>
      </c>
      <c r="AJ108" t="s">
        <v>110</v>
      </c>
      <c r="AK108">
        <v>19</v>
      </c>
      <c r="AL108">
        <v>31</v>
      </c>
      <c r="AM108">
        <v>852</v>
      </c>
      <c r="AN108">
        <v>146</v>
      </c>
      <c r="AO108">
        <v>12</v>
      </c>
      <c r="AP108" t="s">
        <v>93</v>
      </c>
      <c r="AQ108" t="s">
        <v>89</v>
      </c>
      <c r="AR108" t="s">
        <v>89</v>
      </c>
      <c r="AS108" t="s">
        <v>93</v>
      </c>
      <c r="AT108" t="s">
        <v>89</v>
      </c>
      <c r="AU108" t="s">
        <v>89</v>
      </c>
      <c r="AV108" t="s">
        <v>89</v>
      </c>
      <c r="AW108">
        <v>17</v>
      </c>
      <c r="AX108">
        <v>21</v>
      </c>
      <c r="AY108" t="s">
        <v>111</v>
      </c>
      <c r="AZ108">
        <v>3</v>
      </c>
      <c r="BA108">
        <v>2</v>
      </c>
      <c r="BB108">
        <v>52</v>
      </c>
      <c r="BC108">
        <v>0</v>
      </c>
      <c r="BD108">
        <v>544</v>
      </c>
      <c r="BE108">
        <v>34742</v>
      </c>
      <c r="BF108">
        <v>40</v>
      </c>
      <c r="BG108" t="s">
        <v>89</v>
      </c>
      <c r="BH108">
        <v>546</v>
      </c>
      <c r="BI108">
        <v>34794</v>
      </c>
      <c r="BJ108">
        <v>40</v>
      </c>
      <c r="BK108">
        <f t="shared" si="11"/>
        <v>546</v>
      </c>
      <c r="BL108">
        <f t="shared" si="12"/>
        <v>34794</v>
      </c>
      <c r="BM108">
        <f t="shared" si="13"/>
        <v>40</v>
      </c>
      <c r="BN108">
        <f t="shared" si="14"/>
        <v>0</v>
      </c>
      <c r="BO108">
        <f t="shared" si="15"/>
        <v>0</v>
      </c>
      <c r="BP108">
        <f t="shared" si="16"/>
        <v>0</v>
      </c>
      <c r="BQ108" t="s">
        <v>86</v>
      </c>
      <c r="BR108" t="s">
        <v>94</v>
      </c>
      <c r="BS108" s="1">
        <v>32734</v>
      </c>
      <c r="BT108">
        <v>36</v>
      </c>
      <c r="BU108" t="s">
        <v>89</v>
      </c>
      <c r="BV108" t="s">
        <v>89</v>
      </c>
      <c r="BW108">
        <v>17</v>
      </c>
      <c r="BX108">
        <v>1989</v>
      </c>
      <c r="BY108">
        <v>16</v>
      </c>
      <c r="BZ108">
        <f t="shared" si="17"/>
        <v>0</v>
      </c>
      <c r="CA108">
        <f t="shared" si="18"/>
        <v>1</v>
      </c>
      <c r="CB108" t="b">
        <f t="shared" si="19"/>
        <v>1</v>
      </c>
    </row>
    <row r="109" spans="1:80" x14ac:dyDescent="0.3">
      <c r="A109" t="s">
        <v>1204</v>
      </c>
      <c r="B109" t="s">
        <v>71</v>
      </c>
      <c r="C109" t="s">
        <v>1205</v>
      </c>
      <c r="D109">
        <v>36</v>
      </c>
      <c r="E109">
        <v>32575</v>
      </c>
      <c r="F109" t="s">
        <v>89</v>
      </c>
      <c r="G109" t="s">
        <v>819</v>
      </c>
      <c r="H109" t="s">
        <v>76</v>
      </c>
      <c r="I109" t="s">
        <v>253</v>
      </c>
      <c r="J109" t="s">
        <v>78</v>
      </c>
      <c r="K109" t="s">
        <v>89</v>
      </c>
      <c r="L109" t="s">
        <v>130</v>
      </c>
      <c r="M109">
        <v>19</v>
      </c>
      <c r="N109" t="s">
        <v>137</v>
      </c>
      <c r="O109">
        <v>2008</v>
      </c>
      <c r="P109" t="s">
        <v>1206</v>
      </c>
      <c r="Q109" t="s">
        <v>1207</v>
      </c>
      <c r="R109">
        <v>71571</v>
      </c>
      <c r="S109" t="s">
        <v>1204</v>
      </c>
      <c r="T109">
        <v>32723</v>
      </c>
      <c r="U109">
        <v>1989</v>
      </c>
      <c r="V109" t="s">
        <v>1208</v>
      </c>
      <c r="W109">
        <v>1.87</v>
      </c>
      <c r="X109" t="s">
        <v>76</v>
      </c>
      <c r="Y109" t="s">
        <v>259</v>
      </c>
      <c r="Z109" t="s">
        <v>87</v>
      </c>
      <c r="AA109" t="s">
        <v>146</v>
      </c>
      <c r="AB109" t="s">
        <v>1209</v>
      </c>
      <c r="AC109" t="s">
        <v>108</v>
      </c>
      <c r="AD109" t="s">
        <v>89</v>
      </c>
      <c r="AE109" t="s">
        <v>261</v>
      </c>
      <c r="AF109">
        <v>19</v>
      </c>
      <c r="AG109" t="s">
        <v>91</v>
      </c>
      <c r="AH109" t="s">
        <v>92</v>
      </c>
      <c r="AI109" t="s">
        <v>89</v>
      </c>
      <c r="AJ109" t="s">
        <v>92</v>
      </c>
      <c r="AK109">
        <v>19</v>
      </c>
      <c r="AL109">
        <v>8</v>
      </c>
      <c r="AM109">
        <v>400</v>
      </c>
      <c r="AN109">
        <v>59</v>
      </c>
      <c r="AO109">
        <v>6</v>
      </c>
      <c r="AP109" t="s">
        <v>93</v>
      </c>
      <c r="AQ109" t="s">
        <v>89</v>
      </c>
      <c r="AR109" t="s">
        <v>89</v>
      </c>
      <c r="AS109" t="s">
        <v>111</v>
      </c>
      <c r="AT109" t="s">
        <v>1209</v>
      </c>
      <c r="AU109">
        <v>2020</v>
      </c>
      <c r="AV109">
        <v>12</v>
      </c>
      <c r="AW109">
        <v>12</v>
      </c>
      <c r="AX109" t="s">
        <v>89</v>
      </c>
      <c r="AY109" t="s">
        <v>111</v>
      </c>
      <c r="AZ109">
        <v>2</v>
      </c>
      <c r="BA109">
        <v>2</v>
      </c>
      <c r="BB109">
        <v>135</v>
      </c>
      <c r="BC109">
        <v>0</v>
      </c>
      <c r="BD109">
        <v>305</v>
      </c>
      <c r="BE109">
        <v>19810</v>
      </c>
      <c r="BF109">
        <v>3</v>
      </c>
      <c r="BG109">
        <v>31</v>
      </c>
      <c r="BH109">
        <v>307</v>
      </c>
      <c r="BI109">
        <v>19945</v>
      </c>
      <c r="BJ109">
        <v>3</v>
      </c>
      <c r="BK109">
        <f t="shared" si="11"/>
        <v>307</v>
      </c>
      <c r="BL109">
        <f t="shared" si="12"/>
        <v>19945</v>
      </c>
      <c r="BM109">
        <f t="shared" si="13"/>
        <v>3</v>
      </c>
      <c r="BN109">
        <f t="shared" si="14"/>
        <v>0</v>
      </c>
      <c r="BO109">
        <f t="shared" si="15"/>
        <v>0</v>
      </c>
      <c r="BP109">
        <f t="shared" si="16"/>
        <v>0</v>
      </c>
      <c r="BQ109" t="s">
        <v>259</v>
      </c>
      <c r="BR109" t="s">
        <v>94</v>
      </c>
      <c r="BS109" t="s">
        <v>89</v>
      </c>
      <c r="BT109">
        <v>37</v>
      </c>
      <c r="BU109" t="s">
        <v>1209</v>
      </c>
      <c r="BV109" s="1">
        <v>44032</v>
      </c>
      <c r="BW109">
        <v>12</v>
      </c>
      <c r="BX109">
        <v>1989</v>
      </c>
      <c r="BY109">
        <v>12</v>
      </c>
      <c r="BZ109">
        <f t="shared" si="17"/>
        <v>0</v>
      </c>
      <c r="CA109">
        <f t="shared" si="18"/>
        <v>0</v>
      </c>
      <c r="CB109" t="b">
        <f t="shared" si="19"/>
        <v>1</v>
      </c>
    </row>
    <row r="110" spans="1:80" x14ac:dyDescent="0.3">
      <c r="A110" t="s">
        <v>1210</v>
      </c>
      <c r="B110" t="s">
        <v>776</v>
      </c>
      <c r="C110" t="s">
        <v>1211</v>
      </c>
      <c r="D110">
        <v>35</v>
      </c>
      <c r="E110" t="s">
        <v>1212</v>
      </c>
      <c r="F110" t="s">
        <v>1213</v>
      </c>
      <c r="G110" t="s">
        <v>277</v>
      </c>
      <c r="H110" t="s">
        <v>89</v>
      </c>
      <c r="I110" t="s">
        <v>227</v>
      </c>
      <c r="J110" t="s">
        <v>300</v>
      </c>
      <c r="K110" t="s">
        <v>1214</v>
      </c>
      <c r="L110" t="s">
        <v>80</v>
      </c>
      <c r="M110">
        <v>22</v>
      </c>
      <c r="N110" t="s">
        <v>164</v>
      </c>
      <c r="O110">
        <v>2012</v>
      </c>
      <c r="P110" t="s">
        <v>1215</v>
      </c>
      <c r="Q110" t="s">
        <v>1216</v>
      </c>
      <c r="R110">
        <v>187759</v>
      </c>
      <c r="S110" t="s">
        <v>1210</v>
      </c>
      <c r="T110" t="s">
        <v>1217</v>
      </c>
      <c r="U110">
        <v>1989</v>
      </c>
      <c r="V110" t="s">
        <v>1218</v>
      </c>
      <c r="W110">
        <v>1.88</v>
      </c>
      <c r="X110" t="s">
        <v>778</v>
      </c>
      <c r="Y110" t="s">
        <v>235</v>
      </c>
      <c r="Z110" t="s">
        <v>152</v>
      </c>
      <c r="AA110" t="s">
        <v>1219</v>
      </c>
      <c r="AB110">
        <v>45658</v>
      </c>
      <c r="AC110" t="s">
        <v>1220</v>
      </c>
      <c r="AD110" t="s">
        <v>89</v>
      </c>
      <c r="AE110">
        <v>41096</v>
      </c>
      <c r="AF110">
        <v>22</v>
      </c>
      <c r="AG110" t="s">
        <v>786</v>
      </c>
      <c r="AH110" t="s">
        <v>1221</v>
      </c>
      <c r="AI110">
        <v>21</v>
      </c>
      <c r="AJ110" t="s">
        <v>986</v>
      </c>
      <c r="AK110">
        <v>21</v>
      </c>
      <c r="AL110">
        <v>1</v>
      </c>
      <c r="AM110">
        <v>6</v>
      </c>
      <c r="AN110">
        <v>1</v>
      </c>
      <c r="AO110">
        <v>1</v>
      </c>
      <c r="AP110" t="s">
        <v>93</v>
      </c>
      <c r="AQ110" t="s">
        <v>89</v>
      </c>
      <c r="AR110" t="s">
        <v>89</v>
      </c>
      <c r="AS110" t="s">
        <v>93</v>
      </c>
      <c r="AT110" t="s">
        <v>89</v>
      </c>
      <c r="AU110" t="s">
        <v>89</v>
      </c>
      <c r="AV110" t="s">
        <v>89</v>
      </c>
      <c r="AW110">
        <v>13</v>
      </c>
      <c r="AX110" t="s">
        <v>89</v>
      </c>
      <c r="AY110" t="s">
        <v>93</v>
      </c>
      <c r="AZ110">
        <v>0</v>
      </c>
      <c r="BA110">
        <v>0</v>
      </c>
      <c r="BB110">
        <v>0</v>
      </c>
      <c r="BC110">
        <v>0</v>
      </c>
      <c r="BD110">
        <v>189</v>
      </c>
      <c r="BE110">
        <v>15475</v>
      </c>
      <c r="BF110">
        <v>8</v>
      </c>
      <c r="BG110" t="s">
        <v>89</v>
      </c>
      <c r="BH110">
        <v>189</v>
      </c>
      <c r="BI110">
        <v>15475</v>
      </c>
      <c r="BJ110">
        <v>8</v>
      </c>
      <c r="BK110">
        <f t="shared" si="11"/>
        <v>189</v>
      </c>
      <c r="BL110">
        <f t="shared" si="12"/>
        <v>15475</v>
      </c>
      <c r="BM110">
        <f t="shared" si="13"/>
        <v>8</v>
      </c>
      <c r="BN110">
        <f t="shared" si="14"/>
        <v>0</v>
      </c>
      <c r="BO110">
        <f t="shared" si="15"/>
        <v>0</v>
      </c>
      <c r="BP110">
        <f t="shared" si="16"/>
        <v>0</v>
      </c>
      <c r="BQ110" t="s">
        <v>235</v>
      </c>
      <c r="BR110" t="s">
        <v>140</v>
      </c>
      <c r="BS110" s="1">
        <v>32805</v>
      </c>
      <c r="BT110">
        <v>36</v>
      </c>
      <c r="BU110" t="s">
        <v>89</v>
      </c>
      <c r="BV110" t="s">
        <v>89</v>
      </c>
      <c r="BW110">
        <v>15</v>
      </c>
      <c r="BX110">
        <v>1989</v>
      </c>
      <c r="BY110">
        <v>14</v>
      </c>
      <c r="BZ110">
        <f t="shared" si="17"/>
        <v>-2</v>
      </c>
      <c r="CA110">
        <f t="shared" si="18"/>
        <v>1</v>
      </c>
      <c r="CB110" t="b">
        <f t="shared" si="19"/>
        <v>0</v>
      </c>
    </row>
    <row r="111" spans="1:80" x14ac:dyDescent="0.3">
      <c r="A111" t="s">
        <v>1222</v>
      </c>
      <c r="B111" t="s">
        <v>71</v>
      </c>
      <c r="C111" t="s">
        <v>1223</v>
      </c>
      <c r="D111">
        <v>43</v>
      </c>
      <c r="E111" s="1">
        <v>30124</v>
      </c>
      <c r="F111" t="s">
        <v>89</v>
      </c>
      <c r="G111" t="s">
        <v>400</v>
      </c>
      <c r="H111" t="s">
        <v>76</v>
      </c>
      <c r="I111" t="s">
        <v>596</v>
      </c>
      <c r="J111" t="s">
        <v>78</v>
      </c>
      <c r="K111" t="s">
        <v>89</v>
      </c>
      <c r="L111" t="s">
        <v>657</v>
      </c>
      <c r="M111">
        <v>21</v>
      </c>
      <c r="N111" t="s">
        <v>137</v>
      </c>
      <c r="O111">
        <v>2003</v>
      </c>
      <c r="P111" t="s">
        <v>1224</v>
      </c>
      <c r="Q111" t="s">
        <v>1225</v>
      </c>
      <c r="R111">
        <v>15804</v>
      </c>
      <c r="S111" t="s">
        <v>1222</v>
      </c>
      <c r="T111" t="s">
        <v>1226</v>
      </c>
      <c r="U111">
        <v>1982</v>
      </c>
      <c r="V111" t="s">
        <v>1227</v>
      </c>
      <c r="W111">
        <v>1.82</v>
      </c>
      <c r="X111" t="s">
        <v>76</v>
      </c>
      <c r="Y111" t="s">
        <v>136</v>
      </c>
      <c r="Z111" t="s">
        <v>87</v>
      </c>
      <c r="AA111" t="s">
        <v>1228</v>
      </c>
      <c r="AB111" s="1">
        <v>42736</v>
      </c>
      <c r="AC111" t="s">
        <v>108</v>
      </c>
      <c r="AD111" t="s">
        <v>89</v>
      </c>
      <c r="AE111" t="s">
        <v>1229</v>
      </c>
      <c r="AF111">
        <v>21</v>
      </c>
      <c r="AG111" t="s">
        <v>91</v>
      </c>
      <c r="AH111" t="s">
        <v>92</v>
      </c>
      <c r="AI111" t="s">
        <v>89</v>
      </c>
      <c r="AJ111" t="s">
        <v>92</v>
      </c>
      <c r="AK111">
        <v>21</v>
      </c>
      <c r="AL111">
        <v>9</v>
      </c>
      <c r="AM111">
        <v>122</v>
      </c>
      <c r="AN111">
        <v>18</v>
      </c>
      <c r="AO111">
        <v>5</v>
      </c>
      <c r="AP111" t="s">
        <v>93</v>
      </c>
      <c r="AQ111" t="s">
        <v>89</v>
      </c>
      <c r="AR111" t="s">
        <v>89</v>
      </c>
      <c r="AS111" t="s">
        <v>111</v>
      </c>
      <c r="AT111" s="1">
        <v>42736</v>
      </c>
      <c r="AU111">
        <v>2017</v>
      </c>
      <c r="AV111">
        <v>14</v>
      </c>
      <c r="AW111">
        <v>14</v>
      </c>
      <c r="AX111" t="s">
        <v>89</v>
      </c>
      <c r="AY111" t="s">
        <v>111</v>
      </c>
      <c r="AZ111">
        <v>2</v>
      </c>
      <c r="BA111">
        <v>3</v>
      </c>
      <c r="BB111">
        <v>217</v>
      </c>
      <c r="BC111">
        <v>0</v>
      </c>
      <c r="BD111">
        <v>490</v>
      </c>
      <c r="BE111">
        <v>40230</v>
      </c>
      <c r="BF111">
        <v>35</v>
      </c>
      <c r="BG111">
        <v>35</v>
      </c>
      <c r="BH111">
        <v>493</v>
      </c>
      <c r="BI111">
        <v>40447</v>
      </c>
      <c r="BJ111">
        <v>35</v>
      </c>
      <c r="BK111">
        <f t="shared" si="11"/>
        <v>493</v>
      </c>
      <c r="BL111">
        <f t="shared" si="12"/>
        <v>40447</v>
      </c>
      <c r="BM111">
        <f t="shared" si="13"/>
        <v>35</v>
      </c>
      <c r="BN111">
        <f t="shared" si="14"/>
        <v>0</v>
      </c>
      <c r="BO111">
        <f t="shared" si="15"/>
        <v>0</v>
      </c>
      <c r="BP111">
        <f t="shared" si="16"/>
        <v>0</v>
      </c>
      <c r="BQ111" t="s">
        <v>136</v>
      </c>
      <c r="BR111" t="s">
        <v>140</v>
      </c>
      <c r="BS111" s="1">
        <v>30124</v>
      </c>
      <c r="BT111">
        <v>43</v>
      </c>
      <c r="BU111" s="1">
        <v>42736</v>
      </c>
      <c r="BV111" s="1">
        <v>42736</v>
      </c>
      <c r="BW111">
        <v>14</v>
      </c>
      <c r="BX111">
        <v>1982</v>
      </c>
      <c r="BY111">
        <v>14</v>
      </c>
      <c r="BZ111">
        <f t="shared" si="17"/>
        <v>0</v>
      </c>
      <c r="CA111">
        <f t="shared" si="18"/>
        <v>0</v>
      </c>
      <c r="CB111" t="b">
        <f t="shared" si="19"/>
        <v>1</v>
      </c>
    </row>
    <row r="112" spans="1:80" x14ac:dyDescent="0.3">
      <c r="A112" t="s">
        <v>1230</v>
      </c>
      <c r="B112" t="s">
        <v>1231</v>
      </c>
      <c r="C112" t="s">
        <v>1232</v>
      </c>
      <c r="D112">
        <v>37</v>
      </c>
      <c r="E112">
        <v>32235</v>
      </c>
      <c r="F112" t="s">
        <v>1233</v>
      </c>
      <c r="G112" t="s">
        <v>115</v>
      </c>
      <c r="H112" t="s">
        <v>1234</v>
      </c>
      <c r="I112" t="s">
        <v>1235</v>
      </c>
      <c r="J112" t="s">
        <v>78</v>
      </c>
      <c r="K112" t="s">
        <v>1236</v>
      </c>
      <c r="L112" t="s">
        <v>180</v>
      </c>
      <c r="M112">
        <v>19</v>
      </c>
      <c r="N112" t="s">
        <v>1236</v>
      </c>
      <c r="O112">
        <v>2007</v>
      </c>
      <c r="P112" t="s">
        <v>1237</v>
      </c>
      <c r="Q112" t="s">
        <v>1238</v>
      </c>
      <c r="R112">
        <v>58267</v>
      </c>
      <c r="S112" t="s">
        <v>1239</v>
      </c>
      <c r="T112">
        <v>32177</v>
      </c>
      <c r="U112">
        <v>1988</v>
      </c>
      <c r="V112" t="s">
        <v>1240</v>
      </c>
      <c r="W112">
        <v>1.81</v>
      </c>
      <c r="X112" t="s">
        <v>1234</v>
      </c>
      <c r="Y112" t="s">
        <v>86</v>
      </c>
      <c r="Z112" t="s">
        <v>87</v>
      </c>
      <c r="AA112" t="s">
        <v>1241</v>
      </c>
      <c r="AB112" s="1">
        <v>45664</v>
      </c>
      <c r="AC112" t="s">
        <v>108</v>
      </c>
      <c r="AD112" t="s">
        <v>89</v>
      </c>
      <c r="AE112">
        <v>39480</v>
      </c>
      <c r="AF112">
        <v>19</v>
      </c>
      <c r="AG112" t="s">
        <v>613</v>
      </c>
      <c r="AH112" t="s">
        <v>1242</v>
      </c>
      <c r="AI112">
        <v>20</v>
      </c>
      <c r="AJ112" t="s">
        <v>615</v>
      </c>
      <c r="AK112">
        <v>19</v>
      </c>
      <c r="AL112">
        <v>8</v>
      </c>
      <c r="AM112">
        <v>242</v>
      </c>
      <c r="AN112">
        <v>47</v>
      </c>
      <c r="AO112">
        <v>5</v>
      </c>
      <c r="AP112" t="s">
        <v>93</v>
      </c>
      <c r="AQ112" t="s">
        <v>89</v>
      </c>
      <c r="AR112" t="s">
        <v>89</v>
      </c>
      <c r="AS112" t="s">
        <v>111</v>
      </c>
      <c r="AT112">
        <v>45664</v>
      </c>
      <c r="AU112">
        <v>2025</v>
      </c>
      <c r="AV112">
        <v>18</v>
      </c>
      <c r="AW112">
        <v>18</v>
      </c>
      <c r="AX112" t="s">
        <v>89</v>
      </c>
      <c r="AY112" t="s">
        <v>93</v>
      </c>
      <c r="AZ112">
        <v>0</v>
      </c>
      <c r="BA112">
        <v>0</v>
      </c>
      <c r="BB112">
        <v>0</v>
      </c>
      <c r="BC112">
        <v>0</v>
      </c>
      <c r="BD112">
        <v>429</v>
      </c>
      <c r="BE112">
        <v>29808</v>
      </c>
      <c r="BF112">
        <v>43</v>
      </c>
      <c r="BG112">
        <v>37</v>
      </c>
      <c r="BH112">
        <v>429</v>
      </c>
      <c r="BI112">
        <v>29808</v>
      </c>
      <c r="BJ112">
        <v>43</v>
      </c>
      <c r="BK112">
        <f t="shared" si="11"/>
        <v>429</v>
      </c>
      <c r="BL112">
        <f t="shared" si="12"/>
        <v>29808</v>
      </c>
      <c r="BM112">
        <f t="shared" si="13"/>
        <v>43</v>
      </c>
      <c r="BN112">
        <f t="shared" si="14"/>
        <v>0</v>
      </c>
      <c r="BO112">
        <f t="shared" si="15"/>
        <v>0</v>
      </c>
      <c r="BP112">
        <f t="shared" si="16"/>
        <v>0</v>
      </c>
      <c r="BQ112" t="s">
        <v>86</v>
      </c>
      <c r="BR112" t="s">
        <v>94</v>
      </c>
      <c r="BS112" t="s">
        <v>89</v>
      </c>
      <c r="BT112">
        <v>38</v>
      </c>
      <c r="BU112">
        <v>45664</v>
      </c>
      <c r="BV112" t="s">
        <v>89</v>
      </c>
      <c r="BW112">
        <v>18</v>
      </c>
      <c r="BX112">
        <v>1988</v>
      </c>
      <c r="BY112">
        <v>18</v>
      </c>
      <c r="BZ112">
        <f t="shared" si="17"/>
        <v>0</v>
      </c>
      <c r="CA112">
        <f t="shared" si="18"/>
        <v>0</v>
      </c>
      <c r="CB112" t="b">
        <f t="shared" si="19"/>
        <v>1</v>
      </c>
    </row>
    <row r="113" spans="1:80" x14ac:dyDescent="0.3">
      <c r="A113" t="s">
        <v>1243</v>
      </c>
      <c r="B113" t="s">
        <v>1231</v>
      </c>
      <c r="C113" t="s">
        <v>1244</v>
      </c>
      <c r="D113">
        <v>32</v>
      </c>
      <c r="E113" t="s">
        <v>1245</v>
      </c>
      <c r="F113" t="s">
        <v>1246</v>
      </c>
      <c r="G113" t="s">
        <v>277</v>
      </c>
      <c r="H113" t="s">
        <v>1234</v>
      </c>
      <c r="I113" t="s">
        <v>288</v>
      </c>
      <c r="J113" t="s">
        <v>78</v>
      </c>
      <c r="K113" t="s">
        <v>678</v>
      </c>
      <c r="L113" t="s">
        <v>80</v>
      </c>
      <c r="M113">
        <v>19</v>
      </c>
      <c r="N113" t="s">
        <v>490</v>
      </c>
      <c r="O113">
        <v>2012</v>
      </c>
      <c r="P113" t="s">
        <v>1247</v>
      </c>
      <c r="Q113" t="s">
        <v>1248</v>
      </c>
      <c r="R113">
        <v>221025</v>
      </c>
      <c r="S113" t="s">
        <v>1243</v>
      </c>
      <c r="T113" t="s">
        <v>1249</v>
      </c>
      <c r="U113">
        <v>1993</v>
      </c>
      <c r="V113" t="s">
        <v>1250</v>
      </c>
      <c r="W113">
        <v>1.9</v>
      </c>
      <c r="X113" t="s">
        <v>1234</v>
      </c>
      <c r="Y113" t="s">
        <v>86</v>
      </c>
      <c r="Z113" t="s">
        <v>87</v>
      </c>
      <c r="AA113" t="s">
        <v>678</v>
      </c>
      <c r="AB113">
        <v>45452</v>
      </c>
      <c r="AC113" t="s">
        <v>170</v>
      </c>
      <c r="AD113" t="s">
        <v>223</v>
      </c>
      <c r="AE113" t="s">
        <v>1251</v>
      </c>
      <c r="AF113">
        <v>19</v>
      </c>
      <c r="AG113" t="s">
        <v>613</v>
      </c>
      <c r="AH113">
        <v>41221</v>
      </c>
      <c r="AI113">
        <v>19</v>
      </c>
      <c r="AJ113" t="s">
        <v>615</v>
      </c>
      <c r="AK113">
        <v>19</v>
      </c>
      <c r="AL113">
        <v>18</v>
      </c>
      <c r="AM113">
        <v>684</v>
      </c>
      <c r="AN113">
        <v>85</v>
      </c>
      <c r="AO113">
        <v>9</v>
      </c>
      <c r="AP113" t="s">
        <v>93</v>
      </c>
      <c r="AQ113" t="s">
        <v>89</v>
      </c>
      <c r="AR113" t="s">
        <v>89</v>
      </c>
      <c r="AS113" t="s">
        <v>93</v>
      </c>
      <c r="AT113" t="s">
        <v>89</v>
      </c>
      <c r="AU113" t="s">
        <v>89</v>
      </c>
      <c r="AV113" t="s">
        <v>89</v>
      </c>
      <c r="AW113">
        <v>13</v>
      </c>
      <c r="AX113">
        <v>26</v>
      </c>
      <c r="AY113" t="s">
        <v>111</v>
      </c>
      <c r="AZ113">
        <v>11</v>
      </c>
      <c r="BA113">
        <v>29</v>
      </c>
      <c r="BB113">
        <v>1812</v>
      </c>
      <c r="BC113">
        <v>0</v>
      </c>
      <c r="BD113">
        <v>352</v>
      </c>
      <c r="BE113">
        <v>21574</v>
      </c>
      <c r="BF113">
        <v>21</v>
      </c>
      <c r="BG113" t="s">
        <v>89</v>
      </c>
      <c r="BH113">
        <v>381</v>
      </c>
      <c r="BI113">
        <v>23386</v>
      </c>
      <c r="BJ113">
        <v>21</v>
      </c>
      <c r="BK113">
        <f t="shared" si="11"/>
        <v>381</v>
      </c>
      <c r="BL113">
        <f t="shared" si="12"/>
        <v>23386</v>
      </c>
      <c r="BM113">
        <f t="shared" si="13"/>
        <v>21</v>
      </c>
      <c r="BN113">
        <f t="shared" si="14"/>
        <v>0</v>
      </c>
      <c r="BO113">
        <f t="shared" si="15"/>
        <v>0</v>
      </c>
      <c r="BP113">
        <f t="shared" si="16"/>
        <v>0</v>
      </c>
      <c r="BQ113" t="s">
        <v>86</v>
      </c>
      <c r="BR113" t="s">
        <v>94</v>
      </c>
      <c r="BS113" s="1">
        <v>34180</v>
      </c>
      <c r="BT113">
        <v>32</v>
      </c>
      <c r="BU113" t="s">
        <v>89</v>
      </c>
      <c r="BV113" t="s">
        <v>89</v>
      </c>
      <c r="BW113">
        <v>13</v>
      </c>
      <c r="BX113">
        <v>1993</v>
      </c>
      <c r="BY113">
        <v>13</v>
      </c>
      <c r="BZ113">
        <f t="shared" si="17"/>
        <v>0</v>
      </c>
      <c r="CA113">
        <f t="shared" si="18"/>
        <v>0</v>
      </c>
      <c r="CB113" t="b">
        <f t="shared" si="19"/>
        <v>1</v>
      </c>
    </row>
    <row r="114" spans="1:80" x14ac:dyDescent="0.3">
      <c r="A114" t="s">
        <v>1252</v>
      </c>
      <c r="B114" t="s">
        <v>1231</v>
      </c>
      <c r="C114" t="s">
        <v>1253</v>
      </c>
      <c r="D114">
        <v>36</v>
      </c>
      <c r="E114" t="s">
        <v>1254</v>
      </c>
      <c r="F114" t="s">
        <v>1255</v>
      </c>
      <c r="G114" t="s">
        <v>75</v>
      </c>
      <c r="H114" t="s">
        <v>1234</v>
      </c>
      <c r="I114" t="s">
        <v>288</v>
      </c>
      <c r="J114" t="s">
        <v>78</v>
      </c>
      <c r="K114" t="s">
        <v>1256</v>
      </c>
      <c r="L114" t="s">
        <v>254</v>
      </c>
      <c r="M114">
        <v>20</v>
      </c>
      <c r="N114" t="s">
        <v>1257</v>
      </c>
      <c r="O114">
        <v>2009</v>
      </c>
      <c r="P114" t="s">
        <v>1258</v>
      </c>
      <c r="Q114" t="s">
        <v>1259</v>
      </c>
      <c r="R114">
        <v>61743</v>
      </c>
      <c r="S114" t="s">
        <v>1252</v>
      </c>
      <c r="T114" t="s">
        <v>1260</v>
      </c>
      <c r="U114">
        <v>1989</v>
      </c>
      <c r="V114" t="s">
        <v>1261</v>
      </c>
      <c r="W114">
        <v>1.8</v>
      </c>
      <c r="X114" t="s">
        <v>1234</v>
      </c>
      <c r="Y114" t="s">
        <v>259</v>
      </c>
      <c r="Z114" t="s">
        <v>87</v>
      </c>
      <c r="AA114" t="s">
        <v>1256</v>
      </c>
      <c r="AB114" t="s">
        <v>1262</v>
      </c>
      <c r="AC114" t="s">
        <v>170</v>
      </c>
      <c r="AD114" t="s">
        <v>395</v>
      </c>
      <c r="AE114" t="s">
        <v>1263</v>
      </c>
      <c r="AF114">
        <v>20</v>
      </c>
      <c r="AG114" t="s">
        <v>613</v>
      </c>
      <c r="AH114">
        <v>39815</v>
      </c>
      <c r="AI114">
        <v>19</v>
      </c>
      <c r="AJ114" t="s">
        <v>615</v>
      </c>
      <c r="AK114">
        <v>19</v>
      </c>
      <c r="AL114">
        <v>4</v>
      </c>
      <c r="AM114">
        <v>173</v>
      </c>
      <c r="AN114">
        <v>23</v>
      </c>
      <c r="AO114">
        <v>3</v>
      </c>
      <c r="AP114" t="s">
        <v>93</v>
      </c>
      <c r="AQ114" t="s">
        <v>89</v>
      </c>
      <c r="AR114" t="s">
        <v>89</v>
      </c>
      <c r="AS114" t="s">
        <v>93</v>
      </c>
      <c r="AT114" t="s">
        <v>89</v>
      </c>
      <c r="AU114" t="s">
        <v>89</v>
      </c>
      <c r="AV114" t="s">
        <v>89</v>
      </c>
      <c r="AW114">
        <v>16</v>
      </c>
      <c r="AX114">
        <v>6</v>
      </c>
      <c r="AY114" t="s">
        <v>93</v>
      </c>
      <c r="AZ114">
        <v>0</v>
      </c>
      <c r="BA114">
        <v>0</v>
      </c>
      <c r="BB114">
        <v>0</v>
      </c>
      <c r="BC114">
        <v>0</v>
      </c>
      <c r="BD114">
        <v>265</v>
      </c>
      <c r="BE114">
        <v>18717</v>
      </c>
      <c r="BF114">
        <v>8</v>
      </c>
      <c r="BG114" t="s">
        <v>89</v>
      </c>
      <c r="BH114">
        <v>265</v>
      </c>
      <c r="BI114">
        <v>18717</v>
      </c>
      <c r="BJ114">
        <v>8</v>
      </c>
      <c r="BK114">
        <f t="shared" si="11"/>
        <v>265</v>
      </c>
      <c r="BL114">
        <f t="shared" si="12"/>
        <v>18717</v>
      </c>
      <c r="BM114">
        <f t="shared" si="13"/>
        <v>8</v>
      </c>
      <c r="BN114">
        <f t="shared" si="14"/>
        <v>0</v>
      </c>
      <c r="BO114">
        <f t="shared" si="15"/>
        <v>0</v>
      </c>
      <c r="BP114">
        <f t="shared" si="16"/>
        <v>0</v>
      </c>
      <c r="BQ114" t="s">
        <v>259</v>
      </c>
      <c r="BR114" t="s">
        <v>94</v>
      </c>
      <c r="BS114" t="s">
        <v>89</v>
      </c>
      <c r="BT114">
        <v>37</v>
      </c>
      <c r="BU114" t="s">
        <v>89</v>
      </c>
      <c r="BV114" t="s">
        <v>89</v>
      </c>
      <c r="BW114">
        <v>18</v>
      </c>
      <c r="BX114">
        <v>1989</v>
      </c>
      <c r="BY114">
        <v>17</v>
      </c>
      <c r="BZ114">
        <f t="shared" si="17"/>
        <v>-2</v>
      </c>
      <c r="CA114">
        <f t="shared" si="18"/>
        <v>1</v>
      </c>
      <c r="CB114" t="b">
        <f t="shared" si="19"/>
        <v>0</v>
      </c>
    </row>
    <row r="115" spans="1:80" x14ac:dyDescent="0.3">
      <c r="A115" t="s">
        <v>1264</v>
      </c>
      <c r="B115" t="s">
        <v>71</v>
      </c>
      <c r="C115" t="s">
        <v>1265</v>
      </c>
      <c r="D115">
        <v>38</v>
      </c>
      <c r="E115" t="s">
        <v>1266</v>
      </c>
      <c r="F115" t="s">
        <v>873</v>
      </c>
      <c r="G115" t="s">
        <v>176</v>
      </c>
      <c r="H115" t="s">
        <v>89</v>
      </c>
      <c r="I115" t="s">
        <v>178</v>
      </c>
      <c r="J115" t="s">
        <v>78</v>
      </c>
      <c r="K115" t="s">
        <v>527</v>
      </c>
      <c r="L115" t="s">
        <v>180</v>
      </c>
      <c r="M115">
        <v>20</v>
      </c>
      <c r="N115" t="s">
        <v>820</v>
      </c>
      <c r="O115">
        <v>2007</v>
      </c>
      <c r="P115" t="s">
        <v>1267</v>
      </c>
      <c r="Q115" t="s">
        <v>1268</v>
      </c>
      <c r="R115">
        <v>57522</v>
      </c>
      <c r="S115" t="s">
        <v>1264</v>
      </c>
      <c r="T115" t="s">
        <v>1269</v>
      </c>
      <c r="U115">
        <v>1986</v>
      </c>
      <c r="V115" t="s">
        <v>1270</v>
      </c>
      <c r="W115">
        <v>1.85</v>
      </c>
      <c r="X115" t="s">
        <v>76</v>
      </c>
      <c r="Y115" t="s">
        <v>186</v>
      </c>
      <c r="Z115" t="s">
        <v>87</v>
      </c>
      <c r="AA115" t="s">
        <v>531</v>
      </c>
      <c r="AB115" t="s">
        <v>1271</v>
      </c>
      <c r="AC115" t="s">
        <v>88</v>
      </c>
      <c r="AD115" t="s">
        <v>89</v>
      </c>
      <c r="AE115" t="s">
        <v>1272</v>
      </c>
      <c r="AF115">
        <v>20</v>
      </c>
      <c r="AG115" t="s">
        <v>91</v>
      </c>
      <c r="AH115" s="1">
        <v>40461</v>
      </c>
      <c r="AI115">
        <v>23</v>
      </c>
      <c r="AJ115" t="s">
        <v>110</v>
      </c>
      <c r="AK115">
        <v>20</v>
      </c>
      <c r="AL115">
        <v>4</v>
      </c>
      <c r="AM115">
        <v>255</v>
      </c>
      <c r="AN115">
        <v>44</v>
      </c>
      <c r="AO115">
        <v>4</v>
      </c>
      <c r="AP115" t="s">
        <v>93</v>
      </c>
      <c r="AQ115" t="s">
        <v>89</v>
      </c>
      <c r="AR115" t="s">
        <v>89</v>
      </c>
      <c r="AS115" t="s">
        <v>93</v>
      </c>
      <c r="AT115" t="s">
        <v>89</v>
      </c>
      <c r="AU115" t="s">
        <v>89</v>
      </c>
      <c r="AV115" t="s">
        <v>89</v>
      </c>
      <c r="AW115">
        <v>18</v>
      </c>
      <c r="AX115">
        <v>1</v>
      </c>
      <c r="AY115" t="s">
        <v>93</v>
      </c>
      <c r="AZ115">
        <v>0</v>
      </c>
      <c r="BA115">
        <v>0</v>
      </c>
      <c r="BB115">
        <v>0</v>
      </c>
      <c r="BC115">
        <v>0</v>
      </c>
      <c r="BD115">
        <v>425</v>
      </c>
      <c r="BE115">
        <v>38062</v>
      </c>
      <c r="BF115">
        <v>0</v>
      </c>
      <c r="BG115" t="s">
        <v>89</v>
      </c>
      <c r="BH115">
        <v>425</v>
      </c>
      <c r="BI115">
        <v>38062</v>
      </c>
      <c r="BJ115">
        <v>0</v>
      </c>
      <c r="BK115">
        <f t="shared" si="11"/>
        <v>425</v>
      </c>
      <c r="BL115">
        <f t="shared" si="12"/>
        <v>38062</v>
      </c>
      <c r="BM115">
        <f t="shared" si="13"/>
        <v>0</v>
      </c>
      <c r="BN115">
        <f t="shared" si="14"/>
        <v>0</v>
      </c>
      <c r="BO115">
        <f t="shared" si="15"/>
        <v>0</v>
      </c>
      <c r="BP115">
        <f t="shared" si="16"/>
        <v>0</v>
      </c>
      <c r="BQ115" t="s">
        <v>186</v>
      </c>
      <c r="BR115" t="s">
        <v>186</v>
      </c>
      <c r="BS115" s="1">
        <v>31762</v>
      </c>
      <c r="BT115">
        <v>39</v>
      </c>
      <c r="BU115" t="s">
        <v>89</v>
      </c>
      <c r="BV115" t="s">
        <v>89</v>
      </c>
      <c r="BW115">
        <v>19</v>
      </c>
      <c r="BX115">
        <v>1986</v>
      </c>
      <c r="BY115">
        <v>18</v>
      </c>
      <c r="BZ115">
        <f t="shared" si="17"/>
        <v>-1</v>
      </c>
      <c r="CA115">
        <f t="shared" si="18"/>
        <v>1</v>
      </c>
      <c r="CB115" t="b">
        <f t="shared" si="19"/>
        <v>0</v>
      </c>
    </row>
    <row r="116" spans="1:80" x14ac:dyDescent="0.3">
      <c r="A116" t="s">
        <v>1273</v>
      </c>
      <c r="B116" t="s">
        <v>1274</v>
      </c>
      <c r="C116" t="s">
        <v>1275</v>
      </c>
      <c r="D116">
        <v>38</v>
      </c>
      <c r="E116">
        <v>31683</v>
      </c>
      <c r="F116" t="s">
        <v>89</v>
      </c>
      <c r="G116" t="s">
        <v>518</v>
      </c>
      <c r="H116" t="s">
        <v>1276</v>
      </c>
      <c r="I116" t="s">
        <v>1277</v>
      </c>
      <c r="J116" t="s">
        <v>300</v>
      </c>
      <c r="K116" t="s">
        <v>89</v>
      </c>
      <c r="L116" t="s">
        <v>117</v>
      </c>
      <c r="M116">
        <v>18</v>
      </c>
      <c r="N116" t="s">
        <v>1278</v>
      </c>
      <c r="O116">
        <v>2005</v>
      </c>
      <c r="P116" t="s">
        <v>1279</v>
      </c>
      <c r="Q116" t="s">
        <v>1280</v>
      </c>
      <c r="R116">
        <v>20506</v>
      </c>
      <c r="S116" t="s">
        <v>1273</v>
      </c>
      <c r="T116" t="s">
        <v>1281</v>
      </c>
      <c r="U116">
        <v>1986</v>
      </c>
      <c r="V116" t="s">
        <v>1282</v>
      </c>
      <c r="W116">
        <v>1.67</v>
      </c>
      <c r="X116" t="s">
        <v>1283</v>
      </c>
      <c r="Y116" t="s">
        <v>86</v>
      </c>
      <c r="Z116" t="s">
        <v>152</v>
      </c>
      <c r="AA116" t="s">
        <v>1284</v>
      </c>
      <c r="AB116">
        <v>45664</v>
      </c>
      <c r="AC116" t="s">
        <v>108</v>
      </c>
      <c r="AD116" t="s">
        <v>442</v>
      </c>
      <c r="AE116" t="s">
        <v>1285</v>
      </c>
      <c r="AF116">
        <v>19</v>
      </c>
      <c r="AG116" t="s">
        <v>1286</v>
      </c>
      <c r="AH116" t="s">
        <v>306</v>
      </c>
      <c r="AI116">
        <v>24</v>
      </c>
      <c r="AJ116" t="s">
        <v>110</v>
      </c>
      <c r="AK116">
        <v>19</v>
      </c>
      <c r="AL116">
        <v>22</v>
      </c>
      <c r="AM116">
        <v>502</v>
      </c>
      <c r="AN116">
        <v>93</v>
      </c>
      <c r="AO116">
        <v>12</v>
      </c>
      <c r="AP116" t="s">
        <v>93</v>
      </c>
      <c r="AQ116" t="s">
        <v>89</v>
      </c>
      <c r="AR116" t="s">
        <v>89</v>
      </c>
      <c r="AS116" t="s">
        <v>111</v>
      </c>
      <c r="AT116">
        <v>45664</v>
      </c>
      <c r="AU116">
        <v>2025</v>
      </c>
      <c r="AV116">
        <v>20</v>
      </c>
      <c r="AW116">
        <v>20</v>
      </c>
      <c r="AX116" t="s">
        <v>89</v>
      </c>
      <c r="AY116" t="s">
        <v>111</v>
      </c>
      <c r="AZ116">
        <v>23</v>
      </c>
      <c r="BA116">
        <v>109</v>
      </c>
      <c r="BB116">
        <v>7831</v>
      </c>
      <c r="BC116">
        <v>18</v>
      </c>
      <c r="BD116">
        <v>615</v>
      </c>
      <c r="BE116">
        <v>44696</v>
      </c>
      <c r="BF116">
        <v>40</v>
      </c>
      <c r="BG116">
        <v>39</v>
      </c>
      <c r="BH116">
        <v>724</v>
      </c>
      <c r="BI116">
        <v>52527</v>
      </c>
      <c r="BJ116">
        <v>58</v>
      </c>
      <c r="BK116">
        <f t="shared" si="11"/>
        <v>724</v>
      </c>
      <c r="BL116">
        <f t="shared" si="12"/>
        <v>52527</v>
      </c>
      <c r="BM116">
        <f t="shared" si="13"/>
        <v>58</v>
      </c>
      <c r="BN116">
        <f t="shared" si="14"/>
        <v>0</v>
      </c>
      <c r="BO116">
        <f t="shared" si="15"/>
        <v>0</v>
      </c>
      <c r="BP116">
        <f t="shared" si="16"/>
        <v>0</v>
      </c>
      <c r="BQ116" t="s">
        <v>86</v>
      </c>
      <c r="BR116" t="s">
        <v>94</v>
      </c>
      <c r="BS116" s="1">
        <v>31683</v>
      </c>
      <c r="BT116">
        <v>39</v>
      </c>
      <c r="BU116">
        <v>45664</v>
      </c>
      <c r="BV116" t="s">
        <v>89</v>
      </c>
      <c r="BW116">
        <v>20</v>
      </c>
      <c r="BX116">
        <v>1986</v>
      </c>
      <c r="BY116">
        <v>20</v>
      </c>
      <c r="BZ116">
        <f t="shared" si="17"/>
        <v>0</v>
      </c>
      <c r="CA116">
        <f t="shared" si="18"/>
        <v>0</v>
      </c>
      <c r="CB116" t="b">
        <f t="shared" si="19"/>
        <v>1</v>
      </c>
    </row>
    <row r="117" spans="1:80" x14ac:dyDescent="0.3">
      <c r="A117" t="s">
        <v>1287</v>
      </c>
      <c r="B117" t="s">
        <v>71</v>
      </c>
      <c r="C117" t="s">
        <v>1288</v>
      </c>
      <c r="D117">
        <v>41</v>
      </c>
      <c r="E117" s="1">
        <v>30813</v>
      </c>
      <c r="F117" t="s">
        <v>89</v>
      </c>
      <c r="G117" t="s">
        <v>1289</v>
      </c>
      <c r="H117" t="s">
        <v>76</v>
      </c>
      <c r="I117" t="s">
        <v>1290</v>
      </c>
      <c r="J117" t="s">
        <v>78</v>
      </c>
      <c r="K117" t="s">
        <v>89</v>
      </c>
      <c r="L117" t="s">
        <v>845</v>
      </c>
      <c r="M117">
        <v>18</v>
      </c>
      <c r="N117" t="s">
        <v>644</v>
      </c>
      <c r="O117">
        <v>2002</v>
      </c>
      <c r="P117" t="s">
        <v>1291</v>
      </c>
      <c r="Q117" t="s">
        <v>1292</v>
      </c>
      <c r="R117">
        <v>7600</v>
      </c>
      <c r="S117" t="s">
        <v>1287</v>
      </c>
      <c r="T117" s="1">
        <v>30991</v>
      </c>
      <c r="U117">
        <v>1984</v>
      </c>
      <c r="V117" t="s">
        <v>1293</v>
      </c>
      <c r="W117">
        <v>1.71</v>
      </c>
      <c r="X117" t="s">
        <v>76</v>
      </c>
      <c r="Y117" t="s">
        <v>86</v>
      </c>
      <c r="Z117" t="s">
        <v>392</v>
      </c>
      <c r="AA117" t="s">
        <v>1294</v>
      </c>
      <c r="AB117">
        <v>45483</v>
      </c>
      <c r="AC117" t="s">
        <v>108</v>
      </c>
      <c r="AD117" t="s">
        <v>89</v>
      </c>
      <c r="AE117" t="s">
        <v>1295</v>
      </c>
      <c r="AF117">
        <v>18</v>
      </c>
      <c r="AG117" t="s">
        <v>91</v>
      </c>
      <c r="AH117" t="s">
        <v>92</v>
      </c>
      <c r="AI117" t="s">
        <v>89</v>
      </c>
      <c r="AJ117" t="s">
        <v>92</v>
      </c>
      <c r="AK117">
        <v>18</v>
      </c>
      <c r="AL117">
        <v>35</v>
      </c>
      <c r="AM117">
        <v>736</v>
      </c>
      <c r="AN117">
        <v>147</v>
      </c>
      <c r="AO117">
        <v>12</v>
      </c>
      <c r="AP117" t="s">
        <v>93</v>
      </c>
      <c r="AQ117" t="s">
        <v>89</v>
      </c>
      <c r="AR117" t="s">
        <v>89</v>
      </c>
      <c r="AS117" t="s">
        <v>111</v>
      </c>
      <c r="AT117">
        <v>45483</v>
      </c>
      <c r="AU117">
        <v>2024</v>
      </c>
      <c r="AV117">
        <v>22</v>
      </c>
      <c r="AW117">
        <v>22</v>
      </c>
      <c r="AX117" t="s">
        <v>89</v>
      </c>
      <c r="AY117" t="s">
        <v>111</v>
      </c>
      <c r="AZ117">
        <v>19</v>
      </c>
      <c r="BA117">
        <v>91</v>
      </c>
      <c r="BB117">
        <v>6694</v>
      </c>
      <c r="BC117">
        <v>10</v>
      </c>
      <c r="BD117">
        <v>715</v>
      </c>
      <c r="BE117">
        <v>48995</v>
      </c>
      <c r="BF117">
        <v>71</v>
      </c>
      <c r="BG117">
        <v>40</v>
      </c>
      <c r="BH117">
        <v>806</v>
      </c>
      <c r="BI117">
        <v>55689</v>
      </c>
      <c r="BJ117">
        <v>81</v>
      </c>
      <c r="BK117">
        <f t="shared" si="11"/>
        <v>806</v>
      </c>
      <c r="BL117">
        <f t="shared" si="12"/>
        <v>55689</v>
      </c>
      <c r="BM117">
        <f t="shared" si="13"/>
        <v>81</v>
      </c>
      <c r="BN117">
        <f t="shared" si="14"/>
        <v>0</v>
      </c>
      <c r="BO117">
        <f t="shared" si="15"/>
        <v>0</v>
      </c>
      <c r="BP117">
        <f t="shared" si="16"/>
        <v>0</v>
      </c>
      <c r="BQ117" t="s">
        <v>86</v>
      </c>
      <c r="BR117" t="s">
        <v>94</v>
      </c>
      <c r="BS117" s="1">
        <v>30813</v>
      </c>
      <c r="BT117">
        <v>41</v>
      </c>
      <c r="BU117">
        <v>45483</v>
      </c>
      <c r="BV117" t="s">
        <v>89</v>
      </c>
      <c r="BW117">
        <v>22</v>
      </c>
      <c r="BX117">
        <v>1984</v>
      </c>
      <c r="BY117">
        <v>22</v>
      </c>
      <c r="BZ117">
        <f t="shared" si="17"/>
        <v>0</v>
      </c>
      <c r="CA117">
        <f t="shared" si="18"/>
        <v>0</v>
      </c>
      <c r="CB117" t="b">
        <f t="shared" si="19"/>
        <v>1</v>
      </c>
    </row>
    <row r="118" spans="1:80" x14ac:dyDescent="0.3">
      <c r="A118" t="s">
        <v>1296</v>
      </c>
      <c r="B118" t="s">
        <v>71</v>
      </c>
      <c r="C118" t="s">
        <v>1297</v>
      </c>
      <c r="D118">
        <v>51</v>
      </c>
      <c r="E118">
        <v>26959</v>
      </c>
      <c r="F118" t="s">
        <v>89</v>
      </c>
      <c r="G118" t="s">
        <v>176</v>
      </c>
      <c r="H118" t="s">
        <v>76</v>
      </c>
      <c r="I118" t="s">
        <v>178</v>
      </c>
      <c r="J118" t="s">
        <v>78</v>
      </c>
      <c r="K118" t="s">
        <v>89</v>
      </c>
      <c r="L118" t="s">
        <v>866</v>
      </c>
      <c r="M118">
        <v>24</v>
      </c>
      <c r="N118" t="s">
        <v>763</v>
      </c>
      <c r="O118">
        <v>1998</v>
      </c>
      <c r="P118" t="s">
        <v>1298</v>
      </c>
      <c r="Q118" t="s">
        <v>1299</v>
      </c>
      <c r="R118">
        <v>7563</v>
      </c>
      <c r="S118" t="s">
        <v>1296</v>
      </c>
      <c r="T118" t="s">
        <v>1300</v>
      </c>
      <c r="U118">
        <v>1973</v>
      </c>
      <c r="V118" t="s">
        <v>1301</v>
      </c>
      <c r="W118" t="s">
        <v>89</v>
      </c>
      <c r="X118" t="s">
        <v>76</v>
      </c>
      <c r="Y118" t="s">
        <v>186</v>
      </c>
      <c r="Z118" t="s">
        <v>89</v>
      </c>
      <c r="AA118" t="s">
        <v>1302</v>
      </c>
      <c r="AB118" s="1">
        <v>41646</v>
      </c>
      <c r="AC118" t="s">
        <v>108</v>
      </c>
      <c r="AD118" t="s">
        <v>89</v>
      </c>
      <c r="AE118" t="s">
        <v>1303</v>
      </c>
      <c r="AF118">
        <v>24</v>
      </c>
      <c r="AG118" t="s">
        <v>91</v>
      </c>
      <c r="AH118">
        <v>35590</v>
      </c>
      <c r="AI118">
        <v>23</v>
      </c>
      <c r="AJ118" t="s">
        <v>110</v>
      </c>
      <c r="AK118">
        <v>23</v>
      </c>
      <c r="AL118">
        <v>2</v>
      </c>
      <c r="AM118">
        <v>65</v>
      </c>
      <c r="AN118">
        <v>13</v>
      </c>
      <c r="AO118">
        <v>2</v>
      </c>
      <c r="AP118" t="s">
        <v>93</v>
      </c>
      <c r="AQ118" t="s">
        <v>89</v>
      </c>
      <c r="AR118" t="s">
        <v>89</v>
      </c>
      <c r="AS118" t="s">
        <v>111</v>
      </c>
      <c r="AT118">
        <v>41646</v>
      </c>
      <c r="AU118">
        <v>2014</v>
      </c>
      <c r="AV118">
        <v>16</v>
      </c>
      <c r="AW118">
        <v>16</v>
      </c>
      <c r="AX118" t="s">
        <v>89</v>
      </c>
      <c r="AY118" t="s">
        <v>93</v>
      </c>
      <c r="AZ118">
        <v>0</v>
      </c>
      <c r="BA118">
        <v>0</v>
      </c>
      <c r="BB118">
        <v>0</v>
      </c>
      <c r="BC118">
        <v>0</v>
      </c>
      <c r="BD118">
        <v>360</v>
      </c>
      <c r="BE118">
        <v>32051</v>
      </c>
      <c r="BF118">
        <v>0</v>
      </c>
      <c r="BG118">
        <v>41</v>
      </c>
      <c r="BH118">
        <v>360</v>
      </c>
      <c r="BI118">
        <v>32051</v>
      </c>
      <c r="BJ118">
        <v>0</v>
      </c>
      <c r="BK118">
        <f t="shared" si="11"/>
        <v>360</v>
      </c>
      <c r="BL118">
        <f t="shared" si="12"/>
        <v>32051</v>
      </c>
      <c r="BM118">
        <f t="shared" si="13"/>
        <v>0</v>
      </c>
      <c r="BN118">
        <f t="shared" si="14"/>
        <v>0</v>
      </c>
      <c r="BO118">
        <f t="shared" si="15"/>
        <v>0</v>
      </c>
      <c r="BP118">
        <f t="shared" si="16"/>
        <v>0</v>
      </c>
      <c r="BQ118" t="s">
        <v>186</v>
      </c>
      <c r="BR118" t="s">
        <v>186</v>
      </c>
      <c r="BS118" s="1">
        <v>26959</v>
      </c>
      <c r="BT118">
        <v>52</v>
      </c>
      <c r="BU118">
        <v>41646</v>
      </c>
      <c r="BV118" t="s">
        <v>89</v>
      </c>
      <c r="BW118">
        <v>18</v>
      </c>
      <c r="BX118">
        <v>1973</v>
      </c>
      <c r="BY118">
        <v>18</v>
      </c>
      <c r="BZ118">
        <f t="shared" si="17"/>
        <v>-2</v>
      </c>
      <c r="CA118">
        <f t="shared" si="18"/>
        <v>0</v>
      </c>
      <c r="CB118" t="b">
        <f t="shared" si="19"/>
        <v>0</v>
      </c>
    </row>
    <row r="119" spans="1:80" x14ac:dyDescent="0.3">
      <c r="A119" t="s">
        <v>1304</v>
      </c>
      <c r="B119" t="s">
        <v>1305</v>
      </c>
      <c r="C119" t="s">
        <v>1306</v>
      </c>
      <c r="D119">
        <v>38</v>
      </c>
      <c r="E119" s="1">
        <v>31851</v>
      </c>
      <c r="F119" t="s">
        <v>89</v>
      </c>
      <c r="G119" t="s">
        <v>819</v>
      </c>
      <c r="H119" t="s">
        <v>1307</v>
      </c>
      <c r="I119" t="s">
        <v>227</v>
      </c>
      <c r="J119" t="s">
        <v>300</v>
      </c>
      <c r="K119" t="s">
        <v>89</v>
      </c>
      <c r="L119" t="s">
        <v>254</v>
      </c>
      <c r="M119">
        <v>22</v>
      </c>
      <c r="N119" t="s">
        <v>289</v>
      </c>
      <c r="O119">
        <v>2009</v>
      </c>
      <c r="P119" t="s">
        <v>1308</v>
      </c>
      <c r="Q119" t="s">
        <v>1309</v>
      </c>
      <c r="R119">
        <v>72087</v>
      </c>
      <c r="S119" t="s">
        <v>1310</v>
      </c>
      <c r="T119" t="s">
        <v>1311</v>
      </c>
      <c r="U119">
        <v>1987</v>
      </c>
      <c r="V119" t="s">
        <v>1312</v>
      </c>
      <c r="W119">
        <v>1.91</v>
      </c>
      <c r="X119" t="s">
        <v>1313</v>
      </c>
      <c r="Y119" t="s">
        <v>235</v>
      </c>
      <c r="Z119" t="s">
        <v>152</v>
      </c>
      <c r="AA119" t="s">
        <v>1314</v>
      </c>
      <c r="AB119" t="s">
        <v>1315</v>
      </c>
      <c r="AC119" t="s">
        <v>108</v>
      </c>
      <c r="AD119" t="s">
        <v>223</v>
      </c>
      <c r="AE119" t="s">
        <v>294</v>
      </c>
      <c r="AF119">
        <v>25</v>
      </c>
      <c r="AG119" t="s">
        <v>91</v>
      </c>
      <c r="AH119" t="s">
        <v>1316</v>
      </c>
      <c r="AI119">
        <v>22</v>
      </c>
      <c r="AJ119" t="s">
        <v>110</v>
      </c>
      <c r="AK119">
        <v>22</v>
      </c>
      <c r="AL119">
        <v>3</v>
      </c>
      <c r="AM119">
        <v>80</v>
      </c>
      <c r="AN119">
        <v>14</v>
      </c>
      <c r="AO119">
        <v>2</v>
      </c>
      <c r="AP119" t="s">
        <v>93</v>
      </c>
      <c r="AQ119" t="s">
        <v>89</v>
      </c>
      <c r="AR119" t="s">
        <v>89</v>
      </c>
      <c r="AS119" t="s">
        <v>111</v>
      </c>
      <c r="AT119" t="s">
        <v>1315</v>
      </c>
      <c r="AU119">
        <v>2023</v>
      </c>
      <c r="AV119">
        <v>14</v>
      </c>
      <c r="AW119">
        <v>14</v>
      </c>
      <c r="AX119" t="s">
        <v>89</v>
      </c>
      <c r="AY119" t="s">
        <v>111</v>
      </c>
      <c r="AZ119">
        <v>3</v>
      </c>
      <c r="BA119">
        <v>5</v>
      </c>
      <c r="BB119">
        <v>385</v>
      </c>
      <c r="BC119">
        <v>0</v>
      </c>
      <c r="BD119">
        <v>99</v>
      </c>
      <c r="BE119">
        <v>8806</v>
      </c>
      <c r="BF119">
        <v>3</v>
      </c>
      <c r="BG119">
        <v>36</v>
      </c>
      <c r="BH119">
        <v>104</v>
      </c>
      <c r="BI119">
        <v>9191</v>
      </c>
      <c r="BJ119">
        <v>3</v>
      </c>
      <c r="BK119">
        <f t="shared" si="11"/>
        <v>104</v>
      </c>
      <c r="BL119">
        <f t="shared" si="12"/>
        <v>9191</v>
      </c>
      <c r="BM119">
        <f t="shared" si="13"/>
        <v>3</v>
      </c>
      <c r="BN119">
        <f t="shared" si="14"/>
        <v>0</v>
      </c>
      <c r="BO119">
        <f t="shared" si="15"/>
        <v>0</v>
      </c>
      <c r="BP119">
        <f t="shared" si="16"/>
        <v>0</v>
      </c>
      <c r="BQ119" t="s">
        <v>235</v>
      </c>
      <c r="BR119" t="s">
        <v>140</v>
      </c>
      <c r="BS119" s="1">
        <v>31851</v>
      </c>
      <c r="BT119">
        <v>38</v>
      </c>
      <c r="BU119" t="s">
        <v>1315</v>
      </c>
      <c r="BV119" s="1">
        <v>45067</v>
      </c>
      <c r="BW119">
        <v>14</v>
      </c>
      <c r="BX119">
        <v>1987</v>
      </c>
      <c r="BY119">
        <v>14</v>
      </c>
      <c r="BZ119">
        <f t="shared" si="17"/>
        <v>0</v>
      </c>
      <c r="CA119">
        <f t="shared" si="18"/>
        <v>0</v>
      </c>
      <c r="CB119" t="b">
        <f t="shared" si="19"/>
        <v>1</v>
      </c>
    </row>
    <row r="120" spans="1:80" x14ac:dyDescent="0.3">
      <c r="A120" t="s">
        <v>1317</v>
      </c>
      <c r="B120" t="s">
        <v>1318</v>
      </c>
      <c r="C120" t="s">
        <v>1319</v>
      </c>
      <c r="D120">
        <v>41</v>
      </c>
      <c r="E120" s="1">
        <v>30604</v>
      </c>
      <c r="F120" t="s">
        <v>89</v>
      </c>
      <c r="G120" t="s">
        <v>176</v>
      </c>
      <c r="H120" t="s">
        <v>1320</v>
      </c>
      <c r="I120" t="s">
        <v>791</v>
      </c>
      <c r="J120" t="s">
        <v>300</v>
      </c>
      <c r="K120" t="s">
        <v>89</v>
      </c>
      <c r="L120" t="s">
        <v>657</v>
      </c>
      <c r="M120">
        <v>19</v>
      </c>
      <c r="N120" t="s">
        <v>1321</v>
      </c>
      <c r="O120">
        <v>2003</v>
      </c>
      <c r="P120" t="s">
        <v>1322</v>
      </c>
      <c r="Q120" t="s">
        <v>1323</v>
      </c>
      <c r="R120">
        <v>2923</v>
      </c>
      <c r="S120" t="s">
        <v>1317</v>
      </c>
      <c r="T120" t="s">
        <v>1324</v>
      </c>
      <c r="U120">
        <v>1983</v>
      </c>
      <c r="V120" t="s">
        <v>1325</v>
      </c>
      <c r="W120">
        <v>1.83</v>
      </c>
      <c r="X120" t="s">
        <v>1320</v>
      </c>
      <c r="Y120" t="s">
        <v>106</v>
      </c>
      <c r="Z120" t="s">
        <v>152</v>
      </c>
      <c r="AA120" t="s">
        <v>1326</v>
      </c>
      <c r="AB120" s="1">
        <v>44568</v>
      </c>
      <c r="AC120" t="s">
        <v>108</v>
      </c>
      <c r="AD120" t="s">
        <v>89</v>
      </c>
      <c r="AE120" t="s">
        <v>1327</v>
      </c>
      <c r="AF120">
        <v>16</v>
      </c>
      <c r="AG120" t="s">
        <v>1328</v>
      </c>
      <c r="AH120" t="s">
        <v>92</v>
      </c>
      <c r="AI120" t="s">
        <v>89</v>
      </c>
      <c r="AJ120" t="s">
        <v>92</v>
      </c>
      <c r="AK120">
        <v>16</v>
      </c>
      <c r="AL120">
        <v>13</v>
      </c>
      <c r="AM120">
        <v>215</v>
      </c>
      <c r="AN120">
        <v>33</v>
      </c>
      <c r="AO120">
        <v>7</v>
      </c>
      <c r="AP120" t="s">
        <v>93</v>
      </c>
      <c r="AQ120" t="s">
        <v>89</v>
      </c>
      <c r="AR120" t="s">
        <v>89</v>
      </c>
      <c r="AS120" t="s">
        <v>111</v>
      </c>
      <c r="AT120" s="1">
        <v>44568</v>
      </c>
      <c r="AU120">
        <v>2022</v>
      </c>
      <c r="AV120">
        <v>19</v>
      </c>
      <c r="AW120">
        <v>19</v>
      </c>
      <c r="AX120" t="s">
        <v>89</v>
      </c>
      <c r="AY120" t="s">
        <v>111</v>
      </c>
      <c r="AZ120">
        <v>6</v>
      </c>
      <c r="BA120">
        <v>26</v>
      </c>
      <c r="BB120">
        <v>1987</v>
      </c>
      <c r="BC120">
        <v>5</v>
      </c>
      <c r="BD120">
        <v>379</v>
      </c>
      <c r="BE120">
        <v>24763</v>
      </c>
      <c r="BF120">
        <v>61</v>
      </c>
      <c r="BG120">
        <v>39</v>
      </c>
      <c r="BH120">
        <v>405</v>
      </c>
      <c r="BI120">
        <v>26750</v>
      </c>
      <c r="BJ120">
        <v>66</v>
      </c>
      <c r="BK120">
        <f t="shared" si="11"/>
        <v>405</v>
      </c>
      <c r="BL120">
        <f t="shared" si="12"/>
        <v>26750</v>
      </c>
      <c r="BM120">
        <f t="shared" si="13"/>
        <v>66</v>
      </c>
      <c r="BN120">
        <f t="shared" si="14"/>
        <v>0</v>
      </c>
      <c r="BO120">
        <f t="shared" si="15"/>
        <v>0</v>
      </c>
      <c r="BP120">
        <f t="shared" si="16"/>
        <v>0</v>
      </c>
      <c r="BQ120" t="s">
        <v>106</v>
      </c>
      <c r="BR120" t="s">
        <v>112</v>
      </c>
      <c r="BS120" s="1">
        <v>30604</v>
      </c>
      <c r="BT120">
        <v>42</v>
      </c>
      <c r="BU120" s="1">
        <v>44568</v>
      </c>
      <c r="BV120" s="1">
        <v>44743</v>
      </c>
      <c r="BW120">
        <v>23</v>
      </c>
      <c r="BX120">
        <v>1983</v>
      </c>
      <c r="BY120">
        <v>23</v>
      </c>
      <c r="BZ120">
        <f t="shared" si="17"/>
        <v>-4</v>
      </c>
      <c r="CA120">
        <f t="shared" si="18"/>
        <v>0</v>
      </c>
      <c r="CB120" t="b">
        <f t="shared" si="19"/>
        <v>0</v>
      </c>
    </row>
    <row r="121" spans="1:80" x14ac:dyDescent="0.3">
      <c r="A121" t="s">
        <v>1329</v>
      </c>
      <c r="B121" t="s">
        <v>71</v>
      </c>
      <c r="C121" t="s">
        <v>1330</v>
      </c>
      <c r="D121">
        <v>35</v>
      </c>
      <c r="E121">
        <v>32826</v>
      </c>
      <c r="F121" t="s">
        <v>89</v>
      </c>
      <c r="G121" t="s">
        <v>193</v>
      </c>
      <c r="H121" t="s">
        <v>76</v>
      </c>
      <c r="I121" t="s">
        <v>1331</v>
      </c>
      <c r="J121" t="s">
        <v>300</v>
      </c>
      <c r="K121" t="s">
        <v>89</v>
      </c>
      <c r="L121" t="s">
        <v>254</v>
      </c>
      <c r="M121">
        <v>19</v>
      </c>
      <c r="N121" t="s">
        <v>644</v>
      </c>
      <c r="O121">
        <v>2009</v>
      </c>
      <c r="P121" t="s">
        <v>1332</v>
      </c>
      <c r="Q121" t="s">
        <v>1333</v>
      </c>
      <c r="R121">
        <v>65237</v>
      </c>
      <c r="S121" t="s">
        <v>1329</v>
      </c>
      <c r="T121" t="s">
        <v>1334</v>
      </c>
      <c r="U121">
        <v>1989</v>
      </c>
      <c r="V121" t="s">
        <v>1335</v>
      </c>
      <c r="W121">
        <v>1.86</v>
      </c>
      <c r="X121" t="s">
        <v>76</v>
      </c>
      <c r="Y121" t="s">
        <v>235</v>
      </c>
      <c r="Z121" t="s">
        <v>152</v>
      </c>
      <c r="AA121" t="s">
        <v>1336</v>
      </c>
      <c r="AB121" s="1">
        <v>45658</v>
      </c>
      <c r="AC121" t="s">
        <v>108</v>
      </c>
      <c r="AD121" t="s">
        <v>442</v>
      </c>
      <c r="AE121" t="s">
        <v>1337</v>
      </c>
      <c r="AF121">
        <v>19</v>
      </c>
      <c r="AG121" t="s">
        <v>91</v>
      </c>
      <c r="AH121" t="s">
        <v>614</v>
      </c>
      <c r="AI121">
        <v>20</v>
      </c>
      <c r="AJ121" t="s">
        <v>110</v>
      </c>
      <c r="AK121">
        <v>19</v>
      </c>
      <c r="AL121">
        <v>11</v>
      </c>
      <c r="AM121">
        <v>1010</v>
      </c>
      <c r="AN121">
        <v>122</v>
      </c>
      <c r="AO121">
        <v>8</v>
      </c>
      <c r="AP121" t="s">
        <v>93</v>
      </c>
      <c r="AQ121" t="s">
        <v>89</v>
      </c>
      <c r="AR121" t="s">
        <v>89</v>
      </c>
      <c r="AS121" t="s">
        <v>111</v>
      </c>
      <c r="AT121">
        <v>45658</v>
      </c>
      <c r="AU121">
        <v>2025</v>
      </c>
      <c r="AV121">
        <v>16</v>
      </c>
      <c r="AW121">
        <v>16</v>
      </c>
      <c r="AX121" t="s">
        <v>89</v>
      </c>
      <c r="AY121" t="s">
        <v>93</v>
      </c>
      <c r="AZ121">
        <v>0</v>
      </c>
      <c r="BA121">
        <v>0</v>
      </c>
      <c r="BB121">
        <v>0</v>
      </c>
      <c r="BC121">
        <v>0</v>
      </c>
      <c r="BD121">
        <v>302</v>
      </c>
      <c r="BE121">
        <v>25201</v>
      </c>
      <c r="BF121">
        <v>8</v>
      </c>
      <c r="BG121">
        <v>36</v>
      </c>
      <c r="BH121">
        <v>302</v>
      </c>
      <c r="BI121">
        <v>25201</v>
      </c>
      <c r="BJ121">
        <v>8</v>
      </c>
      <c r="BK121">
        <f t="shared" si="11"/>
        <v>302</v>
      </c>
      <c r="BL121">
        <f t="shared" si="12"/>
        <v>25201</v>
      </c>
      <c r="BM121">
        <f t="shared" si="13"/>
        <v>8</v>
      </c>
      <c r="BN121">
        <f t="shared" si="14"/>
        <v>0</v>
      </c>
      <c r="BO121">
        <f t="shared" si="15"/>
        <v>0</v>
      </c>
      <c r="BP121">
        <f t="shared" si="16"/>
        <v>0</v>
      </c>
      <c r="BQ121" t="s">
        <v>235</v>
      </c>
      <c r="BR121" t="s">
        <v>140</v>
      </c>
      <c r="BS121" s="1">
        <v>32826</v>
      </c>
      <c r="BT121">
        <v>36</v>
      </c>
      <c r="BU121">
        <v>45658</v>
      </c>
      <c r="BV121" t="s">
        <v>89</v>
      </c>
      <c r="BW121">
        <v>17</v>
      </c>
      <c r="BX121">
        <v>1989</v>
      </c>
      <c r="BY121">
        <v>17</v>
      </c>
      <c r="BZ121">
        <f t="shared" si="17"/>
        <v>-1</v>
      </c>
      <c r="CA121">
        <f t="shared" si="18"/>
        <v>0</v>
      </c>
      <c r="CB121" t="b">
        <f t="shared" si="19"/>
        <v>0</v>
      </c>
    </row>
    <row r="122" spans="1:80" x14ac:dyDescent="0.3">
      <c r="A122" t="s">
        <v>1338</v>
      </c>
      <c r="B122" t="s">
        <v>1339</v>
      </c>
      <c r="C122" t="s">
        <v>1340</v>
      </c>
      <c r="D122">
        <v>44</v>
      </c>
      <c r="E122">
        <v>29700</v>
      </c>
      <c r="F122" t="s">
        <v>89</v>
      </c>
      <c r="G122" t="s">
        <v>277</v>
      </c>
      <c r="H122" t="s">
        <v>1341</v>
      </c>
      <c r="I122" t="s">
        <v>437</v>
      </c>
      <c r="J122" t="s">
        <v>89</v>
      </c>
      <c r="K122" t="s">
        <v>89</v>
      </c>
      <c r="L122" t="s">
        <v>657</v>
      </c>
      <c r="M122">
        <v>22</v>
      </c>
      <c r="N122" t="s">
        <v>164</v>
      </c>
      <c r="O122">
        <v>2003</v>
      </c>
      <c r="P122" t="s">
        <v>1342</v>
      </c>
      <c r="Q122" t="s">
        <v>1343</v>
      </c>
      <c r="R122">
        <v>10289</v>
      </c>
      <c r="S122" t="s">
        <v>1344</v>
      </c>
      <c r="T122" t="s">
        <v>1345</v>
      </c>
      <c r="U122">
        <v>1981</v>
      </c>
      <c r="V122" t="s">
        <v>1346</v>
      </c>
      <c r="W122">
        <v>1.88</v>
      </c>
      <c r="X122" t="s">
        <v>1347</v>
      </c>
      <c r="Y122" t="s">
        <v>123</v>
      </c>
      <c r="Z122" t="s">
        <v>87</v>
      </c>
      <c r="AA122" t="s">
        <v>89</v>
      </c>
      <c r="AB122" t="s">
        <v>89</v>
      </c>
      <c r="AC122" t="s">
        <v>89</v>
      </c>
      <c r="AD122" t="s">
        <v>89</v>
      </c>
      <c r="AE122" t="s">
        <v>1348</v>
      </c>
      <c r="AF122">
        <v>22</v>
      </c>
      <c r="AG122" t="s">
        <v>91</v>
      </c>
      <c r="AH122" t="s">
        <v>449</v>
      </c>
      <c r="AI122">
        <v>26</v>
      </c>
      <c r="AJ122" t="s">
        <v>110</v>
      </c>
      <c r="AK122">
        <v>22</v>
      </c>
      <c r="AL122">
        <v>2</v>
      </c>
      <c r="AM122">
        <v>79</v>
      </c>
      <c r="AN122">
        <v>17</v>
      </c>
      <c r="AO122">
        <v>2</v>
      </c>
      <c r="AP122" t="s">
        <v>111</v>
      </c>
      <c r="AQ122" t="s">
        <v>1349</v>
      </c>
      <c r="AR122">
        <v>43</v>
      </c>
      <c r="AS122" t="s">
        <v>93</v>
      </c>
      <c r="AT122" t="s">
        <v>89</v>
      </c>
      <c r="AU122" t="s">
        <v>89</v>
      </c>
      <c r="AV122">
        <v>22</v>
      </c>
      <c r="AW122">
        <v>22</v>
      </c>
      <c r="AX122" t="s">
        <v>89</v>
      </c>
      <c r="AY122" t="s">
        <v>111</v>
      </c>
      <c r="AZ122">
        <v>3</v>
      </c>
      <c r="BA122">
        <v>11</v>
      </c>
      <c r="BB122">
        <v>333</v>
      </c>
      <c r="BC122">
        <v>4</v>
      </c>
      <c r="BD122">
        <v>257</v>
      </c>
      <c r="BE122">
        <v>14714</v>
      </c>
      <c r="BF122">
        <v>58</v>
      </c>
      <c r="BG122" t="s">
        <v>89</v>
      </c>
      <c r="BH122">
        <v>268</v>
      </c>
      <c r="BI122">
        <v>15047</v>
      </c>
      <c r="BJ122">
        <v>62</v>
      </c>
      <c r="BK122">
        <f t="shared" si="11"/>
        <v>268</v>
      </c>
      <c r="BL122">
        <f t="shared" si="12"/>
        <v>15047</v>
      </c>
      <c r="BM122">
        <f t="shared" si="13"/>
        <v>62</v>
      </c>
      <c r="BN122">
        <f t="shared" si="14"/>
        <v>0</v>
      </c>
      <c r="BO122">
        <f t="shared" si="15"/>
        <v>0</v>
      </c>
      <c r="BP122">
        <f t="shared" si="16"/>
        <v>0</v>
      </c>
      <c r="BQ122" t="s">
        <v>123</v>
      </c>
      <c r="BR122" t="s">
        <v>112</v>
      </c>
      <c r="BS122" s="1">
        <v>29700</v>
      </c>
      <c r="BT122">
        <v>44</v>
      </c>
      <c r="BU122" t="s">
        <v>89</v>
      </c>
      <c r="BV122" t="s">
        <v>89</v>
      </c>
      <c r="BW122">
        <v>21</v>
      </c>
      <c r="BX122">
        <v>1981</v>
      </c>
      <c r="BY122">
        <v>21</v>
      </c>
      <c r="BZ122">
        <f t="shared" si="17"/>
        <v>1</v>
      </c>
      <c r="CA122">
        <f t="shared" si="18"/>
        <v>0</v>
      </c>
      <c r="CB122" t="b">
        <f t="shared" si="19"/>
        <v>0</v>
      </c>
    </row>
    <row r="123" spans="1:80" x14ac:dyDescent="0.3">
      <c r="A123" t="s">
        <v>1350</v>
      </c>
      <c r="B123" t="s">
        <v>1351</v>
      </c>
      <c r="C123" t="s">
        <v>1352</v>
      </c>
      <c r="D123">
        <v>39</v>
      </c>
      <c r="E123">
        <v>31614</v>
      </c>
      <c r="F123" t="s">
        <v>89</v>
      </c>
      <c r="G123" t="s">
        <v>143</v>
      </c>
      <c r="H123" t="s">
        <v>1353</v>
      </c>
      <c r="I123" t="s">
        <v>253</v>
      </c>
      <c r="J123" t="s">
        <v>78</v>
      </c>
      <c r="K123" t="s">
        <v>89</v>
      </c>
      <c r="L123">
        <v>2007</v>
      </c>
      <c r="M123">
        <v>20</v>
      </c>
      <c r="N123" t="s">
        <v>1354</v>
      </c>
      <c r="O123">
        <v>2007</v>
      </c>
      <c r="P123" t="s">
        <v>1355</v>
      </c>
      <c r="Q123" t="s">
        <v>1356</v>
      </c>
      <c r="R123">
        <v>29122</v>
      </c>
      <c r="S123" t="s">
        <v>1350</v>
      </c>
      <c r="T123" t="s">
        <v>1357</v>
      </c>
      <c r="U123">
        <v>1986</v>
      </c>
      <c r="V123" t="s">
        <v>1358</v>
      </c>
      <c r="W123">
        <v>1.75</v>
      </c>
      <c r="X123" t="s">
        <v>1353</v>
      </c>
      <c r="Y123" t="s">
        <v>259</v>
      </c>
      <c r="Z123" t="s">
        <v>87</v>
      </c>
      <c r="AA123" t="s">
        <v>1359</v>
      </c>
      <c r="AB123">
        <v>44933</v>
      </c>
      <c r="AC123" t="s">
        <v>108</v>
      </c>
      <c r="AD123" t="s">
        <v>89</v>
      </c>
      <c r="AE123">
        <v>39329</v>
      </c>
      <c r="AF123">
        <v>20</v>
      </c>
      <c r="AG123" t="s">
        <v>1360</v>
      </c>
      <c r="AH123" s="1">
        <v>42249</v>
      </c>
      <c r="AI123">
        <v>28</v>
      </c>
      <c r="AJ123" t="s">
        <v>250</v>
      </c>
      <c r="AK123">
        <v>20</v>
      </c>
      <c r="AL123">
        <v>2</v>
      </c>
      <c r="AM123">
        <v>303</v>
      </c>
      <c r="AN123">
        <v>47</v>
      </c>
      <c r="AO123">
        <v>2</v>
      </c>
      <c r="AP123" t="s">
        <v>93</v>
      </c>
      <c r="AQ123" t="s">
        <v>89</v>
      </c>
      <c r="AR123" t="s">
        <v>89</v>
      </c>
      <c r="AS123" t="s">
        <v>93</v>
      </c>
      <c r="AT123" t="s">
        <v>89</v>
      </c>
      <c r="AU123" t="s">
        <v>89</v>
      </c>
      <c r="AV123" t="s">
        <v>89</v>
      </c>
      <c r="AW123">
        <v>18</v>
      </c>
      <c r="AX123" t="s">
        <v>89</v>
      </c>
      <c r="AY123" t="s">
        <v>111</v>
      </c>
      <c r="AZ123">
        <v>5</v>
      </c>
      <c r="BA123">
        <v>16</v>
      </c>
      <c r="BB123">
        <v>1317</v>
      </c>
      <c r="BC123">
        <v>0</v>
      </c>
      <c r="BD123">
        <v>262</v>
      </c>
      <c r="BE123">
        <v>19646</v>
      </c>
      <c r="BF123">
        <v>4</v>
      </c>
      <c r="BG123" t="s">
        <v>89</v>
      </c>
      <c r="BH123">
        <v>278</v>
      </c>
      <c r="BI123">
        <v>20963</v>
      </c>
      <c r="BJ123">
        <v>4</v>
      </c>
      <c r="BK123">
        <f t="shared" si="11"/>
        <v>278</v>
      </c>
      <c r="BL123">
        <f t="shared" si="12"/>
        <v>20963</v>
      </c>
      <c r="BM123">
        <f t="shared" si="13"/>
        <v>4</v>
      </c>
      <c r="BN123">
        <f t="shared" si="14"/>
        <v>0</v>
      </c>
      <c r="BO123">
        <f t="shared" si="15"/>
        <v>0</v>
      </c>
      <c r="BP123">
        <f t="shared" si="16"/>
        <v>0</v>
      </c>
      <c r="BQ123" t="s">
        <v>259</v>
      </c>
      <c r="BR123" t="s">
        <v>94</v>
      </c>
      <c r="BS123" s="1">
        <v>31614</v>
      </c>
      <c r="BT123">
        <v>39</v>
      </c>
      <c r="BU123" t="s">
        <v>89</v>
      </c>
      <c r="BV123" t="s">
        <v>89</v>
      </c>
      <c r="BW123">
        <v>19</v>
      </c>
      <c r="BX123">
        <v>1986</v>
      </c>
      <c r="BY123">
        <v>19</v>
      </c>
      <c r="BZ123">
        <f t="shared" si="17"/>
        <v>-1</v>
      </c>
      <c r="CA123">
        <f t="shared" si="18"/>
        <v>0</v>
      </c>
      <c r="CB123" t="b">
        <f t="shared" si="19"/>
        <v>0</v>
      </c>
    </row>
    <row r="124" spans="1:80" x14ac:dyDescent="0.3">
      <c r="A124" t="s">
        <v>1361</v>
      </c>
      <c r="B124" t="s">
        <v>191</v>
      </c>
      <c r="C124" t="s">
        <v>1362</v>
      </c>
      <c r="D124">
        <v>34</v>
      </c>
      <c r="E124" t="s">
        <v>1363</v>
      </c>
      <c r="F124" t="s">
        <v>1364</v>
      </c>
      <c r="G124" t="s">
        <v>143</v>
      </c>
      <c r="H124" t="s">
        <v>194</v>
      </c>
      <c r="I124" t="s">
        <v>116</v>
      </c>
      <c r="J124" t="s">
        <v>300</v>
      </c>
      <c r="K124" t="s">
        <v>81</v>
      </c>
      <c r="L124" t="s">
        <v>254</v>
      </c>
      <c r="M124">
        <v>18</v>
      </c>
      <c r="N124" t="s">
        <v>1365</v>
      </c>
      <c r="O124">
        <v>2009</v>
      </c>
      <c r="P124" t="s">
        <v>1366</v>
      </c>
      <c r="Q124" t="s">
        <v>1367</v>
      </c>
      <c r="R124">
        <v>125781</v>
      </c>
      <c r="S124" t="s">
        <v>1361</v>
      </c>
      <c r="T124" t="s">
        <v>1368</v>
      </c>
      <c r="U124">
        <v>1991</v>
      </c>
      <c r="V124" t="s">
        <v>1369</v>
      </c>
      <c r="W124">
        <v>1.76</v>
      </c>
      <c r="X124" t="s">
        <v>194</v>
      </c>
      <c r="Y124" t="s">
        <v>369</v>
      </c>
      <c r="Z124" t="s">
        <v>152</v>
      </c>
      <c r="AA124" t="s">
        <v>1370</v>
      </c>
      <c r="AB124" s="1">
        <v>44933</v>
      </c>
      <c r="AC124" t="s">
        <v>88</v>
      </c>
      <c r="AD124" t="s">
        <v>89</v>
      </c>
      <c r="AE124" t="s">
        <v>237</v>
      </c>
      <c r="AF124">
        <v>19</v>
      </c>
      <c r="AG124" t="s">
        <v>91</v>
      </c>
      <c r="AH124">
        <v>39973</v>
      </c>
      <c r="AI124">
        <v>18</v>
      </c>
      <c r="AJ124" t="s">
        <v>110</v>
      </c>
      <c r="AK124">
        <v>18</v>
      </c>
      <c r="AL124">
        <v>8</v>
      </c>
      <c r="AM124">
        <v>143</v>
      </c>
      <c r="AN124">
        <v>25</v>
      </c>
      <c r="AO124">
        <v>6</v>
      </c>
      <c r="AP124" t="s">
        <v>93</v>
      </c>
      <c r="AQ124" t="s">
        <v>89</v>
      </c>
      <c r="AR124" t="s">
        <v>89</v>
      </c>
      <c r="AS124" t="s">
        <v>93</v>
      </c>
      <c r="AT124" t="s">
        <v>89</v>
      </c>
      <c r="AU124" t="s">
        <v>89</v>
      </c>
      <c r="AV124" t="s">
        <v>89</v>
      </c>
      <c r="AW124">
        <v>16</v>
      </c>
      <c r="AX124">
        <v>7</v>
      </c>
      <c r="AY124" t="s">
        <v>111</v>
      </c>
      <c r="AZ124">
        <v>25</v>
      </c>
      <c r="BA124">
        <v>137</v>
      </c>
      <c r="BB124">
        <v>10009</v>
      </c>
      <c r="BC124">
        <v>44</v>
      </c>
      <c r="BD124">
        <v>744</v>
      </c>
      <c r="BE124">
        <v>55816</v>
      </c>
      <c r="BF124">
        <v>281</v>
      </c>
      <c r="BG124" t="s">
        <v>89</v>
      </c>
      <c r="BH124">
        <v>881</v>
      </c>
      <c r="BI124">
        <v>65825</v>
      </c>
      <c r="BJ124">
        <v>325</v>
      </c>
      <c r="BK124">
        <f t="shared" si="11"/>
        <v>881</v>
      </c>
      <c r="BL124">
        <f t="shared" si="12"/>
        <v>65825</v>
      </c>
      <c r="BM124">
        <f t="shared" si="13"/>
        <v>325</v>
      </c>
      <c r="BN124">
        <f t="shared" si="14"/>
        <v>0</v>
      </c>
      <c r="BO124">
        <f t="shared" si="15"/>
        <v>0</v>
      </c>
      <c r="BP124">
        <f t="shared" si="16"/>
        <v>0</v>
      </c>
      <c r="BQ124" t="s">
        <v>369</v>
      </c>
      <c r="BR124" t="s">
        <v>112</v>
      </c>
      <c r="BS124" s="1">
        <v>33318</v>
      </c>
      <c r="BT124">
        <v>34</v>
      </c>
      <c r="BU124" t="s">
        <v>89</v>
      </c>
      <c r="BV124" t="s">
        <v>89</v>
      </c>
      <c r="BW124">
        <v>16</v>
      </c>
      <c r="BX124">
        <v>1991</v>
      </c>
      <c r="BY124">
        <v>16</v>
      </c>
      <c r="BZ124">
        <f t="shared" si="17"/>
        <v>0</v>
      </c>
      <c r="CA124">
        <f t="shared" si="18"/>
        <v>0</v>
      </c>
      <c r="CB124" t="b">
        <f t="shared" si="19"/>
        <v>1</v>
      </c>
    </row>
    <row r="125" spans="1:80" x14ac:dyDescent="0.3">
      <c r="A125" t="s">
        <v>1371</v>
      </c>
      <c r="B125" t="s">
        <v>71</v>
      </c>
      <c r="C125" t="s">
        <v>1372</v>
      </c>
      <c r="D125">
        <v>38</v>
      </c>
      <c r="E125" s="1">
        <v>31910</v>
      </c>
      <c r="F125" t="s">
        <v>265</v>
      </c>
      <c r="G125" t="s">
        <v>241</v>
      </c>
      <c r="H125" t="s">
        <v>76</v>
      </c>
      <c r="I125" t="s">
        <v>178</v>
      </c>
      <c r="J125" t="s">
        <v>300</v>
      </c>
      <c r="K125" t="s">
        <v>1373</v>
      </c>
      <c r="L125" t="s">
        <v>163</v>
      </c>
      <c r="M125">
        <v>19</v>
      </c>
      <c r="N125" t="s">
        <v>118</v>
      </c>
      <c r="O125">
        <v>2006</v>
      </c>
      <c r="P125" t="s">
        <v>1374</v>
      </c>
      <c r="Q125" t="s">
        <v>1375</v>
      </c>
      <c r="R125">
        <v>44062</v>
      </c>
      <c r="S125" t="s">
        <v>1371</v>
      </c>
      <c r="T125" t="s">
        <v>1376</v>
      </c>
      <c r="U125">
        <v>1987</v>
      </c>
      <c r="V125" t="s">
        <v>122</v>
      </c>
      <c r="W125">
        <v>1.9</v>
      </c>
      <c r="X125" t="s">
        <v>76</v>
      </c>
      <c r="Y125" t="s">
        <v>186</v>
      </c>
      <c r="Z125" t="s">
        <v>152</v>
      </c>
      <c r="AA125" t="s">
        <v>1377</v>
      </c>
      <c r="AB125" s="1">
        <v>45816</v>
      </c>
      <c r="AC125" t="s">
        <v>170</v>
      </c>
      <c r="AD125" t="s">
        <v>89</v>
      </c>
      <c r="AE125" t="s">
        <v>1378</v>
      </c>
      <c r="AF125">
        <v>23</v>
      </c>
      <c r="AG125" t="s">
        <v>91</v>
      </c>
      <c r="AH125" t="s">
        <v>727</v>
      </c>
      <c r="AI125">
        <v>19</v>
      </c>
      <c r="AJ125" t="s">
        <v>110</v>
      </c>
      <c r="AK125">
        <v>19</v>
      </c>
      <c r="AL125">
        <v>3</v>
      </c>
      <c r="AM125">
        <v>189</v>
      </c>
      <c r="AN125">
        <v>25</v>
      </c>
      <c r="AO125">
        <v>3</v>
      </c>
      <c r="AP125" t="s">
        <v>93</v>
      </c>
      <c r="AQ125" t="s">
        <v>89</v>
      </c>
      <c r="AR125" t="s">
        <v>89</v>
      </c>
      <c r="AS125" t="s">
        <v>93</v>
      </c>
      <c r="AT125" t="s">
        <v>89</v>
      </c>
      <c r="AU125" t="s">
        <v>89</v>
      </c>
      <c r="AV125" t="s">
        <v>89</v>
      </c>
      <c r="AW125">
        <v>19</v>
      </c>
      <c r="AX125">
        <v>1</v>
      </c>
      <c r="AY125" t="s">
        <v>93</v>
      </c>
      <c r="AZ125">
        <v>0</v>
      </c>
      <c r="BA125">
        <v>0</v>
      </c>
      <c r="BB125">
        <v>0</v>
      </c>
      <c r="BC125">
        <v>0</v>
      </c>
      <c r="BD125">
        <v>338</v>
      </c>
      <c r="BE125">
        <v>30112</v>
      </c>
      <c r="BF125">
        <v>0</v>
      </c>
      <c r="BG125" t="s">
        <v>89</v>
      </c>
      <c r="BH125">
        <v>338</v>
      </c>
      <c r="BI125">
        <v>30112</v>
      </c>
      <c r="BJ125">
        <v>0</v>
      </c>
      <c r="BK125">
        <f t="shared" si="11"/>
        <v>338</v>
      </c>
      <c r="BL125">
        <f t="shared" si="12"/>
        <v>30112</v>
      </c>
      <c r="BM125">
        <f t="shared" si="13"/>
        <v>0</v>
      </c>
      <c r="BN125">
        <f t="shared" si="14"/>
        <v>0</v>
      </c>
      <c r="BO125">
        <f t="shared" si="15"/>
        <v>0</v>
      </c>
      <c r="BP125">
        <f t="shared" si="16"/>
        <v>0</v>
      </c>
      <c r="BQ125" t="s">
        <v>186</v>
      </c>
      <c r="BR125" t="s">
        <v>186</v>
      </c>
      <c r="BS125" s="1">
        <v>31910</v>
      </c>
      <c r="BT125">
        <v>38</v>
      </c>
      <c r="BU125" t="s">
        <v>89</v>
      </c>
      <c r="BV125" t="s">
        <v>89</v>
      </c>
      <c r="BW125">
        <v>19</v>
      </c>
      <c r="BX125">
        <v>1987</v>
      </c>
      <c r="BY125">
        <v>19</v>
      </c>
      <c r="BZ125">
        <f t="shared" si="17"/>
        <v>0</v>
      </c>
      <c r="CA125">
        <f t="shared" si="18"/>
        <v>0</v>
      </c>
      <c r="CB125" t="b">
        <f t="shared" si="19"/>
        <v>1</v>
      </c>
    </row>
    <row r="126" spans="1:80" x14ac:dyDescent="0.3">
      <c r="A126" t="s">
        <v>1379</v>
      </c>
      <c r="B126" t="s">
        <v>71</v>
      </c>
      <c r="C126" t="s">
        <v>1380</v>
      </c>
      <c r="D126">
        <v>42</v>
      </c>
      <c r="E126" s="1">
        <v>30467</v>
      </c>
      <c r="F126" t="s">
        <v>89</v>
      </c>
      <c r="G126" t="s">
        <v>1381</v>
      </c>
      <c r="H126" t="s">
        <v>89</v>
      </c>
      <c r="I126" t="s">
        <v>227</v>
      </c>
      <c r="J126" t="s">
        <v>78</v>
      </c>
      <c r="K126" t="s">
        <v>89</v>
      </c>
      <c r="L126" t="s">
        <v>130</v>
      </c>
      <c r="M126">
        <v>25</v>
      </c>
      <c r="N126" t="s">
        <v>162</v>
      </c>
      <c r="O126">
        <v>2008</v>
      </c>
      <c r="P126" t="s">
        <v>1382</v>
      </c>
      <c r="Q126" t="s">
        <v>1383</v>
      </c>
      <c r="R126">
        <v>71904</v>
      </c>
      <c r="S126" t="s">
        <v>1379</v>
      </c>
      <c r="T126" t="s">
        <v>1384</v>
      </c>
      <c r="U126">
        <v>1983</v>
      </c>
      <c r="V126" t="s">
        <v>1385</v>
      </c>
      <c r="W126">
        <v>1.92</v>
      </c>
      <c r="X126" t="s">
        <v>76</v>
      </c>
      <c r="Y126" t="s">
        <v>235</v>
      </c>
      <c r="Z126" t="s">
        <v>87</v>
      </c>
      <c r="AA126" t="s">
        <v>1386</v>
      </c>
      <c r="AB126" s="1">
        <v>43472</v>
      </c>
      <c r="AC126" t="s">
        <v>108</v>
      </c>
      <c r="AD126" t="s">
        <v>89</v>
      </c>
      <c r="AE126">
        <v>40856</v>
      </c>
      <c r="AF126">
        <v>28</v>
      </c>
      <c r="AG126" t="s">
        <v>91</v>
      </c>
      <c r="AH126" t="s">
        <v>961</v>
      </c>
      <c r="AI126">
        <v>25</v>
      </c>
      <c r="AJ126" t="s">
        <v>110</v>
      </c>
      <c r="AK126">
        <v>25</v>
      </c>
      <c r="AL126">
        <v>9</v>
      </c>
      <c r="AM126">
        <v>427</v>
      </c>
      <c r="AN126">
        <v>48</v>
      </c>
      <c r="AO126">
        <v>7</v>
      </c>
      <c r="AP126" t="s">
        <v>93</v>
      </c>
      <c r="AQ126" t="s">
        <v>89</v>
      </c>
      <c r="AR126" t="s">
        <v>89</v>
      </c>
      <c r="AS126" t="s">
        <v>111</v>
      </c>
      <c r="AT126" s="1">
        <v>43472</v>
      </c>
      <c r="AU126">
        <v>2019</v>
      </c>
      <c r="AV126">
        <v>11</v>
      </c>
      <c r="AW126">
        <v>11</v>
      </c>
      <c r="AX126" t="s">
        <v>89</v>
      </c>
      <c r="AY126" t="s">
        <v>93</v>
      </c>
      <c r="AZ126">
        <v>0</v>
      </c>
      <c r="BA126">
        <v>0</v>
      </c>
      <c r="BB126">
        <v>0</v>
      </c>
      <c r="BC126">
        <v>0</v>
      </c>
      <c r="BD126">
        <v>205</v>
      </c>
      <c r="BE126">
        <v>16530</v>
      </c>
      <c r="BF126">
        <v>7</v>
      </c>
      <c r="BG126">
        <v>36</v>
      </c>
      <c r="BH126">
        <v>205</v>
      </c>
      <c r="BI126">
        <v>16530</v>
      </c>
      <c r="BJ126">
        <v>7</v>
      </c>
      <c r="BK126">
        <f t="shared" si="11"/>
        <v>205</v>
      </c>
      <c r="BL126">
        <f t="shared" si="12"/>
        <v>16530</v>
      </c>
      <c r="BM126">
        <f t="shared" si="13"/>
        <v>7</v>
      </c>
      <c r="BN126">
        <f t="shared" si="14"/>
        <v>0</v>
      </c>
      <c r="BO126">
        <f t="shared" si="15"/>
        <v>0</v>
      </c>
      <c r="BP126">
        <f t="shared" si="16"/>
        <v>0</v>
      </c>
      <c r="BQ126" t="s">
        <v>235</v>
      </c>
      <c r="BR126" t="s">
        <v>140</v>
      </c>
      <c r="BS126" s="1">
        <v>30467</v>
      </c>
      <c r="BT126">
        <v>42</v>
      </c>
      <c r="BU126" s="1">
        <v>43472</v>
      </c>
      <c r="BV126" s="1">
        <v>43647</v>
      </c>
      <c r="BW126">
        <v>11</v>
      </c>
      <c r="BX126">
        <v>1983</v>
      </c>
      <c r="BY126">
        <v>11</v>
      </c>
      <c r="BZ126">
        <f t="shared" si="17"/>
        <v>0</v>
      </c>
      <c r="CA126">
        <f t="shared" si="18"/>
        <v>0</v>
      </c>
      <c r="CB126" t="b">
        <f t="shared" si="19"/>
        <v>1</v>
      </c>
    </row>
    <row r="127" spans="1:80" x14ac:dyDescent="0.3">
      <c r="A127" t="s">
        <v>1387</v>
      </c>
      <c r="B127" t="s">
        <v>71</v>
      </c>
      <c r="C127" t="s">
        <v>1388</v>
      </c>
      <c r="D127">
        <v>38</v>
      </c>
      <c r="E127">
        <v>31940</v>
      </c>
      <c r="F127" t="s">
        <v>89</v>
      </c>
      <c r="G127" t="s">
        <v>400</v>
      </c>
      <c r="H127" t="s">
        <v>76</v>
      </c>
      <c r="I127" t="s">
        <v>596</v>
      </c>
      <c r="J127" t="s">
        <v>78</v>
      </c>
      <c r="K127" t="s">
        <v>89</v>
      </c>
      <c r="L127" t="s">
        <v>163</v>
      </c>
      <c r="M127">
        <v>19</v>
      </c>
      <c r="N127" t="s">
        <v>741</v>
      </c>
      <c r="O127">
        <v>2006</v>
      </c>
      <c r="P127" t="s">
        <v>1389</v>
      </c>
      <c r="Q127" t="s">
        <v>1390</v>
      </c>
      <c r="R127">
        <v>32522</v>
      </c>
      <c r="S127" t="s">
        <v>1387</v>
      </c>
      <c r="T127">
        <v>32117</v>
      </c>
      <c r="U127">
        <v>1987</v>
      </c>
      <c r="V127" t="s">
        <v>1391</v>
      </c>
      <c r="W127">
        <v>1.86</v>
      </c>
      <c r="X127" t="s">
        <v>76</v>
      </c>
      <c r="Y127" t="s">
        <v>136</v>
      </c>
      <c r="Z127" t="s">
        <v>87</v>
      </c>
      <c r="AA127" t="s">
        <v>942</v>
      </c>
      <c r="AB127">
        <v>44568</v>
      </c>
      <c r="AC127" t="s">
        <v>108</v>
      </c>
      <c r="AD127" t="s">
        <v>89</v>
      </c>
      <c r="AE127" t="s">
        <v>727</v>
      </c>
      <c r="AF127">
        <v>19</v>
      </c>
      <c r="AG127" t="s">
        <v>91</v>
      </c>
      <c r="AH127">
        <v>40307</v>
      </c>
      <c r="AI127">
        <v>23</v>
      </c>
      <c r="AJ127" t="s">
        <v>110</v>
      </c>
      <c r="AK127">
        <v>19</v>
      </c>
      <c r="AL127">
        <v>7</v>
      </c>
      <c r="AM127">
        <v>323</v>
      </c>
      <c r="AN127">
        <v>46</v>
      </c>
      <c r="AO127">
        <v>6</v>
      </c>
      <c r="AP127" t="s">
        <v>93</v>
      </c>
      <c r="AQ127" t="s">
        <v>89</v>
      </c>
      <c r="AR127" t="s">
        <v>89</v>
      </c>
      <c r="AS127" t="s">
        <v>111</v>
      </c>
      <c r="AT127">
        <v>44568</v>
      </c>
      <c r="AU127">
        <v>2022</v>
      </c>
      <c r="AV127">
        <v>16</v>
      </c>
      <c r="AW127">
        <v>16</v>
      </c>
      <c r="AX127" t="s">
        <v>89</v>
      </c>
      <c r="AY127" t="s">
        <v>93</v>
      </c>
      <c r="AZ127">
        <v>0</v>
      </c>
      <c r="BA127">
        <v>0</v>
      </c>
      <c r="BB127">
        <v>0</v>
      </c>
      <c r="BC127">
        <v>0</v>
      </c>
      <c r="BD127">
        <v>347</v>
      </c>
      <c r="BE127">
        <v>25541</v>
      </c>
      <c r="BF127">
        <v>4</v>
      </c>
      <c r="BG127">
        <v>35</v>
      </c>
      <c r="BH127">
        <v>347</v>
      </c>
      <c r="BI127">
        <v>25541</v>
      </c>
      <c r="BJ127">
        <v>4</v>
      </c>
      <c r="BK127">
        <f t="shared" si="11"/>
        <v>347</v>
      </c>
      <c r="BL127">
        <f t="shared" si="12"/>
        <v>25541</v>
      </c>
      <c r="BM127">
        <f t="shared" si="13"/>
        <v>4</v>
      </c>
      <c r="BN127">
        <f t="shared" si="14"/>
        <v>0</v>
      </c>
      <c r="BO127">
        <f t="shared" si="15"/>
        <v>0</v>
      </c>
      <c r="BP127">
        <f t="shared" si="16"/>
        <v>0</v>
      </c>
      <c r="BQ127" t="s">
        <v>136</v>
      </c>
      <c r="BR127" t="s">
        <v>140</v>
      </c>
      <c r="BS127" t="s">
        <v>89</v>
      </c>
      <c r="BT127">
        <v>39</v>
      </c>
      <c r="BU127">
        <v>44568</v>
      </c>
      <c r="BV127" t="s">
        <v>89</v>
      </c>
      <c r="BW127">
        <v>16</v>
      </c>
      <c r="BX127">
        <v>1987</v>
      </c>
      <c r="BY127">
        <v>16</v>
      </c>
      <c r="BZ127">
        <f t="shared" si="17"/>
        <v>0</v>
      </c>
      <c r="CA127">
        <f t="shared" si="18"/>
        <v>0</v>
      </c>
      <c r="CB127" t="b">
        <f t="shared" si="19"/>
        <v>1</v>
      </c>
    </row>
    <row r="128" spans="1:80" x14ac:dyDescent="0.3">
      <c r="A128" t="s">
        <v>1392</v>
      </c>
      <c r="B128" t="s">
        <v>71</v>
      </c>
      <c r="C128" t="s">
        <v>1393</v>
      </c>
      <c r="D128">
        <v>29</v>
      </c>
      <c r="E128" t="s">
        <v>1394</v>
      </c>
      <c r="F128" t="s">
        <v>1395</v>
      </c>
      <c r="G128" t="s">
        <v>298</v>
      </c>
      <c r="H128" t="s">
        <v>76</v>
      </c>
      <c r="I128" t="s">
        <v>791</v>
      </c>
      <c r="J128" t="s">
        <v>78</v>
      </c>
      <c r="K128" t="s">
        <v>1396</v>
      </c>
      <c r="L128" t="s">
        <v>324</v>
      </c>
      <c r="M128">
        <v>17</v>
      </c>
      <c r="N128" t="s">
        <v>304</v>
      </c>
      <c r="O128">
        <v>2013</v>
      </c>
      <c r="P128" t="s">
        <v>1397</v>
      </c>
      <c r="Q128" t="s">
        <v>1398</v>
      </c>
      <c r="R128">
        <v>199330</v>
      </c>
      <c r="S128" t="s">
        <v>1392</v>
      </c>
      <c r="T128" t="s">
        <v>1399</v>
      </c>
      <c r="U128">
        <v>1995</v>
      </c>
      <c r="V128" t="s">
        <v>304</v>
      </c>
      <c r="W128">
        <v>1.75</v>
      </c>
      <c r="X128" t="s">
        <v>76</v>
      </c>
      <c r="Y128" t="s">
        <v>86</v>
      </c>
      <c r="Z128" t="s">
        <v>87</v>
      </c>
      <c r="AA128" t="s">
        <v>1400</v>
      </c>
      <c r="AB128">
        <v>45666</v>
      </c>
      <c r="AC128" t="s">
        <v>170</v>
      </c>
      <c r="AD128" t="s">
        <v>89</v>
      </c>
      <c r="AE128">
        <v>2014</v>
      </c>
      <c r="AF128">
        <v>18</v>
      </c>
      <c r="AG128" t="s">
        <v>91</v>
      </c>
      <c r="AH128">
        <v>2016</v>
      </c>
      <c r="AI128">
        <v>20</v>
      </c>
      <c r="AJ128">
        <v>0</v>
      </c>
      <c r="AK128">
        <v>18</v>
      </c>
      <c r="AL128">
        <v>3</v>
      </c>
      <c r="AM128">
        <v>238</v>
      </c>
      <c r="AN128">
        <v>29</v>
      </c>
      <c r="AO128">
        <v>3</v>
      </c>
      <c r="AP128" t="s">
        <v>93</v>
      </c>
      <c r="AQ128" t="s">
        <v>89</v>
      </c>
      <c r="AR128" t="s">
        <v>89</v>
      </c>
      <c r="AS128" t="s">
        <v>93</v>
      </c>
      <c r="AT128" t="s">
        <v>89</v>
      </c>
      <c r="AU128" t="s">
        <v>89</v>
      </c>
      <c r="AV128" t="s">
        <v>89</v>
      </c>
      <c r="AW128">
        <v>12</v>
      </c>
      <c r="AX128">
        <v>8</v>
      </c>
      <c r="AY128" t="s">
        <v>93</v>
      </c>
      <c r="AZ128">
        <v>0</v>
      </c>
      <c r="BA128">
        <v>0</v>
      </c>
      <c r="BB128">
        <v>0</v>
      </c>
      <c r="BC128">
        <v>0</v>
      </c>
      <c r="BD128">
        <v>92</v>
      </c>
      <c r="BE128">
        <v>6038</v>
      </c>
      <c r="BF128">
        <v>8</v>
      </c>
      <c r="BG128" t="s">
        <v>89</v>
      </c>
      <c r="BH128">
        <v>92</v>
      </c>
      <c r="BI128">
        <v>6038</v>
      </c>
      <c r="BJ128">
        <v>8</v>
      </c>
      <c r="BK128">
        <f t="shared" si="11"/>
        <v>92</v>
      </c>
      <c r="BL128">
        <f t="shared" si="12"/>
        <v>6038</v>
      </c>
      <c r="BM128">
        <f t="shared" si="13"/>
        <v>8</v>
      </c>
      <c r="BN128">
        <f t="shared" si="14"/>
        <v>0</v>
      </c>
      <c r="BO128">
        <f t="shared" si="15"/>
        <v>0</v>
      </c>
      <c r="BP128">
        <f t="shared" si="16"/>
        <v>0</v>
      </c>
      <c r="BQ128" t="s">
        <v>86</v>
      </c>
      <c r="BR128" t="s">
        <v>94</v>
      </c>
      <c r="BS128" s="1">
        <v>34961</v>
      </c>
      <c r="BT128">
        <v>30</v>
      </c>
      <c r="BU128" t="s">
        <v>89</v>
      </c>
      <c r="BV128" t="s">
        <v>89</v>
      </c>
      <c r="BW128">
        <v>12</v>
      </c>
      <c r="BX128">
        <v>1995</v>
      </c>
      <c r="BY128">
        <v>11</v>
      </c>
      <c r="BZ128">
        <f t="shared" si="17"/>
        <v>0</v>
      </c>
      <c r="CA128">
        <f t="shared" si="18"/>
        <v>1</v>
      </c>
      <c r="CB128" t="b">
        <f t="shared" si="19"/>
        <v>1</v>
      </c>
    </row>
    <row r="129" spans="1:80" x14ac:dyDescent="0.3">
      <c r="A129" t="s">
        <v>1401</v>
      </c>
      <c r="B129" t="s">
        <v>1008</v>
      </c>
      <c r="C129" t="s">
        <v>1402</v>
      </c>
      <c r="D129">
        <v>42</v>
      </c>
      <c r="E129" s="1">
        <v>30485</v>
      </c>
      <c r="F129" t="s">
        <v>89</v>
      </c>
      <c r="G129" t="s">
        <v>413</v>
      </c>
      <c r="H129" t="s">
        <v>1010</v>
      </c>
      <c r="I129" t="s">
        <v>437</v>
      </c>
      <c r="J129" t="s">
        <v>78</v>
      </c>
      <c r="K129" t="s">
        <v>89</v>
      </c>
      <c r="L129" t="s">
        <v>196</v>
      </c>
      <c r="M129">
        <v>17</v>
      </c>
      <c r="N129" t="s">
        <v>1403</v>
      </c>
      <c r="O129">
        <v>2000</v>
      </c>
      <c r="P129" t="s">
        <v>1404</v>
      </c>
      <c r="Q129" t="s">
        <v>1405</v>
      </c>
      <c r="R129">
        <v>16893</v>
      </c>
      <c r="S129" t="s">
        <v>1401</v>
      </c>
      <c r="T129" t="s">
        <v>1406</v>
      </c>
      <c r="U129">
        <v>1983</v>
      </c>
      <c r="V129" t="s">
        <v>1403</v>
      </c>
      <c r="W129">
        <v>1.83</v>
      </c>
      <c r="X129" t="s">
        <v>1010</v>
      </c>
      <c r="Y129" t="s">
        <v>123</v>
      </c>
      <c r="Z129" t="s">
        <v>87</v>
      </c>
      <c r="AA129" t="s">
        <v>1407</v>
      </c>
      <c r="AB129" t="s">
        <v>1408</v>
      </c>
      <c r="AC129" t="s">
        <v>108</v>
      </c>
      <c r="AD129" t="s">
        <v>89</v>
      </c>
      <c r="AE129" t="s">
        <v>1409</v>
      </c>
      <c r="AF129">
        <v>17</v>
      </c>
      <c r="AG129" t="s">
        <v>573</v>
      </c>
      <c r="AH129" t="s">
        <v>1410</v>
      </c>
      <c r="AI129">
        <v>18</v>
      </c>
      <c r="AJ129" t="s">
        <v>575</v>
      </c>
      <c r="AK129">
        <v>17</v>
      </c>
      <c r="AL129">
        <v>12</v>
      </c>
      <c r="AM129">
        <v>285</v>
      </c>
      <c r="AN129">
        <v>81</v>
      </c>
      <c r="AO129">
        <v>9</v>
      </c>
      <c r="AP129" t="s">
        <v>93</v>
      </c>
      <c r="AQ129" t="s">
        <v>89</v>
      </c>
      <c r="AR129" t="s">
        <v>89</v>
      </c>
      <c r="AS129" t="s">
        <v>111</v>
      </c>
      <c r="AT129" t="s">
        <v>1408</v>
      </c>
      <c r="AU129">
        <v>2020</v>
      </c>
      <c r="AV129">
        <v>20</v>
      </c>
      <c r="AW129">
        <v>20</v>
      </c>
      <c r="AX129" t="s">
        <v>89</v>
      </c>
      <c r="AY129" t="s">
        <v>93</v>
      </c>
      <c r="AZ129">
        <v>0</v>
      </c>
      <c r="BA129">
        <v>0</v>
      </c>
      <c r="BB129">
        <v>0</v>
      </c>
      <c r="BC129">
        <v>0</v>
      </c>
      <c r="BD129">
        <v>507</v>
      </c>
      <c r="BE129">
        <v>28094</v>
      </c>
      <c r="BF129">
        <v>104</v>
      </c>
      <c r="BG129">
        <v>37</v>
      </c>
      <c r="BH129">
        <v>507</v>
      </c>
      <c r="BI129">
        <v>28094</v>
      </c>
      <c r="BJ129">
        <v>104</v>
      </c>
      <c r="BK129">
        <f t="shared" si="11"/>
        <v>507</v>
      </c>
      <c r="BL129">
        <f t="shared" si="12"/>
        <v>28094</v>
      </c>
      <c r="BM129">
        <f t="shared" si="13"/>
        <v>104</v>
      </c>
      <c r="BN129">
        <f t="shared" si="14"/>
        <v>0</v>
      </c>
      <c r="BO129">
        <f t="shared" si="15"/>
        <v>0</v>
      </c>
      <c r="BP129">
        <f t="shared" si="16"/>
        <v>0</v>
      </c>
      <c r="BQ129" t="s">
        <v>123</v>
      </c>
      <c r="BR129" t="s">
        <v>112</v>
      </c>
      <c r="BS129" s="1">
        <v>30485</v>
      </c>
      <c r="BT129">
        <v>42</v>
      </c>
      <c r="BU129" t="s">
        <v>1408</v>
      </c>
      <c r="BV129" s="1">
        <v>43859</v>
      </c>
      <c r="BW129">
        <v>20</v>
      </c>
      <c r="BX129">
        <v>1983</v>
      </c>
      <c r="BY129">
        <v>20</v>
      </c>
      <c r="BZ129">
        <f t="shared" si="17"/>
        <v>0</v>
      </c>
      <c r="CA129">
        <f t="shared" si="18"/>
        <v>0</v>
      </c>
      <c r="CB129" t="b">
        <f t="shared" si="19"/>
        <v>1</v>
      </c>
    </row>
    <row r="130" spans="1:80" x14ac:dyDescent="0.3">
      <c r="A130" t="s">
        <v>1411</v>
      </c>
      <c r="B130" t="s">
        <v>71</v>
      </c>
      <c r="C130" t="s">
        <v>1412</v>
      </c>
      <c r="D130">
        <v>43</v>
      </c>
      <c r="E130" s="1">
        <v>29842</v>
      </c>
      <c r="F130" t="s">
        <v>89</v>
      </c>
      <c r="G130" t="s">
        <v>687</v>
      </c>
      <c r="H130" t="s">
        <v>76</v>
      </c>
      <c r="I130" t="s">
        <v>299</v>
      </c>
      <c r="J130" t="s">
        <v>89</v>
      </c>
      <c r="K130" t="s">
        <v>89</v>
      </c>
      <c r="L130" t="s">
        <v>99</v>
      </c>
      <c r="M130">
        <v>19</v>
      </c>
      <c r="N130" t="s">
        <v>81</v>
      </c>
      <c r="O130">
        <v>2001</v>
      </c>
      <c r="P130" t="s">
        <v>1413</v>
      </c>
      <c r="Q130" t="s">
        <v>1414</v>
      </c>
      <c r="R130">
        <v>7723</v>
      </c>
      <c r="S130" t="s">
        <v>1411</v>
      </c>
      <c r="T130" t="s">
        <v>1415</v>
      </c>
      <c r="U130">
        <v>1981</v>
      </c>
      <c r="V130" t="s">
        <v>1416</v>
      </c>
      <c r="W130">
        <v>1.76</v>
      </c>
      <c r="X130" t="s">
        <v>76</v>
      </c>
      <c r="Y130" t="s">
        <v>203</v>
      </c>
      <c r="Z130" t="s">
        <v>152</v>
      </c>
      <c r="AA130" t="s">
        <v>548</v>
      </c>
      <c r="AB130" s="1">
        <v>41646</v>
      </c>
      <c r="AC130" t="s">
        <v>108</v>
      </c>
      <c r="AD130" t="s">
        <v>89</v>
      </c>
      <c r="AE130">
        <v>2002</v>
      </c>
      <c r="AF130">
        <v>20</v>
      </c>
      <c r="AG130" t="s">
        <v>91</v>
      </c>
      <c r="AH130">
        <v>2000</v>
      </c>
      <c r="AI130">
        <v>19</v>
      </c>
      <c r="AJ130">
        <v>0</v>
      </c>
      <c r="AK130">
        <v>19</v>
      </c>
      <c r="AL130">
        <v>1</v>
      </c>
      <c r="AM130">
        <v>20</v>
      </c>
      <c r="AN130">
        <v>4</v>
      </c>
      <c r="AO130">
        <v>1</v>
      </c>
      <c r="AP130" t="s">
        <v>93</v>
      </c>
      <c r="AQ130" t="s">
        <v>89</v>
      </c>
      <c r="AR130" t="s">
        <v>89</v>
      </c>
      <c r="AS130" t="s">
        <v>111</v>
      </c>
      <c r="AT130" s="1">
        <v>41646</v>
      </c>
      <c r="AU130">
        <v>2014</v>
      </c>
      <c r="AV130">
        <v>13</v>
      </c>
      <c r="AW130">
        <v>13</v>
      </c>
      <c r="AX130" t="s">
        <v>89</v>
      </c>
      <c r="AY130" t="s">
        <v>111</v>
      </c>
      <c r="AZ130">
        <v>3</v>
      </c>
      <c r="BA130">
        <v>8</v>
      </c>
      <c r="BB130">
        <v>579</v>
      </c>
      <c r="BC130">
        <v>1</v>
      </c>
      <c r="BD130">
        <v>333</v>
      </c>
      <c r="BE130">
        <v>27815</v>
      </c>
      <c r="BF130">
        <v>14</v>
      </c>
      <c r="BG130">
        <v>33</v>
      </c>
      <c r="BH130">
        <v>341</v>
      </c>
      <c r="BI130">
        <v>28394</v>
      </c>
      <c r="BJ130">
        <v>15</v>
      </c>
      <c r="BK130">
        <f t="shared" si="11"/>
        <v>341</v>
      </c>
      <c r="BL130">
        <f t="shared" si="12"/>
        <v>28394</v>
      </c>
      <c r="BM130">
        <f t="shared" si="13"/>
        <v>15</v>
      </c>
      <c r="BN130">
        <f t="shared" si="14"/>
        <v>0</v>
      </c>
      <c r="BO130">
        <f t="shared" si="15"/>
        <v>0</v>
      </c>
      <c r="BP130">
        <f t="shared" si="16"/>
        <v>0</v>
      </c>
      <c r="BQ130" t="s">
        <v>203</v>
      </c>
      <c r="BR130" t="s">
        <v>140</v>
      </c>
      <c r="BS130" s="1">
        <v>29842</v>
      </c>
      <c r="BT130">
        <v>44</v>
      </c>
      <c r="BU130" s="1">
        <v>41646</v>
      </c>
      <c r="BV130" s="1">
        <v>41821</v>
      </c>
      <c r="BW130">
        <v>14</v>
      </c>
      <c r="BX130">
        <v>1981</v>
      </c>
      <c r="BY130">
        <v>14</v>
      </c>
      <c r="BZ130">
        <f t="shared" si="17"/>
        <v>-1</v>
      </c>
      <c r="CA130">
        <f t="shared" si="18"/>
        <v>0</v>
      </c>
      <c r="CB130" t="b">
        <f t="shared" si="19"/>
        <v>0</v>
      </c>
    </row>
    <row r="131" spans="1:80" x14ac:dyDescent="0.3">
      <c r="A131" t="s">
        <v>1417</v>
      </c>
      <c r="B131" t="s">
        <v>71</v>
      </c>
      <c r="C131" t="s">
        <v>1418</v>
      </c>
      <c r="D131">
        <v>34</v>
      </c>
      <c r="E131" s="1">
        <v>33314</v>
      </c>
      <c r="F131" t="s">
        <v>89</v>
      </c>
      <c r="G131" t="s">
        <v>75</v>
      </c>
      <c r="H131" t="s">
        <v>76</v>
      </c>
      <c r="I131" t="s">
        <v>195</v>
      </c>
      <c r="J131" t="s">
        <v>300</v>
      </c>
      <c r="K131" t="s">
        <v>89</v>
      </c>
      <c r="L131" t="s">
        <v>254</v>
      </c>
      <c r="M131">
        <v>18</v>
      </c>
      <c r="N131" t="s">
        <v>304</v>
      </c>
      <c r="O131">
        <v>2009</v>
      </c>
      <c r="P131" t="s">
        <v>1419</v>
      </c>
      <c r="Q131" t="s">
        <v>1420</v>
      </c>
      <c r="R131">
        <v>126516</v>
      </c>
      <c r="S131" t="s">
        <v>1417</v>
      </c>
      <c r="T131" t="s">
        <v>1421</v>
      </c>
      <c r="U131">
        <v>1991</v>
      </c>
      <c r="V131" t="s">
        <v>1422</v>
      </c>
      <c r="W131">
        <v>1.78</v>
      </c>
      <c r="X131" t="s">
        <v>76</v>
      </c>
      <c r="Y131" t="s">
        <v>203</v>
      </c>
      <c r="Z131" t="s">
        <v>152</v>
      </c>
      <c r="AA131" t="s">
        <v>1423</v>
      </c>
      <c r="AB131">
        <v>45665</v>
      </c>
      <c r="AC131" t="s">
        <v>170</v>
      </c>
      <c r="AD131" t="s">
        <v>89</v>
      </c>
      <c r="AE131" t="s">
        <v>1424</v>
      </c>
      <c r="AF131">
        <v>19</v>
      </c>
      <c r="AG131" t="s">
        <v>91</v>
      </c>
      <c r="AH131">
        <v>42187</v>
      </c>
      <c r="AI131">
        <v>23</v>
      </c>
      <c r="AJ131" t="s">
        <v>575</v>
      </c>
      <c r="AK131">
        <v>19</v>
      </c>
      <c r="AL131">
        <v>19</v>
      </c>
      <c r="AM131">
        <v>450</v>
      </c>
      <c r="AN131">
        <v>68</v>
      </c>
      <c r="AO131">
        <v>9</v>
      </c>
      <c r="AP131" t="s">
        <v>93</v>
      </c>
      <c r="AQ131" t="s">
        <v>89</v>
      </c>
      <c r="AR131" t="s">
        <v>89</v>
      </c>
      <c r="AS131" t="s">
        <v>93</v>
      </c>
      <c r="AT131" t="s">
        <v>89</v>
      </c>
      <c r="AU131" t="s">
        <v>89</v>
      </c>
      <c r="AV131" t="s">
        <v>89</v>
      </c>
      <c r="AW131">
        <v>16</v>
      </c>
      <c r="AX131">
        <v>5</v>
      </c>
      <c r="AY131" t="s">
        <v>93</v>
      </c>
      <c r="AZ131">
        <v>0</v>
      </c>
      <c r="BA131">
        <v>0</v>
      </c>
      <c r="BB131">
        <v>0</v>
      </c>
      <c r="BC131">
        <v>0</v>
      </c>
      <c r="BD131">
        <v>280</v>
      </c>
      <c r="BE131">
        <v>20529</v>
      </c>
      <c r="BF131">
        <v>6</v>
      </c>
      <c r="BG131" t="s">
        <v>89</v>
      </c>
      <c r="BH131">
        <v>280</v>
      </c>
      <c r="BI131">
        <v>20529</v>
      </c>
      <c r="BJ131">
        <v>6</v>
      </c>
      <c r="BK131">
        <f t="shared" ref="BK131:BK194" si="20">+BA131+BD131</f>
        <v>280</v>
      </c>
      <c r="BL131">
        <f t="shared" ref="BL131:BL194" si="21">+BB131+BE131</f>
        <v>20529</v>
      </c>
      <c r="BM131">
        <f t="shared" ref="BM131:BM194" si="22">+BC131+BF131</f>
        <v>6</v>
      </c>
      <c r="BN131">
        <f t="shared" ref="BN131:BN194" si="23">+BK131-BH131</f>
        <v>0</v>
      </c>
      <c r="BO131">
        <f t="shared" ref="BO131:BO194" si="24">+BL131-BI131</f>
        <v>0</v>
      </c>
      <c r="BP131">
        <f t="shared" ref="BP131:BP194" si="25">+BM131-BJ131</f>
        <v>0</v>
      </c>
      <c r="BQ131" t="s">
        <v>203</v>
      </c>
      <c r="BR131" t="s">
        <v>140</v>
      </c>
      <c r="BS131" s="1">
        <v>33314</v>
      </c>
      <c r="BT131">
        <v>34</v>
      </c>
      <c r="BU131" t="s">
        <v>89</v>
      </c>
      <c r="BV131" t="s">
        <v>89</v>
      </c>
      <c r="BW131">
        <v>15</v>
      </c>
      <c r="BX131">
        <v>1991</v>
      </c>
      <c r="BY131">
        <v>15</v>
      </c>
      <c r="BZ131">
        <f t="shared" ref="BZ131:BZ194" si="26">+AW131-BW131</f>
        <v>1</v>
      </c>
      <c r="CA131">
        <f t="shared" ref="CA131:CA194" si="27">+BW131-BY131</f>
        <v>0</v>
      </c>
      <c r="CB131" t="b">
        <f t="shared" ref="CB131:CB194" si="28">+BW131=AW131</f>
        <v>0</v>
      </c>
    </row>
    <row r="132" spans="1:80" x14ac:dyDescent="0.3">
      <c r="A132" t="s">
        <v>1425</v>
      </c>
      <c r="B132" t="s">
        <v>71</v>
      </c>
      <c r="C132" t="s">
        <v>1426</v>
      </c>
      <c r="D132">
        <v>29</v>
      </c>
      <c r="E132" t="s">
        <v>1427</v>
      </c>
      <c r="F132" t="s">
        <v>1428</v>
      </c>
      <c r="G132" t="s">
        <v>321</v>
      </c>
      <c r="H132" t="s">
        <v>76</v>
      </c>
      <c r="I132" t="s">
        <v>348</v>
      </c>
      <c r="J132" t="s">
        <v>78</v>
      </c>
      <c r="K132" t="s">
        <v>1429</v>
      </c>
      <c r="L132" t="s">
        <v>762</v>
      </c>
      <c r="M132">
        <v>18</v>
      </c>
      <c r="N132" t="s">
        <v>527</v>
      </c>
      <c r="O132">
        <v>2014</v>
      </c>
      <c r="P132" t="s">
        <v>1430</v>
      </c>
      <c r="Q132" t="s">
        <v>1431</v>
      </c>
      <c r="R132">
        <v>217149</v>
      </c>
      <c r="S132" t="s">
        <v>1425</v>
      </c>
      <c r="T132" t="s">
        <v>1432</v>
      </c>
      <c r="U132">
        <v>1996</v>
      </c>
      <c r="V132" t="s">
        <v>1433</v>
      </c>
      <c r="W132">
        <v>1.78</v>
      </c>
      <c r="X132" t="s">
        <v>76</v>
      </c>
      <c r="Y132" t="s">
        <v>136</v>
      </c>
      <c r="Z132" t="s">
        <v>87</v>
      </c>
      <c r="AA132" t="s">
        <v>1434</v>
      </c>
      <c r="AB132" t="s">
        <v>917</v>
      </c>
      <c r="AC132" t="s">
        <v>170</v>
      </c>
      <c r="AD132" t="s">
        <v>89</v>
      </c>
      <c r="AE132" s="1">
        <v>42220</v>
      </c>
      <c r="AF132">
        <v>18</v>
      </c>
      <c r="AG132" t="s">
        <v>91</v>
      </c>
      <c r="AH132" t="s">
        <v>1435</v>
      </c>
      <c r="AI132">
        <v>19</v>
      </c>
      <c r="AJ132" t="s">
        <v>110</v>
      </c>
      <c r="AK132">
        <v>18</v>
      </c>
      <c r="AL132" t="s">
        <v>89</v>
      </c>
      <c r="AM132" t="s">
        <v>89</v>
      </c>
      <c r="AN132" t="s">
        <v>89</v>
      </c>
      <c r="AO132">
        <v>0</v>
      </c>
      <c r="AP132" t="s">
        <v>93</v>
      </c>
      <c r="AQ132" t="s">
        <v>89</v>
      </c>
      <c r="AR132" t="s">
        <v>89</v>
      </c>
      <c r="AS132" t="s">
        <v>93</v>
      </c>
      <c r="AT132" t="s">
        <v>89</v>
      </c>
      <c r="AU132" t="s">
        <v>89</v>
      </c>
      <c r="AV132" t="s">
        <v>89</v>
      </c>
      <c r="AW132">
        <v>11</v>
      </c>
      <c r="AX132">
        <v>21</v>
      </c>
      <c r="AY132" t="s">
        <v>93</v>
      </c>
      <c r="AZ132">
        <v>0</v>
      </c>
      <c r="BA132">
        <v>0</v>
      </c>
      <c r="BB132">
        <v>0</v>
      </c>
      <c r="BC132">
        <v>0</v>
      </c>
      <c r="BD132">
        <v>16</v>
      </c>
      <c r="BE132">
        <v>1330</v>
      </c>
      <c r="BF132">
        <v>0</v>
      </c>
      <c r="BG132" t="s">
        <v>89</v>
      </c>
      <c r="BH132">
        <v>16</v>
      </c>
      <c r="BI132">
        <v>1330</v>
      </c>
      <c r="BJ132">
        <v>0</v>
      </c>
      <c r="BK132">
        <f t="shared" si="20"/>
        <v>16</v>
      </c>
      <c r="BL132">
        <f t="shared" si="21"/>
        <v>1330</v>
      </c>
      <c r="BM132">
        <f t="shared" si="22"/>
        <v>0</v>
      </c>
      <c r="BN132">
        <f t="shared" si="23"/>
        <v>0</v>
      </c>
      <c r="BO132">
        <f t="shared" si="24"/>
        <v>0</v>
      </c>
      <c r="BP132">
        <f t="shared" si="25"/>
        <v>0</v>
      </c>
      <c r="BQ132" t="s">
        <v>136</v>
      </c>
      <c r="BR132" t="s">
        <v>140</v>
      </c>
      <c r="BS132" t="s">
        <v>89</v>
      </c>
      <c r="BT132">
        <v>30</v>
      </c>
      <c r="BU132" t="s">
        <v>89</v>
      </c>
      <c r="BV132" t="s">
        <v>89</v>
      </c>
      <c r="BW132">
        <v>12</v>
      </c>
      <c r="BX132">
        <v>1996</v>
      </c>
      <c r="BY132">
        <v>11</v>
      </c>
      <c r="BZ132">
        <f t="shared" si="26"/>
        <v>-1</v>
      </c>
      <c r="CA132">
        <f t="shared" si="27"/>
        <v>1</v>
      </c>
      <c r="CB132" t="b">
        <f t="shared" si="28"/>
        <v>0</v>
      </c>
    </row>
    <row r="133" spans="1:80" x14ac:dyDescent="0.3">
      <c r="A133" t="s">
        <v>1436</v>
      </c>
      <c r="B133" t="s">
        <v>997</v>
      </c>
      <c r="C133" t="s">
        <v>1437</v>
      </c>
      <c r="D133">
        <v>41</v>
      </c>
      <c r="E133">
        <v>30707</v>
      </c>
      <c r="F133" t="s">
        <v>89</v>
      </c>
      <c r="G133" t="s">
        <v>160</v>
      </c>
      <c r="H133" t="s">
        <v>999</v>
      </c>
      <c r="I133" t="s">
        <v>1438</v>
      </c>
      <c r="J133" t="s">
        <v>78</v>
      </c>
      <c r="K133" t="s">
        <v>89</v>
      </c>
      <c r="L133" t="s">
        <v>180</v>
      </c>
      <c r="M133">
        <v>23</v>
      </c>
      <c r="N133" t="s">
        <v>1439</v>
      </c>
      <c r="O133">
        <v>2007</v>
      </c>
      <c r="P133" t="s">
        <v>1440</v>
      </c>
      <c r="Q133" t="s">
        <v>1441</v>
      </c>
      <c r="R133">
        <v>27924</v>
      </c>
      <c r="S133" t="s">
        <v>1436</v>
      </c>
      <c r="T133" t="s">
        <v>1442</v>
      </c>
      <c r="U133">
        <v>1984</v>
      </c>
      <c r="V133" t="s">
        <v>1443</v>
      </c>
      <c r="W133" t="s">
        <v>89</v>
      </c>
      <c r="X133" t="s">
        <v>999</v>
      </c>
      <c r="Y133" t="s">
        <v>136</v>
      </c>
      <c r="Z133" t="s">
        <v>89</v>
      </c>
      <c r="AA133" t="s">
        <v>1444</v>
      </c>
      <c r="AB133" s="1">
        <v>44562</v>
      </c>
      <c r="AC133" t="s">
        <v>108</v>
      </c>
      <c r="AD133" t="s">
        <v>89</v>
      </c>
      <c r="AE133">
        <v>2006</v>
      </c>
      <c r="AF133">
        <v>22</v>
      </c>
      <c r="AG133" t="s">
        <v>1006</v>
      </c>
      <c r="AH133" s="1">
        <v>2009</v>
      </c>
      <c r="AI133">
        <v>25</v>
      </c>
      <c r="AJ133">
        <v>0</v>
      </c>
      <c r="AK133">
        <v>22</v>
      </c>
      <c r="AL133">
        <v>6</v>
      </c>
      <c r="AM133">
        <v>58</v>
      </c>
      <c r="AN133">
        <v>10</v>
      </c>
      <c r="AO133">
        <v>4</v>
      </c>
      <c r="AP133" t="s">
        <v>93</v>
      </c>
      <c r="AQ133" t="s">
        <v>89</v>
      </c>
      <c r="AR133" t="s">
        <v>89</v>
      </c>
      <c r="AS133" t="s">
        <v>111</v>
      </c>
      <c r="AT133">
        <v>44562</v>
      </c>
      <c r="AU133">
        <v>2022</v>
      </c>
      <c r="AV133">
        <v>15</v>
      </c>
      <c r="AW133">
        <v>15</v>
      </c>
      <c r="AX133" t="s">
        <v>89</v>
      </c>
      <c r="AY133" t="s">
        <v>111</v>
      </c>
      <c r="AZ133">
        <v>15</v>
      </c>
      <c r="BA133">
        <v>43</v>
      </c>
      <c r="BB133">
        <v>3494</v>
      </c>
      <c r="BC133">
        <v>0</v>
      </c>
      <c r="BD133">
        <v>314</v>
      </c>
      <c r="BE133">
        <v>26845</v>
      </c>
      <c r="BF133">
        <v>3</v>
      </c>
      <c r="BG133">
        <v>38</v>
      </c>
      <c r="BH133">
        <v>357</v>
      </c>
      <c r="BI133">
        <v>30339</v>
      </c>
      <c r="BJ133">
        <v>3</v>
      </c>
      <c r="BK133">
        <f t="shared" si="20"/>
        <v>357</v>
      </c>
      <c r="BL133">
        <f t="shared" si="21"/>
        <v>30339</v>
      </c>
      <c r="BM133">
        <f t="shared" si="22"/>
        <v>3</v>
      </c>
      <c r="BN133">
        <f t="shared" si="23"/>
        <v>0</v>
      </c>
      <c r="BO133">
        <f t="shared" si="24"/>
        <v>0</v>
      </c>
      <c r="BP133">
        <f t="shared" si="25"/>
        <v>0</v>
      </c>
      <c r="BQ133" t="s">
        <v>136</v>
      </c>
      <c r="BR133" t="s">
        <v>140</v>
      </c>
      <c r="BS133" s="1">
        <v>30707</v>
      </c>
      <c r="BT133">
        <v>42</v>
      </c>
      <c r="BU133">
        <v>44562</v>
      </c>
      <c r="BV133" t="s">
        <v>89</v>
      </c>
      <c r="BW133">
        <v>16</v>
      </c>
      <c r="BX133">
        <v>1984</v>
      </c>
      <c r="BY133">
        <v>16</v>
      </c>
      <c r="BZ133">
        <f t="shared" si="26"/>
        <v>-1</v>
      </c>
      <c r="CA133">
        <f t="shared" si="27"/>
        <v>0</v>
      </c>
      <c r="CB133" t="b">
        <f t="shared" si="28"/>
        <v>0</v>
      </c>
    </row>
    <row r="134" spans="1:80" x14ac:dyDescent="0.3">
      <c r="A134" t="s">
        <v>1445</v>
      </c>
      <c r="B134" t="s">
        <v>71</v>
      </c>
      <c r="C134" t="s">
        <v>1446</v>
      </c>
      <c r="D134">
        <v>40</v>
      </c>
      <c r="E134">
        <v>31066</v>
      </c>
      <c r="F134" t="s">
        <v>89</v>
      </c>
      <c r="G134" t="s">
        <v>298</v>
      </c>
      <c r="H134" t="s">
        <v>89</v>
      </c>
      <c r="I134" t="s">
        <v>288</v>
      </c>
      <c r="J134" t="s">
        <v>89</v>
      </c>
      <c r="K134" t="s">
        <v>89</v>
      </c>
      <c r="L134" t="s">
        <v>117</v>
      </c>
      <c r="M134">
        <v>20</v>
      </c>
      <c r="N134" t="s">
        <v>416</v>
      </c>
      <c r="O134">
        <v>2005</v>
      </c>
      <c r="P134" t="s">
        <v>1447</v>
      </c>
      <c r="Q134" t="s">
        <v>1448</v>
      </c>
      <c r="R134">
        <v>37340</v>
      </c>
      <c r="S134" t="s">
        <v>1445</v>
      </c>
      <c r="T134" t="s">
        <v>1449</v>
      </c>
      <c r="U134">
        <v>1985</v>
      </c>
      <c r="V134" t="s">
        <v>1450</v>
      </c>
      <c r="W134">
        <v>1.79</v>
      </c>
      <c r="X134" t="s">
        <v>76</v>
      </c>
      <c r="Y134" t="s">
        <v>86</v>
      </c>
      <c r="Z134" t="s">
        <v>87</v>
      </c>
      <c r="AA134" t="s">
        <v>370</v>
      </c>
      <c r="AB134" t="s">
        <v>1451</v>
      </c>
      <c r="AC134" t="s">
        <v>108</v>
      </c>
      <c r="AD134" t="s">
        <v>89</v>
      </c>
      <c r="AE134" t="s">
        <v>1452</v>
      </c>
      <c r="AF134">
        <v>20</v>
      </c>
      <c r="AG134" t="s">
        <v>91</v>
      </c>
      <c r="AH134" t="s">
        <v>1453</v>
      </c>
      <c r="AI134">
        <v>27</v>
      </c>
      <c r="AJ134" t="s">
        <v>110</v>
      </c>
      <c r="AK134">
        <v>20</v>
      </c>
      <c r="AL134">
        <v>7</v>
      </c>
      <c r="AM134">
        <v>182</v>
      </c>
      <c r="AN134">
        <v>23</v>
      </c>
      <c r="AO134">
        <v>4</v>
      </c>
      <c r="AP134" t="s">
        <v>93</v>
      </c>
      <c r="AQ134" t="s">
        <v>89</v>
      </c>
      <c r="AR134" t="s">
        <v>89</v>
      </c>
      <c r="AS134" t="s">
        <v>111</v>
      </c>
      <c r="AT134" t="s">
        <v>1451</v>
      </c>
      <c r="AU134">
        <v>2018</v>
      </c>
      <c r="AV134">
        <v>13</v>
      </c>
      <c r="AW134">
        <v>13</v>
      </c>
      <c r="AX134" t="s">
        <v>89</v>
      </c>
      <c r="AY134" t="s">
        <v>93</v>
      </c>
      <c r="AZ134">
        <v>0</v>
      </c>
      <c r="BA134">
        <v>0</v>
      </c>
      <c r="BB134">
        <v>0</v>
      </c>
      <c r="BC134">
        <v>0</v>
      </c>
      <c r="BD134">
        <v>232</v>
      </c>
      <c r="BE134">
        <v>15291</v>
      </c>
      <c r="BF134">
        <v>3</v>
      </c>
      <c r="BG134">
        <v>33</v>
      </c>
      <c r="BH134">
        <v>232</v>
      </c>
      <c r="BI134">
        <v>15291</v>
      </c>
      <c r="BJ134">
        <v>3</v>
      </c>
      <c r="BK134">
        <f t="shared" si="20"/>
        <v>232</v>
      </c>
      <c r="BL134">
        <f t="shared" si="21"/>
        <v>15291</v>
      </c>
      <c r="BM134">
        <f t="shared" si="22"/>
        <v>3</v>
      </c>
      <c r="BN134">
        <f t="shared" si="23"/>
        <v>0</v>
      </c>
      <c r="BO134">
        <f t="shared" si="24"/>
        <v>0</v>
      </c>
      <c r="BP134">
        <f t="shared" si="25"/>
        <v>0</v>
      </c>
      <c r="BQ134" t="s">
        <v>86</v>
      </c>
      <c r="BR134" t="s">
        <v>94</v>
      </c>
      <c r="BS134" s="1">
        <v>31060</v>
      </c>
      <c r="BT134">
        <v>41</v>
      </c>
      <c r="BU134" t="s">
        <v>1451</v>
      </c>
      <c r="BV134" s="1">
        <v>43340</v>
      </c>
      <c r="BW134">
        <v>13</v>
      </c>
      <c r="BX134">
        <v>1985</v>
      </c>
      <c r="BY134">
        <v>13</v>
      </c>
      <c r="BZ134">
        <f t="shared" si="26"/>
        <v>0</v>
      </c>
      <c r="CA134">
        <f t="shared" si="27"/>
        <v>0</v>
      </c>
      <c r="CB134" t="b">
        <f t="shared" si="28"/>
        <v>1</v>
      </c>
    </row>
    <row r="135" spans="1:80" x14ac:dyDescent="0.3">
      <c r="A135" t="s">
        <v>1454</v>
      </c>
      <c r="B135" t="s">
        <v>71</v>
      </c>
      <c r="C135" t="s">
        <v>1455</v>
      </c>
      <c r="D135">
        <v>41</v>
      </c>
      <c r="E135" s="1">
        <v>30725</v>
      </c>
      <c r="F135" t="s">
        <v>89</v>
      </c>
      <c r="G135" t="s">
        <v>687</v>
      </c>
      <c r="H135" t="s">
        <v>89</v>
      </c>
      <c r="I135" t="s">
        <v>555</v>
      </c>
      <c r="J135" t="s">
        <v>89</v>
      </c>
      <c r="K135" t="s">
        <v>89</v>
      </c>
      <c r="L135" t="s">
        <v>180</v>
      </c>
      <c r="M135">
        <v>23</v>
      </c>
      <c r="N135" t="s">
        <v>1047</v>
      </c>
      <c r="O135">
        <v>2007</v>
      </c>
      <c r="P135" t="s">
        <v>1456</v>
      </c>
      <c r="Q135" t="s">
        <v>1457</v>
      </c>
      <c r="R135">
        <v>58013</v>
      </c>
      <c r="S135" t="s">
        <v>1454</v>
      </c>
      <c r="T135" t="s">
        <v>1458</v>
      </c>
      <c r="U135">
        <v>1984</v>
      </c>
      <c r="V135" t="s">
        <v>1047</v>
      </c>
      <c r="W135">
        <v>1.74</v>
      </c>
      <c r="X135" t="s">
        <v>76</v>
      </c>
      <c r="Y135" t="s">
        <v>86</v>
      </c>
      <c r="Z135" t="s">
        <v>87</v>
      </c>
      <c r="AA135" t="s">
        <v>1459</v>
      </c>
      <c r="AB135" s="1">
        <v>44933</v>
      </c>
      <c r="AC135" t="s">
        <v>108</v>
      </c>
      <c r="AD135" t="s">
        <v>89</v>
      </c>
      <c r="AE135" t="s">
        <v>719</v>
      </c>
      <c r="AF135">
        <v>24</v>
      </c>
      <c r="AG135" t="s">
        <v>91</v>
      </c>
      <c r="AH135" t="s">
        <v>449</v>
      </c>
      <c r="AI135">
        <v>23</v>
      </c>
      <c r="AJ135" t="s">
        <v>110</v>
      </c>
      <c r="AK135">
        <v>23</v>
      </c>
      <c r="AL135">
        <v>3</v>
      </c>
      <c r="AM135">
        <v>122</v>
      </c>
      <c r="AN135">
        <v>7</v>
      </c>
      <c r="AO135">
        <v>2</v>
      </c>
      <c r="AP135" t="s">
        <v>93</v>
      </c>
      <c r="AQ135" t="s">
        <v>89</v>
      </c>
      <c r="AR135" t="s">
        <v>89</v>
      </c>
      <c r="AS135" t="s">
        <v>111</v>
      </c>
      <c r="AT135">
        <v>44933</v>
      </c>
      <c r="AU135">
        <v>2023</v>
      </c>
      <c r="AV135">
        <v>16</v>
      </c>
      <c r="AW135">
        <v>16</v>
      </c>
      <c r="AX135" t="s">
        <v>89</v>
      </c>
      <c r="AY135" t="s">
        <v>93</v>
      </c>
      <c r="AZ135">
        <v>0</v>
      </c>
      <c r="BA135">
        <v>0</v>
      </c>
      <c r="BB135">
        <v>0</v>
      </c>
      <c r="BC135">
        <v>0</v>
      </c>
      <c r="BD135">
        <v>199</v>
      </c>
      <c r="BE135">
        <v>15377</v>
      </c>
      <c r="BF135">
        <v>30</v>
      </c>
      <c r="BG135">
        <v>39</v>
      </c>
      <c r="BH135">
        <v>199</v>
      </c>
      <c r="BI135">
        <v>15377</v>
      </c>
      <c r="BJ135">
        <v>30</v>
      </c>
      <c r="BK135">
        <f t="shared" si="20"/>
        <v>199</v>
      </c>
      <c r="BL135">
        <f t="shared" si="21"/>
        <v>15377</v>
      </c>
      <c r="BM135">
        <f t="shared" si="22"/>
        <v>30</v>
      </c>
      <c r="BN135">
        <f t="shared" si="23"/>
        <v>0</v>
      </c>
      <c r="BO135">
        <f t="shared" si="24"/>
        <v>0</v>
      </c>
      <c r="BP135">
        <f t="shared" si="25"/>
        <v>0</v>
      </c>
      <c r="BQ135" t="s">
        <v>86</v>
      </c>
      <c r="BR135" t="s">
        <v>94</v>
      </c>
      <c r="BS135" t="s">
        <v>89</v>
      </c>
      <c r="BT135">
        <v>42</v>
      </c>
      <c r="BU135">
        <v>44933</v>
      </c>
      <c r="BV135" t="s">
        <v>89</v>
      </c>
      <c r="BW135">
        <v>16</v>
      </c>
      <c r="BX135">
        <v>1984</v>
      </c>
      <c r="BY135">
        <v>16</v>
      </c>
      <c r="BZ135">
        <f t="shared" si="26"/>
        <v>0</v>
      </c>
      <c r="CA135">
        <f t="shared" si="27"/>
        <v>0</v>
      </c>
      <c r="CB135" t="b">
        <f t="shared" si="28"/>
        <v>1</v>
      </c>
    </row>
    <row r="136" spans="1:80" x14ac:dyDescent="0.3">
      <c r="A136" t="s">
        <v>1460</v>
      </c>
      <c r="B136" t="s">
        <v>1461</v>
      </c>
      <c r="C136" t="s">
        <v>1462</v>
      </c>
      <c r="D136">
        <v>38</v>
      </c>
      <c r="E136" s="1">
        <v>31807</v>
      </c>
      <c r="F136" t="s">
        <v>89</v>
      </c>
      <c r="G136" t="s">
        <v>143</v>
      </c>
      <c r="H136" t="s">
        <v>1463</v>
      </c>
      <c r="I136" t="s">
        <v>116</v>
      </c>
      <c r="J136" t="s">
        <v>639</v>
      </c>
      <c r="K136" t="s">
        <v>89</v>
      </c>
      <c r="L136" t="s">
        <v>117</v>
      </c>
      <c r="M136">
        <v>18</v>
      </c>
      <c r="N136" t="s">
        <v>1464</v>
      </c>
      <c r="O136">
        <v>2005</v>
      </c>
      <c r="P136" t="s">
        <v>1465</v>
      </c>
      <c r="Q136" t="s">
        <v>1466</v>
      </c>
      <c r="R136">
        <v>21369</v>
      </c>
      <c r="S136" t="s">
        <v>1460</v>
      </c>
      <c r="T136" t="s">
        <v>1467</v>
      </c>
      <c r="U136">
        <v>1987</v>
      </c>
      <c r="V136" t="s">
        <v>1468</v>
      </c>
      <c r="W136">
        <v>1.77</v>
      </c>
      <c r="X136" t="s">
        <v>1469</v>
      </c>
      <c r="Y136" t="s">
        <v>391</v>
      </c>
      <c r="Z136" t="s">
        <v>87</v>
      </c>
      <c r="AA136" t="s">
        <v>1470</v>
      </c>
      <c r="AB136" s="1">
        <v>44904</v>
      </c>
      <c r="AC136" t="s">
        <v>108</v>
      </c>
      <c r="AD136" t="s">
        <v>223</v>
      </c>
      <c r="AE136" t="s">
        <v>1471</v>
      </c>
      <c r="AF136">
        <v>18</v>
      </c>
      <c r="AG136" t="s">
        <v>1472</v>
      </c>
      <c r="AH136" t="s">
        <v>92</v>
      </c>
      <c r="AI136" t="s">
        <v>89</v>
      </c>
      <c r="AJ136" t="s">
        <v>92</v>
      </c>
      <c r="AK136">
        <v>18</v>
      </c>
      <c r="AL136">
        <v>51</v>
      </c>
      <c r="AM136">
        <v>1075</v>
      </c>
      <c r="AN136">
        <v>228</v>
      </c>
      <c r="AO136">
        <v>16</v>
      </c>
      <c r="AP136" t="s">
        <v>93</v>
      </c>
      <c r="AQ136" t="s">
        <v>89</v>
      </c>
      <c r="AR136" t="s">
        <v>89</v>
      </c>
      <c r="AS136" t="s">
        <v>111</v>
      </c>
      <c r="AT136" s="1">
        <v>44904</v>
      </c>
      <c r="AU136">
        <v>2022</v>
      </c>
      <c r="AV136">
        <v>17</v>
      </c>
      <c r="AW136">
        <v>17</v>
      </c>
      <c r="AX136" t="s">
        <v>89</v>
      </c>
      <c r="AY136" t="s">
        <v>111</v>
      </c>
      <c r="AZ136">
        <v>12</v>
      </c>
      <c r="BA136">
        <v>68</v>
      </c>
      <c r="BB136">
        <v>5514</v>
      </c>
      <c r="BC136">
        <v>13</v>
      </c>
      <c r="BD136">
        <v>461</v>
      </c>
      <c r="BE136">
        <v>30689</v>
      </c>
      <c r="BF136">
        <v>72</v>
      </c>
      <c r="BG136">
        <v>35</v>
      </c>
      <c r="BH136">
        <v>529</v>
      </c>
      <c r="BI136">
        <v>36203</v>
      </c>
      <c r="BJ136">
        <v>85</v>
      </c>
      <c r="BK136">
        <f t="shared" si="20"/>
        <v>529</v>
      </c>
      <c r="BL136">
        <f t="shared" si="21"/>
        <v>36203</v>
      </c>
      <c r="BM136">
        <f t="shared" si="22"/>
        <v>85</v>
      </c>
      <c r="BN136">
        <f t="shared" si="23"/>
        <v>0</v>
      </c>
      <c r="BO136">
        <f t="shared" si="24"/>
        <v>0</v>
      </c>
      <c r="BP136">
        <f t="shared" si="25"/>
        <v>0</v>
      </c>
      <c r="BQ136" t="s">
        <v>391</v>
      </c>
      <c r="BR136" t="s">
        <v>112</v>
      </c>
      <c r="BS136" s="1">
        <v>31807</v>
      </c>
      <c r="BT136">
        <v>39</v>
      </c>
      <c r="BU136" s="1">
        <v>44904</v>
      </c>
      <c r="BV136" s="1">
        <v>44816</v>
      </c>
      <c r="BW136">
        <v>17</v>
      </c>
      <c r="BX136">
        <v>1987</v>
      </c>
      <c r="BY136">
        <v>17</v>
      </c>
      <c r="BZ136">
        <f t="shared" si="26"/>
        <v>0</v>
      </c>
      <c r="CA136">
        <f t="shared" si="27"/>
        <v>0</v>
      </c>
      <c r="CB136" t="b">
        <f t="shared" si="28"/>
        <v>1</v>
      </c>
    </row>
    <row r="137" spans="1:80" x14ac:dyDescent="0.3">
      <c r="A137" t="s">
        <v>1473</v>
      </c>
      <c r="B137" t="s">
        <v>156</v>
      </c>
      <c r="C137" t="s">
        <v>1474</v>
      </c>
      <c r="D137">
        <v>37</v>
      </c>
      <c r="E137" s="1">
        <v>32065</v>
      </c>
      <c r="F137" t="s">
        <v>1475</v>
      </c>
      <c r="G137" t="s">
        <v>241</v>
      </c>
      <c r="H137" t="s">
        <v>177</v>
      </c>
      <c r="I137" t="s">
        <v>437</v>
      </c>
      <c r="J137" t="s">
        <v>300</v>
      </c>
      <c r="K137" t="s">
        <v>1476</v>
      </c>
      <c r="L137" t="s">
        <v>228</v>
      </c>
      <c r="M137">
        <v>22</v>
      </c>
      <c r="N137" t="s">
        <v>416</v>
      </c>
      <c r="O137">
        <v>2010</v>
      </c>
      <c r="P137" t="s">
        <v>1477</v>
      </c>
      <c r="Q137" t="s">
        <v>1478</v>
      </c>
      <c r="R137">
        <v>68562</v>
      </c>
      <c r="S137" t="s">
        <v>1473</v>
      </c>
      <c r="T137" t="s">
        <v>1479</v>
      </c>
      <c r="U137">
        <v>1987</v>
      </c>
      <c r="V137" t="s">
        <v>982</v>
      </c>
      <c r="W137">
        <v>1.87</v>
      </c>
      <c r="X137" t="s">
        <v>1480</v>
      </c>
      <c r="Y137" t="s">
        <v>123</v>
      </c>
      <c r="Z137" t="s">
        <v>152</v>
      </c>
      <c r="AA137" t="s">
        <v>1481</v>
      </c>
      <c r="AB137" t="s">
        <v>1482</v>
      </c>
      <c r="AC137" t="s">
        <v>108</v>
      </c>
      <c r="AD137" t="s">
        <v>89</v>
      </c>
      <c r="AE137">
        <v>39388</v>
      </c>
      <c r="AF137">
        <v>19</v>
      </c>
      <c r="AG137" t="s">
        <v>171</v>
      </c>
      <c r="AH137" t="s">
        <v>1483</v>
      </c>
      <c r="AI137">
        <v>22</v>
      </c>
      <c r="AJ137" t="s">
        <v>986</v>
      </c>
      <c r="AK137">
        <v>19</v>
      </c>
      <c r="AL137">
        <v>4</v>
      </c>
      <c r="AM137">
        <v>272</v>
      </c>
      <c r="AN137">
        <v>36</v>
      </c>
      <c r="AO137">
        <v>3</v>
      </c>
      <c r="AP137" t="s">
        <v>93</v>
      </c>
      <c r="AQ137" t="s">
        <v>89</v>
      </c>
      <c r="AR137" t="s">
        <v>89</v>
      </c>
      <c r="AS137" t="s">
        <v>93</v>
      </c>
      <c r="AT137" t="s">
        <v>89</v>
      </c>
      <c r="AU137" t="s">
        <v>89</v>
      </c>
      <c r="AV137" t="s">
        <v>89</v>
      </c>
      <c r="AW137">
        <v>15</v>
      </c>
      <c r="AX137" t="s">
        <v>89</v>
      </c>
      <c r="AY137" t="s">
        <v>93</v>
      </c>
      <c r="AZ137">
        <v>0</v>
      </c>
      <c r="BA137">
        <v>0</v>
      </c>
      <c r="BB137">
        <v>0</v>
      </c>
      <c r="BC137">
        <v>0</v>
      </c>
      <c r="BD137">
        <v>309</v>
      </c>
      <c r="BE137">
        <v>16618</v>
      </c>
      <c r="BF137">
        <v>86</v>
      </c>
      <c r="BG137" t="s">
        <v>89</v>
      </c>
      <c r="BH137">
        <v>309</v>
      </c>
      <c r="BI137">
        <v>16618</v>
      </c>
      <c r="BJ137">
        <v>86</v>
      </c>
      <c r="BK137">
        <f t="shared" si="20"/>
        <v>309</v>
      </c>
      <c r="BL137">
        <f t="shared" si="21"/>
        <v>16618</v>
      </c>
      <c r="BM137">
        <f t="shared" si="22"/>
        <v>86</v>
      </c>
      <c r="BN137">
        <f t="shared" si="23"/>
        <v>0</v>
      </c>
      <c r="BO137">
        <f t="shared" si="24"/>
        <v>0</v>
      </c>
      <c r="BP137">
        <f t="shared" si="25"/>
        <v>0</v>
      </c>
      <c r="BQ137" t="s">
        <v>123</v>
      </c>
      <c r="BR137" t="s">
        <v>112</v>
      </c>
      <c r="BS137" s="1">
        <v>32065</v>
      </c>
      <c r="BT137">
        <v>38</v>
      </c>
      <c r="BU137" t="s">
        <v>89</v>
      </c>
      <c r="BV137" t="s">
        <v>89</v>
      </c>
      <c r="BW137">
        <v>19</v>
      </c>
      <c r="BX137">
        <v>1987</v>
      </c>
      <c r="BY137">
        <v>18</v>
      </c>
      <c r="BZ137">
        <f t="shared" si="26"/>
        <v>-4</v>
      </c>
      <c r="CA137">
        <f t="shared" si="27"/>
        <v>1</v>
      </c>
      <c r="CB137" t="b">
        <f t="shared" si="28"/>
        <v>0</v>
      </c>
    </row>
    <row r="138" spans="1:80" x14ac:dyDescent="0.3">
      <c r="A138" t="s">
        <v>1484</v>
      </c>
      <c r="B138" t="s">
        <v>71</v>
      </c>
      <c r="C138" t="s">
        <v>1485</v>
      </c>
      <c r="D138">
        <v>44</v>
      </c>
      <c r="E138">
        <v>29628</v>
      </c>
      <c r="F138" t="s">
        <v>89</v>
      </c>
      <c r="G138" t="s">
        <v>97</v>
      </c>
      <c r="H138" t="s">
        <v>76</v>
      </c>
      <c r="I138" t="s">
        <v>437</v>
      </c>
      <c r="J138" t="s">
        <v>78</v>
      </c>
      <c r="K138" t="s">
        <v>89</v>
      </c>
      <c r="L138" t="s">
        <v>845</v>
      </c>
      <c r="M138">
        <v>21</v>
      </c>
      <c r="N138" t="s">
        <v>137</v>
      </c>
      <c r="O138">
        <v>2002</v>
      </c>
      <c r="P138" t="s">
        <v>1486</v>
      </c>
      <c r="Q138" t="s">
        <v>1487</v>
      </c>
      <c r="R138">
        <v>29124</v>
      </c>
      <c r="S138" t="s">
        <v>1484</v>
      </c>
      <c r="T138">
        <v>29892</v>
      </c>
      <c r="U138">
        <v>1981</v>
      </c>
      <c r="V138" t="s">
        <v>1488</v>
      </c>
      <c r="W138">
        <v>1.81</v>
      </c>
      <c r="X138" t="s">
        <v>76</v>
      </c>
      <c r="Y138" t="s">
        <v>123</v>
      </c>
      <c r="Z138" t="s">
        <v>87</v>
      </c>
      <c r="AA138" t="s">
        <v>137</v>
      </c>
      <c r="AB138" t="s">
        <v>1489</v>
      </c>
      <c r="AC138" t="s">
        <v>108</v>
      </c>
      <c r="AD138" t="s">
        <v>89</v>
      </c>
      <c r="AE138" t="s">
        <v>1490</v>
      </c>
      <c r="AF138">
        <v>21</v>
      </c>
      <c r="AG138" t="s">
        <v>91</v>
      </c>
      <c r="AH138" t="s">
        <v>505</v>
      </c>
      <c r="AI138">
        <v>23</v>
      </c>
      <c r="AJ138" t="s">
        <v>110</v>
      </c>
      <c r="AK138">
        <v>21</v>
      </c>
      <c r="AL138">
        <v>18</v>
      </c>
      <c r="AM138">
        <v>445</v>
      </c>
      <c r="AN138">
        <v>64</v>
      </c>
      <c r="AO138">
        <v>9</v>
      </c>
      <c r="AP138" t="s">
        <v>93</v>
      </c>
      <c r="AQ138" t="s">
        <v>89</v>
      </c>
      <c r="AR138" t="s">
        <v>89</v>
      </c>
      <c r="AS138" t="s">
        <v>111</v>
      </c>
      <c r="AT138" t="s">
        <v>1489</v>
      </c>
      <c r="AU138">
        <v>2020</v>
      </c>
      <c r="AV138">
        <v>18</v>
      </c>
      <c r="AW138">
        <v>18</v>
      </c>
      <c r="AX138" t="s">
        <v>89</v>
      </c>
      <c r="AY138" t="s">
        <v>111</v>
      </c>
      <c r="AZ138">
        <v>4</v>
      </c>
      <c r="BA138">
        <v>13</v>
      </c>
      <c r="BB138">
        <v>537</v>
      </c>
      <c r="BC138">
        <v>2</v>
      </c>
      <c r="BD138">
        <v>572</v>
      </c>
      <c r="BE138">
        <v>39251</v>
      </c>
      <c r="BF138">
        <v>224</v>
      </c>
      <c r="BG138">
        <v>39</v>
      </c>
      <c r="BH138">
        <v>585</v>
      </c>
      <c r="BI138">
        <v>39788</v>
      </c>
      <c r="BJ138">
        <v>226</v>
      </c>
      <c r="BK138">
        <f t="shared" si="20"/>
        <v>585</v>
      </c>
      <c r="BL138">
        <f t="shared" si="21"/>
        <v>39788</v>
      </c>
      <c r="BM138">
        <f t="shared" si="22"/>
        <v>226</v>
      </c>
      <c r="BN138">
        <f t="shared" si="23"/>
        <v>0</v>
      </c>
      <c r="BO138">
        <f t="shared" si="24"/>
        <v>0</v>
      </c>
      <c r="BP138">
        <f t="shared" si="25"/>
        <v>0</v>
      </c>
      <c r="BQ138" t="s">
        <v>123</v>
      </c>
      <c r="BR138" t="s">
        <v>112</v>
      </c>
      <c r="BS138" t="s">
        <v>89</v>
      </c>
      <c r="BT138">
        <v>45</v>
      </c>
      <c r="BU138" t="s">
        <v>1489</v>
      </c>
      <c r="BV138" s="1">
        <v>43971</v>
      </c>
      <c r="BW138">
        <v>18</v>
      </c>
      <c r="BX138">
        <v>1981</v>
      </c>
      <c r="BY138">
        <v>18</v>
      </c>
      <c r="BZ138">
        <f t="shared" si="26"/>
        <v>0</v>
      </c>
      <c r="CA138">
        <f t="shared" si="27"/>
        <v>0</v>
      </c>
      <c r="CB138" t="b">
        <f t="shared" si="28"/>
        <v>1</v>
      </c>
    </row>
    <row r="139" spans="1:80" x14ac:dyDescent="0.3">
      <c r="A139" t="s">
        <v>1491</v>
      </c>
      <c r="B139" t="s">
        <v>71</v>
      </c>
      <c r="C139" t="s">
        <v>1492</v>
      </c>
      <c r="D139">
        <v>31</v>
      </c>
      <c r="E139" t="s">
        <v>1493</v>
      </c>
      <c r="F139" t="s">
        <v>1494</v>
      </c>
      <c r="G139" t="s">
        <v>75</v>
      </c>
      <c r="H139" t="s">
        <v>76</v>
      </c>
      <c r="I139" t="s">
        <v>1438</v>
      </c>
      <c r="J139" t="s">
        <v>78</v>
      </c>
      <c r="K139" t="s">
        <v>1365</v>
      </c>
      <c r="L139" t="s">
        <v>762</v>
      </c>
      <c r="M139">
        <v>20</v>
      </c>
      <c r="N139" t="s">
        <v>1365</v>
      </c>
      <c r="O139">
        <v>2014</v>
      </c>
      <c r="P139" t="s">
        <v>1495</v>
      </c>
      <c r="Q139" t="s">
        <v>1496</v>
      </c>
      <c r="R139">
        <v>229804</v>
      </c>
      <c r="S139" t="s">
        <v>1491</v>
      </c>
      <c r="T139" t="s">
        <v>1497</v>
      </c>
      <c r="U139">
        <v>1994</v>
      </c>
      <c r="V139" t="s">
        <v>1498</v>
      </c>
      <c r="W139">
        <v>1.8</v>
      </c>
      <c r="X139" t="s">
        <v>76</v>
      </c>
      <c r="Y139" t="s">
        <v>235</v>
      </c>
      <c r="Z139" t="s">
        <v>87</v>
      </c>
      <c r="AA139" t="s">
        <v>1365</v>
      </c>
      <c r="AB139">
        <v>42461</v>
      </c>
      <c r="AC139" t="s">
        <v>170</v>
      </c>
      <c r="AD139" t="s">
        <v>89</v>
      </c>
      <c r="AE139" t="s">
        <v>1499</v>
      </c>
      <c r="AF139">
        <v>20</v>
      </c>
      <c r="AG139" t="s">
        <v>91</v>
      </c>
      <c r="AH139" t="s">
        <v>92</v>
      </c>
      <c r="AI139" t="s">
        <v>89</v>
      </c>
      <c r="AJ139" t="s">
        <v>92</v>
      </c>
      <c r="AK139">
        <v>20</v>
      </c>
      <c r="AL139">
        <v>16</v>
      </c>
      <c r="AM139">
        <v>376</v>
      </c>
      <c r="AN139">
        <v>55</v>
      </c>
      <c r="AO139">
        <v>7</v>
      </c>
      <c r="AP139" t="s">
        <v>93</v>
      </c>
      <c r="AQ139" t="s">
        <v>89</v>
      </c>
      <c r="AR139" t="s">
        <v>89</v>
      </c>
      <c r="AS139" t="s">
        <v>93</v>
      </c>
      <c r="AT139" t="s">
        <v>89</v>
      </c>
      <c r="AU139" t="s">
        <v>89</v>
      </c>
      <c r="AV139" t="s">
        <v>89</v>
      </c>
      <c r="AW139">
        <v>11</v>
      </c>
      <c r="AX139">
        <v>6</v>
      </c>
      <c r="AY139" t="s">
        <v>93</v>
      </c>
      <c r="AZ139">
        <v>0</v>
      </c>
      <c r="BA139">
        <v>0</v>
      </c>
      <c r="BB139">
        <v>0</v>
      </c>
      <c r="BC139">
        <v>0</v>
      </c>
      <c r="BD139">
        <v>295</v>
      </c>
      <c r="BE139">
        <v>20871</v>
      </c>
      <c r="BF139">
        <v>12</v>
      </c>
      <c r="BG139" t="s">
        <v>89</v>
      </c>
      <c r="BH139">
        <v>295</v>
      </c>
      <c r="BI139">
        <v>20871</v>
      </c>
      <c r="BJ139">
        <v>12</v>
      </c>
      <c r="BK139">
        <f t="shared" si="20"/>
        <v>295</v>
      </c>
      <c r="BL139">
        <f t="shared" si="21"/>
        <v>20871</v>
      </c>
      <c r="BM139">
        <f t="shared" si="22"/>
        <v>12</v>
      </c>
      <c r="BN139">
        <f t="shared" si="23"/>
        <v>0</v>
      </c>
      <c r="BO139">
        <f t="shared" si="24"/>
        <v>0</v>
      </c>
      <c r="BP139">
        <f t="shared" si="25"/>
        <v>0</v>
      </c>
      <c r="BQ139" t="s">
        <v>235</v>
      </c>
      <c r="BR139" t="s">
        <v>140</v>
      </c>
      <c r="BS139" s="1">
        <v>34421</v>
      </c>
      <c r="BT139">
        <v>31</v>
      </c>
      <c r="BU139" t="s">
        <v>89</v>
      </c>
      <c r="BV139" t="s">
        <v>89</v>
      </c>
      <c r="BW139">
        <v>11</v>
      </c>
      <c r="BX139">
        <v>1994</v>
      </c>
      <c r="BY139">
        <v>11</v>
      </c>
      <c r="BZ139">
        <f t="shared" si="26"/>
        <v>0</v>
      </c>
      <c r="CA139">
        <f t="shared" si="27"/>
        <v>0</v>
      </c>
      <c r="CB139" t="b">
        <f t="shared" si="28"/>
        <v>1</v>
      </c>
    </row>
    <row r="140" spans="1:80" x14ac:dyDescent="0.3">
      <c r="A140" t="s">
        <v>1500</v>
      </c>
      <c r="B140" t="s">
        <v>71</v>
      </c>
      <c r="C140" t="s">
        <v>1501</v>
      </c>
      <c r="D140">
        <v>44</v>
      </c>
      <c r="E140" s="1">
        <v>29531</v>
      </c>
      <c r="F140" t="s">
        <v>89</v>
      </c>
      <c r="G140" t="s">
        <v>400</v>
      </c>
      <c r="H140" t="s">
        <v>89</v>
      </c>
      <c r="I140" t="s">
        <v>555</v>
      </c>
      <c r="J140" t="s">
        <v>89</v>
      </c>
      <c r="K140" t="s">
        <v>89</v>
      </c>
      <c r="L140" t="s">
        <v>163</v>
      </c>
      <c r="M140">
        <v>25</v>
      </c>
      <c r="N140" t="s">
        <v>105</v>
      </c>
      <c r="O140">
        <v>2006</v>
      </c>
      <c r="P140" t="s">
        <v>1502</v>
      </c>
      <c r="Q140" t="s">
        <v>1503</v>
      </c>
      <c r="R140">
        <v>51489</v>
      </c>
      <c r="S140" t="s">
        <v>1500</v>
      </c>
      <c r="T140">
        <v>29383</v>
      </c>
      <c r="U140">
        <v>1980</v>
      </c>
      <c r="V140" t="s">
        <v>1504</v>
      </c>
      <c r="W140">
        <v>1.82</v>
      </c>
      <c r="X140" t="s">
        <v>76</v>
      </c>
      <c r="Y140" t="s">
        <v>86</v>
      </c>
      <c r="Z140" t="s">
        <v>87</v>
      </c>
      <c r="AA140" t="s">
        <v>1505</v>
      </c>
      <c r="AB140" s="1">
        <v>42742</v>
      </c>
      <c r="AC140" t="s">
        <v>108</v>
      </c>
      <c r="AD140" t="s">
        <v>89</v>
      </c>
      <c r="AE140" t="s">
        <v>1506</v>
      </c>
      <c r="AF140">
        <v>33</v>
      </c>
      <c r="AG140" t="s">
        <v>91</v>
      </c>
      <c r="AH140" t="s">
        <v>727</v>
      </c>
      <c r="AI140">
        <v>25</v>
      </c>
      <c r="AJ140" t="s">
        <v>110</v>
      </c>
      <c r="AK140">
        <v>25</v>
      </c>
      <c r="AL140" t="s">
        <v>89</v>
      </c>
      <c r="AM140" t="s">
        <v>89</v>
      </c>
      <c r="AN140" t="s">
        <v>89</v>
      </c>
      <c r="AO140">
        <v>0</v>
      </c>
      <c r="AP140" t="s">
        <v>93</v>
      </c>
      <c r="AQ140" t="s">
        <v>89</v>
      </c>
      <c r="AR140" t="s">
        <v>89</v>
      </c>
      <c r="AS140" t="s">
        <v>111</v>
      </c>
      <c r="AT140" s="1">
        <v>42742</v>
      </c>
      <c r="AU140">
        <v>2017</v>
      </c>
      <c r="AV140">
        <v>11</v>
      </c>
      <c r="AW140">
        <v>11</v>
      </c>
      <c r="AX140" t="s">
        <v>89</v>
      </c>
      <c r="AY140" t="s">
        <v>93</v>
      </c>
      <c r="AZ140">
        <v>0</v>
      </c>
      <c r="BA140">
        <v>0</v>
      </c>
      <c r="BB140">
        <v>0</v>
      </c>
      <c r="BC140">
        <v>0</v>
      </c>
      <c r="BD140">
        <v>350</v>
      </c>
      <c r="BE140">
        <v>29183</v>
      </c>
      <c r="BF140">
        <v>13</v>
      </c>
      <c r="BG140">
        <v>37</v>
      </c>
      <c r="BH140">
        <v>350</v>
      </c>
      <c r="BI140">
        <v>29183</v>
      </c>
      <c r="BJ140">
        <v>13</v>
      </c>
      <c r="BK140">
        <f t="shared" si="20"/>
        <v>350</v>
      </c>
      <c r="BL140">
        <f t="shared" si="21"/>
        <v>29183</v>
      </c>
      <c r="BM140">
        <f t="shared" si="22"/>
        <v>13</v>
      </c>
      <c r="BN140">
        <f t="shared" si="23"/>
        <v>0</v>
      </c>
      <c r="BO140">
        <f t="shared" si="24"/>
        <v>0</v>
      </c>
      <c r="BP140">
        <f t="shared" si="25"/>
        <v>0</v>
      </c>
      <c r="BQ140" t="s">
        <v>86</v>
      </c>
      <c r="BR140" t="s">
        <v>94</v>
      </c>
      <c r="BS140" t="s">
        <v>89</v>
      </c>
      <c r="BT140">
        <v>46</v>
      </c>
      <c r="BU140" s="1">
        <v>42742</v>
      </c>
      <c r="BV140" s="1">
        <v>42917</v>
      </c>
      <c r="BW140">
        <v>12</v>
      </c>
      <c r="BX140">
        <v>1980</v>
      </c>
      <c r="BY140">
        <v>12</v>
      </c>
      <c r="BZ140">
        <f t="shared" si="26"/>
        <v>-1</v>
      </c>
      <c r="CA140">
        <f t="shared" si="27"/>
        <v>0</v>
      </c>
      <c r="CB140" t="b">
        <f t="shared" si="28"/>
        <v>0</v>
      </c>
    </row>
    <row r="141" spans="1:80" x14ac:dyDescent="0.3">
      <c r="A141" t="s">
        <v>1507</v>
      </c>
      <c r="B141" t="s">
        <v>1508</v>
      </c>
      <c r="C141" t="s">
        <v>1509</v>
      </c>
      <c r="D141">
        <v>41</v>
      </c>
      <c r="E141" s="1">
        <v>30631</v>
      </c>
      <c r="F141" t="s">
        <v>89</v>
      </c>
      <c r="G141" t="s">
        <v>400</v>
      </c>
      <c r="H141" t="s">
        <v>1510</v>
      </c>
      <c r="I141" t="s">
        <v>437</v>
      </c>
      <c r="J141" t="s">
        <v>78</v>
      </c>
      <c r="K141" t="s">
        <v>89</v>
      </c>
      <c r="L141" t="s">
        <v>657</v>
      </c>
      <c r="M141">
        <v>19</v>
      </c>
      <c r="N141" t="s">
        <v>1511</v>
      </c>
      <c r="O141">
        <v>2003</v>
      </c>
      <c r="P141" t="s">
        <v>1512</v>
      </c>
      <c r="Q141" t="s">
        <v>1513</v>
      </c>
      <c r="R141">
        <v>8552</v>
      </c>
      <c r="S141" t="s">
        <v>1507</v>
      </c>
      <c r="T141">
        <v>30631</v>
      </c>
      <c r="U141">
        <v>1983</v>
      </c>
      <c r="V141" t="s">
        <v>1514</v>
      </c>
      <c r="W141">
        <v>1.81</v>
      </c>
      <c r="X141" t="s">
        <v>1515</v>
      </c>
      <c r="Y141" t="s">
        <v>123</v>
      </c>
      <c r="Z141" t="s">
        <v>87</v>
      </c>
      <c r="AA141" t="s">
        <v>1516</v>
      </c>
      <c r="AB141" s="1">
        <v>44927</v>
      </c>
      <c r="AC141" t="s">
        <v>108</v>
      </c>
      <c r="AD141" t="s">
        <v>89</v>
      </c>
      <c r="AE141">
        <v>37537</v>
      </c>
      <c r="AF141">
        <v>18</v>
      </c>
      <c r="AG141" t="s">
        <v>1161</v>
      </c>
      <c r="AH141" t="s">
        <v>92</v>
      </c>
      <c r="AI141" t="s">
        <v>89</v>
      </c>
      <c r="AJ141" t="s">
        <v>92</v>
      </c>
      <c r="AK141">
        <v>18</v>
      </c>
      <c r="AL141">
        <v>9</v>
      </c>
      <c r="AM141">
        <v>795</v>
      </c>
      <c r="AN141">
        <v>128</v>
      </c>
      <c r="AO141">
        <v>8</v>
      </c>
      <c r="AP141" t="s">
        <v>93</v>
      </c>
      <c r="AQ141" t="s">
        <v>89</v>
      </c>
      <c r="AR141" t="s">
        <v>89</v>
      </c>
      <c r="AS141" t="s">
        <v>111</v>
      </c>
      <c r="AT141">
        <v>44927</v>
      </c>
      <c r="AU141">
        <v>2023</v>
      </c>
      <c r="AV141">
        <v>20</v>
      </c>
      <c r="AW141">
        <v>20</v>
      </c>
      <c r="AX141" t="s">
        <v>89</v>
      </c>
      <c r="AY141" t="s">
        <v>111</v>
      </c>
      <c r="AZ141">
        <v>3</v>
      </c>
      <c r="BA141">
        <v>5</v>
      </c>
      <c r="BB141">
        <v>282</v>
      </c>
      <c r="BC141">
        <v>0</v>
      </c>
      <c r="BD141">
        <v>434</v>
      </c>
      <c r="BE141">
        <v>26940</v>
      </c>
      <c r="BF141">
        <v>122</v>
      </c>
      <c r="BG141">
        <v>40</v>
      </c>
      <c r="BH141">
        <v>439</v>
      </c>
      <c r="BI141">
        <v>27222</v>
      </c>
      <c r="BJ141">
        <v>122</v>
      </c>
      <c r="BK141">
        <f t="shared" si="20"/>
        <v>439</v>
      </c>
      <c r="BL141">
        <f t="shared" si="21"/>
        <v>27222</v>
      </c>
      <c r="BM141">
        <f t="shared" si="22"/>
        <v>122</v>
      </c>
      <c r="BN141">
        <f t="shared" si="23"/>
        <v>0</v>
      </c>
      <c r="BO141">
        <f t="shared" si="24"/>
        <v>0</v>
      </c>
      <c r="BP141">
        <f t="shared" si="25"/>
        <v>0</v>
      </c>
      <c r="BQ141" t="s">
        <v>123</v>
      </c>
      <c r="BR141" t="s">
        <v>112</v>
      </c>
      <c r="BS141" t="s">
        <v>89</v>
      </c>
      <c r="BT141">
        <v>43</v>
      </c>
      <c r="BU141">
        <v>44927</v>
      </c>
      <c r="BV141" t="s">
        <v>89</v>
      </c>
      <c r="BW141">
        <v>22</v>
      </c>
      <c r="BX141">
        <v>1983</v>
      </c>
      <c r="BY141">
        <v>22</v>
      </c>
      <c r="BZ141">
        <f t="shared" si="26"/>
        <v>-2</v>
      </c>
      <c r="CA141">
        <f t="shared" si="27"/>
        <v>0</v>
      </c>
      <c r="CB141" t="b">
        <f t="shared" si="28"/>
        <v>0</v>
      </c>
    </row>
    <row r="142" spans="1:80" x14ac:dyDescent="0.3">
      <c r="A142" t="s">
        <v>1517</v>
      </c>
      <c r="B142" t="s">
        <v>1508</v>
      </c>
      <c r="C142" t="s">
        <v>1518</v>
      </c>
      <c r="D142">
        <v>42</v>
      </c>
      <c r="E142">
        <v>30408</v>
      </c>
      <c r="F142" t="s">
        <v>89</v>
      </c>
      <c r="G142" t="s">
        <v>1519</v>
      </c>
      <c r="H142" t="s">
        <v>1510</v>
      </c>
      <c r="I142" t="s">
        <v>195</v>
      </c>
      <c r="J142" t="s">
        <v>300</v>
      </c>
      <c r="K142" t="s">
        <v>89</v>
      </c>
      <c r="L142" t="s">
        <v>657</v>
      </c>
      <c r="M142">
        <v>20</v>
      </c>
      <c r="N142" t="s">
        <v>1520</v>
      </c>
      <c r="O142">
        <v>2003</v>
      </c>
      <c r="P142" t="s">
        <v>1521</v>
      </c>
      <c r="Q142" t="s">
        <v>1522</v>
      </c>
      <c r="R142">
        <v>13038</v>
      </c>
      <c r="S142" t="s">
        <v>1517</v>
      </c>
      <c r="T142">
        <v>30351</v>
      </c>
      <c r="U142">
        <v>1983</v>
      </c>
      <c r="V142" t="s">
        <v>1523</v>
      </c>
      <c r="W142" t="s">
        <v>89</v>
      </c>
      <c r="X142" t="s">
        <v>1515</v>
      </c>
      <c r="Y142" t="s">
        <v>203</v>
      </c>
      <c r="Z142" t="s">
        <v>89</v>
      </c>
      <c r="AA142" t="s">
        <v>1524</v>
      </c>
      <c r="AB142">
        <v>44568</v>
      </c>
      <c r="AC142" t="s">
        <v>108</v>
      </c>
      <c r="AD142" t="s">
        <v>89</v>
      </c>
      <c r="AE142" s="1">
        <v>37537</v>
      </c>
      <c r="AF142">
        <v>19</v>
      </c>
      <c r="AG142" t="s">
        <v>1161</v>
      </c>
      <c r="AH142" t="s">
        <v>1525</v>
      </c>
      <c r="AI142">
        <v>23</v>
      </c>
      <c r="AJ142" t="s">
        <v>1044</v>
      </c>
      <c r="AK142">
        <v>19</v>
      </c>
      <c r="AL142">
        <v>14</v>
      </c>
      <c r="AM142">
        <v>371</v>
      </c>
      <c r="AN142">
        <v>65</v>
      </c>
      <c r="AO142">
        <v>8</v>
      </c>
      <c r="AP142" t="s">
        <v>93</v>
      </c>
      <c r="AQ142" t="s">
        <v>89</v>
      </c>
      <c r="AR142" t="s">
        <v>89</v>
      </c>
      <c r="AS142" t="s">
        <v>111</v>
      </c>
      <c r="AT142">
        <v>44568</v>
      </c>
      <c r="AU142">
        <v>2022</v>
      </c>
      <c r="AV142">
        <v>19</v>
      </c>
      <c r="AW142">
        <v>19</v>
      </c>
      <c r="AX142" t="s">
        <v>89</v>
      </c>
      <c r="AY142" t="s">
        <v>111</v>
      </c>
      <c r="AZ142">
        <v>9</v>
      </c>
      <c r="BA142">
        <v>18</v>
      </c>
      <c r="BB142">
        <v>1485</v>
      </c>
      <c r="BC142">
        <v>0</v>
      </c>
      <c r="BD142">
        <v>323</v>
      </c>
      <c r="BE142">
        <v>24482</v>
      </c>
      <c r="BF142">
        <v>8</v>
      </c>
      <c r="BG142">
        <v>39</v>
      </c>
      <c r="BH142">
        <v>341</v>
      </c>
      <c r="BI142">
        <v>25967</v>
      </c>
      <c r="BJ142">
        <v>8</v>
      </c>
      <c r="BK142">
        <f t="shared" si="20"/>
        <v>341</v>
      </c>
      <c r="BL142">
        <f t="shared" si="21"/>
        <v>25967</v>
      </c>
      <c r="BM142">
        <f t="shared" si="22"/>
        <v>8</v>
      </c>
      <c r="BN142">
        <f t="shared" si="23"/>
        <v>0</v>
      </c>
      <c r="BO142">
        <f t="shared" si="24"/>
        <v>0</v>
      </c>
      <c r="BP142">
        <f t="shared" si="25"/>
        <v>0</v>
      </c>
      <c r="BQ142" t="s">
        <v>203</v>
      </c>
      <c r="BR142" t="s">
        <v>140</v>
      </c>
      <c r="BS142" t="s">
        <v>89</v>
      </c>
      <c r="BT142">
        <v>43</v>
      </c>
      <c r="BU142">
        <v>44568</v>
      </c>
      <c r="BV142" t="s">
        <v>89</v>
      </c>
      <c r="BW142">
        <v>20</v>
      </c>
      <c r="BX142">
        <v>1983</v>
      </c>
      <c r="BY142">
        <v>20</v>
      </c>
      <c r="BZ142">
        <f t="shared" si="26"/>
        <v>-1</v>
      </c>
      <c r="CA142">
        <f t="shared" si="27"/>
        <v>0</v>
      </c>
      <c r="CB142" t="b">
        <f t="shared" si="28"/>
        <v>0</v>
      </c>
    </row>
    <row r="143" spans="1:80" x14ac:dyDescent="0.3">
      <c r="A143" t="s">
        <v>1526</v>
      </c>
      <c r="B143" t="s">
        <v>71</v>
      </c>
      <c r="C143" t="s">
        <v>1527</v>
      </c>
      <c r="D143">
        <v>44</v>
      </c>
      <c r="E143" s="1">
        <v>29605</v>
      </c>
      <c r="F143" t="s">
        <v>89</v>
      </c>
      <c r="G143" t="s">
        <v>413</v>
      </c>
      <c r="H143" t="s">
        <v>76</v>
      </c>
      <c r="I143" t="s">
        <v>195</v>
      </c>
      <c r="J143" t="s">
        <v>89</v>
      </c>
      <c r="K143" t="s">
        <v>89</v>
      </c>
      <c r="L143" t="s">
        <v>196</v>
      </c>
      <c r="M143">
        <v>19</v>
      </c>
      <c r="N143" t="s">
        <v>137</v>
      </c>
      <c r="O143">
        <v>2000</v>
      </c>
      <c r="P143" t="s">
        <v>1528</v>
      </c>
      <c r="Q143" t="s">
        <v>1529</v>
      </c>
      <c r="R143">
        <v>7617</v>
      </c>
      <c r="S143" t="s">
        <v>1526</v>
      </c>
      <c r="T143" t="s">
        <v>1530</v>
      </c>
      <c r="U143">
        <v>1981</v>
      </c>
      <c r="V143" t="s">
        <v>1504</v>
      </c>
      <c r="W143">
        <v>1.81</v>
      </c>
      <c r="X143" t="s">
        <v>76</v>
      </c>
      <c r="Y143" t="s">
        <v>203</v>
      </c>
      <c r="Z143" t="s">
        <v>152</v>
      </c>
      <c r="AA143" t="s">
        <v>751</v>
      </c>
      <c r="AB143" s="1">
        <v>40915</v>
      </c>
      <c r="AC143" t="s">
        <v>108</v>
      </c>
      <c r="AD143" t="s">
        <v>89</v>
      </c>
      <c r="AE143" s="1">
        <v>36778</v>
      </c>
      <c r="AF143">
        <v>19</v>
      </c>
      <c r="AG143" t="s">
        <v>91</v>
      </c>
      <c r="AH143" t="s">
        <v>92</v>
      </c>
      <c r="AI143" t="s">
        <v>89</v>
      </c>
      <c r="AJ143" t="s">
        <v>92</v>
      </c>
      <c r="AK143">
        <v>19</v>
      </c>
      <c r="AL143">
        <v>5</v>
      </c>
      <c r="AM143">
        <v>315</v>
      </c>
      <c r="AN143">
        <v>23</v>
      </c>
      <c r="AO143">
        <v>4</v>
      </c>
      <c r="AP143" t="s">
        <v>93</v>
      </c>
      <c r="AQ143" t="s">
        <v>89</v>
      </c>
      <c r="AR143" t="s">
        <v>89</v>
      </c>
      <c r="AS143" t="s">
        <v>111</v>
      </c>
      <c r="AT143" s="1">
        <v>40915</v>
      </c>
      <c r="AU143">
        <v>2012</v>
      </c>
      <c r="AV143">
        <v>12</v>
      </c>
      <c r="AW143">
        <v>12</v>
      </c>
      <c r="AX143" t="s">
        <v>89</v>
      </c>
      <c r="AY143" t="s">
        <v>111</v>
      </c>
      <c r="AZ143">
        <v>1</v>
      </c>
      <c r="BA143">
        <v>6</v>
      </c>
      <c r="BB143">
        <v>509</v>
      </c>
      <c r="BC143">
        <v>1</v>
      </c>
      <c r="BD143">
        <v>235</v>
      </c>
      <c r="BE143">
        <v>18438</v>
      </c>
      <c r="BF143">
        <v>21</v>
      </c>
      <c r="BG143">
        <v>31</v>
      </c>
      <c r="BH143">
        <v>241</v>
      </c>
      <c r="BI143">
        <v>18947</v>
      </c>
      <c r="BJ143">
        <v>22</v>
      </c>
      <c r="BK143">
        <f t="shared" si="20"/>
        <v>241</v>
      </c>
      <c r="BL143">
        <f t="shared" si="21"/>
        <v>18947</v>
      </c>
      <c r="BM143">
        <f t="shared" si="22"/>
        <v>22</v>
      </c>
      <c r="BN143">
        <f t="shared" si="23"/>
        <v>0</v>
      </c>
      <c r="BO143">
        <f t="shared" si="24"/>
        <v>0</v>
      </c>
      <c r="BP143">
        <f t="shared" si="25"/>
        <v>0</v>
      </c>
      <c r="BQ143" t="s">
        <v>203</v>
      </c>
      <c r="BR143" t="s">
        <v>140</v>
      </c>
      <c r="BS143" s="1">
        <v>29605</v>
      </c>
      <c r="BT143">
        <v>45</v>
      </c>
      <c r="BU143" s="1">
        <v>40915</v>
      </c>
      <c r="BV143" s="1">
        <v>41091</v>
      </c>
      <c r="BW143">
        <v>12</v>
      </c>
      <c r="BX143">
        <v>1981</v>
      </c>
      <c r="BY143">
        <v>12</v>
      </c>
      <c r="BZ143">
        <f t="shared" si="26"/>
        <v>0</v>
      </c>
      <c r="CA143">
        <f t="shared" si="27"/>
        <v>0</v>
      </c>
      <c r="CB143" t="b">
        <f t="shared" si="28"/>
        <v>1</v>
      </c>
    </row>
    <row r="144" spans="1:80" x14ac:dyDescent="0.3">
      <c r="A144" t="s">
        <v>1531</v>
      </c>
      <c r="B144" t="s">
        <v>71</v>
      </c>
      <c r="C144" t="s">
        <v>1532</v>
      </c>
      <c r="D144">
        <v>35</v>
      </c>
      <c r="E144" s="1">
        <v>32940</v>
      </c>
      <c r="F144" t="s">
        <v>89</v>
      </c>
      <c r="G144" t="s">
        <v>277</v>
      </c>
      <c r="H144" t="s">
        <v>76</v>
      </c>
      <c r="I144" t="s">
        <v>288</v>
      </c>
      <c r="J144" t="s">
        <v>78</v>
      </c>
      <c r="K144" t="s">
        <v>89</v>
      </c>
      <c r="L144" t="s">
        <v>254</v>
      </c>
      <c r="M144">
        <v>19</v>
      </c>
      <c r="N144" t="s">
        <v>1365</v>
      </c>
      <c r="O144">
        <v>2009</v>
      </c>
      <c r="P144" t="s">
        <v>1533</v>
      </c>
      <c r="Q144" t="s">
        <v>1534</v>
      </c>
      <c r="R144">
        <v>59344</v>
      </c>
      <c r="S144" t="s">
        <v>1531</v>
      </c>
      <c r="T144">
        <v>33088</v>
      </c>
      <c r="U144">
        <v>1990</v>
      </c>
      <c r="V144" t="s">
        <v>1535</v>
      </c>
      <c r="W144">
        <v>1.79</v>
      </c>
      <c r="X144" t="s">
        <v>76</v>
      </c>
      <c r="Y144" t="s">
        <v>259</v>
      </c>
      <c r="Z144" t="s">
        <v>87</v>
      </c>
      <c r="AA144" t="s">
        <v>1536</v>
      </c>
      <c r="AB144" t="s">
        <v>1537</v>
      </c>
      <c r="AC144" t="s">
        <v>798</v>
      </c>
      <c r="AD144" t="s">
        <v>89</v>
      </c>
      <c r="AE144" t="s">
        <v>1538</v>
      </c>
      <c r="AF144">
        <v>20</v>
      </c>
      <c r="AG144" t="s">
        <v>91</v>
      </c>
      <c r="AH144" t="s">
        <v>756</v>
      </c>
      <c r="AI144">
        <v>20</v>
      </c>
      <c r="AJ144" t="s">
        <v>110</v>
      </c>
      <c r="AK144">
        <v>20</v>
      </c>
      <c r="AL144">
        <v>12</v>
      </c>
      <c r="AM144">
        <v>781</v>
      </c>
      <c r="AN144">
        <v>126</v>
      </c>
      <c r="AO144">
        <v>8</v>
      </c>
      <c r="AP144" t="s">
        <v>93</v>
      </c>
      <c r="AQ144" t="s">
        <v>89</v>
      </c>
      <c r="AR144" t="s">
        <v>89</v>
      </c>
      <c r="AS144" t="s">
        <v>93</v>
      </c>
      <c r="AT144" t="s">
        <v>89</v>
      </c>
      <c r="AU144" t="s">
        <v>89</v>
      </c>
      <c r="AV144" t="s">
        <v>89</v>
      </c>
      <c r="AW144">
        <v>16</v>
      </c>
      <c r="AX144">
        <v>5</v>
      </c>
      <c r="AY144" t="s">
        <v>111</v>
      </c>
      <c r="AZ144">
        <v>2</v>
      </c>
      <c r="BA144">
        <v>3</v>
      </c>
      <c r="BB144">
        <v>225</v>
      </c>
      <c r="BC144">
        <v>1</v>
      </c>
      <c r="BD144">
        <v>370</v>
      </c>
      <c r="BE144">
        <v>25630</v>
      </c>
      <c r="BF144">
        <v>15</v>
      </c>
      <c r="BG144" t="s">
        <v>89</v>
      </c>
      <c r="BH144">
        <v>373</v>
      </c>
      <c r="BI144">
        <v>25855</v>
      </c>
      <c r="BJ144">
        <v>16</v>
      </c>
      <c r="BK144">
        <f t="shared" si="20"/>
        <v>373</v>
      </c>
      <c r="BL144">
        <f t="shared" si="21"/>
        <v>25855</v>
      </c>
      <c r="BM144">
        <f t="shared" si="22"/>
        <v>16</v>
      </c>
      <c r="BN144">
        <f t="shared" si="23"/>
        <v>0</v>
      </c>
      <c r="BO144">
        <f t="shared" si="24"/>
        <v>0</v>
      </c>
      <c r="BP144">
        <f t="shared" si="25"/>
        <v>0</v>
      </c>
      <c r="BQ144" t="s">
        <v>259</v>
      </c>
      <c r="BR144" t="s">
        <v>94</v>
      </c>
      <c r="BS144" t="s">
        <v>89</v>
      </c>
      <c r="BT144">
        <v>36</v>
      </c>
      <c r="BU144" t="s">
        <v>89</v>
      </c>
      <c r="BV144" t="s">
        <v>89</v>
      </c>
      <c r="BW144">
        <v>16</v>
      </c>
      <c r="BX144">
        <v>1990</v>
      </c>
      <c r="BY144">
        <v>15</v>
      </c>
      <c r="BZ144">
        <f t="shared" si="26"/>
        <v>0</v>
      </c>
      <c r="CA144">
        <f t="shared" si="27"/>
        <v>1</v>
      </c>
      <c r="CB144" t="b">
        <f t="shared" si="28"/>
        <v>1</v>
      </c>
    </row>
    <row r="145" spans="1:80" x14ac:dyDescent="0.3">
      <c r="A145" t="s">
        <v>1539</v>
      </c>
      <c r="B145" t="s">
        <v>71</v>
      </c>
      <c r="C145" t="s">
        <v>1540</v>
      </c>
      <c r="D145">
        <v>41</v>
      </c>
      <c r="E145" s="1">
        <v>30595</v>
      </c>
      <c r="F145" t="s">
        <v>89</v>
      </c>
      <c r="G145" t="s">
        <v>226</v>
      </c>
      <c r="H145" t="s">
        <v>76</v>
      </c>
      <c r="I145" t="s">
        <v>178</v>
      </c>
      <c r="J145" t="s">
        <v>78</v>
      </c>
      <c r="K145" t="s">
        <v>89</v>
      </c>
      <c r="L145" t="s">
        <v>845</v>
      </c>
      <c r="M145">
        <v>18</v>
      </c>
      <c r="N145" t="s">
        <v>1181</v>
      </c>
      <c r="O145">
        <v>2002</v>
      </c>
      <c r="P145" t="s">
        <v>1541</v>
      </c>
      <c r="Q145" t="s">
        <v>1542</v>
      </c>
      <c r="R145">
        <v>23338</v>
      </c>
      <c r="S145" t="s">
        <v>1539</v>
      </c>
      <c r="T145">
        <v>30477</v>
      </c>
      <c r="U145">
        <v>1983</v>
      </c>
      <c r="V145" t="s">
        <v>1543</v>
      </c>
      <c r="W145">
        <v>1.85</v>
      </c>
      <c r="X145" t="s">
        <v>76</v>
      </c>
      <c r="Y145" t="s">
        <v>186</v>
      </c>
      <c r="Z145" t="s">
        <v>87</v>
      </c>
      <c r="AA145" t="s">
        <v>1544</v>
      </c>
      <c r="AB145" s="1">
        <v>44933</v>
      </c>
      <c r="AC145" t="s">
        <v>108</v>
      </c>
      <c r="AD145" t="s">
        <v>89</v>
      </c>
      <c r="AE145" t="s">
        <v>505</v>
      </c>
      <c r="AF145">
        <v>20</v>
      </c>
      <c r="AG145" t="s">
        <v>91</v>
      </c>
      <c r="AH145" t="s">
        <v>1545</v>
      </c>
      <c r="AI145">
        <v>19</v>
      </c>
      <c r="AJ145" t="s">
        <v>110</v>
      </c>
      <c r="AK145">
        <v>19</v>
      </c>
      <c r="AL145">
        <v>4</v>
      </c>
      <c r="AM145">
        <v>136</v>
      </c>
      <c r="AN145">
        <v>24</v>
      </c>
      <c r="AO145">
        <v>4</v>
      </c>
      <c r="AP145" t="s">
        <v>93</v>
      </c>
      <c r="AQ145" t="s">
        <v>89</v>
      </c>
      <c r="AR145" t="s">
        <v>89</v>
      </c>
      <c r="AS145" t="s">
        <v>111</v>
      </c>
      <c r="AT145" s="1">
        <v>44933</v>
      </c>
      <c r="AU145">
        <v>2023</v>
      </c>
      <c r="AV145">
        <v>21</v>
      </c>
      <c r="AW145">
        <v>21</v>
      </c>
      <c r="AX145" t="s">
        <v>89</v>
      </c>
      <c r="AY145" t="s">
        <v>93</v>
      </c>
      <c r="AZ145">
        <v>0</v>
      </c>
      <c r="BA145">
        <v>0</v>
      </c>
      <c r="BB145">
        <v>0</v>
      </c>
      <c r="BC145">
        <v>0</v>
      </c>
      <c r="BD145">
        <v>409</v>
      </c>
      <c r="BE145">
        <v>36071</v>
      </c>
      <c r="BF145">
        <v>0</v>
      </c>
      <c r="BG145">
        <v>40</v>
      </c>
      <c r="BH145">
        <v>409</v>
      </c>
      <c r="BI145">
        <v>36071</v>
      </c>
      <c r="BJ145">
        <v>0</v>
      </c>
      <c r="BK145">
        <f t="shared" si="20"/>
        <v>409</v>
      </c>
      <c r="BL145">
        <f t="shared" si="21"/>
        <v>36071</v>
      </c>
      <c r="BM145">
        <f t="shared" si="22"/>
        <v>0</v>
      </c>
      <c r="BN145">
        <f t="shared" si="23"/>
        <v>0</v>
      </c>
      <c r="BO145">
        <f t="shared" si="24"/>
        <v>0</v>
      </c>
      <c r="BP145">
        <f t="shared" si="25"/>
        <v>0</v>
      </c>
      <c r="BQ145" t="s">
        <v>186</v>
      </c>
      <c r="BR145" t="s">
        <v>186</v>
      </c>
      <c r="BS145" t="s">
        <v>89</v>
      </c>
      <c r="BT145">
        <v>43</v>
      </c>
      <c r="BU145" s="1">
        <v>44933</v>
      </c>
      <c r="BV145" s="1">
        <v>45108</v>
      </c>
      <c r="BW145">
        <v>21</v>
      </c>
      <c r="BX145">
        <v>1983</v>
      </c>
      <c r="BY145">
        <v>21</v>
      </c>
      <c r="BZ145">
        <f t="shared" si="26"/>
        <v>0</v>
      </c>
      <c r="CA145">
        <f t="shared" si="27"/>
        <v>0</v>
      </c>
      <c r="CB145" t="b">
        <f t="shared" si="28"/>
        <v>1</v>
      </c>
    </row>
    <row r="146" spans="1:80" x14ac:dyDescent="0.3">
      <c r="A146" t="s">
        <v>1546</v>
      </c>
      <c r="B146" t="s">
        <v>156</v>
      </c>
      <c r="C146" t="s">
        <v>1547</v>
      </c>
      <c r="D146">
        <v>39</v>
      </c>
      <c r="E146" s="1">
        <v>31512</v>
      </c>
      <c r="F146" t="s">
        <v>89</v>
      </c>
      <c r="G146" t="s">
        <v>160</v>
      </c>
      <c r="H146" t="s">
        <v>177</v>
      </c>
      <c r="I146" t="s">
        <v>1548</v>
      </c>
      <c r="J146" t="s">
        <v>78</v>
      </c>
      <c r="K146" t="s">
        <v>89</v>
      </c>
      <c r="L146" t="s">
        <v>254</v>
      </c>
      <c r="M146">
        <v>23</v>
      </c>
      <c r="N146" t="s">
        <v>1549</v>
      </c>
      <c r="O146">
        <v>2009</v>
      </c>
      <c r="P146" t="s">
        <v>1550</v>
      </c>
      <c r="Q146" t="s">
        <v>1551</v>
      </c>
      <c r="R146">
        <v>39151</v>
      </c>
      <c r="S146" t="s">
        <v>1546</v>
      </c>
      <c r="T146">
        <v>31689</v>
      </c>
      <c r="U146">
        <v>1986</v>
      </c>
      <c r="V146" t="s">
        <v>1552</v>
      </c>
      <c r="W146">
        <v>1.77</v>
      </c>
      <c r="X146" t="s">
        <v>169</v>
      </c>
      <c r="Y146" t="s">
        <v>86</v>
      </c>
      <c r="Z146" t="s">
        <v>87</v>
      </c>
      <c r="AA146" t="s">
        <v>273</v>
      </c>
      <c r="AB146" s="1">
        <v>44203</v>
      </c>
      <c r="AC146" t="s">
        <v>108</v>
      </c>
      <c r="AD146" t="s">
        <v>442</v>
      </c>
      <c r="AE146" t="s">
        <v>1553</v>
      </c>
      <c r="AF146">
        <v>19</v>
      </c>
      <c r="AG146" t="s">
        <v>171</v>
      </c>
      <c r="AH146">
        <v>43928</v>
      </c>
      <c r="AI146">
        <v>34</v>
      </c>
      <c r="AJ146" t="s">
        <v>110</v>
      </c>
      <c r="AK146">
        <v>19</v>
      </c>
      <c r="AL146">
        <v>9</v>
      </c>
      <c r="AM146">
        <v>546</v>
      </c>
      <c r="AN146">
        <v>83</v>
      </c>
      <c r="AO146">
        <v>7</v>
      </c>
      <c r="AP146" t="s">
        <v>93</v>
      </c>
      <c r="AQ146" t="s">
        <v>89</v>
      </c>
      <c r="AR146" t="s">
        <v>89</v>
      </c>
      <c r="AS146" t="s">
        <v>111</v>
      </c>
      <c r="AT146" s="1">
        <v>44203</v>
      </c>
      <c r="AU146">
        <v>2021</v>
      </c>
      <c r="AV146">
        <v>12</v>
      </c>
      <c r="AW146">
        <v>12</v>
      </c>
      <c r="AX146" t="s">
        <v>89</v>
      </c>
      <c r="AY146" t="s">
        <v>111</v>
      </c>
      <c r="AZ146">
        <v>4</v>
      </c>
      <c r="BA146">
        <v>5</v>
      </c>
      <c r="BB146">
        <v>165</v>
      </c>
      <c r="BC146">
        <v>0</v>
      </c>
      <c r="BD146">
        <v>214</v>
      </c>
      <c r="BE146">
        <v>14897</v>
      </c>
      <c r="BF146">
        <v>14</v>
      </c>
      <c r="BG146">
        <v>35</v>
      </c>
      <c r="BH146">
        <v>219</v>
      </c>
      <c r="BI146">
        <v>15062</v>
      </c>
      <c r="BJ146">
        <v>14</v>
      </c>
      <c r="BK146">
        <f t="shared" si="20"/>
        <v>219</v>
      </c>
      <c r="BL146">
        <f t="shared" si="21"/>
        <v>15062</v>
      </c>
      <c r="BM146">
        <f t="shared" si="22"/>
        <v>14</v>
      </c>
      <c r="BN146">
        <f t="shared" si="23"/>
        <v>0</v>
      </c>
      <c r="BO146">
        <f t="shared" si="24"/>
        <v>0</v>
      </c>
      <c r="BP146">
        <f t="shared" si="25"/>
        <v>0</v>
      </c>
      <c r="BQ146" t="s">
        <v>86</v>
      </c>
      <c r="BR146" t="s">
        <v>94</v>
      </c>
      <c r="BS146" t="s">
        <v>89</v>
      </c>
      <c r="BT146">
        <v>40</v>
      </c>
      <c r="BU146" s="1">
        <v>44203</v>
      </c>
      <c r="BV146" s="1">
        <v>44378</v>
      </c>
      <c r="BW146">
        <v>16</v>
      </c>
      <c r="BX146">
        <v>1986</v>
      </c>
      <c r="BY146">
        <v>16</v>
      </c>
      <c r="BZ146">
        <f t="shared" si="26"/>
        <v>-4</v>
      </c>
      <c r="CA146">
        <f t="shared" si="27"/>
        <v>0</v>
      </c>
      <c r="CB146" t="b">
        <f t="shared" si="28"/>
        <v>0</v>
      </c>
    </row>
    <row r="147" spans="1:80" x14ac:dyDescent="0.3">
      <c r="A147" t="s">
        <v>1554</v>
      </c>
      <c r="B147" t="s">
        <v>71</v>
      </c>
      <c r="C147" t="s">
        <v>1555</v>
      </c>
      <c r="D147">
        <v>31</v>
      </c>
      <c r="E147" t="s">
        <v>1556</v>
      </c>
      <c r="F147" t="s">
        <v>1557</v>
      </c>
      <c r="G147" t="s">
        <v>374</v>
      </c>
      <c r="H147" t="s">
        <v>1558</v>
      </c>
      <c r="I147" t="s">
        <v>1331</v>
      </c>
      <c r="J147" t="s">
        <v>300</v>
      </c>
      <c r="K147" t="s">
        <v>137</v>
      </c>
      <c r="L147" t="s">
        <v>80</v>
      </c>
      <c r="M147">
        <v>18</v>
      </c>
      <c r="N147" t="s">
        <v>137</v>
      </c>
      <c r="O147">
        <v>2012</v>
      </c>
      <c r="P147" t="s">
        <v>1559</v>
      </c>
      <c r="Q147" t="s">
        <v>1560</v>
      </c>
      <c r="R147">
        <v>176553</v>
      </c>
      <c r="S147" t="s">
        <v>1554</v>
      </c>
      <c r="T147" t="s">
        <v>1561</v>
      </c>
      <c r="U147">
        <v>1994</v>
      </c>
      <c r="V147" t="s">
        <v>1562</v>
      </c>
      <c r="W147">
        <v>1.91</v>
      </c>
      <c r="X147" t="s">
        <v>1563</v>
      </c>
      <c r="Y147" t="s">
        <v>235</v>
      </c>
      <c r="Z147" t="s">
        <v>152</v>
      </c>
      <c r="AA147" t="s">
        <v>137</v>
      </c>
      <c r="AB147">
        <v>45666</v>
      </c>
      <c r="AC147" t="s">
        <v>394</v>
      </c>
      <c r="AD147" t="s">
        <v>442</v>
      </c>
      <c r="AE147" s="1">
        <v>41164</v>
      </c>
      <c r="AF147">
        <v>18</v>
      </c>
      <c r="AG147" t="s">
        <v>91</v>
      </c>
      <c r="AH147" t="s">
        <v>92</v>
      </c>
      <c r="AI147" t="s">
        <v>89</v>
      </c>
      <c r="AJ147" t="s">
        <v>92</v>
      </c>
      <c r="AK147">
        <v>18</v>
      </c>
      <c r="AL147">
        <v>17</v>
      </c>
      <c r="AM147">
        <v>641</v>
      </c>
      <c r="AN147">
        <v>133</v>
      </c>
      <c r="AO147">
        <v>8</v>
      </c>
      <c r="AP147" t="s">
        <v>93</v>
      </c>
      <c r="AQ147" t="s">
        <v>89</v>
      </c>
      <c r="AR147" t="s">
        <v>89</v>
      </c>
      <c r="AS147" t="s">
        <v>93</v>
      </c>
      <c r="AT147" t="s">
        <v>89</v>
      </c>
      <c r="AU147" t="s">
        <v>89</v>
      </c>
      <c r="AV147" t="s">
        <v>89</v>
      </c>
      <c r="AW147">
        <v>13</v>
      </c>
      <c r="AX147">
        <v>14</v>
      </c>
      <c r="AY147" t="s">
        <v>111</v>
      </c>
      <c r="AZ147">
        <v>14</v>
      </c>
      <c r="BA147">
        <v>40</v>
      </c>
      <c r="BB147">
        <v>3618</v>
      </c>
      <c r="BC147">
        <v>2</v>
      </c>
      <c r="BD147">
        <v>445</v>
      </c>
      <c r="BE147">
        <v>37607</v>
      </c>
      <c r="BF147">
        <v>29</v>
      </c>
      <c r="BG147" t="s">
        <v>89</v>
      </c>
      <c r="BH147">
        <v>485</v>
      </c>
      <c r="BI147">
        <v>41225</v>
      </c>
      <c r="BJ147">
        <v>31</v>
      </c>
      <c r="BK147">
        <f t="shared" si="20"/>
        <v>485</v>
      </c>
      <c r="BL147">
        <f t="shared" si="21"/>
        <v>41225</v>
      </c>
      <c r="BM147">
        <f t="shared" si="22"/>
        <v>31</v>
      </c>
      <c r="BN147">
        <f t="shared" si="23"/>
        <v>0</v>
      </c>
      <c r="BO147">
        <f t="shared" si="24"/>
        <v>0</v>
      </c>
      <c r="BP147">
        <f t="shared" si="25"/>
        <v>0</v>
      </c>
      <c r="BQ147" t="s">
        <v>235</v>
      </c>
      <c r="BR147" t="s">
        <v>140</v>
      </c>
      <c r="BS147" s="1">
        <v>34481</v>
      </c>
      <c r="BT147">
        <v>31</v>
      </c>
      <c r="BU147" t="s">
        <v>89</v>
      </c>
      <c r="BV147" t="s">
        <v>89</v>
      </c>
      <c r="BW147">
        <v>13</v>
      </c>
      <c r="BX147">
        <v>1994</v>
      </c>
      <c r="BY147">
        <v>13</v>
      </c>
      <c r="BZ147">
        <f t="shared" si="26"/>
        <v>0</v>
      </c>
      <c r="CA147">
        <f t="shared" si="27"/>
        <v>0</v>
      </c>
      <c r="CB147" t="b">
        <f t="shared" si="28"/>
        <v>1</v>
      </c>
    </row>
    <row r="148" spans="1:80" x14ac:dyDescent="0.3">
      <c r="A148" t="s">
        <v>1564</v>
      </c>
      <c r="B148" t="s">
        <v>71</v>
      </c>
      <c r="C148" t="s">
        <v>1565</v>
      </c>
      <c r="D148">
        <v>43</v>
      </c>
      <c r="E148" s="1">
        <v>30096</v>
      </c>
      <c r="F148" t="s">
        <v>89</v>
      </c>
      <c r="G148" t="s">
        <v>143</v>
      </c>
      <c r="H148" t="s">
        <v>89</v>
      </c>
      <c r="I148" t="s">
        <v>299</v>
      </c>
      <c r="J148" t="s">
        <v>89</v>
      </c>
      <c r="K148" t="s">
        <v>89</v>
      </c>
      <c r="L148" t="s">
        <v>845</v>
      </c>
      <c r="M148">
        <v>20</v>
      </c>
      <c r="N148" t="s">
        <v>519</v>
      </c>
      <c r="O148">
        <v>2002</v>
      </c>
      <c r="P148" t="s">
        <v>1566</v>
      </c>
      <c r="Q148" t="s">
        <v>1567</v>
      </c>
      <c r="R148">
        <v>16124</v>
      </c>
      <c r="S148" t="s">
        <v>1568</v>
      </c>
      <c r="T148" t="s">
        <v>1569</v>
      </c>
      <c r="U148">
        <v>1982</v>
      </c>
      <c r="V148" t="s">
        <v>1570</v>
      </c>
      <c r="W148">
        <v>1.75</v>
      </c>
      <c r="X148" t="s">
        <v>76</v>
      </c>
      <c r="Y148" t="s">
        <v>203</v>
      </c>
      <c r="Z148" t="s">
        <v>152</v>
      </c>
      <c r="AA148" t="s">
        <v>420</v>
      </c>
      <c r="AB148">
        <v>41921</v>
      </c>
      <c r="AC148" t="s">
        <v>108</v>
      </c>
      <c r="AD148" t="s">
        <v>89</v>
      </c>
      <c r="AE148" s="1">
        <v>37689</v>
      </c>
      <c r="AF148">
        <v>21</v>
      </c>
      <c r="AG148" t="s">
        <v>91</v>
      </c>
      <c r="AH148" t="s">
        <v>1327</v>
      </c>
      <c r="AI148">
        <v>17</v>
      </c>
      <c r="AJ148" t="s">
        <v>459</v>
      </c>
      <c r="AK148">
        <v>17</v>
      </c>
      <c r="AL148">
        <v>5</v>
      </c>
      <c r="AM148">
        <v>145</v>
      </c>
      <c r="AN148">
        <v>20</v>
      </c>
      <c r="AO148">
        <v>5</v>
      </c>
      <c r="AP148" t="s">
        <v>93</v>
      </c>
      <c r="AQ148" t="s">
        <v>89</v>
      </c>
      <c r="AR148" t="s">
        <v>89</v>
      </c>
      <c r="AS148" t="s">
        <v>111</v>
      </c>
      <c r="AT148">
        <v>41921</v>
      </c>
      <c r="AU148">
        <v>2014</v>
      </c>
      <c r="AV148">
        <v>12</v>
      </c>
      <c r="AW148">
        <v>12</v>
      </c>
      <c r="AX148" t="s">
        <v>89</v>
      </c>
      <c r="AY148" t="s">
        <v>93</v>
      </c>
      <c r="AZ148">
        <v>0</v>
      </c>
      <c r="BA148">
        <v>0</v>
      </c>
      <c r="BB148">
        <v>0</v>
      </c>
      <c r="BC148">
        <v>0</v>
      </c>
      <c r="BD148">
        <v>288</v>
      </c>
      <c r="BE148">
        <v>23296</v>
      </c>
      <c r="BF148">
        <v>4</v>
      </c>
      <c r="BG148">
        <v>32</v>
      </c>
      <c r="BH148">
        <v>288</v>
      </c>
      <c r="BI148">
        <v>23296</v>
      </c>
      <c r="BJ148">
        <v>4</v>
      </c>
      <c r="BK148">
        <f t="shared" si="20"/>
        <v>288</v>
      </c>
      <c r="BL148">
        <f t="shared" si="21"/>
        <v>23296</v>
      </c>
      <c r="BM148">
        <f t="shared" si="22"/>
        <v>4</v>
      </c>
      <c r="BN148">
        <f t="shared" si="23"/>
        <v>0</v>
      </c>
      <c r="BO148">
        <f t="shared" si="24"/>
        <v>0</v>
      </c>
      <c r="BP148">
        <f t="shared" si="25"/>
        <v>0</v>
      </c>
      <c r="BQ148" t="s">
        <v>203</v>
      </c>
      <c r="BR148" t="s">
        <v>140</v>
      </c>
      <c r="BS148" s="1">
        <v>30096</v>
      </c>
      <c r="BT148">
        <v>43</v>
      </c>
      <c r="BU148">
        <v>41921</v>
      </c>
      <c r="BV148" t="s">
        <v>89</v>
      </c>
      <c r="BW148">
        <v>15</v>
      </c>
      <c r="BX148">
        <v>1982</v>
      </c>
      <c r="BY148">
        <v>15</v>
      </c>
      <c r="BZ148">
        <f t="shared" si="26"/>
        <v>-3</v>
      </c>
      <c r="CA148">
        <f t="shared" si="27"/>
        <v>0</v>
      </c>
      <c r="CB148" t="b">
        <f t="shared" si="28"/>
        <v>0</v>
      </c>
    </row>
    <row r="149" spans="1:80" x14ac:dyDescent="0.3">
      <c r="A149" t="s">
        <v>1571</v>
      </c>
      <c r="B149" t="s">
        <v>71</v>
      </c>
      <c r="C149" t="s">
        <v>1572</v>
      </c>
      <c r="D149">
        <v>39</v>
      </c>
      <c r="E149">
        <v>31373</v>
      </c>
      <c r="F149" t="s">
        <v>89</v>
      </c>
      <c r="G149" t="s">
        <v>518</v>
      </c>
      <c r="H149" t="s">
        <v>89</v>
      </c>
      <c r="I149" t="s">
        <v>1573</v>
      </c>
      <c r="J149" t="s">
        <v>89</v>
      </c>
      <c r="K149" t="s">
        <v>89</v>
      </c>
      <c r="L149" t="s">
        <v>657</v>
      </c>
      <c r="M149">
        <v>17</v>
      </c>
      <c r="N149" t="s">
        <v>519</v>
      </c>
      <c r="O149">
        <v>2003</v>
      </c>
      <c r="P149" t="s">
        <v>1574</v>
      </c>
      <c r="Q149" t="s">
        <v>1575</v>
      </c>
      <c r="R149">
        <v>51518</v>
      </c>
      <c r="S149" t="s">
        <v>1571</v>
      </c>
      <c r="T149" t="s">
        <v>1576</v>
      </c>
      <c r="U149">
        <v>1985</v>
      </c>
      <c r="V149" t="s">
        <v>1577</v>
      </c>
      <c r="W149">
        <v>1.72</v>
      </c>
      <c r="X149" t="s">
        <v>76</v>
      </c>
      <c r="Y149" t="s">
        <v>203</v>
      </c>
      <c r="Z149" t="s">
        <v>152</v>
      </c>
      <c r="AA149" t="s">
        <v>1578</v>
      </c>
      <c r="AB149" s="1">
        <v>45298</v>
      </c>
      <c r="AC149" t="s">
        <v>108</v>
      </c>
      <c r="AD149" t="s">
        <v>89</v>
      </c>
      <c r="AE149" t="s">
        <v>1579</v>
      </c>
      <c r="AF149">
        <v>23</v>
      </c>
      <c r="AG149" t="s">
        <v>91</v>
      </c>
      <c r="AH149">
        <v>37814</v>
      </c>
      <c r="AI149">
        <v>18</v>
      </c>
      <c r="AJ149" t="s">
        <v>110</v>
      </c>
      <c r="AK149">
        <v>18</v>
      </c>
      <c r="AL149" t="s">
        <v>89</v>
      </c>
      <c r="AM149" t="s">
        <v>89</v>
      </c>
      <c r="AN149" t="s">
        <v>89</v>
      </c>
      <c r="AO149">
        <v>0</v>
      </c>
      <c r="AP149" t="s">
        <v>93</v>
      </c>
      <c r="AQ149" t="s">
        <v>89</v>
      </c>
      <c r="AR149" t="s">
        <v>89</v>
      </c>
      <c r="AS149" t="s">
        <v>111</v>
      </c>
      <c r="AT149">
        <v>45298</v>
      </c>
      <c r="AU149">
        <v>2024</v>
      </c>
      <c r="AV149">
        <v>21</v>
      </c>
      <c r="AW149">
        <v>21</v>
      </c>
      <c r="AX149" t="s">
        <v>89</v>
      </c>
      <c r="AY149" t="s">
        <v>93</v>
      </c>
      <c r="AZ149">
        <v>0</v>
      </c>
      <c r="BA149">
        <v>0</v>
      </c>
      <c r="BB149">
        <v>0</v>
      </c>
      <c r="BC149">
        <v>0</v>
      </c>
      <c r="BD149">
        <v>431</v>
      </c>
      <c r="BE149">
        <v>30515</v>
      </c>
      <c r="BF149">
        <v>41</v>
      </c>
      <c r="BG149">
        <v>39</v>
      </c>
      <c r="BH149">
        <v>431</v>
      </c>
      <c r="BI149">
        <v>30515</v>
      </c>
      <c r="BJ149">
        <v>41</v>
      </c>
      <c r="BK149">
        <f t="shared" si="20"/>
        <v>431</v>
      </c>
      <c r="BL149">
        <f t="shared" si="21"/>
        <v>30515</v>
      </c>
      <c r="BM149">
        <f t="shared" si="22"/>
        <v>41</v>
      </c>
      <c r="BN149">
        <f t="shared" si="23"/>
        <v>0</v>
      </c>
      <c r="BO149">
        <f t="shared" si="24"/>
        <v>0</v>
      </c>
      <c r="BP149">
        <f t="shared" si="25"/>
        <v>0</v>
      </c>
      <c r="BQ149" t="s">
        <v>203</v>
      </c>
      <c r="BR149" t="s">
        <v>140</v>
      </c>
      <c r="BS149" s="1">
        <v>31373</v>
      </c>
      <c r="BT149">
        <v>40</v>
      </c>
      <c r="BU149">
        <v>45298</v>
      </c>
      <c r="BV149" t="s">
        <v>89</v>
      </c>
      <c r="BW149">
        <v>21</v>
      </c>
      <c r="BX149">
        <v>1985</v>
      </c>
      <c r="BY149">
        <v>21</v>
      </c>
      <c r="BZ149">
        <f t="shared" si="26"/>
        <v>0</v>
      </c>
      <c r="CA149">
        <f t="shared" si="27"/>
        <v>0</v>
      </c>
      <c r="CB149" t="b">
        <f t="shared" si="28"/>
        <v>1</v>
      </c>
    </row>
    <row r="150" spans="1:80" x14ac:dyDescent="0.3">
      <c r="A150" t="s">
        <v>1580</v>
      </c>
      <c r="B150" t="s">
        <v>71</v>
      </c>
      <c r="C150" t="s">
        <v>1581</v>
      </c>
      <c r="D150">
        <v>39</v>
      </c>
      <c r="E150" s="1">
        <v>31504</v>
      </c>
      <c r="F150" t="s">
        <v>89</v>
      </c>
      <c r="G150" t="s">
        <v>226</v>
      </c>
      <c r="H150" t="s">
        <v>76</v>
      </c>
      <c r="I150" t="s">
        <v>227</v>
      </c>
      <c r="J150" t="s">
        <v>78</v>
      </c>
      <c r="K150" t="s">
        <v>89</v>
      </c>
      <c r="L150" t="s">
        <v>163</v>
      </c>
      <c r="M150">
        <v>20</v>
      </c>
      <c r="N150" t="s">
        <v>364</v>
      </c>
      <c r="O150">
        <v>2006</v>
      </c>
      <c r="P150" t="s">
        <v>1582</v>
      </c>
      <c r="Q150" t="s">
        <v>1583</v>
      </c>
      <c r="R150">
        <v>44735</v>
      </c>
      <c r="S150" t="s">
        <v>1580</v>
      </c>
      <c r="T150" s="1">
        <v>31447</v>
      </c>
      <c r="U150">
        <v>1986</v>
      </c>
      <c r="V150" t="s">
        <v>1584</v>
      </c>
      <c r="W150">
        <v>1.85</v>
      </c>
      <c r="X150" t="s">
        <v>76</v>
      </c>
      <c r="Y150" t="s">
        <v>235</v>
      </c>
      <c r="Z150" t="s">
        <v>87</v>
      </c>
      <c r="AA150" t="s">
        <v>1585</v>
      </c>
      <c r="AB150" s="1">
        <v>45937</v>
      </c>
      <c r="AC150" t="s">
        <v>170</v>
      </c>
      <c r="AD150" t="s">
        <v>89</v>
      </c>
      <c r="AE150" t="s">
        <v>1586</v>
      </c>
      <c r="AF150">
        <v>21</v>
      </c>
      <c r="AG150" t="s">
        <v>91</v>
      </c>
      <c r="AH150" t="s">
        <v>1587</v>
      </c>
      <c r="AI150">
        <v>20</v>
      </c>
      <c r="AJ150" t="s">
        <v>110</v>
      </c>
      <c r="AK150">
        <v>20</v>
      </c>
      <c r="AL150">
        <v>5</v>
      </c>
      <c r="AM150">
        <v>180</v>
      </c>
      <c r="AN150">
        <v>26</v>
      </c>
      <c r="AO150">
        <v>4</v>
      </c>
      <c r="AP150" t="s">
        <v>93</v>
      </c>
      <c r="AQ150" t="s">
        <v>89</v>
      </c>
      <c r="AR150" t="s">
        <v>89</v>
      </c>
      <c r="AS150" t="s">
        <v>93</v>
      </c>
      <c r="AT150" t="s">
        <v>89</v>
      </c>
      <c r="AU150" t="s">
        <v>89</v>
      </c>
      <c r="AV150" t="s">
        <v>89</v>
      </c>
      <c r="AW150">
        <v>19</v>
      </c>
      <c r="AX150" t="s">
        <v>89</v>
      </c>
      <c r="AY150" t="s">
        <v>93</v>
      </c>
      <c r="AZ150">
        <v>0</v>
      </c>
      <c r="BA150">
        <v>0</v>
      </c>
      <c r="BB150">
        <v>0</v>
      </c>
      <c r="BC150">
        <v>0</v>
      </c>
      <c r="BD150">
        <v>390</v>
      </c>
      <c r="BE150">
        <v>33240</v>
      </c>
      <c r="BF150">
        <v>27</v>
      </c>
      <c r="BG150" t="s">
        <v>89</v>
      </c>
      <c r="BH150">
        <v>390</v>
      </c>
      <c r="BI150">
        <v>33240</v>
      </c>
      <c r="BJ150">
        <v>27</v>
      </c>
      <c r="BK150">
        <f t="shared" si="20"/>
        <v>390</v>
      </c>
      <c r="BL150">
        <f t="shared" si="21"/>
        <v>33240</v>
      </c>
      <c r="BM150">
        <f t="shared" si="22"/>
        <v>27</v>
      </c>
      <c r="BN150">
        <f t="shared" si="23"/>
        <v>0</v>
      </c>
      <c r="BO150">
        <f t="shared" si="24"/>
        <v>0</v>
      </c>
      <c r="BP150">
        <f t="shared" si="25"/>
        <v>0</v>
      </c>
      <c r="BQ150" t="s">
        <v>235</v>
      </c>
      <c r="BR150" t="s">
        <v>140</v>
      </c>
      <c r="BS150" s="1">
        <v>31504</v>
      </c>
      <c r="BT150">
        <v>39</v>
      </c>
      <c r="BU150" t="s">
        <v>89</v>
      </c>
      <c r="BV150" t="s">
        <v>89</v>
      </c>
      <c r="BW150">
        <v>19</v>
      </c>
      <c r="BX150">
        <v>1986</v>
      </c>
      <c r="BY150">
        <v>19</v>
      </c>
      <c r="BZ150">
        <f t="shared" si="26"/>
        <v>0</v>
      </c>
      <c r="CA150">
        <f t="shared" si="27"/>
        <v>0</v>
      </c>
      <c r="CB150" t="b">
        <f t="shared" si="28"/>
        <v>1</v>
      </c>
    </row>
    <row r="151" spans="1:80" x14ac:dyDescent="0.3">
      <c r="A151" t="s">
        <v>1588</v>
      </c>
      <c r="B151" t="s">
        <v>603</v>
      </c>
      <c r="C151" t="s">
        <v>1589</v>
      </c>
      <c r="D151">
        <v>37</v>
      </c>
      <c r="E151" s="1">
        <v>32147</v>
      </c>
      <c r="F151" t="s">
        <v>89</v>
      </c>
      <c r="G151" t="s">
        <v>226</v>
      </c>
      <c r="H151" t="s">
        <v>89</v>
      </c>
      <c r="I151" t="s">
        <v>437</v>
      </c>
      <c r="J151" t="s">
        <v>78</v>
      </c>
      <c r="K151" t="s">
        <v>89</v>
      </c>
      <c r="L151" t="s">
        <v>180</v>
      </c>
      <c r="M151">
        <v>19</v>
      </c>
      <c r="N151" t="s">
        <v>1590</v>
      </c>
      <c r="O151">
        <v>2007</v>
      </c>
      <c r="P151" t="s">
        <v>1591</v>
      </c>
      <c r="Q151" t="s">
        <v>1592</v>
      </c>
      <c r="R151">
        <v>69819</v>
      </c>
      <c r="S151" t="s">
        <v>1593</v>
      </c>
      <c r="T151" s="1">
        <v>32264</v>
      </c>
      <c r="U151">
        <v>1988</v>
      </c>
      <c r="V151" t="s">
        <v>1594</v>
      </c>
      <c r="W151">
        <v>1.82</v>
      </c>
      <c r="X151" t="s">
        <v>606</v>
      </c>
      <c r="Y151" t="s">
        <v>123</v>
      </c>
      <c r="Z151" t="s">
        <v>87</v>
      </c>
      <c r="AA151" t="s">
        <v>476</v>
      </c>
      <c r="AB151" s="1">
        <v>44568</v>
      </c>
      <c r="AC151" t="s">
        <v>108</v>
      </c>
      <c r="AD151" t="s">
        <v>89</v>
      </c>
      <c r="AE151" s="1">
        <v>39481</v>
      </c>
      <c r="AF151">
        <v>20</v>
      </c>
      <c r="AG151" t="s">
        <v>613</v>
      </c>
      <c r="AH151">
        <v>43952</v>
      </c>
      <c r="AI151">
        <v>32</v>
      </c>
      <c r="AJ151" t="s">
        <v>1595</v>
      </c>
      <c r="AK151">
        <v>20</v>
      </c>
      <c r="AL151">
        <v>1</v>
      </c>
      <c r="AM151">
        <v>69</v>
      </c>
      <c r="AN151">
        <v>13</v>
      </c>
      <c r="AO151">
        <v>1</v>
      </c>
      <c r="AP151" t="s">
        <v>93</v>
      </c>
      <c r="AQ151" t="s">
        <v>89</v>
      </c>
      <c r="AR151" t="s">
        <v>89</v>
      </c>
      <c r="AS151" t="s">
        <v>93</v>
      </c>
      <c r="AT151" t="s">
        <v>89</v>
      </c>
      <c r="AU151" t="s">
        <v>89</v>
      </c>
      <c r="AV151" t="s">
        <v>89</v>
      </c>
      <c r="AW151">
        <v>18</v>
      </c>
      <c r="AX151" t="s">
        <v>89</v>
      </c>
      <c r="AY151" t="s">
        <v>93</v>
      </c>
      <c r="AZ151">
        <v>0</v>
      </c>
      <c r="BA151">
        <v>0</v>
      </c>
      <c r="BB151">
        <v>0</v>
      </c>
      <c r="BC151">
        <v>0</v>
      </c>
      <c r="BD151">
        <v>242</v>
      </c>
      <c r="BE151">
        <v>14088</v>
      </c>
      <c r="BF151">
        <v>71</v>
      </c>
      <c r="BG151" t="s">
        <v>89</v>
      </c>
      <c r="BH151">
        <v>242</v>
      </c>
      <c r="BI151">
        <v>14088</v>
      </c>
      <c r="BJ151">
        <v>71</v>
      </c>
      <c r="BK151">
        <f t="shared" si="20"/>
        <v>242</v>
      </c>
      <c r="BL151">
        <f t="shared" si="21"/>
        <v>14088</v>
      </c>
      <c r="BM151">
        <f t="shared" si="22"/>
        <v>71</v>
      </c>
      <c r="BN151">
        <f t="shared" si="23"/>
        <v>0</v>
      </c>
      <c r="BO151">
        <f t="shared" si="24"/>
        <v>0</v>
      </c>
      <c r="BP151">
        <f t="shared" si="25"/>
        <v>0</v>
      </c>
      <c r="BQ151" t="s">
        <v>123</v>
      </c>
      <c r="BR151" t="s">
        <v>112</v>
      </c>
      <c r="BS151" s="1">
        <v>32147</v>
      </c>
      <c r="BT151">
        <v>38</v>
      </c>
      <c r="BU151" t="s">
        <v>89</v>
      </c>
      <c r="BV151" t="s">
        <v>89</v>
      </c>
      <c r="BW151">
        <v>18</v>
      </c>
      <c r="BX151">
        <v>1988</v>
      </c>
      <c r="BY151">
        <v>17</v>
      </c>
      <c r="BZ151">
        <f t="shared" si="26"/>
        <v>0</v>
      </c>
      <c r="CA151">
        <f t="shared" si="27"/>
        <v>1</v>
      </c>
      <c r="CB151" t="b">
        <f t="shared" si="28"/>
        <v>1</v>
      </c>
    </row>
    <row r="152" spans="1:80" x14ac:dyDescent="0.3">
      <c r="A152" t="s">
        <v>1596</v>
      </c>
      <c r="B152" t="s">
        <v>1597</v>
      </c>
      <c r="C152" t="s">
        <v>1598</v>
      </c>
      <c r="D152">
        <v>37</v>
      </c>
      <c r="E152" s="1">
        <v>32216</v>
      </c>
      <c r="F152" t="s">
        <v>89</v>
      </c>
      <c r="G152" t="s">
        <v>75</v>
      </c>
      <c r="H152" t="s">
        <v>1599</v>
      </c>
      <c r="I152" t="s">
        <v>437</v>
      </c>
      <c r="J152" t="s">
        <v>89</v>
      </c>
      <c r="K152" t="s">
        <v>89</v>
      </c>
      <c r="L152" t="s">
        <v>228</v>
      </c>
      <c r="M152">
        <v>22</v>
      </c>
      <c r="N152" t="s">
        <v>100</v>
      </c>
      <c r="O152">
        <v>2010</v>
      </c>
      <c r="P152" t="s">
        <v>1600</v>
      </c>
      <c r="Q152" t="s">
        <v>1601</v>
      </c>
      <c r="R152">
        <v>182257</v>
      </c>
      <c r="S152" t="s">
        <v>1596</v>
      </c>
      <c r="T152" t="s">
        <v>1602</v>
      </c>
      <c r="U152">
        <v>1988</v>
      </c>
      <c r="V152" t="s">
        <v>1603</v>
      </c>
      <c r="W152">
        <v>1.78</v>
      </c>
      <c r="X152" t="s">
        <v>1604</v>
      </c>
      <c r="Y152" t="s">
        <v>123</v>
      </c>
      <c r="Z152" t="s">
        <v>152</v>
      </c>
      <c r="AA152" t="s">
        <v>1605</v>
      </c>
      <c r="AB152" s="1">
        <v>45664</v>
      </c>
      <c r="AC152" t="s">
        <v>108</v>
      </c>
      <c r="AD152" t="s">
        <v>89</v>
      </c>
      <c r="AE152" s="1">
        <v>40614</v>
      </c>
      <c r="AF152">
        <v>23</v>
      </c>
      <c r="AG152" t="s">
        <v>91</v>
      </c>
      <c r="AH152" t="s">
        <v>1606</v>
      </c>
      <c r="AI152">
        <v>23</v>
      </c>
      <c r="AJ152" t="s">
        <v>110</v>
      </c>
      <c r="AK152">
        <v>23</v>
      </c>
      <c r="AL152">
        <v>3</v>
      </c>
      <c r="AM152">
        <v>502</v>
      </c>
      <c r="AN152">
        <v>55</v>
      </c>
      <c r="AO152">
        <v>3</v>
      </c>
      <c r="AP152" t="s">
        <v>93</v>
      </c>
      <c r="AQ152" t="s">
        <v>89</v>
      </c>
      <c r="AR152" t="s">
        <v>89</v>
      </c>
      <c r="AS152" t="s">
        <v>111</v>
      </c>
      <c r="AT152" s="1">
        <v>45664</v>
      </c>
      <c r="AU152">
        <v>2025</v>
      </c>
      <c r="AV152">
        <v>15</v>
      </c>
      <c r="AW152">
        <v>15</v>
      </c>
      <c r="AX152" t="s">
        <v>89</v>
      </c>
      <c r="AY152" t="s">
        <v>111</v>
      </c>
      <c r="AZ152">
        <v>1</v>
      </c>
      <c r="BA152">
        <v>1</v>
      </c>
      <c r="BB152">
        <v>65</v>
      </c>
      <c r="BC152">
        <v>0</v>
      </c>
      <c r="BD152">
        <v>85</v>
      </c>
      <c r="BE152">
        <v>5417</v>
      </c>
      <c r="BF152">
        <v>20</v>
      </c>
      <c r="BG152">
        <v>37</v>
      </c>
      <c r="BH152">
        <v>86</v>
      </c>
      <c r="BI152">
        <v>5482</v>
      </c>
      <c r="BJ152">
        <v>20</v>
      </c>
      <c r="BK152">
        <f t="shared" si="20"/>
        <v>86</v>
      </c>
      <c r="BL152">
        <f t="shared" si="21"/>
        <v>5482</v>
      </c>
      <c r="BM152">
        <f t="shared" si="22"/>
        <v>20</v>
      </c>
      <c r="BN152">
        <f t="shared" si="23"/>
        <v>0</v>
      </c>
      <c r="BO152">
        <f t="shared" si="24"/>
        <v>0</v>
      </c>
      <c r="BP152">
        <f t="shared" si="25"/>
        <v>0</v>
      </c>
      <c r="BQ152" t="s">
        <v>123</v>
      </c>
      <c r="BR152" t="s">
        <v>112</v>
      </c>
      <c r="BS152" s="1">
        <v>32216</v>
      </c>
      <c r="BT152">
        <v>37</v>
      </c>
      <c r="BU152" s="1">
        <v>45664</v>
      </c>
      <c r="BV152" s="1">
        <v>45839</v>
      </c>
      <c r="BW152">
        <v>14</v>
      </c>
      <c r="BX152">
        <v>1988</v>
      </c>
      <c r="BY152">
        <v>14</v>
      </c>
      <c r="BZ152">
        <f t="shared" si="26"/>
        <v>1</v>
      </c>
      <c r="CA152">
        <f t="shared" si="27"/>
        <v>0</v>
      </c>
      <c r="CB152" t="b">
        <f t="shared" si="28"/>
        <v>0</v>
      </c>
    </row>
    <row r="153" spans="1:80" x14ac:dyDescent="0.3">
      <c r="A153" t="s">
        <v>1607</v>
      </c>
      <c r="B153" t="s">
        <v>71</v>
      </c>
      <c r="C153" t="s">
        <v>1608</v>
      </c>
      <c r="D153">
        <v>40</v>
      </c>
      <c r="E153" s="1">
        <v>31224</v>
      </c>
      <c r="F153" t="s">
        <v>89</v>
      </c>
      <c r="G153" t="s">
        <v>226</v>
      </c>
      <c r="H153" t="s">
        <v>89</v>
      </c>
      <c r="I153" t="s">
        <v>227</v>
      </c>
      <c r="J153" t="s">
        <v>89</v>
      </c>
      <c r="K153" t="s">
        <v>89</v>
      </c>
      <c r="L153" t="s">
        <v>130</v>
      </c>
      <c r="M153">
        <v>23</v>
      </c>
      <c r="N153" t="s">
        <v>1609</v>
      </c>
      <c r="O153">
        <v>2008</v>
      </c>
      <c r="P153" t="s">
        <v>1610</v>
      </c>
      <c r="Q153" t="s">
        <v>1611</v>
      </c>
      <c r="R153">
        <v>70910</v>
      </c>
      <c r="S153" t="s">
        <v>1607</v>
      </c>
      <c r="T153" t="s">
        <v>1612</v>
      </c>
      <c r="U153">
        <v>1985</v>
      </c>
      <c r="V153" t="s">
        <v>1613</v>
      </c>
      <c r="W153">
        <v>1.85</v>
      </c>
      <c r="X153" t="s">
        <v>76</v>
      </c>
      <c r="Y153" t="s">
        <v>235</v>
      </c>
      <c r="Z153" t="s">
        <v>152</v>
      </c>
      <c r="AA153" t="s">
        <v>1614</v>
      </c>
      <c r="AB153" s="1">
        <v>43101</v>
      </c>
      <c r="AC153" t="s">
        <v>1615</v>
      </c>
      <c r="AD153" t="s">
        <v>89</v>
      </c>
      <c r="AE153" s="1">
        <v>40310</v>
      </c>
      <c r="AF153">
        <v>25</v>
      </c>
      <c r="AG153" t="s">
        <v>91</v>
      </c>
      <c r="AH153" t="s">
        <v>1616</v>
      </c>
      <c r="AI153">
        <v>23</v>
      </c>
      <c r="AJ153" t="s">
        <v>110</v>
      </c>
      <c r="AK153">
        <v>23</v>
      </c>
      <c r="AL153" t="s">
        <v>89</v>
      </c>
      <c r="AM153" t="s">
        <v>89</v>
      </c>
      <c r="AN153" t="s">
        <v>89</v>
      </c>
      <c r="AO153">
        <v>0</v>
      </c>
      <c r="AP153" t="s">
        <v>93</v>
      </c>
      <c r="AQ153" t="s">
        <v>89</v>
      </c>
      <c r="AR153" t="s">
        <v>89</v>
      </c>
      <c r="AS153" t="s">
        <v>93</v>
      </c>
      <c r="AT153" t="s">
        <v>89</v>
      </c>
      <c r="AU153" t="s">
        <v>89</v>
      </c>
      <c r="AV153" t="s">
        <v>89</v>
      </c>
      <c r="AW153">
        <v>17</v>
      </c>
      <c r="AX153" t="s">
        <v>89</v>
      </c>
      <c r="AY153" t="s">
        <v>93</v>
      </c>
      <c r="AZ153">
        <v>0</v>
      </c>
      <c r="BA153">
        <v>0</v>
      </c>
      <c r="BB153">
        <v>0</v>
      </c>
      <c r="BC153">
        <v>0</v>
      </c>
      <c r="BD153">
        <v>40</v>
      </c>
      <c r="BE153">
        <v>3083</v>
      </c>
      <c r="BF153">
        <v>1</v>
      </c>
      <c r="BG153" t="s">
        <v>89</v>
      </c>
      <c r="BH153">
        <v>40</v>
      </c>
      <c r="BI153">
        <v>3083</v>
      </c>
      <c r="BJ153">
        <v>1</v>
      </c>
      <c r="BK153">
        <f t="shared" si="20"/>
        <v>40</v>
      </c>
      <c r="BL153">
        <f t="shared" si="21"/>
        <v>3083</v>
      </c>
      <c r="BM153">
        <f t="shared" si="22"/>
        <v>1</v>
      </c>
      <c r="BN153">
        <f t="shared" si="23"/>
        <v>0</v>
      </c>
      <c r="BO153">
        <f t="shared" si="24"/>
        <v>0</v>
      </c>
      <c r="BP153">
        <f t="shared" si="25"/>
        <v>0</v>
      </c>
      <c r="BQ153" t="s">
        <v>235</v>
      </c>
      <c r="BR153" t="s">
        <v>140</v>
      </c>
      <c r="BS153" s="1">
        <v>31224</v>
      </c>
      <c r="BT153">
        <v>40</v>
      </c>
      <c r="BU153" t="s">
        <v>89</v>
      </c>
      <c r="BV153" t="s">
        <v>89</v>
      </c>
      <c r="BW153">
        <v>17</v>
      </c>
      <c r="BX153">
        <v>1985</v>
      </c>
      <c r="BY153">
        <v>17</v>
      </c>
      <c r="BZ153">
        <f t="shared" si="26"/>
        <v>0</v>
      </c>
      <c r="CA153">
        <f t="shared" si="27"/>
        <v>0</v>
      </c>
      <c r="CB153" t="b">
        <f t="shared" si="28"/>
        <v>1</v>
      </c>
    </row>
    <row r="154" spans="1:80" x14ac:dyDescent="0.3">
      <c r="A154" t="s">
        <v>1617</v>
      </c>
      <c r="B154" t="s">
        <v>1618</v>
      </c>
      <c r="C154" t="s">
        <v>1619</v>
      </c>
      <c r="D154">
        <v>32</v>
      </c>
      <c r="E154" t="s">
        <v>1620</v>
      </c>
      <c r="F154" t="s">
        <v>1621</v>
      </c>
      <c r="G154" t="s">
        <v>75</v>
      </c>
      <c r="H154" t="s">
        <v>1622</v>
      </c>
      <c r="I154" t="s">
        <v>116</v>
      </c>
      <c r="J154" t="s">
        <v>78</v>
      </c>
      <c r="K154" t="s">
        <v>1623</v>
      </c>
      <c r="L154" t="s">
        <v>228</v>
      </c>
      <c r="M154">
        <v>17</v>
      </c>
      <c r="N154" t="s">
        <v>1624</v>
      </c>
      <c r="O154">
        <v>2010</v>
      </c>
      <c r="P154" t="s">
        <v>1625</v>
      </c>
      <c r="Q154" t="s">
        <v>1626</v>
      </c>
      <c r="R154">
        <v>153667</v>
      </c>
      <c r="S154" t="s">
        <v>1627</v>
      </c>
      <c r="T154" t="s">
        <v>1628</v>
      </c>
      <c r="U154">
        <v>1992</v>
      </c>
      <c r="V154" t="s">
        <v>1629</v>
      </c>
      <c r="W154">
        <v>1.78</v>
      </c>
      <c r="X154" t="s">
        <v>1622</v>
      </c>
      <c r="Y154" t="s">
        <v>106</v>
      </c>
      <c r="Z154" t="s">
        <v>87</v>
      </c>
      <c r="AA154" t="s">
        <v>1630</v>
      </c>
      <c r="AB154">
        <v>44563</v>
      </c>
      <c r="AC154" t="s">
        <v>170</v>
      </c>
      <c r="AD154" t="s">
        <v>223</v>
      </c>
      <c r="AE154">
        <v>2010</v>
      </c>
      <c r="AF154">
        <v>17</v>
      </c>
      <c r="AG154" t="s">
        <v>1631</v>
      </c>
      <c r="AH154">
        <v>2011</v>
      </c>
      <c r="AI154">
        <v>18</v>
      </c>
      <c r="AJ154">
        <v>0</v>
      </c>
      <c r="AK154">
        <v>17</v>
      </c>
      <c r="AL154">
        <v>5</v>
      </c>
      <c r="AM154">
        <v>409</v>
      </c>
      <c r="AN154">
        <v>45</v>
      </c>
      <c r="AO154">
        <v>4</v>
      </c>
      <c r="AP154" t="s">
        <v>93</v>
      </c>
      <c r="AQ154" t="s">
        <v>89</v>
      </c>
      <c r="AR154" t="s">
        <v>89</v>
      </c>
      <c r="AS154" t="s">
        <v>93</v>
      </c>
      <c r="AT154" t="s">
        <v>89</v>
      </c>
      <c r="AU154" t="s">
        <v>89</v>
      </c>
      <c r="AV154" t="s">
        <v>89</v>
      </c>
      <c r="AW154">
        <v>15</v>
      </c>
      <c r="AX154">
        <v>19</v>
      </c>
      <c r="AY154" t="s">
        <v>93</v>
      </c>
      <c r="AZ154">
        <v>0</v>
      </c>
      <c r="BA154">
        <v>0</v>
      </c>
      <c r="BB154">
        <v>0</v>
      </c>
      <c r="BC154">
        <v>0</v>
      </c>
      <c r="BD154">
        <v>282</v>
      </c>
      <c r="BE154">
        <v>17780</v>
      </c>
      <c r="BF154">
        <v>44</v>
      </c>
      <c r="BG154" t="s">
        <v>89</v>
      </c>
      <c r="BH154">
        <v>282</v>
      </c>
      <c r="BI154">
        <v>17780</v>
      </c>
      <c r="BJ154">
        <v>44</v>
      </c>
      <c r="BK154">
        <f t="shared" si="20"/>
        <v>282</v>
      </c>
      <c r="BL154">
        <f t="shared" si="21"/>
        <v>17780</v>
      </c>
      <c r="BM154">
        <f t="shared" si="22"/>
        <v>44</v>
      </c>
      <c r="BN154">
        <f t="shared" si="23"/>
        <v>0</v>
      </c>
      <c r="BO154">
        <f t="shared" si="24"/>
        <v>0</v>
      </c>
      <c r="BP154">
        <f t="shared" si="25"/>
        <v>0</v>
      </c>
      <c r="BQ154" t="s">
        <v>106</v>
      </c>
      <c r="BR154" t="s">
        <v>112</v>
      </c>
      <c r="BS154" s="1">
        <v>33921</v>
      </c>
      <c r="BT154">
        <v>33</v>
      </c>
      <c r="BU154" t="s">
        <v>89</v>
      </c>
      <c r="BV154" t="s">
        <v>89</v>
      </c>
      <c r="BW154">
        <v>16</v>
      </c>
      <c r="BX154">
        <v>1992</v>
      </c>
      <c r="BY154">
        <v>15</v>
      </c>
      <c r="BZ154">
        <f t="shared" si="26"/>
        <v>-1</v>
      </c>
      <c r="CA154">
        <f t="shared" si="27"/>
        <v>1</v>
      </c>
      <c r="CB154" t="b">
        <f t="shared" si="28"/>
        <v>0</v>
      </c>
    </row>
    <row r="155" spans="1:80" x14ac:dyDescent="0.3">
      <c r="A155" t="s">
        <v>1632</v>
      </c>
      <c r="B155" t="s">
        <v>71</v>
      </c>
      <c r="C155" t="s">
        <v>1633</v>
      </c>
      <c r="D155">
        <v>38</v>
      </c>
      <c r="E155" s="1">
        <v>31827</v>
      </c>
      <c r="F155" t="s">
        <v>89</v>
      </c>
      <c r="G155" t="s">
        <v>143</v>
      </c>
      <c r="H155" t="s">
        <v>76</v>
      </c>
      <c r="I155" t="s">
        <v>288</v>
      </c>
      <c r="J155" t="s">
        <v>78</v>
      </c>
      <c r="K155" t="s">
        <v>89</v>
      </c>
      <c r="L155" t="s">
        <v>163</v>
      </c>
      <c r="M155">
        <v>19</v>
      </c>
      <c r="N155" t="s">
        <v>137</v>
      </c>
      <c r="O155">
        <v>2006</v>
      </c>
      <c r="P155" t="s">
        <v>1634</v>
      </c>
      <c r="Q155" t="s">
        <v>1635</v>
      </c>
      <c r="R155">
        <v>40888</v>
      </c>
      <c r="S155" t="s">
        <v>1632</v>
      </c>
      <c r="T155" t="s">
        <v>1636</v>
      </c>
      <c r="U155">
        <v>1987</v>
      </c>
      <c r="V155" t="s">
        <v>1637</v>
      </c>
      <c r="W155">
        <v>1.76</v>
      </c>
      <c r="X155" t="s">
        <v>76</v>
      </c>
      <c r="Y155" t="s">
        <v>86</v>
      </c>
      <c r="Z155" t="s">
        <v>87</v>
      </c>
      <c r="AA155" t="s">
        <v>1638</v>
      </c>
      <c r="AB155" s="1">
        <v>44203</v>
      </c>
      <c r="AC155" t="s">
        <v>108</v>
      </c>
      <c r="AD155" t="s">
        <v>89</v>
      </c>
      <c r="AE155" t="s">
        <v>746</v>
      </c>
      <c r="AF155">
        <v>19</v>
      </c>
      <c r="AG155" t="s">
        <v>91</v>
      </c>
      <c r="AH155" t="s">
        <v>237</v>
      </c>
      <c r="AI155">
        <v>23</v>
      </c>
      <c r="AJ155" t="s">
        <v>110</v>
      </c>
      <c r="AK155">
        <v>19</v>
      </c>
      <c r="AL155">
        <v>7</v>
      </c>
      <c r="AM155">
        <v>185</v>
      </c>
      <c r="AN155">
        <v>31</v>
      </c>
      <c r="AO155">
        <v>4</v>
      </c>
      <c r="AP155" t="s">
        <v>93</v>
      </c>
      <c r="AQ155" t="s">
        <v>89</v>
      </c>
      <c r="AR155" t="s">
        <v>89</v>
      </c>
      <c r="AS155" t="s">
        <v>111</v>
      </c>
      <c r="AT155" s="1">
        <v>44203</v>
      </c>
      <c r="AU155">
        <v>2021</v>
      </c>
      <c r="AV155">
        <v>15</v>
      </c>
      <c r="AW155">
        <v>15</v>
      </c>
      <c r="AX155" t="s">
        <v>89</v>
      </c>
      <c r="AY155" t="s">
        <v>93</v>
      </c>
      <c r="AZ155">
        <v>0</v>
      </c>
      <c r="BA155">
        <v>0</v>
      </c>
      <c r="BB155">
        <v>0</v>
      </c>
      <c r="BC155">
        <v>0</v>
      </c>
      <c r="BD155">
        <v>353</v>
      </c>
      <c r="BE155">
        <v>24497</v>
      </c>
      <c r="BF155">
        <v>24</v>
      </c>
      <c r="BG155">
        <v>34</v>
      </c>
      <c r="BH155">
        <v>353</v>
      </c>
      <c r="BI155">
        <v>24497</v>
      </c>
      <c r="BJ155">
        <v>24</v>
      </c>
      <c r="BK155">
        <f t="shared" si="20"/>
        <v>353</v>
      </c>
      <c r="BL155">
        <f t="shared" si="21"/>
        <v>24497</v>
      </c>
      <c r="BM155">
        <f t="shared" si="22"/>
        <v>24</v>
      </c>
      <c r="BN155">
        <f t="shared" si="23"/>
        <v>0</v>
      </c>
      <c r="BO155">
        <f t="shared" si="24"/>
        <v>0</v>
      </c>
      <c r="BP155">
        <f t="shared" si="25"/>
        <v>0</v>
      </c>
      <c r="BQ155" t="s">
        <v>86</v>
      </c>
      <c r="BR155" t="s">
        <v>94</v>
      </c>
      <c r="BS155" s="1">
        <v>31827</v>
      </c>
      <c r="BT155">
        <v>38</v>
      </c>
      <c r="BU155" s="1">
        <v>44203</v>
      </c>
      <c r="BV155" s="1">
        <v>44378</v>
      </c>
      <c r="BW155">
        <v>15</v>
      </c>
      <c r="BX155">
        <v>1987</v>
      </c>
      <c r="BY155">
        <v>15</v>
      </c>
      <c r="BZ155">
        <f t="shared" si="26"/>
        <v>0</v>
      </c>
      <c r="CA155">
        <f t="shared" si="27"/>
        <v>0</v>
      </c>
      <c r="CB155" t="b">
        <f t="shared" si="28"/>
        <v>1</v>
      </c>
    </row>
    <row r="156" spans="1:80" x14ac:dyDescent="0.3">
      <c r="A156" t="s">
        <v>1639</v>
      </c>
      <c r="B156" t="s">
        <v>1640</v>
      </c>
      <c r="C156" t="s">
        <v>1641</v>
      </c>
      <c r="D156">
        <v>35</v>
      </c>
      <c r="E156" t="s">
        <v>1642</v>
      </c>
      <c r="F156" t="s">
        <v>1643</v>
      </c>
      <c r="G156" t="s">
        <v>241</v>
      </c>
      <c r="H156" t="s">
        <v>1644</v>
      </c>
      <c r="I156" t="s">
        <v>116</v>
      </c>
      <c r="J156" t="s">
        <v>78</v>
      </c>
      <c r="K156" t="s">
        <v>1645</v>
      </c>
      <c r="L156" t="s">
        <v>228</v>
      </c>
      <c r="M156">
        <v>20</v>
      </c>
      <c r="N156" t="s">
        <v>1646</v>
      </c>
      <c r="O156">
        <v>2010</v>
      </c>
      <c r="P156" t="s">
        <v>1647</v>
      </c>
      <c r="Q156" t="s">
        <v>1648</v>
      </c>
      <c r="R156">
        <v>153427</v>
      </c>
      <c r="S156" t="s">
        <v>1639</v>
      </c>
      <c r="T156" t="s">
        <v>1649</v>
      </c>
      <c r="U156">
        <v>1990</v>
      </c>
      <c r="V156" t="s">
        <v>1650</v>
      </c>
      <c r="W156">
        <v>1.9</v>
      </c>
      <c r="X156" t="s">
        <v>1651</v>
      </c>
      <c r="Y156" t="s">
        <v>391</v>
      </c>
      <c r="Z156" t="s">
        <v>87</v>
      </c>
      <c r="AA156" t="s">
        <v>1652</v>
      </c>
      <c r="AB156" s="1">
        <v>45659</v>
      </c>
      <c r="AC156" t="s">
        <v>170</v>
      </c>
      <c r="AD156" t="s">
        <v>89</v>
      </c>
      <c r="AE156">
        <v>40219</v>
      </c>
      <c r="AF156">
        <v>20</v>
      </c>
      <c r="AG156" t="s">
        <v>1653</v>
      </c>
      <c r="AH156" s="1">
        <v>43133</v>
      </c>
      <c r="AI156">
        <v>27</v>
      </c>
      <c r="AJ156" t="s">
        <v>110</v>
      </c>
      <c r="AK156">
        <v>20</v>
      </c>
      <c r="AL156">
        <v>3</v>
      </c>
      <c r="AM156">
        <v>601</v>
      </c>
      <c r="AN156">
        <v>92</v>
      </c>
      <c r="AO156">
        <v>3</v>
      </c>
      <c r="AP156" t="s">
        <v>93</v>
      </c>
      <c r="AQ156" t="s">
        <v>89</v>
      </c>
      <c r="AR156" t="s">
        <v>89</v>
      </c>
      <c r="AS156" t="s">
        <v>93</v>
      </c>
      <c r="AT156" t="s">
        <v>89</v>
      </c>
      <c r="AU156" t="s">
        <v>89</v>
      </c>
      <c r="AV156" t="s">
        <v>89</v>
      </c>
      <c r="AW156">
        <v>15</v>
      </c>
      <c r="AX156">
        <v>7</v>
      </c>
      <c r="AY156" t="s">
        <v>111</v>
      </c>
      <c r="AZ156">
        <v>6</v>
      </c>
      <c r="BA156">
        <v>22</v>
      </c>
      <c r="BB156">
        <v>1244</v>
      </c>
      <c r="BC156">
        <v>5</v>
      </c>
      <c r="BD156">
        <v>333</v>
      </c>
      <c r="BE156">
        <v>17625</v>
      </c>
      <c r="BF156">
        <v>44</v>
      </c>
      <c r="BG156" t="s">
        <v>89</v>
      </c>
      <c r="BH156">
        <v>355</v>
      </c>
      <c r="BI156">
        <v>18869</v>
      </c>
      <c r="BJ156">
        <v>49</v>
      </c>
      <c r="BK156">
        <f t="shared" si="20"/>
        <v>355</v>
      </c>
      <c r="BL156">
        <f t="shared" si="21"/>
        <v>18869</v>
      </c>
      <c r="BM156">
        <f t="shared" si="22"/>
        <v>49</v>
      </c>
      <c r="BN156">
        <f t="shared" si="23"/>
        <v>0</v>
      </c>
      <c r="BO156">
        <f t="shared" si="24"/>
        <v>0</v>
      </c>
      <c r="BP156">
        <f t="shared" si="25"/>
        <v>0</v>
      </c>
      <c r="BQ156" t="s">
        <v>391</v>
      </c>
      <c r="BR156" t="s">
        <v>112</v>
      </c>
      <c r="BS156" t="s">
        <v>89</v>
      </c>
      <c r="BT156">
        <v>36</v>
      </c>
      <c r="BU156" t="s">
        <v>89</v>
      </c>
      <c r="BV156" t="s">
        <v>89</v>
      </c>
      <c r="BW156">
        <v>16</v>
      </c>
      <c r="BX156">
        <v>1990</v>
      </c>
      <c r="BY156">
        <v>15</v>
      </c>
      <c r="BZ156">
        <f t="shared" si="26"/>
        <v>-1</v>
      </c>
      <c r="CA156">
        <f t="shared" si="27"/>
        <v>1</v>
      </c>
      <c r="CB156" t="b">
        <f t="shared" si="28"/>
        <v>0</v>
      </c>
    </row>
    <row r="157" spans="1:80" x14ac:dyDescent="0.3">
      <c r="A157" t="s">
        <v>1654</v>
      </c>
      <c r="B157" t="s">
        <v>191</v>
      </c>
      <c r="C157" t="s">
        <v>1655</v>
      </c>
      <c r="D157">
        <v>39</v>
      </c>
      <c r="E157">
        <v>31409</v>
      </c>
      <c r="F157" t="s">
        <v>89</v>
      </c>
      <c r="G157" t="s">
        <v>687</v>
      </c>
      <c r="H157" t="s">
        <v>194</v>
      </c>
      <c r="I157" t="s">
        <v>195</v>
      </c>
      <c r="J157" t="s">
        <v>300</v>
      </c>
      <c r="K157" t="s">
        <v>89</v>
      </c>
      <c r="L157" t="s">
        <v>180</v>
      </c>
      <c r="M157">
        <v>21</v>
      </c>
      <c r="N157" t="s">
        <v>1656</v>
      </c>
      <c r="O157">
        <v>2007</v>
      </c>
      <c r="P157" t="s">
        <v>1657</v>
      </c>
      <c r="Q157" t="s">
        <v>1658</v>
      </c>
      <c r="R157">
        <v>43264</v>
      </c>
      <c r="S157" t="s">
        <v>1654</v>
      </c>
      <c r="T157" t="s">
        <v>1659</v>
      </c>
      <c r="U157">
        <v>1985</v>
      </c>
      <c r="V157" t="s">
        <v>1660</v>
      </c>
      <c r="W157">
        <v>1.73</v>
      </c>
      <c r="X157" t="s">
        <v>194</v>
      </c>
      <c r="Y157" t="s">
        <v>203</v>
      </c>
      <c r="Z157" t="s">
        <v>152</v>
      </c>
      <c r="AA157" t="s">
        <v>1098</v>
      </c>
      <c r="AB157" t="s">
        <v>1661</v>
      </c>
      <c r="AC157" t="s">
        <v>108</v>
      </c>
      <c r="AD157" t="s">
        <v>89</v>
      </c>
      <c r="AE157" t="s">
        <v>1662</v>
      </c>
      <c r="AF157">
        <v>21</v>
      </c>
      <c r="AG157" t="s">
        <v>206</v>
      </c>
      <c r="AH157" t="s">
        <v>92</v>
      </c>
      <c r="AI157" t="s">
        <v>89</v>
      </c>
      <c r="AJ157" t="s">
        <v>92</v>
      </c>
      <c r="AK157">
        <v>21</v>
      </c>
      <c r="AL157">
        <v>17</v>
      </c>
      <c r="AM157">
        <v>323</v>
      </c>
      <c r="AN157">
        <v>59</v>
      </c>
      <c r="AO157">
        <v>2</v>
      </c>
      <c r="AP157" t="s">
        <v>93</v>
      </c>
      <c r="AQ157" t="s">
        <v>89</v>
      </c>
      <c r="AR157" t="s">
        <v>89</v>
      </c>
      <c r="AS157" t="s">
        <v>111</v>
      </c>
      <c r="AT157" t="s">
        <v>1661</v>
      </c>
      <c r="AU157">
        <v>2019</v>
      </c>
      <c r="AV157">
        <v>12</v>
      </c>
      <c r="AW157">
        <v>12</v>
      </c>
      <c r="AX157" t="s">
        <v>89</v>
      </c>
      <c r="AY157" t="s">
        <v>111</v>
      </c>
      <c r="AZ157">
        <v>1</v>
      </c>
      <c r="BA157">
        <v>3</v>
      </c>
      <c r="BB157">
        <v>270</v>
      </c>
      <c r="BC157">
        <v>0</v>
      </c>
      <c r="BD157">
        <v>284</v>
      </c>
      <c r="BE157">
        <v>24228</v>
      </c>
      <c r="BF157">
        <v>7</v>
      </c>
      <c r="BG157">
        <v>34</v>
      </c>
      <c r="BH157">
        <v>287</v>
      </c>
      <c r="BI157">
        <v>24498</v>
      </c>
      <c r="BJ157">
        <v>7</v>
      </c>
      <c r="BK157">
        <f t="shared" si="20"/>
        <v>287</v>
      </c>
      <c r="BL157">
        <f t="shared" si="21"/>
        <v>24498</v>
      </c>
      <c r="BM157">
        <f t="shared" si="22"/>
        <v>7</v>
      </c>
      <c r="BN157">
        <f t="shared" si="23"/>
        <v>0</v>
      </c>
      <c r="BO157">
        <f t="shared" si="24"/>
        <v>0</v>
      </c>
      <c r="BP157">
        <f t="shared" si="25"/>
        <v>0</v>
      </c>
      <c r="BQ157" t="s">
        <v>203</v>
      </c>
      <c r="BR157" t="s">
        <v>140</v>
      </c>
      <c r="BS157" s="1">
        <v>31409</v>
      </c>
      <c r="BT157">
        <v>40</v>
      </c>
      <c r="BU157" t="s">
        <v>1661</v>
      </c>
      <c r="BV157" s="1">
        <v>43510</v>
      </c>
      <c r="BW157">
        <v>13</v>
      </c>
      <c r="BX157">
        <v>1985</v>
      </c>
      <c r="BY157">
        <v>13</v>
      </c>
      <c r="BZ157">
        <f t="shared" si="26"/>
        <v>-1</v>
      </c>
      <c r="CA157">
        <f t="shared" si="27"/>
        <v>0</v>
      </c>
      <c r="CB157" t="b">
        <f t="shared" si="28"/>
        <v>0</v>
      </c>
    </row>
    <row r="158" spans="1:80" x14ac:dyDescent="0.3">
      <c r="A158" t="s">
        <v>1663</v>
      </c>
      <c r="B158" t="s">
        <v>617</v>
      </c>
      <c r="C158" t="s">
        <v>1664</v>
      </c>
      <c r="D158">
        <v>36</v>
      </c>
      <c r="E158" t="s">
        <v>1665</v>
      </c>
      <c r="F158" t="s">
        <v>1666</v>
      </c>
      <c r="G158" t="s">
        <v>1381</v>
      </c>
      <c r="H158" t="s">
        <v>89</v>
      </c>
      <c r="I158" t="s">
        <v>227</v>
      </c>
      <c r="J158" t="s">
        <v>78</v>
      </c>
      <c r="K158" t="s">
        <v>1667</v>
      </c>
      <c r="L158" t="s">
        <v>180</v>
      </c>
      <c r="M158">
        <v>18</v>
      </c>
      <c r="N158" t="s">
        <v>892</v>
      </c>
      <c r="O158">
        <v>2007</v>
      </c>
      <c r="P158" t="s">
        <v>1668</v>
      </c>
      <c r="Q158" t="s">
        <v>1669</v>
      </c>
      <c r="R158">
        <v>64598</v>
      </c>
      <c r="S158" t="s">
        <v>1663</v>
      </c>
      <c r="T158">
        <v>32819</v>
      </c>
      <c r="U158">
        <v>1989</v>
      </c>
      <c r="V158" t="s">
        <v>623</v>
      </c>
      <c r="W158">
        <v>1.92</v>
      </c>
      <c r="X158" t="s">
        <v>1670</v>
      </c>
      <c r="Y158" t="s">
        <v>235</v>
      </c>
      <c r="Z158" t="s">
        <v>87</v>
      </c>
      <c r="AA158" t="s">
        <v>305</v>
      </c>
      <c r="AB158" s="1">
        <v>45664</v>
      </c>
      <c r="AC158" t="s">
        <v>108</v>
      </c>
      <c r="AD158" t="s">
        <v>89</v>
      </c>
      <c r="AE158">
        <v>40852</v>
      </c>
      <c r="AF158">
        <v>21</v>
      </c>
      <c r="AG158" t="s">
        <v>91</v>
      </c>
      <c r="AH158" t="s">
        <v>1671</v>
      </c>
      <c r="AI158">
        <v>18</v>
      </c>
      <c r="AJ158" t="s">
        <v>110</v>
      </c>
      <c r="AK158">
        <v>18</v>
      </c>
      <c r="AL158">
        <v>4</v>
      </c>
      <c r="AM158">
        <v>270</v>
      </c>
      <c r="AN158">
        <v>27</v>
      </c>
      <c r="AO158">
        <v>3</v>
      </c>
      <c r="AP158" t="s">
        <v>93</v>
      </c>
      <c r="AQ158" t="s">
        <v>89</v>
      </c>
      <c r="AR158" t="s">
        <v>89</v>
      </c>
      <c r="AS158" t="s">
        <v>111</v>
      </c>
      <c r="AT158" s="1">
        <v>45664</v>
      </c>
      <c r="AU158">
        <v>2025</v>
      </c>
      <c r="AV158">
        <v>18</v>
      </c>
      <c r="AW158">
        <v>18</v>
      </c>
      <c r="AX158" t="s">
        <v>89</v>
      </c>
      <c r="AY158" t="s">
        <v>93</v>
      </c>
      <c r="AZ158">
        <v>0</v>
      </c>
      <c r="BA158">
        <v>0</v>
      </c>
      <c r="BB158">
        <v>0</v>
      </c>
      <c r="BC158">
        <v>0</v>
      </c>
      <c r="BD158">
        <v>384</v>
      </c>
      <c r="BE158">
        <v>31984</v>
      </c>
      <c r="BF158">
        <v>23</v>
      </c>
      <c r="BG158">
        <v>36</v>
      </c>
      <c r="BH158">
        <v>384</v>
      </c>
      <c r="BI158">
        <v>31984</v>
      </c>
      <c r="BJ158">
        <v>23</v>
      </c>
      <c r="BK158">
        <f t="shared" si="20"/>
        <v>384</v>
      </c>
      <c r="BL158">
        <f t="shared" si="21"/>
        <v>31984</v>
      </c>
      <c r="BM158">
        <f t="shared" si="22"/>
        <v>23</v>
      </c>
      <c r="BN158">
        <f t="shared" si="23"/>
        <v>0</v>
      </c>
      <c r="BO158">
        <f t="shared" si="24"/>
        <v>0</v>
      </c>
      <c r="BP158">
        <f t="shared" si="25"/>
        <v>0</v>
      </c>
      <c r="BQ158" t="s">
        <v>235</v>
      </c>
      <c r="BR158" t="s">
        <v>140</v>
      </c>
      <c r="BS158" t="s">
        <v>89</v>
      </c>
      <c r="BT158">
        <v>37</v>
      </c>
      <c r="BU158" s="1">
        <v>45664</v>
      </c>
      <c r="BV158" s="1">
        <v>45839</v>
      </c>
      <c r="BW158">
        <v>18</v>
      </c>
      <c r="BX158">
        <v>1989</v>
      </c>
      <c r="BY158">
        <v>18</v>
      </c>
      <c r="BZ158">
        <f t="shared" si="26"/>
        <v>0</v>
      </c>
      <c r="CA158">
        <f t="shared" si="27"/>
        <v>0</v>
      </c>
      <c r="CB158" t="b">
        <f t="shared" si="28"/>
        <v>1</v>
      </c>
    </row>
    <row r="159" spans="1:80" x14ac:dyDescent="0.3">
      <c r="A159" t="s">
        <v>1672</v>
      </c>
      <c r="B159" t="s">
        <v>1231</v>
      </c>
      <c r="C159" t="s">
        <v>1673</v>
      </c>
      <c r="D159">
        <v>43</v>
      </c>
      <c r="E159" s="1">
        <v>30072</v>
      </c>
      <c r="F159" t="s">
        <v>89</v>
      </c>
      <c r="G159" t="s">
        <v>400</v>
      </c>
      <c r="H159" t="s">
        <v>1234</v>
      </c>
      <c r="I159" t="s">
        <v>178</v>
      </c>
      <c r="J159" t="s">
        <v>78</v>
      </c>
      <c r="K159" t="s">
        <v>89</v>
      </c>
      <c r="L159" t="s">
        <v>180</v>
      </c>
      <c r="M159">
        <v>25</v>
      </c>
      <c r="N159" t="s">
        <v>1674</v>
      </c>
      <c r="O159">
        <v>2007</v>
      </c>
      <c r="P159" t="s">
        <v>1675</v>
      </c>
      <c r="Q159" t="s">
        <v>1676</v>
      </c>
      <c r="R159">
        <v>35242</v>
      </c>
      <c r="S159" t="s">
        <v>1672</v>
      </c>
      <c r="T159" t="s">
        <v>1677</v>
      </c>
      <c r="U159">
        <v>1982</v>
      </c>
      <c r="V159" t="s">
        <v>1678</v>
      </c>
      <c r="W159">
        <v>1.82</v>
      </c>
      <c r="X159" t="s">
        <v>1234</v>
      </c>
      <c r="Y159" t="s">
        <v>186</v>
      </c>
      <c r="Z159" t="s">
        <v>87</v>
      </c>
      <c r="AA159" t="s">
        <v>1679</v>
      </c>
      <c r="AB159" t="s">
        <v>1680</v>
      </c>
      <c r="AC159" t="s">
        <v>108</v>
      </c>
      <c r="AD159" t="s">
        <v>89</v>
      </c>
      <c r="AE159" t="s">
        <v>1681</v>
      </c>
      <c r="AF159">
        <v>25</v>
      </c>
      <c r="AG159" t="s">
        <v>613</v>
      </c>
      <c r="AH159" t="s">
        <v>1682</v>
      </c>
      <c r="AI159">
        <v>23</v>
      </c>
      <c r="AJ159" t="s">
        <v>615</v>
      </c>
      <c r="AK159">
        <v>23</v>
      </c>
      <c r="AL159">
        <v>10</v>
      </c>
      <c r="AM159">
        <v>387</v>
      </c>
      <c r="AN159">
        <v>118</v>
      </c>
      <c r="AO159">
        <v>5</v>
      </c>
      <c r="AP159" t="s">
        <v>93</v>
      </c>
      <c r="AQ159" t="s">
        <v>89</v>
      </c>
      <c r="AR159" t="s">
        <v>89</v>
      </c>
      <c r="AS159" t="s">
        <v>111</v>
      </c>
      <c r="AT159" t="s">
        <v>1680</v>
      </c>
      <c r="AU159">
        <v>2022</v>
      </c>
      <c r="AV159">
        <v>15</v>
      </c>
      <c r="AW159">
        <v>15</v>
      </c>
      <c r="AX159" t="s">
        <v>89</v>
      </c>
      <c r="AY159" t="s">
        <v>111</v>
      </c>
      <c r="AZ159">
        <v>16</v>
      </c>
      <c r="BA159">
        <v>10</v>
      </c>
      <c r="BB159">
        <v>848</v>
      </c>
      <c r="BC159">
        <v>0</v>
      </c>
      <c r="BD159">
        <v>320</v>
      </c>
      <c r="BE159">
        <v>28223</v>
      </c>
      <c r="BF159">
        <v>0</v>
      </c>
      <c r="BG159">
        <v>40</v>
      </c>
      <c r="BH159">
        <v>330</v>
      </c>
      <c r="BI159">
        <v>29071</v>
      </c>
      <c r="BJ159">
        <v>0</v>
      </c>
      <c r="BK159">
        <f t="shared" si="20"/>
        <v>330</v>
      </c>
      <c r="BL159">
        <f t="shared" si="21"/>
        <v>29071</v>
      </c>
      <c r="BM159">
        <f t="shared" si="22"/>
        <v>0</v>
      </c>
      <c r="BN159">
        <f t="shared" si="23"/>
        <v>0</v>
      </c>
      <c r="BO159">
        <f t="shared" si="24"/>
        <v>0</v>
      </c>
      <c r="BP159">
        <f t="shared" si="25"/>
        <v>0</v>
      </c>
      <c r="BQ159" t="s">
        <v>186</v>
      </c>
      <c r="BR159" t="s">
        <v>186</v>
      </c>
      <c r="BS159" t="s">
        <v>89</v>
      </c>
      <c r="BT159">
        <v>44</v>
      </c>
      <c r="BU159" t="s">
        <v>1680</v>
      </c>
      <c r="BV159" s="1">
        <v>44763</v>
      </c>
      <c r="BW159">
        <v>17</v>
      </c>
      <c r="BX159">
        <v>1982</v>
      </c>
      <c r="BY159">
        <v>17</v>
      </c>
      <c r="BZ159">
        <f t="shared" si="26"/>
        <v>-2</v>
      </c>
      <c r="CA159">
        <f t="shared" si="27"/>
        <v>0</v>
      </c>
      <c r="CB159" t="b">
        <f t="shared" si="28"/>
        <v>0</v>
      </c>
    </row>
    <row r="160" spans="1:80" x14ac:dyDescent="0.3">
      <c r="A160" t="s">
        <v>1683</v>
      </c>
      <c r="B160" t="s">
        <v>1508</v>
      </c>
      <c r="C160" t="s">
        <v>1684</v>
      </c>
      <c r="D160">
        <v>33</v>
      </c>
      <c r="E160" s="1">
        <v>33666</v>
      </c>
      <c r="F160" t="s">
        <v>89</v>
      </c>
      <c r="G160" t="s">
        <v>385</v>
      </c>
      <c r="H160" t="s">
        <v>89</v>
      </c>
      <c r="I160" t="s">
        <v>791</v>
      </c>
      <c r="J160" t="s">
        <v>78</v>
      </c>
      <c r="K160" t="s">
        <v>89</v>
      </c>
      <c r="L160" t="s">
        <v>324</v>
      </c>
      <c r="M160">
        <v>21</v>
      </c>
      <c r="N160" t="s">
        <v>1047</v>
      </c>
      <c r="O160">
        <v>2013</v>
      </c>
      <c r="P160" t="s">
        <v>1685</v>
      </c>
      <c r="Q160" t="s">
        <v>1686</v>
      </c>
      <c r="R160">
        <v>221076</v>
      </c>
      <c r="S160" t="s">
        <v>1683</v>
      </c>
      <c r="T160" s="1">
        <v>33666</v>
      </c>
      <c r="U160">
        <v>1992</v>
      </c>
      <c r="V160" t="s">
        <v>1687</v>
      </c>
      <c r="W160">
        <v>1.85</v>
      </c>
      <c r="X160" t="s">
        <v>1515</v>
      </c>
      <c r="Y160" t="s">
        <v>106</v>
      </c>
      <c r="Z160" t="s">
        <v>87</v>
      </c>
      <c r="AA160" t="s">
        <v>1688</v>
      </c>
      <c r="AB160" s="1">
        <v>42371</v>
      </c>
      <c r="AC160" t="s">
        <v>108</v>
      </c>
      <c r="AD160" t="s">
        <v>223</v>
      </c>
      <c r="AE160" t="s">
        <v>1689</v>
      </c>
      <c r="AF160">
        <v>20</v>
      </c>
      <c r="AG160" t="s">
        <v>1690</v>
      </c>
      <c r="AH160">
        <v>41829</v>
      </c>
      <c r="AI160">
        <v>22</v>
      </c>
      <c r="AJ160" t="s">
        <v>110</v>
      </c>
      <c r="AK160">
        <v>20</v>
      </c>
      <c r="AL160" t="s">
        <v>89</v>
      </c>
      <c r="AM160" t="s">
        <v>89</v>
      </c>
      <c r="AN160" t="s">
        <v>89</v>
      </c>
      <c r="AO160">
        <v>0</v>
      </c>
      <c r="AP160" t="s">
        <v>93</v>
      </c>
      <c r="AQ160" t="s">
        <v>89</v>
      </c>
      <c r="AR160" t="s">
        <v>89</v>
      </c>
      <c r="AS160" t="s">
        <v>111</v>
      </c>
      <c r="AT160">
        <v>42371</v>
      </c>
      <c r="AU160">
        <v>2016</v>
      </c>
      <c r="AV160">
        <v>3</v>
      </c>
      <c r="AW160">
        <v>3</v>
      </c>
      <c r="AX160" t="s">
        <v>89</v>
      </c>
      <c r="AY160" t="s">
        <v>93</v>
      </c>
      <c r="AZ160">
        <v>0</v>
      </c>
      <c r="BA160">
        <v>0</v>
      </c>
      <c r="BB160">
        <v>0</v>
      </c>
      <c r="BC160">
        <v>0</v>
      </c>
      <c r="BD160">
        <v>30</v>
      </c>
      <c r="BE160">
        <v>1152</v>
      </c>
      <c r="BF160">
        <v>1</v>
      </c>
      <c r="BG160">
        <v>24</v>
      </c>
      <c r="BH160">
        <v>30</v>
      </c>
      <c r="BI160">
        <v>1152</v>
      </c>
      <c r="BJ160">
        <v>1</v>
      </c>
      <c r="BK160">
        <f t="shared" si="20"/>
        <v>30</v>
      </c>
      <c r="BL160">
        <f t="shared" si="21"/>
        <v>1152</v>
      </c>
      <c r="BM160">
        <f t="shared" si="22"/>
        <v>1</v>
      </c>
      <c r="BN160">
        <f t="shared" si="23"/>
        <v>0</v>
      </c>
      <c r="BO160">
        <f t="shared" si="24"/>
        <v>0</v>
      </c>
      <c r="BP160">
        <f t="shared" si="25"/>
        <v>0</v>
      </c>
      <c r="BQ160" t="s">
        <v>106</v>
      </c>
      <c r="BR160" t="s">
        <v>112</v>
      </c>
      <c r="BS160" s="1">
        <v>33666</v>
      </c>
      <c r="BT160">
        <v>33</v>
      </c>
      <c r="BU160">
        <v>42371</v>
      </c>
      <c r="BV160" t="s">
        <v>89</v>
      </c>
      <c r="BW160">
        <v>4</v>
      </c>
      <c r="BX160">
        <v>1992</v>
      </c>
      <c r="BY160">
        <v>4</v>
      </c>
      <c r="BZ160">
        <f t="shared" si="26"/>
        <v>-1</v>
      </c>
      <c r="CA160">
        <f t="shared" si="27"/>
        <v>0</v>
      </c>
      <c r="CB160" t="b">
        <f t="shared" si="28"/>
        <v>0</v>
      </c>
    </row>
    <row r="161" spans="1:80" x14ac:dyDescent="0.3">
      <c r="A161" t="s">
        <v>1691</v>
      </c>
      <c r="B161" t="s">
        <v>1692</v>
      </c>
      <c r="C161" t="s">
        <v>1693</v>
      </c>
      <c r="D161">
        <v>39</v>
      </c>
      <c r="E161" s="1">
        <v>31549</v>
      </c>
      <c r="F161" t="s">
        <v>89</v>
      </c>
      <c r="G161" t="s">
        <v>298</v>
      </c>
      <c r="H161" t="s">
        <v>1694</v>
      </c>
      <c r="I161" t="s">
        <v>1695</v>
      </c>
      <c r="J161" t="s">
        <v>300</v>
      </c>
      <c r="K161" t="s">
        <v>89</v>
      </c>
      <c r="L161" t="s">
        <v>180</v>
      </c>
      <c r="M161">
        <v>21</v>
      </c>
      <c r="N161" t="s">
        <v>1696</v>
      </c>
      <c r="O161">
        <v>2007</v>
      </c>
      <c r="P161" t="s">
        <v>1697</v>
      </c>
      <c r="Q161" t="s">
        <v>1698</v>
      </c>
      <c r="R161">
        <v>44317</v>
      </c>
      <c r="S161" t="s">
        <v>1699</v>
      </c>
      <c r="T161" t="s">
        <v>1700</v>
      </c>
      <c r="U161">
        <v>1986</v>
      </c>
      <c r="V161" t="s">
        <v>1701</v>
      </c>
      <c r="W161">
        <v>1.76</v>
      </c>
      <c r="X161" t="s">
        <v>1694</v>
      </c>
      <c r="Y161" t="s">
        <v>203</v>
      </c>
      <c r="Z161" t="s">
        <v>152</v>
      </c>
      <c r="AA161" t="s">
        <v>1702</v>
      </c>
      <c r="AB161" s="1">
        <v>45292</v>
      </c>
      <c r="AC161" t="s">
        <v>108</v>
      </c>
      <c r="AD161" t="s">
        <v>89</v>
      </c>
      <c r="AE161" s="1">
        <v>2005</v>
      </c>
      <c r="AF161">
        <v>19</v>
      </c>
      <c r="AG161" t="s">
        <v>1703</v>
      </c>
      <c r="AH161" s="1">
        <v>2016</v>
      </c>
      <c r="AI161">
        <v>29</v>
      </c>
      <c r="AJ161">
        <v>0</v>
      </c>
      <c r="AK161">
        <v>19</v>
      </c>
      <c r="AL161">
        <v>9</v>
      </c>
      <c r="AM161">
        <v>419</v>
      </c>
      <c r="AN161">
        <v>86</v>
      </c>
      <c r="AO161">
        <v>7</v>
      </c>
      <c r="AP161" t="s">
        <v>93</v>
      </c>
      <c r="AQ161" t="s">
        <v>89</v>
      </c>
      <c r="AR161" t="s">
        <v>89</v>
      </c>
      <c r="AS161" t="s">
        <v>111</v>
      </c>
      <c r="AT161">
        <v>45292</v>
      </c>
      <c r="AU161">
        <v>2024</v>
      </c>
      <c r="AV161">
        <v>17</v>
      </c>
      <c r="AW161">
        <v>17</v>
      </c>
      <c r="AX161" t="s">
        <v>89</v>
      </c>
      <c r="AY161" t="s">
        <v>111</v>
      </c>
      <c r="AZ161">
        <v>13</v>
      </c>
      <c r="BA161">
        <v>73</v>
      </c>
      <c r="BB161">
        <v>6163</v>
      </c>
      <c r="BC161">
        <v>0</v>
      </c>
      <c r="BD161">
        <v>280</v>
      </c>
      <c r="BE161">
        <v>22535</v>
      </c>
      <c r="BF161">
        <v>3</v>
      </c>
      <c r="BG161">
        <v>38</v>
      </c>
      <c r="BH161">
        <v>353</v>
      </c>
      <c r="BI161">
        <v>28698</v>
      </c>
      <c r="BJ161">
        <v>3</v>
      </c>
      <c r="BK161">
        <f t="shared" si="20"/>
        <v>353</v>
      </c>
      <c r="BL161">
        <f t="shared" si="21"/>
        <v>28698</v>
      </c>
      <c r="BM161">
        <f t="shared" si="22"/>
        <v>3</v>
      </c>
      <c r="BN161">
        <f t="shared" si="23"/>
        <v>0</v>
      </c>
      <c r="BO161">
        <f t="shared" si="24"/>
        <v>0</v>
      </c>
      <c r="BP161">
        <f t="shared" si="25"/>
        <v>0</v>
      </c>
      <c r="BQ161" t="s">
        <v>203</v>
      </c>
      <c r="BR161" t="s">
        <v>140</v>
      </c>
      <c r="BS161" t="s">
        <v>89</v>
      </c>
      <c r="BT161">
        <v>40</v>
      </c>
      <c r="BU161">
        <v>45292</v>
      </c>
      <c r="BV161" t="s">
        <v>89</v>
      </c>
      <c r="BW161">
        <v>19</v>
      </c>
      <c r="BX161">
        <v>1986</v>
      </c>
      <c r="BY161">
        <v>19</v>
      </c>
      <c r="BZ161">
        <f t="shared" si="26"/>
        <v>-2</v>
      </c>
      <c r="CA161">
        <f t="shared" si="27"/>
        <v>0</v>
      </c>
      <c r="CB161" t="b">
        <f t="shared" si="28"/>
        <v>0</v>
      </c>
    </row>
    <row r="162" spans="1:80" x14ac:dyDescent="0.3">
      <c r="A162" t="s">
        <v>1704</v>
      </c>
      <c r="B162" t="s">
        <v>71</v>
      </c>
      <c r="C162" t="s">
        <v>1705</v>
      </c>
      <c r="D162">
        <v>34</v>
      </c>
      <c r="E162" s="1">
        <v>33113</v>
      </c>
      <c r="F162" t="s">
        <v>89</v>
      </c>
      <c r="G162" t="s">
        <v>535</v>
      </c>
      <c r="H162" t="s">
        <v>76</v>
      </c>
      <c r="I162" t="s">
        <v>116</v>
      </c>
      <c r="J162" t="s">
        <v>78</v>
      </c>
      <c r="K162" t="s">
        <v>89</v>
      </c>
      <c r="L162" t="s">
        <v>180</v>
      </c>
      <c r="M162">
        <v>16</v>
      </c>
      <c r="N162" t="s">
        <v>644</v>
      </c>
      <c r="O162">
        <v>2007</v>
      </c>
      <c r="P162" t="s">
        <v>1706</v>
      </c>
      <c r="Q162" t="s">
        <v>1707</v>
      </c>
      <c r="R162">
        <v>44675</v>
      </c>
      <c r="S162" t="s">
        <v>1708</v>
      </c>
      <c r="T162" t="s">
        <v>1709</v>
      </c>
      <c r="U162">
        <v>1990</v>
      </c>
      <c r="V162" t="s">
        <v>1710</v>
      </c>
      <c r="W162">
        <v>1.7</v>
      </c>
      <c r="X162" t="s">
        <v>1711</v>
      </c>
      <c r="Y162" t="s">
        <v>369</v>
      </c>
      <c r="Z162" t="s">
        <v>87</v>
      </c>
      <c r="AA162" t="s">
        <v>1712</v>
      </c>
      <c r="AB162" t="s">
        <v>1713</v>
      </c>
      <c r="AC162" t="s">
        <v>108</v>
      </c>
      <c r="AD162" t="s">
        <v>223</v>
      </c>
      <c r="AE162" t="s">
        <v>636</v>
      </c>
      <c r="AF162">
        <v>17</v>
      </c>
      <c r="AG162" t="s">
        <v>91</v>
      </c>
      <c r="AH162">
        <v>43228</v>
      </c>
      <c r="AI162">
        <v>27</v>
      </c>
      <c r="AJ162" t="s">
        <v>855</v>
      </c>
      <c r="AK162">
        <v>17</v>
      </c>
      <c r="AL162">
        <v>8</v>
      </c>
      <c r="AM162">
        <v>515</v>
      </c>
      <c r="AN162">
        <v>82</v>
      </c>
      <c r="AO162">
        <v>8</v>
      </c>
      <c r="AP162" t="s">
        <v>93</v>
      </c>
      <c r="AQ162" t="s">
        <v>89</v>
      </c>
      <c r="AR162" t="s">
        <v>89</v>
      </c>
      <c r="AS162" t="s">
        <v>111</v>
      </c>
      <c r="AT162" t="s">
        <v>1713</v>
      </c>
      <c r="AU162">
        <v>2023</v>
      </c>
      <c r="AV162">
        <v>16</v>
      </c>
      <c r="AW162">
        <v>16</v>
      </c>
      <c r="AX162" t="s">
        <v>89</v>
      </c>
      <c r="AY162" t="s">
        <v>111</v>
      </c>
      <c r="AZ162">
        <v>1</v>
      </c>
      <c r="BA162">
        <v>1</v>
      </c>
      <c r="BB162">
        <v>26</v>
      </c>
      <c r="BC162">
        <v>0</v>
      </c>
      <c r="BD162">
        <v>374</v>
      </c>
      <c r="BE162">
        <v>17689</v>
      </c>
      <c r="BF162">
        <v>71</v>
      </c>
      <c r="BG162">
        <v>33</v>
      </c>
      <c r="BH162">
        <v>375</v>
      </c>
      <c r="BI162">
        <v>17715</v>
      </c>
      <c r="BJ162">
        <v>71</v>
      </c>
      <c r="BK162">
        <f t="shared" si="20"/>
        <v>375</v>
      </c>
      <c r="BL162">
        <f t="shared" si="21"/>
        <v>17715</v>
      </c>
      <c r="BM162">
        <f t="shared" si="22"/>
        <v>71</v>
      </c>
      <c r="BN162">
        <f t="shared" si="23"/>
        <v>0</v>
      </c>
      <c r="BO162">
        <f t="shared" si="24"/>
        <v>0</v>
      </c>
      <c r="BP162">
        <f t="shared" si="25"/>
        <v>0</v>
      </c>
      <c r="BQ162" t="s">
        <v>369</v>
      </c>
      <c r="BR162" t="s">
        <v>112</v>
      </c>
      <c r="BS162" t="s">
        <v>89</v>
      </c>
      <c r="BT162">
        <v>36</v>
      </c>
      <c r="BU162" t="s">
        <v>1713</v>
      </c>
      <c r="BV162" s="1">
        <v>45008</v>
      </c>
      <c r="BW162">
        <v>16</v>
      </c>
      <c r="BX162">
        <v>1990</v>
      </c>
      <c r="BY162">
        <v>16</v>
      </c>
      <c r="BZ162">
        <f t="shared" si="26"/>
        <v>0</v>
      </c>
      <c r="CA162">
        <f t="shared" si="27"/>
        <v>0</v>
      </c>
      <c r="CB162" t="b">
        <f t="shared" si="28"/>
        <v>1</v>
      </c>
    </row>
    <row r="163" spans="1:80" x14ac:dyDescent="0.3">
      <c r="A163" t="s">
        <v>1714</v>
      </c>
      <c r="B163" t="s">
        <v>71</v>
      </c>
      <c r="C163" t="s">
        <v>1715</v>
      </c>
      <c r="D163">
        <v>37</v>
      </c>
      <c r="E163" s="1">
        <v>32208</v>
      </c>
      <c r="F163" t="s">
        <v>89</v>
      </c>
      <c r="G163" t="s">
        <v>115</v>
      </c>
      <c r="H163" t="s">
        <v>89</v>
      </c>
      <c r="I163" t="s">
        <v>227</v>
      </c>
      <c r="J163" t="s">
        <v>78</v>
      </c>
      <c r="K163" t="s">
        <v>89</v>
      </c>
      <c r="L163" t="s">
        <v>228</v>
      </c>
      <c r="M163">
        <v>22</v>
      </c>
      <c r="N163" t="s">
        <v>137</v>
      </c>
      <c r="O163">
        <v>2010</v>
      </c>
      <c r="P163" t="s">
        <v>1716</v>
      </c>
      <c r="Q163" t="s">
        <v>1717</v>
      </c>
      <c r="R163">
        <v>89318</v>
      </c>
      <c r="S163" t="s">
        <v>1714</v>
      </c>
      <c r="T163">
        <v>32297</v>
      </c>
      <c r="U163">
        <v>1988</v>
      </c>
      <c r="V163" t="s">
        <v>1185</v>
      </c>
      <c r="W163">
        <v>1.82</v>
      </c>
      <c r="X163" t="s">
        <v>76</v>
      </c>
      <c r="Y163" t="s">
        <v>235</v>
      </c>
      <c r="Z163" t="s">
        <v>87</v>
      </c>
      <c r="AA163" t="s">
        <v>1718</v>
      </c>
      <c r="AB163" s="1">
        <v>44568</v>
      </c>
      <c r="AC163" t="s">
        <v>108</v>
      </c>
      <c r="AD163" t="s">
        <v>89</v>
      </c>
      <c r="AE163" s="1">
        <v>40756</v>
      </c>
      <c r="AF163">
        <v>22</v>
      </c>
      <c r="AG163" t="s">
        <v>91</v>
      </c>
      <c r="AH163" t="s">
        <v>92</v>
      </c>
      <c r="AI163" t="s">
        <v>89</v>
      </c>
      <c r="AJ163" t="s">
        <v>92</v>
      </c>
      <c r="AK163">
        <v>22</v>
      </c>
      <c r="AL163">
        <v>3</v>
      </c>
      <c r="AM163">
        <v>113</v>
      </c>
      <c r="AN163">
        <v>16</v>
      </c>
      <c r="AO163">
        <v>3</v>
      </c>
      <c r="AP163" t="s">
        <v>93</v>
      </c>
      <c r="AQ163" t="s">
        <v>89</v>
      </c>
      <c r="AR163" t="s">
        <v>89</v>
      </c>
      <c r="AS163" t="s">
        <v>111</v>
      </c>
      <c r="AT163">
        <v>44568</v>
      </c>
      <c r="AU163">
        <v>2022</v>
      </c>
      <c r="AV163">
        <v>12</v>
      </c>
      <c r="AW163">
        <v>12</v>
      </c>
      <c r="AX163" t="s">
        <v>89</v>
      </c>
      <c r="AY163" t="s">
        <v>93</v>
      </c>
      <c r="AZ163">
        <v>0</v>
      </c>
      <c r="BA163">
        <v>0</v>
      </c>
      <c r="BB163">
        <v>0</v>
      </c>
      <c r="BC163">
        <v>0</v>
      </c>
      <c r="BD163">
        <v>105</v>
      </c>
      <c r="BE163">
        <v>8098</v>
      </c>
      <c r="BF163">
        <v>2</v>
      </c>
      <c r="BG163">
        <v>34</v>
      </c>
      <c r="BH163">
        <v>105</v>
      </c>
      <c r="BI163">
        <v>8098</v>
      </c>
      <c r="BJ163">
        <v>2</v>
      </c>
      <c r="BK163">
        <f t="shared" si="20"/>
        <v>105</v>
      </c>
      <c r="BL163">
        <f t="shared" si="21"/>
        <v>8098</v>
      </c>
      <c r="BM163">
        <f t="shared" si="22"/>
        <v>2</v>
      </c>
      <c r="BN163">
        <f t="shared" si="23"/>
        <v>0</v>
      </c>
      <c r="BO163">
        <f t="shared" si="24"/>
        <v>0</v>
      </c>
      <c r="BP163">
        <f t="shared" si="25"/>
        <v>0</v>
      </c>
      <c r="BQ163" t="s">
        <v>235</v>
      </c>
      <c r="BR163" t="s">
        <v>140</v>
      </c>
      <c r="BS163" t="s">
        <v>89</v>
      </c>
      <c r="BT163">
        <v>38</v>
      </c>
      <c r="BU163">
        <v>44568</v>
      </c>
      <c r="BV163" t="s">
        <v>89</v>
      </c>
      <c r="BW163">
        <v>12</v>
      </c>
      <c r="BX163">
        <v>1988</v>
      </c>
      <c r="BY163">
        <v>12</v>
      </c>
      <c r="BZ163">
        <f t="shared" si="26"/>
        <v>0</v>
      </c>
      <c r="CA163">
        <f t="shared" si="27"/>
        <v>0</v>
      </c>
      <c r="CB163" t="b">
        <f t="shared" si="28"/>
        <v>1</v>
      </c>
    </row>
    <row r="164" spans="1:80" x14ac:dyDescent="0.3">
      <c r="A164" t="s">
        <v>1719</v>
      </c>
      <c r="B164" t="s">
        <v>71</v>
      </c>
      <c r="C164" t="s">
        <v>1720</v>
      </c>
      <c r="D164">
        <v>29</v>
      </c>
      <c r="E164" t="s">
        <v>1721</v>
      </c>
      <c r="F164" t="s">
        <v>1722</v>
      </c>
      <c r="G164" t="s">
        <v>160</v>
      </c>
      <c r="H164" t="s">
        <v>76</v>
      </c>
      <c r="I164" t="s">
        <v>750</v>
      </c>
      <c r="J164" t="s">
        <v>78</v>
      </c>
      <c r="K164" t="s">
        <v>1723</v>
      </c>
      <c r="L164" t="s">
        <v>762</v>
      </c>
      <c r="M164">
        <v>18</v>
      </c>
      <c r="N164" t="s">
        <v>289</v>
      </c>
      <c r="O164">
        <v>2014</v>
      </c>
      <c r="P164" t="s">
        <v>1724</v>
      </c>
      <c r="Q164" t="s">
        <v>1725</v>
      </c>
      <c r="R164">
        <v>271988</v>
      </c>
      <c r="S164" t="s">
        <v>1719</v>
      </c>
      <c r="T164" t="s">
        <v>1726</v>
      </c>
      <c r="U164">
        <v>1995</v>
      </c>
      <c r="V164" t="s">
        <v>1727</v>
      </c>
      <c r="W164">
        <v>1.78</v>
      </c>
      <c r="X164" t="s">
        <v>76</v>
      </c>
      <c r="Y164" t="s">
        <v>86</v>
      </c>
      <c r="Z164" t="s">
        <v>87</v>
      </c>
      <c r="AA164" t="s">
        <v>1728</v>
      </c>
      <c r="AB164" t="s">
        <v>467</v>
      </c>
      <c r="AC164" t="s">
        <v>170</v>
      </c>
      <c r="AD164" t="s">
        <v>89</v>
      </c>
      <c r="AE164" t="s">
        <v>1729</v>
      </c>
      <c r="AF164">
        <v>19</v>
      </c>
      <c r="AG164" t="s">
        <v>91</v>
      </c>
      <c r="AH164" t="s">
        <v>1730</v>
      </c>
      <c r="AI164">
        <v>22</v>
      </c>
      <c r="AJ164" t="s">
        <v>110</v>
      </c>
      <c r="AK164">
        <v>19</v>
      </c>
      <c r="AL164" t="s">
        <v>89</v>
      </c>
      <c r="AM164" t="s">
        <v>89</v>
      </c>
      <c r="AN164" t="s">
        <v>89</v>
      </c>
      <c r="AO164">
        <v>0</v>
      </c>
      <c r="AP164" t="s">
        <v>93</v>
      </c>
      <c r="AQ164" t="s">
        <v>89</v>
      </c>
      <c r="AR164" t="s">
        <v>89</v>
      </c>
      <c r="AS164" t="s">
        <v>93</v>
      </c>
      <c r="AT164" t="s">
        <v>89</v>
      </c>
      <c r="AU164" t="s">
        <v>89</v>
      </c>
      <c r="AV164" t="s">
        <v>89</v>
      </c>
      <c r="AW164">
        <v>11</v>
      </c>
      <c r="AX164" t="s">
        <v>89</v>
      </c>
      <c r="AY164" t="s">
        <v>93</v>
      </c>
      <c r="AZ164">
        <v>0</v>
      </c>
      <c r="BA164">
        <v>0</v>
      </c>
      <c r="BB164">
        <v>0</v>
      </c>
      <c r="BC164">
        <v>0</v>
      </c>
      <c r="BD164">
        <v>109</v>
      </c>
      <c r="BE164">
        <v>5571</v>
      </c>
      <c r="BF164">
        <v>1</v>
      </c>
      <c r="BG164" t="s">
        <v>89</v>
      </c>
      <c r="BH164">
        <v>109</v>
      </c>
      <c r="BI164">
        <v>5571</v>
      </c>
      <c r="BJ164">
        <v>1</v>
      </c>
      <c r="BK164">
        <f t="shared" si="20"/>
        <v>109</v>
      </c>
      <c r="BL164">
        <f t="shared" si="21"/>
        <v>5571</v>
      </c>
      <c r="BM164">
        <f t="shared" si="22"/>
        <v>1</v>
      </c>
      <c r="BN164">
        <f t="shared" si="23"/>
        <v>0</v>
      </c>
      <c r="BO164">
        <f t="shared" si="24"/>
        <v>0</v>
      </c>
      <c r="BP164">
        <f t="shared" si="25"/>
        <v>0</v>
      </c>
      <c r="BQ164" t="s">
        <v>86</v>
      </c>
      <c r="BR164" t="s">
        <v>94</v>
      </c>
      <c r="BS164" t="s">
        <v>89</v>
      </c>
      <c r="BT164">
        <v>31</v>
      </c>
      <c r="BU164" t="s">
        <v>89</v>
      </c>
      <c r="BV164" t="s">
        <v>89</v>
      </c>
      <c r="BW164">
        <v>12</v>
      </c>
      <c r="BX164">
        <v>1995</v>
      </c>
      <c r="BY164">
        <v>10</v>
      </c>
      <c r="BZ164">
        <f t="shared" si="26"/>
        <v>-1</v>
      </c>
      <c r="CA164">
        <f t="shared" si="27"/>
        <v>2</v>
      </c>
      <c r="CB164" t="b">
        <f t="shared" si="28"/>
        <v>0</v>
      </c>
    </row>
    <row r="165" spans="1:80" x14ac:dyDescent="0.3">
      <c r="A165" t="s">
        <v>1719</v>
      </c>
      <c r="B165" t="s">
        <v>89</v>
      </c>
      <c r="C165" t="s">
        <v>1731</v>
      </c>
      <c r="D165">
        <v>44</v>
      </c>
      <c r="E165" s="1">
        <v>29600</v>
      </c>
      <c r="F165" t="s">
        <v>89</v>
      </c>
      <c r="G165" t="s">
        <v>277</v>
      </c>
      <c r="H165" t="s">
        <v>76</v>
      </c>
      <c r="I165" t="s">
        <v>288</v>
      </c>
      <c r="J165" t="s">
        <v>78</v>
      </c>
      <c r="K165" t="s">
        <v>89</v>
      </c>
      <c r="L165" t="s">
        <v>657</v>
      </c>
      <c r="M165">
        <v>22</v>
      </c>
      <c r="N165" t="s">
        <v>268</v>
      </c>
      <c r="O165">
        <v>2003</v>
      </c>
      <c r="P165" t="s">
        <v>1732</v>
      </c>
      <c r="Q165" t="s">
        <v>1725</v>
      </c>
      <c r="R165">
        <v>7512</v>
      </c>
      <c r="S165" t="s">
        <v>1719</v>
      </c>
      <c r="T165" t="s">
        <v>1733</v>
      </c>
      <c r="U165">
        <v>1981</v>
      </c>
      <c r="V165" t="s">
        <v>1734</v>
      </c>
      <c r="W165">
        <v>1.89</v>
      </c>
      <c r="X165" t="s">
        <v>76</v>
      </c>
      <c r="Y165" t="s">
        <v>259</v>
      </c>
      <c r="Z165" t="s">
        <v>87</v>
      </c>
      <c r="AA165" t="s">
        <v>107</v>
      </c>
      <c r="AB165" s="1">
        <v>43472</v>
      </c>
      <c r="AC165" t="s">
        <v>108</v>
      </c>
      <c r="AD165" t="s">
        <v>89</v>
      </c>
      <c r="AE165">
        <v>37661</v>
      </c>
      <c r="AF165">
        <v>22</v>
      </c>
      <c r="AG165" t="s">
        <v>91</v>
      </c>
      <c r="AH165">
        <v>38785</v>
      </c>
      <c r="AI165">
        <v>25</v>
      </c>
      <c r="AJ165" t="s">
        <v>110</v>
      </c>
      <c r="AK165">
        <v>22</v>
      </c>
      <c r="AL165">
        <v>2</v>
      </c>
      <c r="AM165">
        <v>77</v>
      </c>
      <c r="AN165">
        <v>9</v>
      </c>
      <c r="AO165">
        <v>2</v>
      </c>
      <c r="AP165" t="s">
        <v>93</v>
      </c>
      <c r="AQ165" t="s">
        <v>89</v>
      </c>
      <c r="AR165" t="s">
        <v>89</v>
      </c>
      <c r="AS165" t="s">
        <v>111</v>
      </c>
      <c r="AT165" s="1">
        <v>43472</v>
      </c>
      <c r="AU165">
        <v>2019</v>
      </c>
      <c r="AV165">
        <v>16</v>
      </c>
      <c r="AW165">
        <v>16</v>
      </c>
      <c r="AX165" t="s">
        <v>89</v>
      </c>
      <c r="AY165" t="s">
        <v>93</v>
      </c>
      <c r="AZ165">
        <v>0</v>
      </c>
      <c r="BA165">
        <v>0</v>
      </c>
      <c r="BB165">
        <v>0</v>
      </c>
      <c r="BC165">
        <v>0</v>
      </c>
      <c r="BD165">
        <v>393</v>
      </c>
      <c r="BE165">
        <v>25534</v>
      </c>
      <c r="BF165">
        <v>13</v>
      </c>
      <c r="BG165">
        <v>38</v>
      </c>
      <c r="BH165">
        <v>393</v>
      </c>
      <c r="BI165">
        <v>25534</v>
      </c>
      <c r="BJ165">
        <v>13</v>
      </c>
      <c r="BK165">
        <f t="shared" si="20"/>
        <v>393</v>
      </c>
      <c r="BL165">
        <f t="shared" si="21"/>
        <v>25534</v>
      </c>
      <c r="BM165">
        <f t="shared" si="22"/>
        <v>13</v>
      </c>
      <c r="BN165">
        <f t="shared" si="23"/>
        <v>0</v>
      </c>
      <c r="BO165">
        <f t="shared" si="24"/>
        <v>0</v>
      </c>
      <c r="BP165">
        <f t="shared" si="25"/>
        <v>0</v>
      </c>
      <c r="BQ165" t="s">
        <v>259</v>
      </c>
      <c r="BR165" t="s">
        <v>94</v>
      </c>
      <c r="BS165" s="1">
        <v>29600</v>
      </c>
      <c r="BT165">
        <v>45</v>
      </c>
      <c r="BU165" s="1">
        <v>43472</v>
      </c>
      <c r="BV165" s="1">
        <v>43647</v>
      </c>
      <c r="BW165">
        <v>16</v>
      </c>
      <c r="BX165">
        <v>1981</v>
      </c>
      <c r="BY165">
        <v>16</v>
      </c>
      <c r="BZ165">
        <f t="shared" si="26"/>
        <v>0</v>
      </c>
      <c r="CA165">
        <f t="shared" si="27"/>
        <v>0</v>
      </c>
      <c r="CB165" t="b">
        <f t="shared" si="28"/>
        <v>1</v>
      </c>
    </row>
    <row r="166" spans="1:80" x14ac:dyDescent="0.3">
      <c r="A166" t="s">
        <v>1735</v>
      </c>
      <c r="B166" t="s">
        <v>71</v>
      </c>
      <c r="C166" t="s">
        <v>1736</v>
      </c>
      <c r="D166">
        <v>37</v>
      </c>
      <c r="E166">
        <v>32277</v>
      </c>
      <c r="F166" t="s">
        <v>89</v>
      </c>
      <c r="G166" t="s">
        <v>176</v>
      </c>
      <c r="H166" t="s">
        <v>89</v>
      </c>
      <c r="I166" t="s">
        <v>375</v>
      </c>
      <c r="J166" t="s">
        <v>300</v>
      </c>
      <c r="K166" t="s">
        <v>89</v>
      </c>
      <c r="L166" t="s">
        <v>228</v>
      </c>
      <c r="M166">
        <v>22</v>
      </c>
      <c r="N166" t="s">
        <v>162</v>
      </c>
      <c r="O166">
        <v>2010</v>
      </c>
      <c r="P166" t="s">
        <v>1737</v>
      </c>
      <c r="Q166" t="s">
        <v>1738</v>
      </c>
      <c r="R166">
        <v>65060</v>
      </c>
      <c r="S166" t="s">
        <v>1739</v>
      </c>
      <c r="T166" t="s">
        <v>1740</v>
      </c>
      <c r="U166">
        <v>1988</v>
      </c>
      <c r="V166" t="s">
        <v>122</v>
      </c>
      <c r="W166">
        <v>1.83</v>
      </c>
      <c r="X166" t="s">
        <v>76</v>
      </c>
      <c r="Y166" t="s">
        <v>235</v>
      </c>
      <c r="Z166" t="s">
        <v>152</v>
      </c>
      <c r="AA166" t="s">
        <v>1741</v>
      </c>
      <c r="AB166" s="1">
        <v>44562</v>
      </c>
      <c r="AC166" t="s">
        <v>108</v>
      </c>
      <c r="AD166" t="s">
        <v>89</v>
      </c>
      <c r="AE166" s="1">
        <v>40606</v>
      </c>
      <c r="AF166">
        <v>22</v>
      </c>
      <c r="AG166" t="s">
        <v>1742</v>
      </c>
      <c r="AH166" s="1">
        <v>40431</v>
      </c>
      <c r="AI166">
        <v>22</v>
      </c>
      <c r="AJ166" t="s">
        <v>110</v>
      </c>
      <c r="AK166">
        <v>22</v>
      </c>
      <c r="AL166">
        <v>2</v>
      </c>
      <c r="AM166">
        <v>233</v>
      </c>
      <c r="AN166">
        <v>32</v>
      </c>
      <c r="AO166">
        <v>2</v>
      </c>
      <c r="AP166" t="s">
        <v>93</v>
      </c>
      <c r="AQ166" t="s">
        <v>89</v>
      </c>
      <c r="AR166" t="s">
        <v>89</v>
      </c>
      <c r="AS166" t="s">
        <v>111</v>
      </c>
      <c r="AT166">
        <v>44562</v>
      </c>
      <c r="AU166">
        <v>2022</v>
      </c>
      <c r="AV166">
        <v>12</v>
      </c>
      <c r="AW166">
        <v>12</v>
      </c>
      <c r="AX166" t="s">
        <v>89</v>
      </c>
      <c r="AY166" t="s">
        <v>93</v>
      </c>
      <c r="AZ166">
        <v>0</v>
      </c>
      <c r="BA166">
        <v>0</v>
      </c>
      <c r="BB166">
        <v>0</v>
      </c>
      <c r="BC166">
        <v>0</v>
      </c>
      <c r="BD166">
        <v>147</v>
      </c>
      <c r="BE166">
        <v>12735</v>
      </c>
      <c r="BF166">
        <v>3</v>
      </c>
      <c r="BG166">
        <v>34</v>
      </c>
      <c r="BH166">
        <v>147</v>
      </c>
      <c r="BI166">
        <v>12735</v>
      </c>
      <c r="BJ166">
        <v>3</v>
      </c>
      <c r="BK166">
        <f t="shared" si="20"/>
        <v>147</v>
      </c>
      <c r="BL166">
        <f t="shared" si="21"/>
        <v>12735</v>
      </c>
      <c r="BM166">
        <f t="shared" si="22"/>
        <v>3</v>
      </c>
      <c r="BN166">
        <f t="shared" si="23"/>
        <v>0</v>
      </c>
      <c r="BO166">
        <f t="shared" si="24"/>
        <v>0</v>
      </c>
      <c r="BP166">
        <f t="shared" si="25"/>
        <v>0</v>
      </c>
      <c r="BQ166" t="s">
        <v>235</v>
      </c>
      <c r="BR166" t="s">
        <v>140</v>
      </c>
      <c r="BS166" s="1">
        <v>32277</v>
      </c>
      <c r="BT166">
        <v>37</v>
      </c>
      <c r="BU166">
        <v>44562</v>
      </c>
      <c r="BV166" t="s">
        <v>89</v>
      </c>
      <c r="BW166">
        <v>12</v>
      </c>
      <c r="BX166">
        <v>1988</v>
      </c>
      <c r="BY166">
        <v>12</v>
      </c>
      <c r="BZ166">
        <f t="shared" si="26"/>
        <v>0</v>
      </c>
      <c r="CA166">
        <f t="shared" si="27"/>
        <v>0</v>
      </c>
      <c r="CB166" t="b">
        <f t="shared" si="28"/>
        <v>1</v>
      </c>
    </row>
    <row r="167" spans="1:80" x14ac:dyDescent="0.3">
      <c r="A167" t="s">
        <v>1743</v>
      </c>
      <c r="B167" t="s">
        <v>71</v>
      </c>
      <c r="C167" t="s">
        <v>1744</v>
      </c>
      <c r="D167">
        <v>35</v>
      </c>
      <c r="E167" t="s">
        <v>1745</v>
      </c>
      <c r="F167" t="s">
        <v>1746</v>
      </c>
      <c r="G167" t="s">
        <v>115</v>
      </c>
      <c r="H167" t="s">
        <v>76</v>
      </c>
      <c r="I167" t="s">
        <v>1747</v>
      </c>
      <c r="J167" t="s">
        <v>78</v>
      </c>
      <c r="K167" t="s">
        <v>1504</v>
      </c>
      <c r="L167" t="s">
        <v>278</v>
      </c>
      <c r="M167">
        <v>21</v>
      </c>
      <c r="N167" t="s">
        <v>416</v>
      </c>
      <c r="O167">
        <v>2011</v>
      </c>
      <c r="P167" t="s">
        <v>1748</v>
      </c>
      <c r="Q167" t="s">
        <v>1749</v>
      </c>
      <c r="R167">
        <v>89368</v>
      </c>
      <c r="S167" t="s">
        <v>1743</v>
      </c>
      <c r="T167" t="s">
        <v>1750</v>
      </c>
      <c r="U167">
        <v>1990</v>
      </c>
      <c r="V167" t="s">
        <v>1751</v>
      </c>
      <c r="W167">
        <v>1.85</v>
      </c>
      <c r="X167" t="s">
        <v>76</v>
      </c>
      <c r="Y167" t="s">
        <v>235</v>
      </c>
      <c r="Z167" t="s">
        <v>87</v>
      </c>
      <c r="AA167" t="s">
        <v>1752</v>
      </c>
      <c r="AB167" t="s">
        <v>1753</v>
      </c>
      <c r="AC167" t="s">
        <v>170</v>
      </c>
      <c r="AD167" t="s">
        <v>89</v>
      </c>
      <c r="AE167" t="s">
        <v>306</v>
      </c>
      <c r="AF167">
        <v>21</v>
      </c>
      <c r="AG167" t="s">
        <v>91</v>
      </c>
      <c r="AH167">
        <v>43140</v>
      </c>
      <c r="AI167">
        <v>28</v>
      </c>
      <c r="AJ167" t="s">
        <v>110</v>
      </c>
      <c r="AK167">
        <v>21</v>
      </c>
      <c r="AL167">
        <v>2</v>
      </c>
      <c r="AM167">
        <v>227</v>
      </c>
      <c r="AN167">
        <v>30</v>
      </c>
      <c r="AO167">
        <v>2</v>
      </c>
      <c r="AP167" t="s">
        <v>93</v>
      </c>
      <c r="AQ167" t="s">
        <v>89</v>
      </c>
      <c r="AR167" t="s">
        <v>89</v>
      </c>
      <c r="AS167" t="s">
        <v>93</v>
      </c>
      <c r="AT167" t="s">
        <v>89</v>
      </c>
      <c r="AU167" t="s">
        <v>89</v>
      </c>
      <c r="AV167" t="s">
        <v>89</v>
      </c>
      <c r="AW167">
        <v>14</v>
      </c>
      <c r="AX167">
        <v>3</v>
      </c>
      <c r="AY167" t="s">
        <v>93</v>
      </c>
      <c r="AZ167">
        <v>0</v>
      </c>
      <c r="BA167">
        <v>0</v>
      </c>
      <c r="BB167">
        <v>0</v>
      </c>
      <c r="BC167">
        <v>0</v>
      </c>
      <c r="BD167">
        <v>14</v>
      </c>
      <c r="BE167">
        <v>1282</v>
      </c>
      <c r="BF167">
        <v>0</v>
      </c>
      <c r="BG167" t="s">
        <v>89</v>
      </c>
      <c r="BH167">
        <v>14</v>
      </c>
      <c r="BI167">
        <v>1282</v>
      </c>
      <c r="BJ167">
        <v>0</v>
      </c>
      <c r="BK167">
        <f t="shared" si="20"/>
        <v>14</v>
      </c>
      <c r="BL167">
        <f t="shared" si="21"/>
        <v>1282</v>
      </c>
      <c r="BM167">
        <f t="shared" si="22"/>
        <v>0</v>
      </c>
      <c r="BN167">
        <f t="shared" si="23"/>
        <v>0</v>
      </c>
      <c r="BO167">
        <f t="shared" si="24"/>
        <v>0</v>
      </c>
      <c r="BP167">
        <f t="shared" si="25"/>
        <v>0</v>
      </c>
      <c r="BQ167" t="s">
        <v>235</v>
      </c>
      <c r="BR167" t="s">
        <v>140</v>
      </c>
      <c r="BS167" t="s">
        <v>89</v>
      </c>
      <c r="BT167">
        <v>36</v>
      </c>
      <c r="BU167" t="s">
        <v>89</v>
      </c>
      <c r="BV167" t="s">
        <v>89</v>
      </c>
      <c r="BW167">
        <v>15</v>
      </c>
      <c r="BX167">
        <v>1990</v>
      </c>
      <c r="BY167">
        <v>14</v>
      </c>
      <c r="BZ167">
        <f t="shared" si="26"/>
        <v>-1</v>
      </c>
      <c r="CA167">
        <f t="shared" si="27"/>
        <v>1</v>
      </c>
      <c r="CB167" t="b">
        <f t="shared" si="28"/>
        <v>0</v>
      </c>
    </row>
    <row r="168" spans="1:80" x14ac:dyDescent="0.3">
      <c r="A168" t="s">
        <v>1743</v>
      </c>
      <c r="B168" t="s">
        <v>89</v>
      </c>
      <c r="C168" t="s">
        <v>1754</v>
      </c>
      <c r="D168">
        <v>34</v>
      </c>
      <c r="E168">
        <v>33179</v>
      </c>
      <c r="F168" t="s">
        <v>89</v>
      </c>
      <c r="G168" t="s">
        <v>143</v>
      </c>
      <c r="H168" t="s">
        <v>76</v>
      </c>
      <c r="I168" t="s">
        <v>1755</v>
      </c>
      <c r="J168" t="s">
        <v>78</v>
      </c>
      <c r="K168" t="s">
        <v>323</v>
      </c>
      <c r="L168" t="s">
        <v>130</v>
      </c>
      <c r="M168">
        <v>17</v>
      </c>
      <c r="N168" t="s">
        <v>162</v>
      </c>
      <c r="O168">
        <v>2008</v>
      </c>
      <c r="P168" t="s">
        <v>1756</v>
      </c>
      <c r="Q168" t="s">
        <v>1749</v>
      </c>
      <c r="R168">
        <v>67808</v>
      </c>
      <c r="S168" t="s">
        <v>1743</v>
      </c>
      <c r="T168" t="s">
        <v>1757</v>
      </c>
      <c r="U168">
        <v>1990</v>
      </c>
      <c r="V168" t="s">
        <v>122</v>
      </c>
      <c r="W168">
        <v>1.75</v>
      </c>
      <c r="X168" t="s">
        <v>76</v>
      </c>
      <c r="Y168" t="s">
        <v>106</v>
      </c>
      <c r="Z168" t="s">
        <v>87</v>
      </c>
      <c r="AA168" t="s">
        <v>323</v>
      </c>
      <c r="AB168" s="1">
        <v>45298</v>
      </c>
      <c r="AC168" t="s">
        <v>108</v>
      </c>
      <c r="AD168" t="s">
        <v>89</v>
      </c>
      <c r="AE168" t="s">
        <v>1758</v>
      </c>
      <c r="AF168">
        <v>23</v>
      </c>
      <c r="AG168" t="s">
        <v>91</v>
      </c>
      <c r="AH168" t="s">
        <v>1759</v>
      </c>
      <c r="AI168">
        <v>18</v>
      </c>
      <c r="AJ168" t="s">
        <v>110</v>
      </c>
      <c r="AK168">
        <v>18</v>
      </c>
      <c r="AL168">
        <v>6</v>
      </c>
      <c r="AM168">
        <v>500</v>
      </c>
      <c r="AN168">
        <v>56</v>
      </c>
      <c r="AO168">
        <v>3</v>
      </c>
      <c r="AP168" t="s">
        <v>93</v>
      </c>
      <c r="AQ168" t="s">
        <v>89</v>
      </c>
      <c r="AR168" t="s">
        <v>89</v>
      </c>
      <c r="AS168" t="s">
        <v>111</v>
      </c>
      <c r="AT168">
        <v>45298</v>
      </c>
      <c r="AU168">
        <v>2024</v>
      </c>
      <c r="AV168">
        <v>16</v>
      </c>
      <c r="AW168">
        <v>16</v>
      </c>
      <c r="AX168" t="s">
        <v>89</v>
      </c>
      <c r="AY168" t="s">
        <v>93</v>
      </c>
      <c r="AZ168">
        <v>0</v>
      </c>
      <c r="BA168">
        <v>0</v>
      </c>
      <c r="BB168">
        <v>0</v>
      </c>
      <c r="BC168">
        <v>0</v>
      </c>
      <c r="BD168">
        <v>405</v>
      </c>
      <c r="BE168">
        <v>27628</v>
      </c>
      <c r="BF168">
        <v>51</v>
      </c>
      <c r="BG168">
        <v>34</v>
      </c>
      <c r="BH168">
        <v>405</v>
      </c>
      <c r="BI168">
        <v>27628</v>
      </c>
      <c r="BJ168">
        <v>51</v>
      </c>
      <c r="BK168">
        <f t="shared" si="20"/>
        <v>405</v>
      </c>
      <c r="BL168">
        <f t="shared" si="21"/>
        <v>27628</v>
      </c>
      <c r="BM168">
        <f t="shared" si="22"/>
        <v>51</v>
      </c>
      <c r="BN168">
        <f t="shared" si="23"/>
        <v>0</v>
      </c>
      <c r="BO168">
        <f t="shared" si="24"/>
        <v>0</v>
      </c>
      <c r="BP168">
        <f t="shared" si="25"/>
        <v>0</v>
      </c>
      <c r="BQ168" t="s">
        <v>106</v>
      </c>
      <c r="BR168" t="s">
        <v>112</v>
      </c>
      <c r="BS168" t="s">
        <v>89</v>
      </c>
      <c r="BT168">
        <v>36</v>
      </c>
      <c r="BU168">
        <v>45298</v>
      </c>
      <c r="BV168" t="s">
        <v>89</v>
      </c>
      <c r="BW168">
        <v>16</v>
      </c>
      <c r="BX168">
        <v>1990</v>
      </c>
      <c r="BY168">
        <v>16</v>
      </c>
      <c r="BZ168">
        <f t="shared" si="26"/>
        <v>0</v>
      </c>
      <c r="CA168">
        <f t="shared" si="27"/>
        <v>0</v>
      </c>
      <c r="CB168" t="b">
        <f t="shared" si="28"/>
        <v>1</v>
      </c>
    </row>
    <row r="169" spans="1:80" x14ac:dyDescent="0.3">
      <c r="A169" t="s">
        <v>1760</v>
      </c>
      <c r="B169" t="s">
        <v>71</v>
      </c>
      <c r="C169" t="s">
        <v>1761</v>
      </c>
      <c r="D169">
        <v>32</v>
      </c>
      <c r="E169" t="s">
        <v>1762</v>
      </c>
      <c r="F169" t="s">
        <v>1763</v>
      </c>
      <c r="G169" t="s">
        <v>819</v>
      </c>
      <c r="H169" t="s">
        <v>76</v>
      </c>
      <c r="I169" t="s">
        <v>437</v>
      </c>
      <c r="J169" t="s">
        <v>78</v>
      </c>
      <c r="K169" t="s">
        <v>289</v>
      </c>
      <c r="L169" t="s">
        <v>762</v>
      </c>
      <c r="M169">
        <v>21</v>
      </c>
      <c r="N169" t="s">
        <v>289</v>
      </c>
      <c r="O169">
        <v>2014</v>
      </c>
      <c r="P169" t="s">
        <v>1764</v>
      </c>
      <c r="Q169" t="s">
        <v>1765</v>
      </c>
      <c r="R169">
        <v>278359</v>
      </c>
      <c r="S169" t="s">
        <v>1760</v>
      </c>
      <c r="T169" t="s">
        <v>1766</v>
      </c>
      <c r="U169">
        <v>1993</v>
      </c>
      <c r="V169" t="s">
        <v>1767</v>
      </c>
      <c r="W169">
        <v>1.87</v>
      </c>
      <c r="X169" t="s">
        <v>76</v>
      </c>
      <c r="Y169" t="s">
        <v>123</v>
      </c>
      <c r="Z169" t="s">
        <v>87</v>
      </c>
      <c r="AA169" t="s">
        <v>1768</v>
      </c>
      <c r="AB169" s="1">
        <v>45999</v>
      </c>
      <c r="AC169" t="s">
        <v>88</v>
      </c>
      <c r="AD169" t="s">
        <v>442</v>
      </c>
      <c r="AE169" s="1">
        <v>42064</v>
      </c>
      <c r="AF169">
        <v>21</v>
      </c>
      <c r="AG169" t="s">
        <v>91</v>
      </c>
      <c r="AH169" t="s">
        <v>1769</v>
      </c>
      <c r="AI169">
        <v>24</v>
      </c>
      <c r="AJ169" t="s">
        <v>110</v>
      </c>
      <c r="AK169">
        <v>21</v>
      </c>
      <c r="AL169">
        <v>4</v>
      </c>
      <c r="AM169">
        <v>60</v>
      </c>
      <c r="AN169">
        <v>7</v>
      </c>
      <c r="AO169">
        <v>4</v>
      </c>
      <c r="AP169" t="s">
        <v>93</v>
      </c>
      <c r="AQ169" t="s">
        <v>89</v>
      </c>
      <c r="AR169" t="s">
        <v>89</v>
      </c>
      <c r="AS169" t="s">
        <v>93</v>
      </c>
      <c r="AT169" t="s">
        <v>89</v>
      </c>
      <c r="AU169" t="s">
        <v>89</v>
      </c>
      <c r="AV169" t="s">
        <v>89</v>
      </c>
      <c r="AW169">
        <v>11</v>
      </c>
      <c r="AX169">
        <v>7</v>
      </c>
      <c r="AY169" t="s">
        <v>111</v>
      </c>
      <c r="AZ169">
        <v>3</v>
      </c>
      <c r="BA169">
        <v>4</v>
      </c>
      <c r="BB169">
        <v>124</v>
      </c>
      <c r="BC169">
        <v>0</v>
      </c>
      <c r="BD169">
        <v>328</v>
      </c>
      <c r="BE169">
        <v>20199</v>
      </c>
      <c r="BF169">
        <v>112</v>
      </c>
      <c r="BG169" t="s">
        <v>89</v>
      </c>
      <c r="BH169">
        <v>332</v>
      </c>
      <c r="BI169">
        <v>20323</v>
      </c>
      <c r="BJ169">
        <v>112</v>
      </c>
      <c r="BK169">
        <f t="shared" si="20"/>
        <v>332</v>
      </c>
      <c r="BL169">
        <f t="shared" si="21"/>
        <v>20323</v>
      </c>
      <c r="BM169">
        <f t="shared" si="22"/>
        <v>112</v>
      </c>
      <c r="BN169">
        <f t="shared" si="23"/>
        <v>0</v>
      </c>
      <c r="BO169">
        <f t="shared" si="24"/>
        <v>0</v>
      </c>
      <c r="BP169">
        <f t="shared" si="25"/>
        <v>0</v>
      </c>
      <c r="BQ169" t="s">
        <v>123</v>
      </c>
      <c r="BR169" t="s">
        <v>112</v>
      </c>
      <c r="BS169" s="1">
        <v>33986</v>
      </c>
      <c r="BT169">
        <v>33</v>
      </c>
      <c r="BU169" t="s">
        <v>89</v>
      </c>
      <c r="BV169" t="s">
        <v>89</v>
      </c>
      <c r="BW169">
        <v>12</v>
      </c>
      <c r="BX169">
        <v>1993</v>
      </c>
      <c r="BY169">
        <v>11</v>
      </c>
      <c r="BZ169">
        <f t="shared" si="26"/>
        <v>-1</v>
      </c>
      <c r="CA169">
        <f t="shared" si="27"/>
        <v>1</v>
      </c>
      <c r="CB169" t="b">
        <f t="shared" si="28"/>
        <v>0</v>
      </c>
    </row>
    <row r="170" spans="1:80" x14ac:dyDescent="0.3">
      <c r="A170" t="s">
        <v>1770</v>
      </c>
      <c r="B170" t="s">
        <v>71</v>
      </c>
      <c r="C170" t="s">
        <v>1771</v>
      </c>
      <c r="D170">
        <v>31</v>
      </c>
      <c r="E170" t="s">
        <v>1772</v>
      </c>
      <c r="F170" t="s">
        <v>310</v>
      </c>
      <c r="G170" t="s">
        <v>1381</v>
      </c>
      <c r="H170" t="s">
        <v>76</v>
      </c>
      <c r="I170" t="s">
        <v>227</v>
      </c>
      <c r="J170" t="s">
        <v>300</v>
      </c>
      <c r="K170" t="s">
        <v>1773</v>
      </c>
      <c r="L170" t="s">
        <v>80</v>
      </c>
      <c r="M170">
        <v>18</v>
      </c>
      <c r="N170" t="s">
        <v>279</v>
      </c>
      <c r="O170">
        <v>2012</v>
      </c>
      <c r="P170" t="s">
        <v>1774</v>
      </c>
      <c r="Q170" t="s">
        <v>1775</v>
      </c>
      <c r="R170">
        <v>214770</v>
      </c>
      <c r="S170" t="s">
        <v>1770</v>
      </c>
      <c r="T170">
        <v>34367</v>
      </c>
      <c r="U170">
        <v>1994</v>
      </c>
      <c r="V170" t="s">
        <v>315</v>
      </c>
      <c r="W170">
        <v>1.91</v>
      </c>
      <c r="X170" t="s">
        <v>76</v>
      </c>
      <c r="Y170" t="s">
        <v>235</v>
      </c>
      <c r="Z170" t="s">
        <v>152</v>
      </c>
      <c r="AA170" t="s">
        <v>1773</v>
      </c>
      <c r="AB170" t="s">
        <v>1776</v>
      </c>
      <c r="AC170" t="s">
        <v>108</v>
      </c>
      <c r="AD170" t="s">
        <v>89</v>
      </c>
      <c r="AE170" t="s">
        <v>1777</v>
      </c>
      <c r="AF170">
        <v>19</v>
      </c>
      <c r="AG170" t="s">
        <v>206</v>
      </c>
      <c r="AH170" t="s">
        <v>1778</v>
      </c>
      <c r="AI170">
        <v>18</v>
      </c>
      <c r="AJ170" t="s">
        <v>110</v>
      </c>
      <c r="AK170">
        <v>18</v>
      </c>
      <c r="AL170">
        <v>5</v>
      </c>
      <c r="AM170">
        <v>333</v>
      </c>
      <c r="AN170">
        <v>38</v>
      </c>
      <c r="AO170">
        <v>3</v>
      </c>
      <c r="AP170" t="s">
        <v>93</v>
      </c>
      <c r="AQ170" t="s">
        <v>89</v>
      </c>
      <c r="AR170" t="s">
        <v>89</v>
      </c>
      <c r="AS170" t="s">
        <v>93</v>
      </c>
      <c r="AT170" t="s">
        <v>89</v>
      </c>
      <c r="AU170" t="s">
        <v>89</v>
      </c>
      <c r="AV170" t="s">
        <v>89</v>
      </c>
      <c r="AW170">
        <v>13</v>
      </c>
      <c r="AX170">
        <v>4</v>
      </c>
      <c r="AY170" t="s">
        <v>93</v>
      </c>
      <c r="AZ170">
        <v>0</v>
      </c>
      <c r="BA170">
        <v>0</v>
      </c>
      <c r="BB170">
        <v>0</v>
      </c>
      <c r="BC170">
        <v>0</v>
      </c>
      <c r="BD170">
        <v>163</v>
      </c>
      <c r="BE170">
        <v>13192</v>
      </c>
      <c r="BF170">
        <v>6</v>
      </c>
      <c r="BG170" t="s">
        <v>89</v>
      </c>
      <c r="BH170">
        <v>163</v>
      </c>
      <c r="BI170">
        <v>13192</v>
      </c>
      <c r="BJ170">
        <v>6</v>
      </c>
      <c r="BK170">
        <f t="shared" si="20"/>
        <v>163</v>
      </c>
      <c r="BL170">
        <f t="shared" si="21"/>
        <v>13192</v>
      </c>
      <c r="BM170">
        <f t="shared" si="22"/>
        <v>6</v>
      </c>
      <c r="BN170">
        <f t="shared" si="23"/>
        <v>0</v>
      </c>
      <c r="BO170">
        <f t="shared" si="24"/>
        <v>0</v>
      </c>
      <c r="BP170">
        <f t="shared" si="25"/>
        <v>0</v>
      </c>
      <c r="BQ170" t="s">
        <v>235</v>
      </c>
      <c r="BR170" t="s">
        <v>140</v>
      </c>
      <c r="BS170" t="s">
        <v>89</v>
      </c>
      <c r="BT170">
        <v>32</v>
      </c>
      <c r="BU170" t="s">
        <v>89</v>
      </c>
      <c r="BV170" t="s">
        <v>89</v>
      </c>
      <c r="BW170">
        <v>14</v>
      </c>
      <c r="BX170">
        <v>1994</v>
      </c>
      <c r="BY170">
        <v>13</v>
      </c>
      <c r="BZ170">
        <f t="shared" si="26"/>
        <v>-1</v>
      </c>
      <c r="CA170">
        <f t="shared" si="27"/>
        <v>1</v>
      </c>
      <c r="CB170" t="b">
        <f t="shared" si="28"/>
        <v>0</v>
      </c>
    </row>
    <row r="171" spans="1:80" x14ac:dyDescent="0.3">
      <c r="A171" t="s">
        <v>1779</v>
      </c>
      <c r="B171" t="s">
        <v>71</v>
      </c>
      <c r="C171" t="s">
        <v>1780</v>
      </c>
      <c r="D171">
        <v>43</v>
      </c>
      <c r="E171" s="1">
        <v>30088</v>
      </c>
      <c r="F171" t="s">
        <v>89</v>
      </c>
      <c r="G171" t="s">
        <v>115</v>
      </c>
      <c r="H171" t="s">
        <v>76</v>
      </c>
      <c r="I171" t="s">
        <v>253</v>
      </c>
      <c r="J171" t="s">
        <v>78</v>
      </c>
      <c r="K171" t="s">
        <v>89</v>
      </c>
      <c r="L171" t="s">
        <v>657</v>
      </c>
      <c r="M171">
        <v>21</v>
      </c>
      <c r="N171" t="s">
        <v>289</v>
      </c>
      <c r="O171">
        <v>2003</v>
      </c>
      <c r="P171" t="s">
        <v>1781</v>
      </c>
      <c r="Q171" t="s">
        <v>1782</v>
      </c>
      <c r="R171">
        <v>15715</v>
      </c>
      <c r="S171" t="s">
        <v>1779</v>
      </c>
      <c r="T171" t="s">
        <v>1783</v>
      </c>
      <c r="U171">
        <v>1982</v>
      </c>
      <c r="V171" t="s">
        <v>1727</v>
      </c>
      <c r="W171">
        <v>1.78</v>
      </c>
      <c r="X171" t="s">
        <v>76</v>
      </c>
      <c r="Y171" t="s">
        <v>259</v>
      </c>
      <c r="Z171" t="s">
        <v>87</v>
      </c>
      <c r="AA171" t="s">
        <v>1768</v>
      </c>
      <c r="AB171" s="1">
        <v>42011</v>
      </c>
      <c r="AC171" t="s">
        <v>108</v>
      </c>
      <c r="AD171" t="s">
        <v>89</v>
      </c>
      <c r="AE171" t="s">
        <v>1784</v>
      </c>
      <c r="AF171">
        <v>21</v>
      </c>
      <c r="AG171" t="s">
        <v>91</v>
      </c>
      <c r="AH171" t="s">
        <v>505</v>
      </c>
      <c r="AI171">
        <v>22</v>
      </c>
      <c r="AJ171" t="s">
        <v>110</v>
      </c>
      <c r="AK171">
        <v>21</v>
      </c>
      <c r="AL171">
        <v>2</v>
      </c>
      <c r="AM171">
        <v>514</v>
      </c>
      <c r="AN171">
        <v>71</v>
      </c>
      <c r="AO171">
        <v>2</v>
      </c>
      <c r="AP171" t="s">
        <v>93</v>
      </c>
      <c r="AQ171" t="s">
        <v>89</v>
      </c>
      <c r="AR171" t="s">
        <v>89</v>
      </c>
      <c r="AS171" t="s">
        <v>111</v>
      </c>
      <c r="AT171" s="1">
        <v>42011</v>
      </c>
      <c r="AU171">
        <v>2015</v>
      </c>
      <c r="AV171">
        <v>12</v>
      </c>
      <c r="AW171">
        <v>12</v>
      </c>
      <c r="AX171" t="s">
        <v>89</v>
      </c>
      <c r="AY171" t="s">
        <v>111</v>
      </c>
      <c r="AZ171">
        <v>1</v>
      </c>
      <c r="BA171">
        <v>1</v>
      </c>
      <c r="BB171">
        <v>24</v>
      </c>
      <c r="BC171">
        <v>0</v>
      </c>
      <c r="BD171">
        <v>230</v>
      </c>
      <c r="BE171">
        <v>18451</v>
      </c>
      <c r="BF171">
        <v>5</v>
      </c>
      <c r="BG171">
        <v>33</v>
      </c>
      <c r="BH171">
        <v>231</v>
      </c>
      <c r="BI171">
        <v>18475</v>
      </c>
      <c r="BJ171">
        <v>5</v>
      </c>
      <c r="BK171">
        <f t="shared" si="20"/>
        <v>231</v>
      </c>
      <c r="BL171">
        <f t="shared" si="21"/>
        <v>18475</v>
      </c>
      <c r="BM171">
        <f t="shared" si="22"/>
        <v>5</v>
      </c>
      <c r="BN171">
        <f t="shared" si="23"/>
        <v>0</v>
      </c>
      <c r="BO171">
        <f t="shared" si="24"/>
        <v>0</v>
      </c>
      <c r="BP171">
        <f t="shared" si="25"/>
        <v>0</v>
      </c>
      <c r="BQ171" t="s">
        <v>259</v>
      </c>
      <c r="BR171" t="s">
        <v>94</v>
      </c>
      <c r="BS171" s="1">
        <v>30088</v>
      </c>
      <c r="BT171">
        <v>43</v>
      </c>
      <c r="BU171" s="1">
        <v>42011</v>
      </c>
      <c r="BV171" s="1">
        <v>42186</v>
      </c>
      <c r="BW171">
        <v>12</v>
      </c>
      <c r="BX171">
        <v>1982</v>
      </c>
      <c r="BY171">
        <v>12</v>
      </c>
      <c r="BZ171">
        <f t="shared" si="26"/>
        <v>0</v>
      </c>
      <c r="CA171">
        <f t="shared" si="27"/>
        <v>0</v>
      </c>
      <c r="CB171" t="b">
        <f t="shared" si="28"/>
        <v>1</v>
      </c>
    </row>
    <row r="172" spans="1:80" x14ac:dyDescent="0.3">
      <c r="A172" t="s">
        <v>1785</v>
      </c>
      <c r="B172" t="s">
        <v>71</v>
      </c>
      <c r="C172" t="s">
        <v>1786</v>
      </c>
      <c r="D172">
        <v>40</v>
      </c>
      <c r="E172" s="1">
        <v>31059</v>
      </c>
      <c r="F172" t="s">
        <v>89</v>
      </c>
      <c r="G172" t="s">
        <v>143</v>
      </c>
      <c r="H172" t="s">
        <v>76</v>
      </c>
      <c r="I172" t="s">
        <v>1235</v>
      </c>
      <c r="J172" t="s">
        <v>78</v>
      </c>
      <c r="K172" t="s">
        <v>89</v>
      </c>
      <c r="L172" t="s">
        <v>117</v>
      </c>
      <c r="M172">
        <v>20</v>
      </c>
      <c r="N172" t="s">
        <v>118</v>
      </c>
      <c r="O172">
        <v>2005</v>
      </c>
      <c r="P172" t="s">
        <v>1787</v>
      </c>
      <c r="Q172" t="s">
        <v>1788</v>
      </c>
      <c r="R172">
        <v>40372</v>
      </c>
      <c r="S172" t="s">
        <v>1785</v>
      </c>
      <c r="T172">
        <v>31382</v>
      </c>
      <c r="U172">
        <v>1985</v>
      </c>
      <c r="V172" t="s">
        <v>122</v>
      </c>
      <c r="W172">
        <v>1.75</v>
      </c>
      <c r="X172" t="s">
        <v>76</v>
      </c>
      <c r="Y172" t="s">
        <v>86</v>
      </c>
      <c r="Z172" t="s">
        <v>87</v>
      </c>
      <c r="AA172" t="s">
        <v>1789</v>
      </c>
      <c r="AB172" s="1">
        <v>44933</v>
      </c>
      <c r="AC172" t="s">
        <v>108</v>
      </c>
      <c r="AD172" t="s">
        <v>89</v>
      </c>
      <c r="AE172" s="1">
        <v>39122</v>
      </c>
      <c r="AF172">
        <v>22</v>
      </c>
      <c r="AG172" t="s">
        <v>91</v>
      </c>
      <c r="AH172" t="s">
        <v>354</v>
      </c>
      <c r="AI172">
        <v>20</v>
      </c>
      <c r="AJ172" t="s">
        <v>110</v>
      </c>
      <c r="AK172">
        <v>20</v>
      </c>
      <c r="AL172">
        <v>9</v>
      </c>
      <c r="AM172">
        <v>161</v>
      </c>
      <c r="AN172">
        <v>26</v>
      </c>
      <c r="AO172">
        <v>6</v>
      </c>
      <c r="AP172" t="s">
        <v>93</v>
      </c>
      <c r="AQ172" t="s">
        <v>89</v>
      </c>
      <c r="AR172" t="s">
        <v>89</v>
      </c>
      <c r="AS172" t="s">
        <v>111</v>
      </c>
      <c r="AT172" s="1">
        <v>44933</v>
      </c>
      <c r="AU172">
        <v>2023</v>
      </c>
      <c r="AV172">
        <v>18</v>
      </c>
      <c r="AW172">
        <v>18</v>
      </c>
      <c r="AX172" t="s">
        <v>89</v>
      </c>
      <c r="AY172" t="s">
        <v>93</v>
      </c>
      <c r="AZ172">
        <v>0</v>
      </c>
      <c r="BA172">
        <v>0</v>
      </c>
      <c r="BB172">
        <v>0</v>
      </c>
      <c r="BC172">
        <v>0</v>
      </c>
      <c r="BD172">
        <v>585</v>
      </c>
      <c r="BE172">
        <v>41926</v>
      </c>
      <c r="BF172">
        <v>43</v>
      </c>
      <c r="BG172">
        <v>38</v>
      </c>
      <c r="BH172">
        <v>585</v>
      </c>
      <c r="BI172">
        <v>41926</v>
      </c>
      <c r="BJ172">
        <v>43</v>
      </c>
      <c r="BK172">
        <f t="shared" si="20"/>
        <v>585</v>
      </c>
      <c r="BL172">
        <f t="shared" si="21"/>
        <v>41926</v>
      </c>
      <c r="BM172">
        <f t="shared" si="22"/>
        <v>43</v>
      </c>
      <c r="BN172">
        <f t="shared" si="23"/>
        <v>0</v>
      </c>
      <c r="BO172">
        <f t="shared" si="24"/>
        <v>0</v>
      </c>
      <c r="BP172">
        <f t="shared" si="25"/>
        <v>0</v>
      </c>
      <c r="BQ172" t="s">
        <v>86</v>
      </c>
      <c r="BR172" t="s">
        <v>94</v>
      </c>
      <c r="BS172" t="s">
        <v>89</v>
      </c>
      <c r="BT172">
        <v>41</v>
      </c>
      <c r="BU172" s="1">
        <v>44933</v>
      </c>
      <c r="BV172" s="1">
        <v>45108</v>
      </c>
      <c r="BW172">
        <v>18</v>
      </c>
      <c r="BX172">
        <v>1985</v>
      </c>
      <c r="BY172">
        <v>18</v>
      </c>
      <c r="BZ172">
        <f t="shared" si="26"/>
        <v>0</v>
      </c>
      <c r="CA172">
        <f t="shared" si="27"/>
        <v>0</v>
      </c>
      <c r="CB172" t="b">
        <f t="shared" si="28"/>
        <v>1</v>
      </c>
    </row>
    <row r="173" spans="1:80" x14ac:dyDescent="0.3">
      <c r="A173" t="s">
        <v>1790</v>
      </c>
      <c r="B173" t="s">
        <v>71</v>
      </c>
      <c r="C173" t="s">
        <v>1791</v>
      </c>
      <c r="D173">
        <v>38</v>
      </c>
      <c r="E173" s="1">
        <v>31862</v>
      </c>
      <c r="F173" t="s">
        <v>89</v>
      </c>
      <c r="G173" t="s">
        <v>176</v>
      </c>
      <c r="H173" t="s">
        <v>89</v>
      </c>
      <c r="I173" t="s">
        <v>437</v>
      </c>
      <c r="J173" t="s">
        <v>639</v>
      </c>
      <c r="K173" t="s">
        <v>89</v>
      </c>
      <c r="L173" t="s">
        <v>180</v>
      </c>
      <c r="M173">
        <v>20</v>
      </c>
      <c r="N173" t="s">
        <v>1365</v>
      </c>
      <c r="O173">
        <v>2007</v>
      </c>
      <c r="P173" t="s">
        <v>1792</v>
      </c>
      <c r="Q173" t="s">
        <v>1793</v>
      </c>
      <c r="R173">
        <v>61344</v>
      </c>
      <c r="S173" t="s">
        <v>1790</v>
      </c>
      <c r="T173" t="s">
        <v>1794</v>
      </c>
      <c r="U173">
        <v>1987</v>
      </c>
      <c r="V173" t="s">
        <v>234</v>
      </c>
      <c r="W173">
        <v>1.84</v>
      </c>
      <c r="X173" t="s">
        <v>76</v>
      </c>
      <c r="Y173" t="s">
        <v>123</v>
      </c>
      <c r="Z173" t="s">
        <v>87</v>
      </c>
      <c r="AA173" t="s">
        <v>476</v>
      </c>
      <c r="AB173">
        <v>44568</v>
      </c>
      <c r="AC173" t="s">
        <v>108</v>
      </c>
      <c r="AD173" t="s">
        <v>223</v>
      </c>
      <c r="AE173" t="s">
        <v>237</v>
      </c>
      <c r="AF173">
        <v>23</v>
      </c>
      <c r="AG173" t="s">
        <v>91</v>
      </c>
      <c r="AH173" t="s">
        <v>408</v>
      </c>
      <c r="AI173">
        <v>20</v>
      </c>
      <c r="AJ173" t="s">
        <v>110</v>
      </c>
      <c r="AK173">
        <v>20</v>
      </c>
      <c r="AL173">
        <v>4</v>
      </c>
      <c r="AM173">
        <v>310</v>
      </c>
      <c r="AN173">
        <v>30</v>
      </c>
      <c r="AO173">
        <v>3</v>
      </c>
      <c r="AP173" t="s">
        <v>93</v>
      </c>
      <c r="AQ173" t="s">
        <v>89</v>
      </c>
      <c r="AR173" t="s">
        <v>89</v>
      </c>
      <c r="AS173" t="s">
        <v>93</v>
      </c>
      <c r="AT173" t="s">
        <v>89</v>
      </c>
      <c r="AU173" t="s">
        <v>89</v>
      </c>
      <c r="AV173" t="s">
        <v>89</v>
      </c>
      <c r="AW173">
        <v>18</v>
      </c>
      <c r="AX173" t="s">
        <v>89</v>
      </c>
      <c r="AY173" t="s">
        <v>93</v>
      </c>
      <c r="AZ173">
        <v>0</v>
      </c>
      <c r="BA173">
        <v>0</v>
      </c>
      <c r="BB173">
        <v>0</v>
      </c>
      <c r="BC173">
        <v>0</v>
      </c>
      <c r="BD173">
        <v>168</v>
      </c>
      <c r="BE173">
        <v>8669</v>
      </c>
      <c r="BF173">
        <v>34</v>
      </c>
      <c r="BG173" t="s">
        <v>89</v>
      </c>
      <c r="BH173">
        <v>168</v>
      </c>
      <c r="BI173">
        <v>8669</v>
      </c>
      <c r="BJ173">
        <v>34</v>
      </c>
      <c r="BK173">
        <f t="shared" si="20"/>
        <v>168</v>
      </c>
      <c r="BL173">
        <f t="shared" si="21"/>
        <v>8669</v>
      </c>
      <c r="BM173">
        <f t="shared" si="22"/>
        <v>34</v>
      </c>
      <c r="BN173">
        <f t="shared" si="23"/>
        <v>0</v>
      </c>
      <c r="BO173">
        <f t="shared" si="24"/>
        <v>0</v>
      </c>
      <c r="BP173">
        <f t="shared" si="25"/>
        <v>0</v>
      </c>
      <c r="BQ173" t="s">
        <v>123</v>
      </c>
      <c r="BR173" t="s">
        <v>112</v>
      </c>
      <c r="BS173" s="1">
        <v>31862</v>
      </c>
      <c r="BT173">
        <v>38</v>
      </c>
      <c r="BU173" t="s">
        <v>89</v>
      </c>
      <c r="BV173" t="s">
        <v>89</v>
      </c>
      <c r="BW173">
        <v>18</v>
      </c>
      <c r="BX173">
        <v>1987</v>
      </c>
      <c r="BY173">
        <v>18</v>
      </c>
      <c r="BZ173">
        <f t="shared" si="26"/>
        <v>0</v>
      </c>
      <c r="CA173">
        <f t="shared" si="27"/>
        <v>0</v>
      </c>
      <c r="CB173" t="b">
        <f t="shared" si="28"/>
        <v>1</v>
      </c>
    </row>
    <row r="174" spans="1:80" x14ac:dyDescent="0.3">
      <c r="A174" t="s">
        <v>1795</v>
      </c>
      <c r="B174" t="s">
        <v>729</v>
      </c>
      <c r="C174" t="s">
        <v>1796</v>
      </c>
      <c r="D174">
        <v>38</v>
      </c>
      <c r="E174" s="1">
        <v>31638</v>
      </c>
      <c r="F174" t="s">
        <v>89</v>
      </c>
      <c r="G174" t="s">
        <v>241</v>
      </c>
      <c r="H174" t="s">
        <v>89</v>
      </c>
      <c r="I174" t="s">
        <v>437</v>
      </c>
      <c r="J174" t="s">
        <v>78</v>
      </c>
      <c r="K174" t="s">
        <v>89</v>
      </c>
      <c r="L174" t="s">
        <v>324</v>
      </c>
      <c r="M174">
        <v>26</v>
      </c>
      <c r="N174" t="s">
        <v>301</v>
      </c>
      <c r="O174">
        <v>2013</v>
      </c>
      <c r="P174" t="s">
        <v>1797</v>
      </c>
      <c r="Q174" t="s">
        <v>1798</v>
      </c>
      <c r="R174">
        <v>76984</v>
      </c>
      <c r="S174" t="s">
        <v>1795</v>
      </c>
      <c r="T174" t="s">
        <v>1799</v>
      </c>
      <c r="U174">
        <v>1986</v>
      </c>
      <c r="V174" t="s">
        <v>1800</v>
      </c>
      <c r="W174">
        <v>1.93</v>
      </c>
      <c r="X174" t="s">
        <v>732</v>
      </c>
      <c r="Y174" t="s">
        <v>123</v>
      </c>
      <c r="Z174" t="s">
        <v>87</v>
      </c>
      <c r="AA174" t="s">
        <v>124</v>
      </c>
      <c r="AB174" s="1">
        <v>44571</v>
      </c>
      <c r="AC174" t="s">
        <v>108</v>
      </c>
      <c r="AD174" t="s">
        <v>89</v>
      </c>
      <c r="AE174" t="s">
        <v>1801</v>
      </c>
      <c r="AF174">
        <v>20</v>
      </c>
      <c r="AG174">
        <v>0</v>
      </c>
      <c r="AH174" t="s">
        <v>561</v>
      </c>
      <c r="AI174">
        <v>28</v>
      </c>
      <c r="AJ174" t="s">
        <v>110</v>
      </c>
      <c r="AK174">
        <v>20</v>
      </c>
      <c r="AL174">
        <v>2</v>
      </c>
      <c r="AM174">
        <v>37</v>
      </c>
      <c r="AN174">
        <v>5</v>
      </c>
      <c r="AO174">
        <v>1</v>
      </c>
      <c r="AP174" t="s">
        <v>93</v>
      </c>
      <c r="AQ174" t="s">
        <v>89</v>
      </c>
      <c r="AR174" t="s">
        <v>89</v>
      </c>
      <c r="AS174" t="s">
        <v>93</v>
      </c>
      <c r="AT174" t="s">
        <v>89</v>
      </c>
      <c r="AU174" t="s">
        <v>89</v>
      </c>
      <c r="AV174" t="s">
        <v>89</v>
      </c>
      <c r="AW174">
        <v>12</v>
      </c>
      <c r="AX174" t="s">
        <v>89</v>
      </c>
      <c r="AY174" t="s">
        <v>93</v>
      </c>
      <c r="AZ174">
        <v>0</v>
      </c>
      <c r="BA174">
        <v>0</v>
      </c>
      <c r="BB174">
        <v>0</v>
      </c>
      <c r="BC174">
        <v>0</v>
      </c>
      <c r="BD174">
        <v>73</v>
      </c>
      <c r="BE174">
        <v>3125</v>
      </c>
      <c r="BF174">
        <v>12</v>
      </c>
      <c r="BG174" t="s">
        <v>89</v>
      </c>
      <c r="BH174">
        <v>73</v>
      </c>
      <c r="BI174">
        <v>3125</v>
      </c>
      <c r="BJ174">
        <v>12</v>
      </c>
      <c r="BK174">
        <f t="shared" si="20"/>
        <v>73</v>
      </c>
      <c r="BL174">
        <f t="shared" si="21"/>
        <v>3125</v>
      </c>
      <c r="BM174">
        <f t="shared" si="22"/>
        <v>12</v>
      </c>
      <c r="BN174">
        <f t="shared" si="23"/>
        <v>0</v>
      </c>
      <c r="BO174">
        <f t="shared" si="24"/>
        <v>0</v>
      </c>
      <c r="BP174">
        <f t="shared" si="25"/>
        <v>0</v>
      </c>
      <c r="BQ174" t="s">
        <v>123</v>
      </c>
      <c r="BR174" t="s">
        <v>112</v>
      </c>
      <c r="BS174" s="1">
        <v>31638</v>
      </c>
      <c r="BT174">
        <v>39</v>
      </c>
      <c r="BU174" t="s">
        <v>89</v>
      </c>
      <c r="BV174" t="s">
        <v>89</v>
      </c>
      <c r="BW174">
        <v>19</v>
      </c>
      <c r="BX174">
        <v>1986</v>
      </c>
      <c r="BY174">
        <v>18</v>
      </c>
      <c r="BZ174">
        <f t="shared" si="26"/>
        <v>-7</v>
      </c>
      <c r="CA174">
        <f t="shared" si="27"/>
        <v>1</v>
      </c>
      <c r="CB174" t="b">
        <f t="shared" si="28"/>
        <v>0</v>
      </c>
    </row>
    <row r="175" spans="1:80" x14ac:dyDescent="0.3">
      <c r="A175" t="s">
        <v>1802</v>
      </c>
      <c r="B175" t="s">
        <v>71</v>
      </c>
      <c r="C175" t="s">
        <v>1803</v>
      </c>
      <c r="D175">
        <v>30</v>
      </c>
      <c r="E175">
        <v>34734</v>
      </c>
      <c r="F175" t="s">
        <v>89</v>
      </c>
      <c r="G175" t="s">
        <v>160</v>
      </c>
      <c r="H175" t="s">
        <v>89</v>
      </c>
      <c r="I175" t="s">
        <v>401</v>
      </c>
      <c r="J175" t="s">
        <v>78</v>
      </c>
      <c r="K175" t="s">
        <v>89</v>
      </c>
      <c r="L175" t="s">
        <v>80</v>
      </c>
      <c r="M175">
        <v>17</v>
      </c>
      <c r="N175" t="s">
        <v>164</v>
      </c>
      <c r="O175">
        <v>2012</v>
      </c>
      <c r="P175" t="s">
        <v>1804</v>
      </c>
      <c r="Q175" t="s">
        <v>1805</v>
      </c>
      <c r="R175">
        <v>251680</v>
      </c>
      <c r="S175" t="s">
        <v>1806</v>
      </c>
      <c r="T175" t="s">
        <v>1807</v>
      </c>
      <c r="U175">
        <v>1995</v>
      </c>
      <c r="V175" t="s">
        <v>1808</v>
      </c>
      <c r="W175">
        <v>1.73</v>
      </c>
      <c r="X175" t="s">
        <v>1809</v>
      </c>
      <c r="Y175" t="s">
        <v>123</v>
      </c>
      <c r="Z175" t="s">
        <v>87</v>
      </c>
      <c r="AA175" t="s">
        <v>1810</v>
      </c>
      <c r="AB175">
        <v>45816</v>
      </c>
      <c r="AC175" t="s">
        <v>1811</v>
      </c>
      <c r="AD175" t="s">
        <v>89</v>
      </c>
      <c r="AE175" t="s">
        <v>1812</v>
      </c>
      <c r="AF175">
        <v>17</v>
      </c>
      <c r="AG175" t="s">
        <v>91</v>
      </c>
      <c r="AH175" t="s">
        <v>1813</v>
      </c>
      <c r="AI175">
        <v>19</v>
      </c>
      <c r="AJ175" t="s">
        <v>110</v>
      </c>
      <c r="AK175">
        <v>17</v>
      </c>
      <c r="AL175">
        <v>5</v>
      </c>
      <c r="AM175">
        <v>359</v>
      </c>
      <c r="AN175">
        <v>38</v>
      </c>
      <c r="AO175">
        <v>4</v>
      </c>
      <c r="AP175" t="s">
        <v>93</v>
      </c>
      <c r="AQ175" t="s">
        <v>89</v>
      </c>
      <c r="AR175" t="s">
        <v>89</v>
      </c>
      <c r="AS175" t="s">
        <v>93</v>
      </c>
      <c r="AT175" t="s">
        <v>89</v>
      </c>
      <c r="AU175" t="s">
        <v>89</v>
      </c>
      <c r="AV175" t="s">
        <v>89</v>
      </c>
      <c r="AW175">
        <v>13</v>
      </c>
      <c r="AX175">
        <v>23</v>
      </c>
      <c r="AY175" t="s">
        <v>93</v>
      </c>
      <c r="AZ175">
        <v>0</v>
      </c>
      <c r="BA175">
        <v>0</v>
      </c>
      <c r="BB175">
        <v>0</v>
      </c>
      <c r="BC175">
        <v>0</v>
      </c>
      <c r="BD175">
        <v>280</v>
      </c>
      <c r="BE175">
        <v>15833</v>
      </c>
      <c r="BF175">
        <v>54</v>
      </c>
      <c r="BG175" t="s">
        <v>89</v>
      </c>
      <c r="BH175">
        <v>280</v>
      </c>
      <c r="BI175">
        <v>15833</v>
      </c>
      <c r="BJ175">
        <v>54</v>
      </c>
      <c r="BK175">
        <f t="shared" si="20"/>
        <v>280</v>
      </c>
      <c r="BL175">
        <f t="shared" si="21"/>
        <v>15833</v>
      </c>
      <c r="BM175">
        <f t="shared" si="22"/>
        <v>54</v>
      </c>
      <c r="BN175">
        <f t="shared" si="23"/>
        <v>0</v>
      </c>
      <c r="BO175">
        <f t="shared" si="24"/>
        <v>0</v>
      </c>
      <c r="BP175">
        <f t="shared" si="25"/>
        <v>0</v>
      </c>
      <c r="BQ175" t="s">
        <v>123</v>
      </c>
      <c r="BR175" t="s">
        <v>112</v>
      </c>
      <c r="BS175" t="s">
        <v>89</v>
      </c>
      <c r="BT175">
        <v>31</v>
      </c>
      <c r="BU175" t="s">
        <v>89</v>
      </c>
      <c r="BV175" t="s">
        <v>89</v>
      </c>
      <c r="BW175">
        <v>14</v>
      </c>
      <c r="BX175">
        <v>1995</v>
      </c>
      <c r="BY175">
        <v>13</v>
      </c>
      <c r="BZ175">
        <f t="shared" si="26"/>
        <v>-1</v>
      </c>
      <c r="CA175">
        <f t="shared" si="27"/>
        <v>1</v>
      </c>
      <c r="CB175" t="b">
        <f t="shared" si="28"/>
        <v>0</v>
      </c>
    </row>
    <row r="176" spans="1:80" x14ac:dyDescent="0.3">
      <c r="A176" t="s">
        <v>1814</v>
      </c>
      <c r="B176" t="s">
        <v>71</v>
      </c>
      <c r="C176" t="s">
        <v>1815</v>
      </c>
      <c r="D176">
        <v>39</v>
      </c>
      <c r="E176" s="1">
        <v>31308</v>
      </c>
      <c r="F176" t="s">
        <v>89</v>
      </c>
      <c r="G176" t="s">
        <v>160</v>
      </c>
      <c r="H176" t="s">
        <v>76</v>
      </c>
      <c r="I176" t="s">
        <v>437</v>
      </c>
      <c r="J176" t="s">
        <v>78</v>
      </c>
      <c r="K176" t="s">
        <v>89</v>
      </c>
      <c r="L176" t="s">
        <v>145</v>
      </c>
      <c r="M176">
        <v>18</v>
      </c>
      <c r="N176" t="s">
        <v>81</v>
      </c>
      <c r="O176">
        <v>2004</v>
      </c>
      <c r="P176" t="s">
        <v>1816</v>
      </c>
      <c r="Q176" t="s">
        <v>1817</v>
      </c>
      <c r="R176">
        <v>27488</v>
      </c>
      <c r="S176" t="s">
        <v>1814</v>
      </c>
      <c r="T176" t="s">
        <v>1818</v>
      </c>
      <c r="U176">
        <v>1985</v>
      </c>
      <c r="V176" t="s">
        <v>1819</v>
      </c>
      <c r="W176">
        <v>1.78</v>
      </c>
      <c r="X176" t="s">
        <v>76</v>
      </c>
      <c r="Y176" t="s">
        <v>123</v>
      </c>
      <c r="Z176" t="s">
        <v>87</v>
      </c>
      <c r="AA176" t="s">
        <v>476</v>
      </c>
      <c r="AB176" t="s">
        <v>1820</v>
      </c>
      <c r="AC176" t="s">
        <v>108</v>
      </c>
      <c r="AD176" t="s">
        <v>89</v>
      </c>
      <c r="AE176" s="1">
        <v>38027</v>
      </c>
      <c r="AF176">
        <v>19</v>
      </c>
      <c r="AG176" t="s">
        <v>91</v>
      </c>
      <c r="AH176" t="s">
        <v>727</v>
      </c>
      <c r="AI176">
        <v>20</v>
      </c>
      <c r="AJ176" t="s">
        <v>110</v>
      </c>
      <c r="AK176">
        <v>19</v>
      </c>
      <c r="AL176">
        <v>2</v>
      </c>
      <c r="AM176">
        <v>135</v>
      </c>
      <c r="AN176">
        <v>16</v>
      </c>
      <c r="AO176">
        <v>2</v>
      </c>
      <c r="AP176" t="s">
        <v>93</v>
      </c>
      <c r="AQ176" t="s">
        <v>89</v>
      </c>
      <c r="AR176" t="s">
        <v>89</v>
      </c>
      <c r="AS176" t="s">
        <v>93</v>
      </c>
      <c r="AT176" t="s">
        <v>89</v>
      </c>
      <c r="AU176" t="s">
        <v>89</v>
      </c>
      <c r="AV176" t="s">
        <v>89</v>
      </c>
      <c r="AW176">
        <v>21</v>
      </c>
      <c r="AX176" t="s">
        <v>89</v>
      </c>
      <c r="AY176" t="s">
        <v>93</v>
      </c>
      <c r="AZ176">
        <v>0</v>
      </c>
      <c r="BA176">
        <v>0</v>
      </c>
      <c r="BB176">
        <v>0</v>
      </c>
      <c r="BC176">
        <v>0</v>
      </c>
      <c r="BD176">
        <v>229</v>
      </c>
      <c r="BE176">
        <v>13290</v>
      </c>
      <c r="BF176">
        <v>39</v>
      </c>
      <c r="BG176" t="s">
        <v>89</v>
      </c>
      <c r="BH176">
        <v>229</v>
      </c>
      <c r="BI176">
        <v>13290</v>
      </c>
      <c r="BJ176">
        <v>39</v>
      </c>
      <c r="BK176">
        <f t="shared" si="20"/>
        <v>229</v>
      </c>
      <c r="BL176">
        <f t="shared" si="21"/>
        <v>13290</v>
      </c>
      <c r="BM176">
        <f t="shared" si="22"/>
        <v>39</v>
      </c>
      <c r="BN176">
        <f t="shared" si="23"/>
        <v>0</v>
      </c>
      <c r="BO176">
        <f t="shared" si="24"/>
        <v>0</v>
      </c>
      <c r="BP176">
        <f t="shared" si="25"/>
        <v>0</v>
      </c>
      <c r="BQ176" t="s">
        <v>123</v>
      </c>
      <c r="BR176" t="s">
        <v>112</v>
      </c>
      <c r="BS176" s="1">
        <v>31308</v>
      </c>
      <c r="BT176">
        <v>40</v>
      </c>
      <c r="BU176" t="s">
        <v>89</v>
      </c>
      <c r="BV176" t="s">
        <v>89</v>
      </c>
      <c r="BW176">
        <v>21</v>
      </c>
      <c r="BX176">
        <v>1985</v>
      </c>
      <c r="BY176">
        <v>20</v>
      </c>
      <c r="BZ176">
        <f t="shared" si="26"/>
        <v>0</v>
      </c>
      <c r="CA176">
        <f t="shared" si="27"/>
        <v>1</v>
      </c>
      <c r="CB176" t="b">
        <f t="shared" si="28"/>
        <v>1</v>
      </c>
    </row>
    <row r="177" spans="1:80" x14ac:dyDescent="0.3">
      <c r="A177" t="s">
        <v>1821</v>
      </c>
      <c r="B177" t="s">
        <v>617</v>
      </c>
      <c r="C177" t="s">
        <v>1822</v>
      </c>
      <c r="D177">
        <v>35</v>
      </c>
      <c r="E177" s="1">
        <v>32814</v>
      </c>
      <c r="F177" t="s">
        <v>89</v>
      </c>
      <c r="G177" t="s">
        <v>211</v>
      </c>
      <c r="H177" t="s">
        <v>619</v>
      </c>
      <c r="I177" t="s">
        <v>322</v>
      </c>
      <c r="J177" t="s">
        <v>300</v>
      </c>
      <c r="K177" t="s">
        <v>89</v>
      </c>
      <c r="L177" t="s">
        <v>180</v>
      </c>
      <c r="M177">
        <v>17</v>
      </c>
      <c r="N177" t="s">
        <v>1219</v>
      </c>
      <c r="O177">
        <v>2007</v>
      </c>
      <c r="P177" t="s">
        <v>1823</v>
      </c>
      <c r="Q177" t="s">
        <v>1824</v>
      </c>
      <c r="R177">
        <v>319911</v>
      </c>
      <c r="S177" t="s">
        <v>1825</v>
      </c>
      <c r="T177">
        <v>32550</v>
      </c>
      <c r="U177">
        <v>1989</v>
      </c>
      <c r="V177" t="s">
        <v>1826</v>
      </c>
      <c r="W177">
        <v>1.83</v>
      </c>
      <c r="X177" t="s">
        <v>1827</v>
      </c>
      <c r="Y177" t="s">
        <v>123</v>
      </c>
      <c r="Z177" t="s">
        <v>87</v>
      </c>
      <c r="AA177" t="s">
        <v>1828</v>
      </c>
      <c r="AB177" t="s">
        <v>1262</v>
      </c>
      <c r="AC177" t="s">
        <v>222</v>
      </c>
      <c r="AD177" t="s">
        <v>89</v>
      </c>
      <c r="AE177" s="1">
        <v>39509</v>
      </c>
      <c r="AF177">
        <v>18</v>
      </c>
      <c r="AG177" t="s">
        <v>613</v>
      </c>
      <c r="AH177" s="1">
        <v>40310</v>
      </c>
      <c r="AI177">
        <v>21</v>
      </c>
      <c r="AJ177" t="s">
        <v>110</v>
      </c>
      <c r="AK177">
        <v>18</v>
      </c>
      <c r="AL177">
        <v>2</v>
      </c>
      <c r="AM177">
        <v>29</v>
      </c>
      <c r="AN177">
        <v>5</v>
      </c>
      <c r="AO177">
        <v>2</v>
      </c>
      <c r="AP177" t="s">
        <v>93</v>
      </c>
      <c r="AQ177" t="s">
        <v>89</v>
      </c>
      <c r="AR177" t="s">
        <v>89</v>
      </c>
      <c r="AS177" t="s">
        <v>93</v>
      </c>
      <c r="AT177" t="s">
        <v>89</v>
      </c>
      <c r="AU177" t="s">
        <v>89</v>
      </c>
      <c r="AV177" t="s">
        <v>89</v>
      </c>
      <c r="AW177">
        <v>18</v>
      </c>
      <c r="AX177">
        <v>19</v>
      </c>
      <c r="AY177" t="s">
        <v>111</v>
      </c>
      <c r="AZ177">
        <v>1</v>
      </c>
      <c r="BA177">
        <v>1</v>
      </c>
      <c r="BB177">
        <v>11</v>
      </c>
      <c r="BC177">
        <v>0</v>
      </c>
      <c r="BD177">
        <v>377</v>
      </c>
      <c r="BE177">
        <v>30769</v>
      </c>
      <c r="BF177">
        <v>13</v>
      </c>
      <c r="BG177" t="s">
        <v>89</v>
      </c>
      <c r="BH177">
        <v>378</v>
      </c>
      <c r="BI177">
        <v>30780</v>
      </c>
      <c r="BJ177">
        <v>13</v>
      </c>
      <c r="BK177">
        <f t="shared" si="20"/>
        <v>378</v>
      </c>
      <c r="BL177">
        <f t="shared" si="21"/>
        <v>30780</v>
      </c>
      <c r="BM177">
        <f t="shared" si="22"/>
        <v>13</v>
      </c>
      <c r="BN177">
        <f t="shared" si="23"/>
        <v>0</v>
      </c>
      <c r="BO177">
        <f t="shared" si="24"/>
        <v>0</v>
      </c>
      <c r="BP177">
        <f t="shared" si="25"/>
        <v>0</v>
      </c>
      <c r="BQ177" t="s">
        <v>123</v>
      </c>
      <c r="BR177" t="s">
        <v>112</v>
      </c>
      <c r="BS177" t="s">
        <v>89</v>
      </c>
      <c r="BT177">
        <v>37</v>
      </c>
      <c r="BU177" t="s">
        <v>89</v>
      </c>
      <c r="BV177" t="s">
        <v>89</v>
      </c>
      <c r="BW177">
        <v>19</v>
      </c>
      <c r="BX177">
        <v>1989</v>
      </c>
      <c r="BY177">
        <v>17</v>
      </c>
      <c r="BZ177">
        <f t="shared" si="26"/>
        <v>-1</v>
      </c>
      <c r="CA177">
        <f t="shared" si="27"/>
        <v>2</v>
      </c>
      <c r="CB177" t="b">
        <f t="shared" si="28"/>
        <v>0</v>
      </c>
    </row>
    <row r="178" spans="1:80" x14ac:dyDescent="0.3">
      <c r="A178" t="s">
        <v>1829</v>
      </c>
      <c r="B178" t="s">
        <v>71</v>
      </c>
      <c r="C178" t="s">
        <v>1830</v>
      </c>
      <c r="D178">
        <v>44</v>
      </c>
      <c r="E178">
        <v>29495</v>
      </c>
      <c r="F178" t="s">
        <v>89</v>
      </c>
      <c r="G178" t="s">
        <v>97</v>
      </c>
      <c r="H178" t="s">
        <v>89</v>
      </c>
      <c r="I178" t="s">
        <v>348</v>
      </c>
      <c r="J178" t="s">
        <v>78</v>
      </c>
      <c r="K178" t="s">
        <v>89</v>
      </c>
      <c r="L178" t="s">
        <v>99</v>
      </c>
      <c r="M178">
        <v>20</v>
      </c>
      <c r="N178" t="s">
        <v>1831</v>
      </c>
      <c r="O178">
        <v>2001</v>
      </c>
      <c r="P178" t="s">
        <v>1832</v>
      </c>
      <c r="Q178" t="s">
        <v>1833</v>
      </c>
      <c r="R178">
        <v>51528</v>
      </c>
      <c r="S178" t="s">
        <v>1834</v>
      </c>
      <c r="T178" t="s">
        <v>1835</v>
      </c>
      <c r="U178">
        <v>1980</v>
      </c>
      <c r="V178" t="s">
        <v>1836</v>
      </c>
      <c r="W178">
        <v>1.8</v>
      </c>
      <c r="X178" t="s">
        <v>76</v>
      </c>
      <c r="Y178" t="s">
        <v>136</v>
      </c>
      <c r="Z178" t="s">
        <v>87</v>
      </c>
      <c r="AA178" t="s">
        <v>1837</v>
      </c>
      <c r="AB178">
        <v>43472</v>
      </c>
      <c r="AC178" t="s">
        <v>108</v>
      </c>
      <c r="AD178" t="s">
        <v>89</v>
      </c>
      <c r="AE178" t="s">
        <v>1838</v>
      </c>
      <c r="AF178">
        <v>20</v>
      </c>
      <c r="AG178" t="s">
        <v>91</v>
      </c>
      <c r="AH178" t="s">
        <v>1839</v>
      </c>
      <c r="AI178">
        <v>21</v>
      </c>
      <c r="AJ178" t="s">
        <v>110</v>
      </c>
      <c r="AK178">
        <v>20</v>
      </c>
      <c r="AL178">
        <v>1</v>
      </c>
      <c r="AM178">
        <v>27</v>
      </c>
      <c r="AN178">
        <v>6</v>
      </c>
      <c r="AO178">
        <v>1</v>
      </c>
      <c r="AP178" t="s">
        <v>93</v>
      </c>
      <c r="AQ178" t="s">
        <v>89</v>
      </c>
      <c r="AR178" t="s">
        <v>89</v>
      </c>
      <c r="AS178" t="s">
        <v>111</v>
      </c>
      <c r="AT178">
        <v>43472</v>
      </c>
      <c r="AU178">
        <v>2019</v>
      </c>
      <c r="AV178">
        <v>18</v>
      </c>
      <c r="AW178">
        <v>18</v>
      </c>
      <c r="AX178" t="s">
        <v>89</v>
      </c>
      <c r="AY178" t="s">
        <v>93</v>
      </c>
      <c r="AZ178">
        <v>0</v>
      </c>
      <c r="BA178">
        <v>0</v>
      </c>
      <c r="BB178">
        <v>0</v>
      </c>
      <c r="BC178">
        <v>0</v>
      </c>
      <c r="BD178">
        <v>497</v>
      </c>
      <c r="BE178">
        <v>41396</v>
      </c>
      <c r="BF178">
        <v>8</v>
      </c>
      <c r="BG178">
        <v>39</v>
      </c>
      <c r="BH178">
        <v>497</v>
      </c>
      <c r="BI178">
        <v>41396</v>
      </c>
      <c r="BJ178">
        <v>8</v>
      </c>
      <c r="BK178">
        <f t="shared" si="20"/>
        <v>497</v>
      </c>
      <c r="BL178">
        <f t="shared" si="21"/>
        <v>41396</v>
      </c>
      <c r="BM178">
        <f t="shared" si="22"/>
        <v>8</v>
      </c>
      <c r="BN178">
        <f t="shared" si="23"/>
        <v>0</v>
      </c>
      <c r="BO178">
        <f t="shared" si="24"/>
        <v>0</v>
      </c>
      <c r="BP178">
        <f t="shared" si="25"/>
        <v>0</v>
      </c>
      <c r="BQ178" t="s">
        <v>136</v>
      </c>
      <c r="BR178" t="s">
        <v>140</v>
      </c>
      <c r="BS178" t="s">
        <v>89</v>
      </c>
      <c r="BT178">
        <v>46</v>
      </c>
      <c r="BU178">
        <v>43472</v>
      </c>
      <c r="BV178" t="s">
        <v>89</v>
      </c>
      <c r="BW178">
        <v>19</v>
      </c>
      <c r="BX178">
        <v>1980</v>
      </c>
      <c r="BY178">
        <v>19</v>
      </c>
      <c r="BZ178">
        <f t="shared" si="26"/>
        <v>-1</v>
      </c>
      <c r="CA178">
        <f t="shared" si="27"/>
        <v>0</v>
      </c>
      <c r="CB178" t="b">
        <f t="shared" si="28"/>
        <v>0</v>
      </c>
    </row>
    <row r="179" spans="1:80" x14ac:dyDescent="0.3">
      <c r="A179" t="s">
        <v>1840</v>
      </c>
      <c r="B179" t="s">
        <v>1231</v>
      </c>
      <c r="C179" t="s">
        <v>1841</v>
      </c>
      <c r="D179">
        <v>37</v>
      </c>
      <c r="E179" s="1">
        <v>32096</v>
      </c>
      <c r="F179" t="s">
        <v>89</v>
      </c>
      <c r="G179" t="s">
        <v>143</v>
      </c>
      <c r="H179" t="s">
        <v>1234</v>
      </c>
      <c r="I179" t="s">
        <v>116</v>
      </c>
      <c r="J179" t="s">
        <v>78</v>
      </c>
      <c r="K179" t="s">
        <v>89</v>
      </c>
      <c r="L179" t="s">
        <v>657</v>
      </c>
      <c r="M179">
        <v>15</v>
      </c>
      <c r="N179" t="s">
        <v>1842</v>
      </c>
      <c r="O179">
        <v>2003</v>
      </c>
      <c r="P179" t="s">
        <v>1843</v>
      </c>
      <c r="Q179" t="s">
        <v>1844</v>
      </c>
      <c r="R179">
        <v>15568</v>
      </c>
      <c r="S179" t="s">
        <v>1840</v>
      </c>
      <c r="T179" t="s">
        <v>1845</v>
      </c>
      <c r="U179">
        <v>1987</v>
      </c>
      <c r="V179" t="s">
        <v>1846</v>
      </c>
      <c r="W179">
        <v>1.75</v>
      </c>
      <c r="X179" t="s">
        <v>1234</v>
      </c>
      <c r="Y179" t="s">
        <v>391</v>
      </c>
      <c r="Z179" t="s">
        <v>87</v>
      </c>
      <c r="AA179" t="s">
        <v>1847</v>
      </c>
      <c r="AB179" s="1">
        <v>45969</v>
      </c>
      <c r="AC179" t="s">
        <v>170</v>
      </c>
      <c r="AD179" t="s">
        <v>89</v>
      </c>
      <c r="AE179">
        <v>38264</v>
      </c>
      <c r="AF179">
        <v>16</v>
      </c>
      <c r="AG179" t="s">
        <v>613</v>
      </c>
      <c r="AH179">
        <v>40735</v>
      </c>
      <c r="AI179">
        <v>23</v>
      </c>
      <c r="AJ179" t="s">
        <v>110</v>
      </c>
      <c r="AK179">
        <v>16</v>
      </c>
      <c r="AL179">
        <v>7</v>
      </c>
      <c r="AM179">
        <v>606</v>
      </c>
      <c r="AN179">
        <v>82</v>
      </c>
      <c r="AO179">
        <v>5</v>
      </c>
      <c r="AP179" t="s">
        <v>93</v>
      </c>
      <c r="AQ179" t="s">
        <v>89</v>
      </c>
      <c r="AR179" t="s">
        <v>89</v>
      </c>
      <c r="AS179" t="s">
        <v>93</v>
      </c>
      <c r="AT179" t="s">
        <v>89</v>
      </c>
      <c r="AU179" t="s">
        <v>89</v>
      </c>
      <c r="AV179" t="s">
        <v>89</v>
      </c>
      <c r="AW179">
        <v>22</v>
      </c>
      <c r="AX179">
        <v>16</v>
      </c>
      <c r="AY179" t="s">
        <v>93</v>
      </c>
      <c r="AZ179">
        <v>0</v>
      </c>
      <c r="BA179">
        <v>0</v>
      </c>
      <c r="BB179">
        <v>0</v>
      </c>
      <c r="BC179">
        <v>0</v>
      </c>
      <c r="BD179">
        <v>437</v>
      </c>
      <c r="BE179">
        <v>29072</v>
      </c>
      <c r="BF179">
        <v>62</v>
      </c>
      <c r="BG179" t="s">
        <v>89</v>
      </c>
      <c r="BH179">
        <v>437</v>
      </c>
      <c r="BI179">
        <v>29072</v>
      </c>
      <c r="BJ179">
        <v>62</v>
      </c>
      <c r="BK179">
        <f t="shared" si="20"/>
        <v>437</v>
      </c>
      <c r="BL179">
        <f t="shared" si="21"/>
        <v>29072</v>
      </c>
      <c r="BM179">
        <f t="shared" si="22"/>
        <v>62</v>
      </c>
      <c r="BN179">
        <f t="shared" si="23"/>
        <v>0</v>
      </c>
      <c r="BO179">
        <f t="shared" si="24"/>
        <v>0</v>
      </c>
      <c r="BP179">
        <f t="shared" si="25"/>
        <v>0</v>
      </c>
      <c r="BQ179" t="s">
        <v>391</v>
      </c>
      <c r="BR179" t="s">
        <v>112</v>
      </c>
      <c r="BS179" s="1">
        <v>32096</v>
      </c>
      <c r="BT179">
        <v>38</v>
      </c>
      <c r="BU179" t="s">
        <v>89</v>
      </c>
      <c r="BV179" t="s">
        <v>89</v>
      </c>
      <c r="BW179">
        <v>22</v>
      </c>
      <c r="BX179">
        <v>1987</v>
      </c>
      <c r="BY179">
        <v>21</v>
      </c>
      <c r="BZ179">
        <f t="shared" si="26"/>
        <v>0</v>
      </c>
      <c r="CA179">
        <f t="shared" si="27"/>
        <v>1</v>
      </c>
      <c r="CB179" t="b">
        <f t="shared" si="28"/>
        <v>1</v>
      </c>
    </row>
    <row r="180" spans="1:80" x14ac:dyDescent="0.3">
      <c r="A180" t="s">
        <v>1848</v>
      </c>
      <c r="B180" t="s">
        <v>71</v>
      </c>
      <c r="C180" t="s">
        <v>1849</v>
      </c>
      <c r="D180">
        <v>41</v>
      </c>
      <c r="E180">
        <v>30845</v>
      </c>
      <c r="F180" t="s">
        <v>89</v>
      </c>
      <c r="G180" t="s">
        <v>176</v>
      </c>
      <c r="H180" t="s">
        <v>76</v>
      </c>
      <c r="I180" t="s">
        <v>288</v>
      </c>
      <c r="J180" t="s">
        <v>300</v>
      </c>
      <c r="K180" t="s">
        <v>89</v>
      </c>
      <c r="L180" t="s">
        <v>163</v>
      </c>
      <c r="M180">
        <v>22</v>
      </c>
      <c r="N180" t="s">
        <v>763</v>
      </c>
      <c r="O180">
        <v>2006</v>
      </c>
      <c r="P180" t="s">
        <v>1850</v>
      </c>
      <c r="Q180" t="s">
        <v>1851</v>
      </c>
      <c r="R180">
        <v>44412</v>
      </c>
      <c r="S180" t="s">
        <v>1848</v>
      </c>
      <c r="T180">
        <v>31022</v>
      </c>
      <c r="U180">
        <v>1984</v>
      </c>
      <c r="V180" t="s">
        <v>1852</v>
      </c>
      <c r="W180">
        <v>1.84</v>
      </c>
      <c r="X180" t="s">
        <v>76</v>
      </c>
      <c r="Y180" t="s">
        <v>259</v>
      </c>
      <c r="Z180" t="s">
        <v>152</v>
      </c>
      <c r="AA180" t="s">
        <v>763</v>
      </c>
      <c r="AB180" t="s">
        <v>1209</v>
      </c>
      <c r="AC180" t="s">
        <v>108</v>
      </c>
      <c r="AD180" t="s">
        <v>89</v>
      </c>
      <c r="AE180" s="1">
        <v>38727</v>
      </c>
      <c r="AF180">
        <v>22</v>
      </c>
      <c r="AG180" t="s">
        <v>91</v>
      </c>
      <c r="AH180" t="s">
        <v>927</v>
      </c>
      <c r="AI180">
        <v>28</v>
      </c>
      <c r="AJ180" t="s">
        <v>110</v>
      </c>
      <c r="AK180">
        <v>22</v>
      </c>
      <c r="AL180">
        <v>7</v>
      </c>
      <c r="AM180">
        <v>1234</v>
      </c>
      <c r="AN180">
        <v>167</v>
      </c>
      <c r="AO180">
        <v>5</v>
      </c>
      <c r="AP180" t="s">
        <v>93</v>
      </c>
      <c r="AQ180" t="s">
        <v>89</v>
      </c>
      <c r="AR180" t="s">
        <v>89</v>
      </c>
      <c r="AS180" t="s">
        <v>111</v>
      </c>
      <c r="AT180" t="s">
        <v>1209</v>
      </c>
      <c r="AU180">
        <v>2020</v>
      </c>
      <c r="AV180">
        <v>14</v>
      </c>
      <c r="AW180">
        <v>14</v>
      </c>
      <c r="AX180" t="s">
        <v>89</v>
      </c>
      <c r="AY180" t="s">
        <v>111</v>
      </c>
      <c r="AZ180">
        <v>5</v>
      </c>
      <c r="BA180">
        <v>6</v>
      </c>
      <c r="BB180">
        <v>373</v>
      </c>
      <c r="BC180">
        <v>0</v>
      </c>
      <c r="BD180">
        <v>396</v>
      </c>
      <c r="BE180">
        <v>31495</v>
      </c>
      <c r="BF180">
        <v>30</v>
      </c>
      <c r="BG180">
        <v>36</v>
      </c>
      <c r="BH180">
        <v>402</v>
      </c>
      <c r="BI180">
        <v>31868</v>
      </c>
      <c r="BJ180">
        <v>30</v>
      </c>
      <c r="BK180">
        <f t="shared" si="20"/>
        <v>402</v>
      </c>
      <c r="BL180">
        <f t="shared" si="21"/>
        <v>31868</v>
      </c>
      <c r="BM180">
        <f t="shared" si="22"/>
        <v>30</v>
      </c>
      <c r="BN180">
        <f t="shared" si="23"/>
        <v>0</v>
      </c>
      <c r="BO180">
        <f t="shared" si="24"/>
        <v>0</v>
      </c>
      <c r="BP180">
        <f t="shared" si="25"/>
        <v>0</v>
      </c>
      <c r="BQ180" t="s">
        <v>259</v>
      </c>
      <c r="BR180" t="s">
        <v>94</v>
      </c>
      <c r="BS180" t="s">
        <v>89</v>
      </c>
      <c r="BT180">
        <v>42</v>
      </c>
      <c r="BU180" t="s">
        <v>1209</v>
      </c>
      <c r="BV180" s="1">
        <v>44032</v>
      </c>
      <c r="BW180">
        <v>14</v>
      </c>
      <c r="BX180">
        <v>1984</v>
      </c>
      <c r="BY180">
        <v>14</v>
      </c>
      <c r="BZ180">
        <f t="shared" si="26"/>
        <v>0</v>
      </c>
      <c r="CA180">
        <f t="shared" si="27"/>
        <v>0</v>
      </c>
      <c r="CB180" t="b">
        <f t="shared" si="28"/>
        <v>1</v>
      </c>
    </row>
    <row r="181" spans="1:80" x14ac:dyDescent="0.3">
      <c r="A181" t="s">
        <v>1853</v>
      </c>
      <c r="B181" t="s">
        <v>156</v>
      </c>
      <c r="C181" t="s">
        <v>1854</v>
      </c>
      <c r="D181">
        <v>32</v>
      </c>
      <c r="E181" t="s">
        <v>1855</v>
      </c>
      <c r="F181" t="s">
        <v>1856</v>
      </c>
      <c r="G181" t="s">
        <v>75</v>
      </c>
      <c r="H181" t="s">
        <v>177</v>
      </c>
      <c r="I181" t="s">
        <v>288</v>
      </c>
      <c r="J181" t="s">
        <v>78</v>
      </c>
      <c r="K181" t="s">
        <v>1857</v>
      </c>
      <c r="L181" t="s">
        <v>762</v>
      </c>
      <c r="M181">
        <v>21</v>
      </c>
      <c r="N181" t="s">
        <v>1858</v>
      </c>
      <c r="O181">
        <v>2014</v>
      </c>
      <c r="P181" t="s">
        <v>1859</v>
      </c>
      <c r="Q181" t="s">
        <v>1860</v>
      </c>
      <c r="R181">
        <v>115507</v>
      </c>
      <c r="S181" t="s">
        <v>1853</v>
      </c>
      <c r="T181" s="1">
        <v>34004</v>
      </c>
      <c r="U181">
        <v>1993</v>
      </c>
      <c r="V181" t="s">
        <v>1861</v>
      </c>
      <c r="W181">
        <v>1.82</v>
      </c>
      <c r="X181" t="s">
        <v>169</v>
      </c>
      <c r="Y181" t="s">
        <v>259</v>
      </c>
      <c r="Z181" t="s">
        <v>87</v>
      </c>
      <c r="AA181" t="s">
        <v>1857</v>
      </c>
      <c r="AB181">
        <v>45536</v>
      </c>
      <c r="AC181" t="s">
        <v>222</v>
      </c>
      <c r="AD181" t="s">
        <v>89</v>
      </c>
      <c r="AE181" t="s">
        <v>1862</v>
      </c>
      <c r="AF181">
        <v>16</v>
      </c>
      <c r="AG181" t="s">
        <v>171</v>
      </c>
      <c r="AH181" t="s">
        <v>1863</v>
      </c>
      <c r="AI181">
        <v>22</v>
      </c>
      <c r="AJ181" t="s">
        <v>855</v>
      </c>
      <c r="AK181">
        <v>16</v>
      </c>
      <c r="AL181">
        <v>15</v>
      </c>
      <c r="AM181">
        <v>616</v>
      </c>
      <c r="AN181">
        <v>99</v>
      </c>
      <c r="AO181">
        <v>10</v>
      </c>
      <c r="AP181" t="s">
        <v>93</v>
      </c>
      <c r="AQ181" t="s">
        <v>89</v>
      </c>
      <c r="AR181" t="s">
        <v>89</v>
      </c>
      <c r="AS181" t="s">
        <v>93</v>
      </c>
      <c r="AT181" t="s">
        <v>89</v>
      </c>
      <c r="AU181" t="s">
        <v>89</v>
      </c>
      <c r="AV181" t="s">
        <v>89</v>
      </c>
      <c r="AW181">
        <v>11</v>
      </c>
      <c r="AX181">
        <v>36</v>
      </c>
      <c r="AY181" t="s">
        <v>93</v>
      </c>
      <c r="AZ181">
        <v>0</v>
      </c>
      <c r="BA181">
        <v>0</v>
      </c>
      <c r="BB181">
        <v>0</v>
      </c>
      <c r="BC181">
        <v>0</v>
      </c>
      <c r="BD181">
        <v>232</v>
      </c>
      <c r="BE181">
        <v>14488</v>
      </c>
      <c r="BF181">
        <v>14</v>
      </c>
      <c r="BG181" t="s">
        <v>89</v>
      </c>
      <c r="BH181">
        <v>232</v>
      </c>
      <c r="BI181">
        <v>14488</v>
      </c>
      <c r="BJ181">
        <v>14</v>
      </c>
      <c r="BK181">
        <f t="shared" si="20"/>
        <v>232</v>
      </c>
      <c r="BL181">
        <f t="shared" si="21"/>
        <v>14488</v>
      </c>
      <c r="BM181">
        <f t="shared" si="22"/>
        <v>14</v>
      </c>
      <c r="BN181">
        <f t="shared" si="23"/>
        <v>0</v>
      </c>
      <c r="BO181">
        <f t="shared" si="24"/>
        <v>0</v>
      </c>
      <c r="BP181">
        <f t="shared" si="25"/>
        <v>0</v>
      </c>
      <c r="BQ181" t="s">
        <v>259</v>
      </c>
      <c r="BR181" t="s">
        <v>94</v>
      </c>
      <c r="BS181" s="1">
        <v>34061</v>
      </c>
      <c r="BT181">
        <v>32</v>
      </c>
      <c r="BU181" t="s">
        <v>89</v>
      </c>
      <c r="BV181" t="s">
        <v>89</v>
      </c>
      <c r="BW181">
        <v>16</v>
      </c>
      <c r="BX181">
        <v>1993</v>
      </c>
      <c r="BY181">
        <v>16</v>
      </c>
      <c r="BZ181">
        <f t="shared" si="26"/>
        <v>-5</v>
      </c>
      <c r="CA181">
        <f t="shared" si="27"/>
        <v>0</v>
      </c>
      <c r="CB181" t="b">
        <f t="shared" si="28"/>
        <v>0</v>
      </c>
    </row>
    <row r="182" spans="1:80" x14ac:dyDescent="0.3">
      <c r="A182" t="s">
        <v>1864</v>
      </c>
      <c r="B182" t="s">
        <v>1089</v>
      </c>
      <c r="C182" t="s">
        <v>1865</v>
      </c>
      <c r="D182">
        <v>31</v>
      </c>
      <c r="E182">
        <v>34470</v>
      </c>
      <c r="F182" t="s">
        <v>1866</v>
      </c>
      <c r="G182" t="s">
        <v>385</v>
      </c>
      <c r="H182" t="s">
        <v>1093</v>
      </c>
      <c r="I182" t="s">
        <v>161</v>
      </c>
      <c r="J182" t="s">
        <v>89</v>
      </c>
      <c r="K182" t="s">
        <v>1867</v>
      </c>
      <c r="L182" t="s">
        <v>80</v>
      </c>
      <c r="M182">
        <v>18</v>
      </c>
      <c r="N182" t="s">
        <v>304</v>
      </c>
      <c r="O182">
        <v>2012</v>
      </c>
      <c r="P182" t="s">
        <v>1868</v>
      </c>
      <c r="Q182" t="s">
        <v>1869</v>
      </c>
      <c r="R182">
        <v>160217</v>
      </c>
      <c r="S182" t="s">
        <v>1864</v>
      </c>
      <c r="T182" t="s">
        <v>1870</v>
      </c>
      <c r="U182">
        <v>1994</v>
      </c>
      <c r="V182" t="s">
        <v>1871</v>
      </c>
      <c r="W182">
        <v>1.67</v>
      </c>
      <c r="X182" t="s">
        <v>1872</v>
      </c>
      <c r="Y182" t="s">
        <v>106</v>
      </c>
      <c r="Z182" t="s">
        <v>87</v>
      </c>
      <c r="AA182" t="s">
        <v>1867</v>
      </c>
      <c r="AB182" t="s">
        <v>1873</v>
      </c>
      <c r="AC182" t="s">
        <v>188</v>
      </c>
      <c r="AD182" t="s">
        <v>223</v>
      </c>
      <c r="AE182" t="s">
        <v>1874</v>
      </c>
      <c r="AF182">
        <v>16</v>
      </c>
      <c r="AG182" t="s">
        <v>985</v>
      </c>
      <c r="AH182">
        <v>41641</v>
      </c>
      <c r="AI182">
        <v>19</v>
      </c>
      <c r="AJ182" t="s">
        <v>110</v>
      </c>
      <c r="AK182">
        <v>16</v>
      </c>
      <c r="AL182">
        <v>1</v>
      </c>
      <c r="AM182">
        <v>33</v>
      </c>
      <c r="AN182">
        <v>4</v>
      </c>
      <c r="AO182">
        <v>1</v>
      </c>
      <c r="AP182" t="s">
        <v>93</v>
      </c>
      <c r="AQ182" t="s">
        <v>89</v>
      </c>
      <c r="AR182" t="s">
        <v>89</v>
      </c>
      <c r="AS182" t="s">
        <v>93</v>
      </c>
      <c r="AT182" t="s">
        <v>89</v>
      </c>
      <c r="AU182" t="s">
        <v>89</v>
      </c>
      <c r="AV182" t="s">
        <v>89</v>
      </c>
      <c r="AW182">
        <v>13</v>
      </c>
      <c r="AX182">
        <v>10</v>
      </c>
      <c r="AY182" t="s">
        <v>111</v>
      </c>
      <c r="AZ182">
        <v>1</v>
      </c>
      <c r="BA182">
        <v>2</v>
      </c>
      <c r="BB182">
        <v>49</v>
      </c>
      <c r="BC182">
        <v>0</v>
      </c>
      <c r="BD182">
        <v>293</v>
      </c>
      <c r="BE182">
        <v>19834</v>
      </c>
      <c r="BF182">
        <v>27</v>
      </c>
      <c r="BG182" t="s">
        <v>89</v>
      </c>
      <c r="BH182">
        <v>295</v>
      </c>
      <c r="BI182">
        <v>19883</v>
      </c>
      <c r="BJ182">
        <v>27</v>
      </c>
      <c r="BK182">
        <f t="shared" si="20"/>
        <v>295</v>
      </c>
      <c r="BL182">
        <f t="shared" si="21"/>
        <v>19883</v>
      </c>
      <c r="BM182">
        <f t="shared" si="22"/>
        <v>27</v>
      </c>
      <c r="BN182">
        <f t="shared" si="23"/>
        <v>0</v>
      </c>
      <c r="BO182">
        <f t="shared" si="24"/>
        <v>0</v>
      </c>
      <c r="BP182">
        <f t="shared" si="25"/>
        <v>0</v>
      </c>
      <c r="BQ182" t="s">
        <v>106</v>
      </c>
      <c r="BR182" t="s">
        <v>112</v>
      </c>
      <c r="BS182" s="1">
        <v>34470</v>
      </c>
      <c r="BT182">
        <v>31</v>
      </c>
      <c r="BU182" t="s">
        <v>89</v>
      </c>
      <c r="BV182" t="s">
        <v>89</v>
      </c>
      <c r="BW182">
        <v>15</v>
      </c>
      <c r="BX182">
        <v>1994</v>
      </c>
      <c r="BY182">
        <v>15</v>
      </c>
      <c r="BZ182">
        <f t="shared" si="26"/>
        <v>-2</v>
      </c>
      <c r="CA182">
        <f t="shared" si="27"/>
        <v>0</v>
      </c>
      <c r="CB182" t="b">
        <f t="shared" si="28"/>
        <v>0</v>
      </c>
    </row>
    <row r="183" spans="1:80" x14ac:dyDescent="0.3">
      <c r="A183" t="s">
        <v>1875</v>
      </c>
      <c r="B183" t="s">
        <v>71</v>
      </c>
      <c r="C183" t="s">
        <v>1876</v>
      </c>
      <c r="D183">
        <v>53</v>
      </c>
      <c r="E183" s="1">
        <v>26178</v>
      </c>
      <c r="F183" t="s">
        <v>89</v>
      </c>
      <c r="G183" t="s">
        <v>226</v>
      </c>
      <c r="H183" t="s">
        <v>76</v>
      </c>
      <c r="I183" t="s">
        <v>178</v>
      </c>
      <c r="J183" t="s">
        <v>89</v>
      </c>
      <c r="K183" t="s">
        <v>89</v>
      </c>
      <c r="L183" t="s">
        <v>1877</v>
      </c>
      <c r="M183">
        <v>19</v>
      </c>
      <c r="N183" t="s">
        <v>100</v>
      </c>
      <c r="O183">
        <v>1991</v>
      </c>
      <c r="P183" t="s">
        <v>1878</v>
      </c>
      <c r="Q183" t="s">
        <v>1879</v>
      </c>
      <c r="R183">
        <v>7510</v>
      </c>
      <c r="S183" t="s">
        <v>1875</v>
      </c>
      <c r="T183">
        <v>25973</v>
      </c>
      <c r="U183">
        <v>1971</v>
      </c>
      <c r="V183" t="s">
        <v>1880</v>
      </c>
      <c r="W183">
        <v>1.85</v>
      </c>
      <c r="X183" t="s">
        <v>76</v>
      </c>
      <c r="Y183" t="s">
        <v>186</v>
      </c>
      <c r="Z183" t="s">
        <v>87</v>
      </c>
      <c r="AA183" t="s">
        <v>763</v>
      </c>
      <c r="AB183" s="1">
        <v>40915</v>
      </c>
      <c r="AC183" t="s">
        <v>108</v>
      </c>
      <c r="AD183" t="s">
        <v>89</v>
      </c>
      <c r="AE183" t="s">
        <v>1881</v>
      </c>
      <c r="AF183">
        <v>20</v>
      </c>
      <c r="AG183" t="s">
        <v>91</v>
      </c>
      <c r="AH183" t="s">
        <v>92</v>
      </c>
      <c r="AI183" t="s">
        <v>89</v>
      </c>
      <c r="AJ183" t="s">
        <v>92</v>
      </c>
      <c r="AK183">
        <v>20</v>
      </c>
      <c r="AL183">
        <v>1</v>
      </c>
      <c r="AM183">
        <v>39</v>
      </c>
      <c r="AN183">
        <v>7</v>
      </c>
      <c r="AO183">
        <v>1</v>
      </c>
      <c r="AP183" t="s">
        <v>93</v>
      </c>
      <c r="AQ183" t="s">
        <v>89</v>
      </c>
      <c r="AR183" t="s">
        <v>89</v>
      </c>
      <c r="AS183" t="s">
        <v>111</v>
      </c>
      <c r="AT183" s="1">
        <v>40915</v>
      </c>
      <c r="AU183">
        <v>2012</v>
      </c>
      <c r="AV183">
        <v>21</v>
      </c>
      <c r="AW183">
        <v>21</v>
      </c>
      <c r="AX183" t="s">
        <v>89</v>
      </c>
      <c r="AY183" t="s">
        <v>93</v>
      </c>
      <c r="AZ183">
        <v>0</v>
      </c>
      <c r="BA183">
        <v>0</v>
      </c>
      <c r="BB183">
        <v>0</v>
      </c>
      <c r="BC183">
        <v>0</v>
      </c>
      <c r="BD183">
        <v>435</v>
      </c>
      <c r="BE183">
        <v>38415</v>
      </c>
      <c r="BF183">
        <v>0</v>
      </c>
      <c r="BG183">
        <v>41</v>
      </c>
      <c r="BH183">
        <v>435</v>
      </c>
      <c r="BI183">
        <v>38415</v>
      </c>
      <c r="BJ183">
        <v>0</v>
      </c>
      <c r="BK183">
        <f t="shared" si="20"/>
        <v>435</v>
      </c>
      <c r="BL183">
        <f t="shared" si="21"/>
        <v>38415</v>
      </c>
      <c r="BM183">
        <f t="shared" si="22"/>
        <v>0</v>
      </c>
      <c r="BN183">
        <f t="shared" si="23"/>
        <v>0</v>
      </c>
      <c r="BO183">
        <f t="shared" si="24"/>
        <v>0</v>
      </c>
      <c r="BP183">
        <f t="shared" si="25"/>
        <v>0</v>
      </c>
      <c r="BQ183" t="s">
        <v>186</v>
      </c>
      <c r="BR183" t="s">
        <v>186</v>
      </c>
      <c r="BS183" t="s">
        <v>89</v>
      </c>
      <c r="BT183">
        <v>55</v>
      </c>
      <c r="BU183" s="1">
        <v>40915</v>
      </c>
      <c r="BV183" s="1">
        <v>41091</v>
      </c>
      <c r="BW183">
        <v>21</v>
      </c>
      <c r="BX183">
        <v>1971</v>
      </c>
      <c r="BY183">
        <v>21</v>
      </c>
      <c r="BZ183">
        <f t="shared" si="26"/>
        <v>0</v>
      </c>
      <c r="CA183">
        <f t="shared" si="27"/>
        <v>0</v>
      </c>
      <c r="CB183" t="b">
        <f t="shared" si="28"/>
        <v>1</v>
      </c>
    </row>
    <row r="184" spans="1:80" x14ac:dyDescent="0.3">
      <c r="A184" t="s">
        <v>1882</v>
      </c>
      <c r="B184" t="s">
        <v>71</v>
      </c>
      <c r="C184" t="s">
        <v>1883</v>
      </c>
      <c r="D184">
        <v>35</v>
      </c>
      <c r="E184" s="1">
        <v>32934</v>
      </c>
      <c r="F184" t="s">
        <v>89</v>
      </c>
      <c r="G184" t="s">
        <v>518</v>
      </c>
      <c r="H184" t="s">
        <v>89</v>
      </c>
      <c r="I184" t="s">
        <v>750</v>
      </c>
      <c r="J184" t="s">
        <v>78</v>
      </c>
      <c r="K184" t="s">
        <v>89</v>
      </c>
      <c r="L184" t="s">
        <v>228</v>
      </c>
      <c r="M184">
        <v>20</v>
      </c>
      <c r="N184" t="s">
        <v>1047</v>
      </c>
      <c r="O184">
        <v>2010</v>
      </c>
      <c r="P184" t="s">
        <v>1884</v>
      </c>
      <c r="Q184" t="s">
        <v>1885</v>
      </c>
      <c r="R184">
        <v>150936</v>
      </c>
      <c r="S184" t="s">
        <v>1882</v>
      </c>
      <c r="T184" t="s">
        <v>1886</v>
      </c>
      <c r="U184">
        <v>1990</v>
      </c>
      <c r="V184" t="s">
        <v>1887</v>
      </c>
      <c r="W184">
        <v>1.72</v>
      </c>
      <c r="X184" t="s">
        <v>76</v>
      </c>
      <c r="Y184" t="s">
        <v>86</v>
      </c>
      <c r="Z184" t="s">
        <v>89</v>
      </c>
      <c r="AA184" t="s">
        <v>476</v>
      </c>
      <c r="AB184" s="1">
        <v>45664</v>
      </c>
      <c r="AC184" t="s">
        <v>108</v>
      </c>
      <c r="AD184" t="s">
        <v>89</v>
      </c>
      <c r="AE184" s="1">
        <v>40605</v>
      </c>
      <c r="AF184">
        <v>21</v>
      </c>
      <c r="AG184" t="s">
        <v>91</v>
      </c>
      <c r="AH184" t="s">
        <v>92</v>
      </c>
      <c r="AI184" t="s">
        <v>89</v>
      </c>
      <c r="AJ184" t="s">
        <v>92</v>
      </c>
      <c r="AK184">
        <v>21</v>
      </c>
      <c r="AL184" t="s">
        <v>89</v>
      </c>
      <c r="AM184" t="s">
        <v>89</v>
      </c>
      <c r="AN184" t="s">
        <v>89</v>
      </c>
      <c r="AO184">
        <v>0</v>
      </c>
      <c r="AP184" t="s">
        <v>93</v>
      </c>
      <c r="AQ184" t="s">
        <v>89</v>
      </c>
      <c r="AR184" t="s">
        <v>89</v>
      </c>
      <c r="AS184" t="s">
        <v>93</v>
      </c>
      <c r="AT184" t="s">
        <v>89</v>
      </c>
      <c r="AU184" t="s">
        <v>89</v>
      </c>
      <c r="AV184" t="s">
        <v>89</v>
      </c>
      <c r="AW184">
        <v>15</v>
      </c>
      <c r="AX184" t="s">
        <v>89</v>
      </c>
      <c r="AY184" t="s">
        <v>93</v>
      </c>
      <c r="AZ184">
        <v>0</v>
      </c>
      <c r="BA184">
        <v>0</v>
      </c>
      <c r="BB184">
        <v>0</v>
      </c>
      <c r="BC184">
        <v>0</v>
      </c>
      <c r="BD184">
        <v>12</v>
      </c>
      <c r="BE184">
        <v>475</v>
      </c>
      <c r="BF184">
        <v>1</v>
      </c>
      <c r="BG184" t="s">
        <v>89</v>
      </c>
      <c r="BH184">
        <v>12</v>
      </c>
      <c r="BI184">
        <v>475</v>
      </c>
      <c r="BJ184">
        <v>1</v>
      </c>
      <c r="BK184">
        <f t="shared" si="20"/>
        <v>12</v>
      </c>
      <c r="BL184">
        <f t="shared" si="21"/>
        <v>475</v>
      </c>
      <c r="BM184">
        <f t="shared" si="22"/>
        <v>1</v>
      </c>
      <c r="BN184">
        <f t="shared" si="23"/>
        <v>0</v>
      </c>
      <c r="BO184">
        <f t="shared" si="24"/>
        <v>0</v>
      </c>
      <c r="BP184">
        <f t="shared" si="25"/>
        <v>0</v>
      </c>
      <c r="BQ184" t="s">
        <v>86</v>
      </c>
      <c r="BR184" t="s">
        <v>94</v>
      </c>
      <c r="BS184" t="s">
        <v>89</v>
      </c>
      <c r="BT184">
        <v>36</v>
      </c>
      <c r="BU184" t="s">
        <v>89</v>
      </c>
      <c r="BV184" t="s">
        <v>89</v>
      </c>
      <c r="BW184">
        <v>15</v>
      </c>
      <c r="BX184">
        <v>1990</v>
      </c>
      <c r="BY184">
        <v>14</v>
      </c>
      <c r="BZ184">
        <f t="shared" si="26"/>
        <v>0</v>
      </c>
      <c r="CA184">
        <f t="shared" si="27"/>
        <v>1</v>
      </c>
      <c r="CB184" t="b">
        <f t="shared" si="28"/>
        <v>1</v>
      </c>
    </row>
    <row r="185" spans="1:80" x14ac:dyDescent="0.3">
      <c r="A185" t="s">
        <v>1882</v>
      </c>
      <c r="B185" t="s">
        <v>89</v>
      </c>
      <c r="C185" t="s">
        <v>1888</v>
      </c>
      <c r="D185">
        <v>35</v>
      </c>
      <c r="E185" s="1">
        <v>32838</v>
      </c>
      <c r="F185" t="s">
        <v>89</v>
      </c>
      <c r="G185" t="s">
        <v>819</v>
      </c>
      <c r="H185" t="s">
        <v>76</v>
      </c>
      <c r="I185" t="s">
        <v>1331</v>
      </c>
      <c r="J185" t="s">
        <v>78</v>
      </c>
      <c r="K185" t="s">
        <v>89</v>
      </c>
      <c r="L185" t="s">
        <v>180</v>
      </c>
      <c r="M185">
        <v>17</v>
      </c>
      <c r="N185" t="s">
        <v>892</v>
      </c>
      <c r="O185">
        <v>2007</v>
      </c>
      <c r="P185" t="s">
        <v>1889</v>
      </c>
      <c r="Q185" t="s">
        <v>1890</v>
      </c>
      <c r="R185">
        <v>67089</v>
      </c>
      <c r="S185" t="s">
        <v>1891</v>
      </c>
      <c r="T185" t="s">
        <v>1892</v>
      </c>
      <c r="U185">
        <v>1989</v>
      </c>
      <c r="V185" t="s">
        <v>1893</v>
      </c>
      <c r="W185">
        <v>1.86</v>
      </c>
      <c r="X185" t="s">
        <v>76</v>
      </c>
      <c r="Y185" t="s">
        <v>235</v>
      </c>
      <c r="Z185" t="s">
        <v>87</v>
      </c>
      <c r="AA185" t="s">
        <v>273</v>
      </c>
      <c r="AB185" s="1">
        <v>45056</v>
      </c>
      <c r="AC185" t="s">
        <v>108</v>
      </c>
      <c r="AD185" t="s">
        <v>89</v>
      </c>
      <c r="AE185">
        <v>40361</v>
      </c>
      <c r="AF185">
        <v>20</v>
      </c>
      <c r="AG185" t="s">
        <v>91</v>
      </c>
      <c r="AH185" t="s">
        <v>1894</v>
      </c>
      <c r="AI185">
        <v>18</v>
      </c>
      <c r="AJ185" t="s">
        <v>110</v>
      </c>
      <c r="AK185">
        <v>18</v>
      </c>
      <c r="AL185">
        <v>7</v>
      </c>
      <c r="AM185">
        <v>488</v>
      </c>
      <c r="AN185">
        <v>59</v>
      </c>
      <c r="AO185">
        <v>6</v>
      </c>
      <c r="AP185" t="s">
        <v>93</v>
      </c>
      <c r="AQ185" t="s">
        <v>89</v>
      </c>
      <c r="AR185" t="s">
        <v>89</v>
      </c>
      <c r="AS185" t="s">
        <v>111</v>
      </c>
      <c r="AT185">
        <v>45056</v>
      </c>
      <c r="AU185">
        <v>2023</v>
      </c>
      <c r="AV185">
        <v>16</v>
      </c>
      <c r="AW185">
        <v>16</v>
      </c>
      <c r="AX185" t="s">
        <v>89</v>
      </c>
      <c r="AY185" t="s">
        <v>93</v>
      </c>
      <c r="AZ185">
        <v>0</v>
      </c>
      <c r="BA185">
        <v>0</v>
      </c>
      <c r="BB185">
        <v>0</v>
      </c>
      <c r="BC185">
        <v>0</v>
      </c>
      <c r="BD185">
        <v>305</v>
      </c>
      <c r="BE185">
        <v>25348</v>
      </c>
      <c r="BF185">
        <v>23</v>
      </c>
      <c r="BG185">
        <v>34</v>
      </c>
      <c r="BH185">
        <v>305</v>
      </c>
      <c r="BI185">
        <v>25348</v>
      </c>
      <c r="BJ185">
        <v>23</v>
      </c>
      <c r="BK185">
        <f t="shared" si="20"/>
        <v>305</v>
      </c>
      <c r="BL185">
        <f t="shared" si="21"/>
        <v>25348</v>
      </c>
      <c r="BM185">
        <f t="shared" si="22"/>
        <v>23</v>
      </c>
      <c r="BN185">
        <f t="shared" si="23"/>
        <v>0</v>
      </c>
      <c r="BO185">
        <f t="shared" si="24"/>
        <v>0</v>
      </c>
      <c r="BP185">
        <f t="shared" si="25"/>
        <v>0</v>
      </c>
      <c r="BQ185" t="s">
        <v>235</v>
      </c>
      <c r="BR185" t="s">
        <v>140</v>
      </c>
      <c r="BS185" t="s">
        <v>89</v>
      </c>
      <c r="BT185">
        <v>37</v>
      </c>
      <c r="BU185">
        <v>45056</v>
      </c>
      <c r="BV185" t="s">
        <v>89</v>
      </c>
      <c r="BW185">
        <v>16</v>
      </c>
      <c r="BX185">
        <v>1989</v>
      </c>
      <c r="BY185">
        <v>16</v>
      </c>
      <c r="BZ185">
        <f t="shared" si="26"/>
        <v>0</v>
      </c>
      <c r="CA185">
        <f t="shared" si="27"/>
        <v>0</v>
      </c>
      <c r="CB185" t="b">
        <f t="shared" si="28"/>
        <v>1</v>
      </c>
    </row>
    <row r="186" spans="1:80" x14ac:dyDescent="0.3">
      <c r="A186" t="s">
        <v>1895</v>
      </c>
      <c r="B186" t="s">
        <v>71</v>
      </c>
      <c r="C186" t="s">
        <v>1896</v>
      </c>
      <c r="D186">
        <v>43</v>
      </c>
      <c r="E186" s="1">
        <v>29801</v>
      </c>
      <c r="F186" t="s">
        <v>89</v>
      </c>
      <c r="G186" t="s">
        <v>75</v>
      </c>
      <c r="H186" t="s">
        <v>89</v>
      </c>
      <c r="I186" t="s">
        <v>98</v>
      </c>
      <c r="J186" t="s">
        <v>78</v>
      </c>
      <c r="K186" t="s">
        <v>89</v>
      </c>
      <c r="L186" t="s">
        <v>99</v>
      </c>
      <c r="M186">
        <v>19</v>
      </c>
      <c r="N186" t="s">
        <v>508</v>
      </c>
      <c r="O186">
        <v>2001</v>
      </c>
      <c r="P186" t="s">
        <v>1897</v>
      </c>
      <c r="Q186" t="s">
        <v>1898</v>
      </c>
      <c r="R186">
        <v>7983</v>
      </c>
      <c r="S186" t="s">
        <v>1895</v>
      </c>
      <c r="T186" t="s">
        <v>1899</v>
      </c>
      <c r="U186">
        <v>1981</v>
      </c>
      <c r="V186" t="s">
        <v>508</v>
      </c>
      <c r="W186">
        <v>1.78</v>
      </c>
      <c r="X186" t="s">
        <v>76</v>
      </c>
      <c r="Y186" t="s">
        <v>391</v>
      </c>
      <c r="Z186" t="s">
        <v>87</v>
      </c>
      <c r="AA186" t="s">
        <v>1900</v>
      </c>
      <c r="AB186" s="1">
        <v>42832</v>
      </c>
      <c r="AC186" t="s">
        <v>108</v>
      </c>
      <c r="AD186" t="s">
        <v>89</v>
      </c>
      <c r="AE186">
        <v>37565</v>
      </c>
      <c r="AF186">
        <v>20</v>
      </c>
      <c r="AG186" t="s">
        <v>91</v>
      </c>
      <c r="AH186">
        <v>37265</v>
      </c>
      <c r="AI186">
        <v>21</v>
      </c>
      <c r="AJ186" t="s">
        <v>110</v>
      </c>
      <c r="AK186">
        <v>20</v>
      </c>
      <c r="AL186">
        <v>7</v>
      </c>
      <c r="AM186">
        <v>275</v>
      </c>
      <c r="AN186">
        <v>51</v>
      </c>
      <c r="AO186">
        <v>6</v>
      </c>
      <c r="AP186" t="s">
        <v>93</v>
      </c>
      <c r="AQ186" t="s">
        <v>89</v>
      </c>
      <c r="AR186" t="s">
        <v>89</v>
      </c>
      <c r="AS186" t="s">
        <v>111</v>
      </c>
      <c r="AT186">
        <v>42832</v>
      </c>
      <c r="AU186">
        <v>2017</v>
      </c>
      <c r="AV186">
        <v>16</v>
      </c>
      <c r="AW186">
        <v>16</v>
      </c>
      <c r="AX186" t="s">
        <v>89</v>
      </c>
      <c r="AY186" t="s">
        <v>93</v>
      </c>
      <c r="AZ186">
        <v>0</v>
      </c>
      <c r="BA186">
        <v>0</v>
      </c>
      <c r="BB186">
        <v>0</v>
      </c>
      <c r="BC186">
        <v>0</v>
      </c>
      <c r="BD186">
        <v>484</v>
      </c>
      <c r="BE186">
        <v>30005</v>
      </c>
      <c r="BF186">
        <v>45</v>
      </c>
      <c r="BG186">
        <v>36</v>
      </c>
      <c r="BH186">
        <v>484</v>
      </c>
      <c r="BI186">
        <v>30005</v>
      </c>
      <c r="BJ186">
        <v>45</v>
      </c>
      <c r="BK186">
        <f t="shared" si="20"/>
        <v>484</v>
      </c>
      <c r="BL186">
        <f t="shared" si="21"/>
        <v>30005</v>
      </c>
      <c r="BM186">
        <f t="shared" si="22"/>
        <v>45</v>
      </c>
      <c r="BN186">
        <f t="shared" si="23"/>
        <v>0</v>
      </c>
      <c r="BO186">
        <f t="shared" si="24"/>
        <v>0</v>
      </c>
      <c r="BP186">
        <f t="shared" si="25"/>
        <v>0</v>
      </c>
      <c r="BQ186" t="s">
        <v>391</v>
      </c>
      <c r="BR186" t="s">
        <v>112</v>
      </c>
      <c r="BS186" t="s">
        <v>89</v>
      </c>
      <c r="BT186">
        <v>45</v>
      </c>
      <c r="BU186">
        <v>42832</v>
      </c>
      <c r="BV186" t="s">
        <v>89</v>
      </c>
      <c r="BW186">
        <v>16</v>
      </c>
      <c r="BX186">
        <v>1981</v>
      </c>
      <c r="BY186">
        <v>16</v>
      </c>
      <c r="BZ186">
        <f t="shared" si="26"/>
        <v>0</v>
      </c>
      <c r="CA186">
        <f t="shared" si="27"/>
        <v>0</v>
      </c>
      <c r="CB186" t="b">
        <f t="shared" si="28"/>
        <v>1</v>
      </c>
    </row>
    <row r="187" spans="1:80" x14ac:dyDescent="0.3">
      <c r="A187" t="s">
        <v>1901</v>
      </c>
      <c r="B187" t="s">
        <v>71</v>
      </c>
      <c r="C187" t="s">
        <v>1902</v>
      </c>
      <c r="D187">
        <v>32</v>
      </c>
      <c r="E187" t="s">
        <v>1903</v>
      </c>
      <c r="F187" t="s">
        <v>1904</v>
      </c>
      <c r="G187" t="s">
        <v>535</v>
      </c>
      <c r="H187" t="s">
        <v>76</v>
      </c>
      <c r="I187" t="s">
        <v>116</v>
      </c>
      <c r="J187" t="s">
        <v>300</v>
      </c>
      <c r="K187" t="s">
        <v>1905</v>
      </c>
      <c r="L187" t="s">
        <v>80</v>
      </c>
      <c r="M187">
        <v>19</v>
      </c>
      <c r="N187" t="s">
        <v>402</v>
      </c>
      <c r="O187">
        <v>2012</v>
      </c>
      <c r="P187" t="s">
        <v>1906</v>
      </c>
      <c r="Q187" t="s">
        <v>1907</v>
      </c>
      <c r="R187">
        <v>127987</v>
      </c>
      <c r="S187" t="s">
        <v>1901</v>
      </c>
      <c r="T187" t="s">
        <v>1908</v>
      </c>
      <c r="U187">
        <v>1992</v>
      </c>
      <c r="V187" t="s">
        <v>214</v>
      </c>
      <c r="W187">
        <v>1.71</v>
      </c>
      <c r="X187" t="s">
        <v>76</v>
      </c>
      <c r="Y187" t="s">
        <v>106</v>
      </c>
      <c r="Z187" t="s">
        <v>152</v>
      </c>
      <c r="AA187" t="s">
        <v>1909</v>
      </c>
      <c r="AB187" t="s">
        <v>1910</v>
      </c>
      <c r="AC187" t="s">
        <v>188</v>
      </c>
      <c r="AD187" t="s">
        <v>89</v>
      </c>
      <c r="AE187" t="s">
        <v>125</v>
      </c>
      <c r="AF187">
        <v>20</v>
      </c>
      <c r="AG187" t="s">
        <v>91</v>
      </c>
      <c r="AH187" t="s">
        <v>90</v>
      </c>
      <c r="AI187">
        <v>19</v>
      </c>
      <c r="AJ187" t="s">
        <v>110</v>
      </c>
      <c r="AK187">
        <v>19</v>
      </c>
      <c r="AL187">
        <v>14</v>
      </c>
      <c r="AM187">
        <v>725</v>
      </c>
      <c r="AN187">
        <v>68</v>
      </c>
      <c r="AO187">
        <v>11</v>
      </c>
      <c r="AP187" t="s">
        <v>93</v>
      </c>
      <c r="AQ187" t="s">
        <v>89</v>
      </c>
      <c r="AR187" t="s">
        <v>89</v>
      </c>
      <c r="AS187" t="s">
        <v>93</v>
      </c>
      <c r="AT187" t="s">
        <v>89</v>
      </c>
      <c r="AU187" t="s">
        <v>89</v>
      </c>
      <c r="AV187" t="s">
        <v>89</v>
      </c>
      <c r="AW187">
        <v>13</v>
      </c>
      <c r="AX187">
        <v>10</v>
      </c>
      <c r="AY187" t="s">
        <v>93</v>
      </c>
      <c r="AZ187">
        <v>0</v>
      </c>
      <c r="BA187">
        <v>0</v>
      </c>
      <c r="BB187">
        <v>0</v>
      </c>
      <c r="BC187">
        <v>0</v>
      </c>
      <c r="BD187">
        <v>369</v>
      </c>
      <c r="BE187">
        <v>27800</v>
      </c>
      <c r="BF187">
        <v>62</v>
      </c>
      <c r="BG187" t="s">
        <v>89</v>
      </c>
      <c r="BH187">
        <v>369</v>
      </c>
      <c r="BI187">
        <v>27800</v>
      </c>
      <c r="BJ187">
        <v>62</v>
      </c>
      <c r="BK187">
        <f t="shared" si="20"/>
        <v>369</v>
      </c>
      <c r="BL187">
        <f t="shared" si="21"/>
        <v>27800</v>
      </c>
      <c r="BM187">
        <f t="shared" si="22"/>
        <v>62</v>
      </c>
      <c r="BN187">
        <f t="shared" si="23"/>
        <v>0</v>
      </c>
      <c r="BO187">
        <f t="shared" si="24"/>
        <v>0</v>
      </c>
      <c r="BP187">
        <f t="shared" si="25"/>
        <v>0</v>
      </c>
      <c r="BQ187" t="s">
        <v>106</v>
      </c>
      <c r="BR187" t="s">
        <v>112</v>
      </c>
      <c r="BS187" s="1">
        <v>33930</v>
      </c>
      <c r="BT187">
        <v>33</v>
      </c>
      <c r="BU187" t="s">
        <v>89</v>
      </c>
      <c r="BV187" t="s">
        <v>89</v>
      </c>
      <c r="BW187">
        <v>14</v>
      </c>
      <c r="BX187">
        <v>1992</v>
      </c>
      <c r="BY187">
        <v>13</v>
      </c>
      <c r="BZ187">
        <f t="shared" si="26"/>
        <v>-1</v>
      </c>
      <c r="CA187">
        <f t="shared" si="27"/>
        <v>1</v>
      </c>
      <c r="CB187" t="b">
        <f t="shared" si="28"/>
        <v>0</v>
      </c>
    </row>
    <row r="188" spans="1:80" x14ac:dyDescent="0.3">
      <c r="A188" t="s">
        <v>1911</v>
      </c>
      <c r="B188" t="s">
        <v>71</v>
      </c>
      <c r="C188" t="s">
        <v>1912</v>
      </c>
      <c r="D188">
        <v>34</v>
      </c>
      <c r="E188" s="1">
        <v>33301</v>
      </c>
      <c r="F188" t="s">
        <v>89</v>
      </c>
      <c r="G188" t="s">
        <v>687</v>
      </c>
      <c r="H188" t="s">
        <v>76</v>
      </c>
      <c r="I188" t="s">
        <v>195</v>
      </c>
      <c r="J188" t="s">
        <v>300</v>
      </c>
      <c r="K188" t="s">
        <v>89</v>
      </c>
      <c r="L188" t="s">
        <v>228</v>
      </c>
      <c r="M188">
        <v>19</v>
      </c>
      <c r="N188" t="s">
        <v>649</v>
      </c>
      <c r="O188">
        <v>2010</v>
      </c>
      <c r="P188" t="s">
        <v>1913</v>
      </c>
      <c r="Q188" t="s">
        <v>1914</v>
      </c>
      <c r="R188">
        <v>66099</v>
      </c>
      <c r="S188" t="s">
        <v>1911</v>
      </c>
      <c r="T188">
        <v>33331</v>
      </c>
      <c r="U188">
        <v>1991</v>
      </c>
      <c r="V188" t="s">
        <v>1915</v>
      </c>
      <c r="W188">
        <v>1.75</v>
      </c>
      <c r="X188" t="s">
        <v>76</v>
      </c>
      <c r="Y188" t="s">
        <v>203</v>
      </c>
      <c r="Z188" t="s">
        <v>152</v>
      </c>
      <c r="AA188" t="s">
        <v>1916</v>
      </c>
      <c r="AB188">
        <v>44203</v>
      </c>
      <c r="AC188" t="s">
        <v>108</v>
      </c>
      <c r="AD188" t="s">
        <v>223</v>
      </c>
      <c r="AE188" t="s">
        <v>1729</v>
      </c>
      <c r="AF188">
        <v>23</v>
      </c>
      <c r="AG188" t="s">
        <v>91</v>
      </c>
      <c r="AH188" t="s">
        <v>614</v>
      </c>
      <c r="AI188">
        <v>19</v>
      </c>
      <c r="AJ188" t="s">
        <v>110</v>
      </c>
      <c r="AK188">
        <v>19</v>
      </c>
      <c r="AL188">
        <v>13</v>
      </c>
      <c r="AM188">
        <v>508</v>
      </c>
      <c r="AN188">
        <v>80</v>
      </c>
      <c r="AO188">
        <v>4</v>
      </c>
      <c r="AP188" t="s">
        <v>93</v>
      </c>
      <c r="AQ188" t="s">
        <v>89</v>
      </c>
      <c r="AR188" t="s">
        <v>89</v>
      </c>
      <c r="AS188" t="s">
        <v>111</v>
      </c>
      <c r="AT188">
        <v>44203</v>
      </c>
      <c r="AU188">
        <v>2021</v>
      </c>
      <c r="AV188">
        <v>11</v>
      </c>
      <c r="AW188">
        <v>11</v>
      </c>
      <c r="AX188" t="s">
        <v>89</v>
      </c>
      <c r="AY188" t="s">
        <v>93</v>
      </c>
      <c r="AZ188">
        <v>0</v>
      </c>
      <c r="BA188">
        <v>0</v>
      </c>
      <c r="BB188">
        <v>0</v>
      </c>
      <c r="BC188">
        <v>0</v>
      </c>
      <c r="BD188">
        <v>190</v>
      </c>
      <c r="BE188">
        <v>14677</v>
      </c>
      <c r="BF188">
        <v>2</v>
      </c>
      <c r="BG188">
        <v>30</v>
      </c>
      <c r="BH188">
        <v>190</v>
      </c>
      <c r="BI188">
        <v>14677</v>
      </c>
      <c r="BJ188">
        <v>2</v>
      </c>
      <c r="BK188">
        <f t="shared" si="20"/>
        <v>190</v>
      </c>
      <c r="BL188">
        <f t="shared" si="21"/>
        <v>14677</v>
      </c>
      <c r="BM188">
        <f t="shared" si="22"/>
        <v>2</v>
      </c>
      <c r="BN188">
        <f t="shared" si="23"/>
        <v>0</v>
      </c>
      <c r="BO188">
        <f t="shared" si="24"/>
        <v>0</v>
      </c>
      <c r="BP188">
        <f t="shared" si="25"/>
        <v>0</v>
      </c>
      <c r="BQ188" t="s">
        <v>203</v>
      </c>
      <c r="BR188" t="s">
        <v>140</v>
      </c>
      <c r="BS188" t="s">
        <v>89</v>
      </c>
      <c r="BT188">
        <v>35</v>
      </c>
      <c r="BU188">
        <v>44203</v>
      </c>
      <c r="BV188" t="s">
        <v>89</v>
      </c>
      <c r="BW188">
        <v>11</v>
      </c>
      <c r="BX188">
        <v>1991</v>
      </c>
      <c r="BY188">
        <v>11</v>
      </c>
      <c r="BZ188">
        <f t="shared" si="26"/>
        <v>0</v>
      </c>
      <c r="CA188">
        <f t="shared" si="27"/>
        <v>0</v>
      </c>
      <c r="CB188" t="b">
        <f t="shared" si="28"/>
        <v>1</v>
      </c>
    </row>
    <row r="189" spans="1:80" x14ac:dyDescent="0.3">
      <c r="A189" t="s">
        <v>1917</v>
      </c>
      <c r="B189" t="s">
        <v>71</v>
      </c>
      <c r="C189" t="s">
        <v>1918</v>
      </c>
      <c r="D189">
        <v>47</v>
      </c>
      <c r="E189" s="1">
        <v>28593</v>
      </c>
      <c r="F189" t="s">
        <v>89</v>
      </c>
      <c r="G189" t="s">
        <v>75</v>
      </c>
      <c r="H189" t="s">
        <v>76</v>
      </c>
      <c r="I189" t="s">
        <v>227</v>
      </c>
      <c r="J189" t="s">
        <v>89</v>
      </c>
      <c r="K189" t="s">
        <v>89</v>
      </c>
      <c r="L189" t="s">
        <v>1919</v>
      </c>
      <c r="M189">
        <v>19</v>
      </c>
      <c r="N189" t="s">
        <v>644</v>
      </c>
      <c r="O189">
        <v>1997</v>
      </c>
      <c r="P189" t="s">
        <v>1920</v>
      </c>
      <c r="Q189" t="s">
        <v>1921</v>
      </c>
      <c r="R189">
        <v>7594</v>
      </c>
      <c r="S189" t="s">
        <v>1917</v>
      </c>
      <c r="T189" t="s">
        <v>1922</v>
      </c>
      <c r="U189">
        <v>1978</v>
      </c>
      <c r="V189" t="s">
        <v>1923</v>
      </c>
      <c r="W189">
        <v>1.78</v>
      </c>
      <c r="X189" t="s">
        <v>76</v>
      </c>
      <c r="Y189" t="s">
        <v>235</v>
      </c>
      <c r="Z189" t="s">
        <v>87</v>
      </c>
      <c r="AA189" t="s">
        <v>644</v>
      </c>
      <c r="AB189">
        <v>41646</v>
      </c>
      <c r="AC189" t="s">
        <v>108</v>
      </c>
      <c r="AD189" t="s">
        <v>89</v>
      </c>
      <c r="AE189" s="1">
        <v>36201</v>
      </c>
      <c r="AF189">
        <v>21</v>
      </c>
      <c r="AG189" t="s">
        <v>91</v>
      </c>
      <c r="AH189" s="1">
        <v>35494</v>
      </c>
      <c r="AI189">
        <v>19</v>
      </c>
      <c r="AJ189" t="s">
        <v>110</v>
      </c>
      <c r="AK189">
        <v>19</v>
      </c>
      <c r="AL189">
        <v>11</v>
      </c>
      <c r="AM189">
        <v>444</v>
      </c>
      <c r="AN189">
        <v>108</v>
      </c>
      <c r="AO189">
        <v>6</v>
      </c>
      <c r="AP189" t="s">
        <v>93</v>
      </c>
      <c r="AQ189" t="s">
        <v>89</v>
      </c>
      <c r="AR189" t="s">
        <v>89</v>
      </c>
      <c r="AS189" t="s">
        <v>111</v>
      </c>
      <c r="AT189">
        <v>41646</v>
      </c>
      <c r="AU189">
        <v>2014</v>
      </c>
      <c r="AV189">
        <v>17</v>
      </c>
      <c r="AW189">
        <v>17</v>
      </c>
      <c r="AX189" t="s">
        <v>89</v>
      </c>
      <c r="AY189" t="s">
        <v>111</v>
      </c>
      <c r="AZ189">
        <v>10</v>
      </c>
      <c r="BA189">
        <v>52</v>
      </c>
      <c r="BB189">
        <v>4508</v>
      </c>
      <c r="BC189">
        <v>2</v>
      </c>
      <c r="BD189">
        <v>516</v>
      </c>
      <c r="BE189">
        <v>43255</v>
      </c>
      <c r="BF189">
        <v>15</v>
      </c>
      <c r="BG189">
        <v>36</v>
      </c>
      <c r="BH189">
        <v>568</v>
      </c>
      <c r="BI189">
        <v>47763</v>
      </c>
      <c r="BJ189">
        <v>17</v>
      </c>
      <c r="BK189">
        <f t="shared" si="20"/>
        <v>568</v>
      </c>
      <c r="BL189">
        <f t="shared" si="21"/>
        <v>47763</v>
      </c>
      <c r="BM189">
        <f t="shared" si="22"/>
        <v>17</v>
      </c>
      <c r="BN189">
        <f t="shared" si="23"/>
        <v>0</v>
      </c>
      <c r="BO189">
        <f t="shared" si="24"/>
        <v>0</v>
      </c>
      <c r="BP189">
        <f t="shared" si="25"/>
        <v>0</v>
      </c>
      <c r="BQ189" t="s">
        <v>235</v>
      </c>
      <c r="BR189" t="s">
        <v>140</v>
      </c>
      <c r="BS189" s="1">
        <v>28593</v>
      </c>
      <c r="BT189">
        <v>47</v>
      </c>
      <c r="BU189">
        <v>41646</v>
      </c>
      <c r="BV189" t="s">
        <v>89</v>
      </c>
      <c r="BW189">
        <v>17</v>
      </c>
      <c r="BX189">
        <v>1978</v>
      </c>
      <c r="BY189">
        <v>17</v>
      </c>
      <c r="BZ189">
        <f t="shared" si="26"/>
        <v>0</v>
      </c>
      <c r="CA189">
        <f t="shared" si="27"/>
        <v>0</v>
      </c>
      <c r="CB189" t="b">
        <f t="shared" si="28"/>
        <v>1</v>
      </c>
    </row>
    <row r="190" spans="1:80" x14ac:dyDescent="0.3">
      <c r="A190" t="s">
        <v>1924</v>
      </c>
      <c r="B190" t="s">
        <v>71</v>
      </c>
      <c r="C190" t="s">
        <v>1925</v>
      </c>
      <c r="D190">
        <v>45</v>
      </c>
      <c r="E190" s="1">
        <v>29429</v>
      </c>
      <c r="F190" t="s">
        <v>89</v>
      </c>
      <c r="G190" t="s">
        <v>176</v>
      </c>
      <c r="H190" t="s">
        <v>76</v>
      </c>
      <c r="I190" t="s">
        <v>437</v>
      </c>
      <c r="J190" t="s">
        <v>78</v>
      </c>
      <c r="K190" t="s">
        <v>89</v>
      </c>
      <c r="L190" t="s">
        <v>99</v>
      </c>
      <c r="M190">
        <v>21</v>
      </c>
      <c r="N190" t="s">
        <v>1926</v>
      </c>
      <c r="O190">
        <v>2001</v>
      </c>
      <c r="P190" t="s">
        <v>1927</v>
      </c>
      <c r="Q190" t="s">
        <v>1928</v>
      </c>
      <c r="R190">
        <v>7841</v>
      </c>
      <c r="S190" t="s">
        <v>1924</v>
      </c>
      <c r="T190" t="s">
        <v>1929</v>
      </c>
      <c r="U190">
        <v>1980</v>
      </c>
      <c r="V190" t="s">
        <v>1047</v>
      </c>
      <c r="W190">
        <v>1.83</v>
      </c>
      <c r="X190" t="s">
        <v>76</v>
      </c>
      <c r="Y190" t="s">
        <v>123</v>
      </c>
      <c r="Z190" t="s">
        <v>87</v>
      </c>
      <c r="AA190" t="s">
        <v>1930</v>
      </c>
      <c r="AB190" s="1">
        <v>42742</v>
      </c>
      <c r="AC190" t="s">
        <v>108</v>
      </c>
      <c r="AD190" t="s">
        <v>89</v>
      </c>
      <c r="AE190" t="s">
        <v>1931</v>
      </c>
      <c r="AF190">
        <v>22</v>
      </c>
      <c r="AG190" t="s">
        <v>91</v>
      </c>
      <c r="AH190">
        <v>37502</v>
      </c>
      <c r="AI190">
        <v>21</v>
      </c>
      <c r="AJ190" t="s">
        <v>110</v>
      </c>
      <c r="AK190">
        <v>21</v>
      </c>
      <c r="AL190">
        <v>2</v>
      </c>
      <c r="AM190">
        <v>28</v>
      </c>
      <c r="AN190">
        <v>3</v>
      </c>
      <c r="AO190">
        <v>1</v>
      </c>
      <c r="AP190" t="s">
        <v>93</v>
      </c>
      <c r="AQ190" t="s">
        <v>89</v>
      </c>
      <c r="AR190" t="s">
        <v>89</v>
      </c>
      <c r="AS190" t="s">
        <v>111</v>
      </c>
      <c r="AT190" s="1">
        <v>42742</v>
      </c>
      <c r="AU190">
        <v>2017</v>
      </c>
      <c r="AV190">
        <v>16</v>
      </c>
      <c r="AW190">
        <v>16</v>
      </c>
      <c r="AX190" t="s">
        <v>89</v>
      </c>
      <c r="AY190" t="s">
        <v>93</v>
      </c>
      <c r="AZ190">
        <v>0</v>
      </c>
      <c r="BA190">
        <v>0</v>
      </c>
      <c r="BB190">
        <v>0</v>
      </c>
      <c r="BC190">
        <v>0</v>
      </c>
      <c r="BD190">
        <v>298</v>
      </c>
      <c r="BE190">
        <v>17388</v>
      </c>
      <c r="BF190">
        <v>65</v>
      </c>
      <c r="BG190">
        <v>37</v>
      </c>
      <c r="BH190">
        <v>298</v>
      </c>
      <c r="BI190">
        <v>17388</v>
      </c>
      <c r="BJ190">
        <v>65</v>
      </c>
      <c r="BK190">
        <f t="shared" si="20"/>
        <v>298</v>
      </c>
      <c r="BL190">
        <f t="shared" si="21"/>
        <v>17388</v>
      </c>
      <c r="BM190">
        <f t="shared" si="22"/>
        <v>65</v>
      </c>
      <c r="BN190">
        <f t="shared" si="23"/>
        <v>0</v>
      </c>
      <c r="BO190">
        <f t="shared" si="24"/>
        <v>0</v>
      </c>
      <c r="BP190">
        <f t="shared" si="25"/>
        <v>0</v>
      </c>
      <c r="BQ190" t="s">
        <v>123</v>
      </c>
      <c r="BR190" t="s">
        <v>112</v>
      </c>
      <c r="BS190" s="1">
        <v>29429</v>
      </c>
      <c r="BT190">
        <v>45</v>
      </c>
      <c r="BU190" s="1">
        <v>42742</v>
      </c>
      <c r="BV190" s="1">
        <v>42917</v>
      </c>
      <c r="BW190">
        <v>16</v>
      </c>
      <c r="BX190">
        <v>1980</v>
      </c>
      <c r="BY190">
        <v>16</v>
      </c>
      <c r="BZ190">
        <f t="shared" si="26"/>
        <v>0</v>
      </c>
      <c r="CA190">
        <f t="shared" si="27"/>
        <v>0</v>
      </c>
      <c r="CB190" t="b">
        <f t="shared" si="28"/>
        <v>1</v>
      </c>
    </row>
    <row r="191" spans="1:80" x14ac:dyDescent="0.3">
      <c r="A191" t="s">
        <v>1932</v>
      </c>
      <c r="B191" t="s">
        <v>617</v>
      </c>
      <c r="C191" t="s">
        <v>1933</v>
      </c>
      <c r="D191">
        <v>38</v>
      </c>
      <c r="E191" t="s">
        <v>1934</v>
      </c>
      <c r="F191" t="s">
        <v>1935</v>
      </c>
      <c r="G191" t="s">
        <v>97</v>
      </c>
      <c r="H191" t="s">
        <v>619</v>
      </c>
      <c r="I191" t="s">
        <v>437</v>
      </c>
      <c r="J191" t="s">
        <v>78</v>
      </c>
      <c r="K191" t="s">
        <v>1936</v>
      </c>
      <c r="L191" t="s">
        <v>278</v>
      </c>
      <c r="M191">
        <v>24</v>
      </c>
      <c r="N191" t="s">
        <v>1937</v>
      </c>
      <c r="O191">
        <v>2011</v>
      </c>
      <c r="P191" t="s">
        <v>1938</v>
      </c>
      <c r="Q191" t="s">
        <v>1939</v>
      </c>
      <c r="R191">
        <v>119235</v>
      </c>
      <c r="S191" t="s">
        <v>1932</v>
      </c>
      <c r="T191">
        <v>31633</v>
      </c>
      <c r="U191">
        <v>1986</v>
      </c>
      <c r="V191" t="s">
        <v>1940</v>
      </c>
      <c r="W191">
        <v>1.81</v>
      </c>
      <c r="X191" t="s">
        <v>619</v>
      </c>
      <c r="Y191" t="s">
        <v>123</v>
      </c>
      <c r="Z191" t="s">
        <v>87</v>
      </c>
      <c r="AA191" t="s">
        <v>1941</v>
      </c>
      <c r="AB191" s="1">
        <v>44902</v>
      </c>
      <c r="AC191" t="s">
        <v>1615</v>
      </c>
      <c r="AD191" t="s">
        <v>89</v>
      </c>
      <c r="AE191" t="s">
        <v>1942</v>
      </c>
      <c r="AF191">
        <v>22</v>
      </c>
      <c r="AG191" t="s">
        <v>1943</v>
      </c>
      <c r="AH191" t="s">
        <v>92</v>
      </c>
      <c r="AI191" t="s">
        <v>89</v>
      </c>
      <c r="AJ191" t="s">
        <v>92</v>
      </c>
      <c r="AK191">
        <v>22</v>
      </c>
      <c r="AL191">
        <v>6</v>
      </c>
      <c r="AM191">
        <v>319</v>
      </c>
      <c r="AN191">
        <v>52</v>
      </c>
      <c r="AO191">
        <v>6</v>
      </c>
      <c r="AP191" t="s">
        <v>93</v>
      </c>
      <c r="AQ191" t="s">
        <v>89</v>
      </c>
      <c r="AR191" t="s">
        <v>89</v>
      </c>
      <c r="AS191" t="s">
        <v>93</v>
      </c>
      <c r="AT191" t="s">
        <v>89</v>
      </c>
      <c r="AU191" t="s">
        <v>89</v>
      </c>
      <c r="AV191" t="s">
        <v>89</v>
      </c>
      <c r="AW191">
        <v>14</v>
      </c>
      <c r="AX191">
        <v>70</v>
      </c>
      <c r="AY191" t="s">
        <v>111</v>
      </c>
      <c r="AZ191">
        <v>9</v>
      </c>
      <c r="BA191">
        <v>35</v>
      </c>
      <c r="BB191">
        <v>1830</v>
      </c>
      <c r="BC191">
        <v>9</v>
      </c>
      <c r="BD191">
        <v>532</v>
      </c>
      <c r="BE191">
        <v>33606</v>
      </c>
      <c r="BF191">
        <v>205</v>
      </c>
      <c r="BG191" t="s">
        <v>89</v>
      </c>
      <c r="BH191">
        <v>567</v>
      </c>
      <c r="BI191">
        <v>35436</v>
      </c>
      <c r="BJ191">
        <v>214</v>
      </c>
      <c r="BK191">
        <f t="shared" si="20"/>
        <v>567</v>
      </c>
      <c r="BL191">
        <f t="shared" si="21"/>
        <v>35436</v>
      </c>
      <c r="BM191">
        <f t="shared" si="22"/>
        <v>214</v>
      </c>
      <c r="BN191">
        <f t="shared" si="23"/>
        <v>0</v>
      </c>
      <c r="BO191">
        <f t="shared" si="24"/>
        <v>0</v>
      </c>
      <c r="BP191">
        <f t="shared" si="25"/>
        <v>0</v>
      </c>
      <c r="BQ191" t="s">
        <v>123</v>
      </c>
      <c r="BR191" t="s">
        <v>112</v>
      </c>
      <c r="BS191" t="s">
        <v>89</v>
      </c>
      <c r="BT191">
        <v>40</v>
      </c>
      <c r="BU191" t="s">
        <v>89</v>
      </c>
      <c r="BV191" t="s">
        <v>89</v>
      </c>
      <c r="BW191">
        <v>18</v>
      </c>
      <c r="BX191">
        <v>1986</v>
      </c>
      <c r="BY191">
        <v>16</v>
      </c>
      <c r="BZ191">
        <f t="shared" si="26"/>
        <v>-4</v>
      </c>
      <c r="CA191">
        <f t="shared" si="27"/>
        <v>2</v>
      </c>
      <c r="CB191" t="b">
        <f t="shared" si="28"/>
        <v>0</v>
      </c>
    </row>
    <row r="192" spans="1:80" x14ac:dyDescent="0.3">
      <c r="A192" t="s">
        <v>1944</v>
      </c>
      <c r="B192" t="s">
        <v>71</v>
      </c>
      <c r="C192" t="s">
        <v>1945</v>
      </c>
      <c r="D192">
        <v>40</v>
      </c>
      <c r="E192" s="1">
        <v>31161</v>
      </c>
      <c r="F192" t="s">
        <v>89</v>
      </c>
      <c r="G192" t="s">
        <v>1946</v>
      </c>
      <c r="H192" t="s">
        <v>89</v>
      </c>
      <c r="I192" t="s">
        <v>195</v>
      </c>
      <c r="J192" t="s">
        <v>300</v>
      </c>
      <c r="K192" t="s">
        <v>89</v>
      </c>
      <c r="L192" t="s">
        <v>163</v>
      </c>
      <c r="M192">
        <v>21</v>
      </c>
      <c r="N192" t="s">
        <v>402</v>
      </c>
      <c r="O192">
        <v>2006</v>
      </c>
      <c r="P192" t="s">
        <v>1947</v>
      </c>
      <c r="Q192" t="s">
        <v>1948</v>
      </c>
      <c r="R192">
        <v>51550</v>
      </c>
      <c r="S192" t="s">
        <v>1944</v>
      </c>
      <c r="T192" t="s">
        <v>1949</v>
      </c>
      <c r="U192">
        <v>1985</v>
      </c>
      <c r="V192" t="s">
        <v>214</v>
      </c>
      <c r="W192">
        <v>1.7</v>
      </c>
      <c r="X192" t="s">
        <v>76</v>
      </c>
      <c r="Y192" t="s">
        <v>203</v>
      </c>
      <c r="Z192" t="s">
        <v>152</v>
      </c>
      <c r="AA192" t="s">
        <v>1950</v>
      </c>
      <c r="AB192">
        <v>44568</v>
      </c>
      <c r="AC192" t="s">
        <v>108</v>
      </c>
      <c r="AD192" t="s">
        <v>89</v>
      </c>
      <c r="AE192" t="s">
        <v>719</v>
      </c>
      <c r="AF192">
        <v>23</v>
      </c>
      <c r="AG192" t="s">
        <v>91</v>
      </c>
      <c r="AH192" t="s">
        <v>1587</v>
      </c>
      <c r="AI192">
        <v>21</v>
      </c>
      <c r="AJ192" t="s">
        <v>110</v>
      </c>
      <c r="AK192">
        <v>21</v>
      </c>
      <c r="AL192">
        <v>1</v>
      </c>
      <c r="AM192">
        <v>182</v>
      </c>
      <c r="AN192">
        <v>19</v>
      </c>
      <c r="AO192">
        <v>1</v>
      </c>
      <c r="AP192" t="s">
        <v>93</v>
      </c>
      <c r="AQ192" t="s">
        <v>89</v>
      </c>
      <c r="AR192" t="s">
        <v>89</v>
      </c>
      <c r="AS192" t="s">
        <v>111</v>
      </c>
      <c r="AT192">
        <v>44568</v>
      </c>
      <c r="AU192">
        <v>2022</v>
      </c>
      <c r="AV192">
        <v>16</v>
      </c>
      <c r="AW192">
        <v>16</v>
      </c>
      <c r="AX192" t="s">
        <v>89</v>
      </c>
      <c r="AY192" t="s">
        <v>93</v>
      </c>
      <c r="AZ192">
        <v>0</v>
      </c>
      <c r="BA192">
        <v>0</v>
      </c>
      <c r="BB192">
        <v>0</v>
      </c>
      <c r="BC192">
        <v>0</v>
      </c>
      <c r="BD192">
        <v>419</v>
      </c>
      <c r="BE192">
        <v>32767</v>
      </c>
      <c r="BF192">
        <v>9</v>
      </c>
      <c r="BG192">
        <v>37</v>
      </c>
      <c r="BH192">
        <v>419</v>
      </c>
      <c r="BI192">
        <v>32767</v>
      </c>
      <c r="BJ192">
        <v>9</v>
      </c>
      <c r="BK192">
        <f t="shared" si="20"/>
        <v>419</v>
      </c>
      <c r="BL192">
        <f t="shared" si="21"/>
        <v>32767</v>
      </c>
      <c r="BM192">
        <f t="shared" si="22"/>
        <v>9</v>
      </c>
      <c r="BN192">
        <f t="shared" si="23"/>
        <v>0</v>
      </c>
      <c r="BO192">
        <f t="shared" si="24"/>
        <v>0</v>
      </c>
      <c r="BP192">
        <f t="shared" si="25"/>
        <v>0</v>
      </c>
      <c r="BQ192" t="s">
        <v>203</v>
      </c>
      <c r="BR192" t="s">
        <v>140</v>
      </c>
      <c r="BS192" s="1">
        <v>31161</v>
      </c>
      <c r="BT192">
        <v>40</v>
      </c>
      <c r="BU192">
        <v>44568</v>
      </c>
      <c r="BV192" t="s">
        <v>89</v>
      </c>
      <c r="BW192">
        <v>16</v>
      </c>
      <c r="BX192">
        <v>1985</v>
      </c>
      <c r="BY192">
        <v>16</v>
      </c>
      <c r="BZ192">
        <f t="shared" si="26"/>
        <v>0</v>
      </c>
      <c r="CA192">
        <f t="shared" si="27"/>
        <v>0</v>
      </c>
      <c r="CB192" t="b">
        <f t="shared" si="28"/>
        <v>1</v>
      </c>
    </row>
    <row r="193" spans="1:80" x14ac:dyDescent="0.3">
      <c r="A193" t="s">
        <v>1951</v>
      </c>
      <c r="B193" t="s">
        <v>71</v>
      </c>
      <c r="C193" t="s">
        <v>1952</v>
      </c>
      <c r="D193">
        <v>40</v>
      </c>
      <c r="E193">
        <v>30960</v>
      </c>
      <c r="F193" t="s">
        <v>89</v>
      </c>
      <c r="G193" t="s">
        <v>75</v>
      </c>
      <c r="H193" t="s">
        <v>89</v>
      </c>
      <c r="I193" t="s">
        <v>750</v>
      </c>
      <c r="J193" t="s">
        <v>89</v>
      </c>
      <c r="K193" t="s">
        <v>89</v>
      </c>
      <c r="L193" t="s">
        <v>254</v>
      </c>
      <c r="M193">
        <v>24</v>
      </c>
      <c r="N193" t="s">
        <v>267</v>
      </c>
      <c r="O193">
        <v>2009</v>
      </c>
      <c r="P193" t="s">
        <v>1953</v>
      </c>
      <c r="Q193" t="s">
        <v>1954</v>
      </c>
      <c r="R193">
        <v>71002</v>
      </c>
      <c r="S193" t="s">
        <v>1951</v>
      </c>
      <c r="T193" s="1">
        <v>30812</v>
      </c>
      <c r="U193">
        <v>1984</v>
      </c>
      <c r="V193" t="s">
        <v>1955</v>
      </c>
      <c r="W193">
        <v>1.74</v>
      </c>
      <c r="X193" t="s">
        <v>76</v>
      </c>
      <c r="Y193" t="s">
        <v>86</v>
      </c>
      <c r="Z193" t="s">
        <v>87</v>
      </c>
      <c r="AA193" t="s">
        <v>726</v>
      </c>
      <c r="AB193" s="1">
        <v>43533</v>
      </c>
      <c r="AC193" t="s">
        <v>108</v>
      </c>
      <c r="AD193" t="s">
        <v>89</v>
      </c>
      <c r="AE193">
        <v>42187</v>
      </c>
      <c r="AF193">
        <v>30</v>
      </c>
      <c r="AG193" t="s">
        <v>962</v>
      </c>
      <c r="AH193" t="s">
        <v>138</v>
      </c>
      <c r="AI193">
        <v>24</v>
      </c>
      <c r="AJ193" t="s">
        <v>110</v>
      </c>
      <c r="AK193">
        <v>24</v>
      </c>
      <c r="AL193">
        <v>2</v>
      </c>
      <c r="AM193">
        <v>288</v>
      </c>
      <c r="AN193">
        <v>35</v>
      </c>
      <c r="AO193">
        <v>2</v>
      </c>
      <c r="AP193" t="s">
        <v>93</v>
      </c>
      <c r="AQ193" t="s">
        <v>89</v>
      </c>
      <c r="AR193" t="s">
        <v>89</v>
      </c>
      <c r="AS193" t="s">
        <v>111</v>
      </c>
      <c r="AT193">
        <v>43533</v>
      </c>
      <c r="AU193">
        <v>2019</v>
      </c>
      <c r="AV193">
        <v>10</v>
      </c>
      <c r="AW193">
        <v>10</v>
      </c>
      <c r="AX193" t="s">
        <v>89</v>
      </c>
      <c r="AY193" t="s">
        <v>93</v>
      </c>
      <c r="AZ193">
        <v>0</v>
      </c>
      <c r="BA193">
        <v>0</v>
      </c>
      <c r="BB193">
        <v>0</v>
      </c>
      <c r="BC193">
        <v>0</v>
      </c>
      <c r="BD193">
        <v>173</v>
      </c>
      <c r="BE193">
        <v>10620</v>
      </c>
      <c r="BF193">
        <v>8</v>
      </c>
      <c r="BG193">
        <v>35</v>
      </c>
      <c r="BH193">
        <v>173</v>
      </c>
      <c r="BI193">
        <v>10620</v>
      </c>
      <c r="BJ193">
        <v>8</v>
      </c>
      <c r="BK193">
        <f t="shared" si="20"/>
        <v>173</v>
      </c>
      <c r="BL193">
        <f t="shared" si="21"/>
        <v>10620</v>
      </c>
      <c r="BM193">
        <f t="shared" si="22"/>
        <v>8</v>
      </c>
      <c r="BN193">
        <f t="shared" si="23"/>
        <v>0</v>
      </c>
      <c r="BO193">
        <f t="shared" si="24"/>
        <v>0</v>
      </c>
      <c r="BP193">
        <f t="shared" si="25"/>
        <v>0</v>
      </c>
      <c r="BQ193" t="s">
        <v>86</v>
      </c>
      <c r="BR193" t="s">
        <v>94</v>
      </c>
      <c r="BS193" s="1">
        <v>30960</v>
      </c>
      <c r="BT193">
        <v>41</v>
      </c>
      <c r="BU193">
        <v>43533</v>
      </c>
      <c r="BV193" t="s">
        <v>89</v>
      </c>
      <c r="BW193">
        <v>11</v>
      </c>
      <c r="BX193">
        <v>1984</v>
      </c>
      <c r="BY193">
        <v>11</v>
      </c>
      <c r="BZ193">
        <f t="shared" si="26"/>
        <v>-1</v>
      </c>
      <c r="CA193">
        <f t="shared" si="27"/>
        <v>0</v>
      </c>
      <c r="CB193" t="b">
        <f t="shared" si="28"/>
        <v>0</v>
      </c>
    </row>
    <row r="194" spans="1:80" x14ac:dyDescent="0.3">
      <c r="A194" t="s">
        <v>1956</v>
      </c>
      <c r="B194" t="s">
        <v>71</v>
      </c>
      <c r="C194" t="s">
        <v>1957</v>
      </c>
      <c r="D194">
        <v>33</v>
      </c>
      <c r="E194" s="1">
        <v>33655</v>
      </c>
      <c r="F194" t="s">
        <v>89</v>
      </c>
      <c r="G194" t="s">
        <v>400</v>
      </c>
      <c r="H194" t="s">
        <v>89</v>
      </c>
      <c r="I194" t="s">
        <v>299</v>
      </c>
      <c r="J194" t="s">
        <v>300</v>
      </c>
      <c r="K194" t="s">
        <v>89</v>
      </c>
      <c r="L194" t="s">
        <v>324</v>
      </c>
      <c r="M194">
        <v>21</v>
      </c>
      <c r="N194" t="s">
        <v>1958</v>
      </c>
      <c r="O194">
        <v>2013</v>
      </c>
      <c r="P194" t="s">
        <v>1959</v>
      </c>
      <c r="Q194" t="s">
        <v>1960</v>
      </c>
      <c r="R194">
        <v>193784</v>
      </c>
      <c r="S194" t="s">
        <v>1956</v>
      </c>
      <c r="T194" t="s">
        <v>1961</v>
      </c>
      <c r="U194">
        <v>1992</v>
      </c>
      <c r="V194" t="s">
        <v>465</v>
      </c>
      <c r="W194">
        <v>1.81</v>
      </c>
      <c r="X194" t="s">
        <v>76</v>
      </c>
      <c r="Y194" t="s">
        <v>203</v>
      </c>
      <c r="Z194" t="s">
        <v>152</v>
      </c>
      <c r="AA194" t="s">
        <v>476</v>
      </c>
      <c r="AB194" t="s">
        <v>1962</v>
      </c>
      <c r="AC194" t="s">
        <v>108</v>
      </c>
      <c r="AD194" t="s">
        <v>89</v>
      </c>
      <c r="AE194" t="s">
        <v>1963</v>
      </c>
      <c r="AF194">
        <v>21</v>
      </c>
      <c r="AG194" t="s">
        <v>91</v>
      </c>
      <c r="AH194" t="s">
        <v>1964</v>
      </c>
      <c r="AI194">
        <v>21</v>
      </c>
      <c r="AJ194" t="s">
        <v>110</v>
      </c>
      <c r="AK194">
        <v>21</v>
      </c>
      <c r="AL194">
        <v>2</v>
      </c>
      <c r="AM194">
        <v>73</v>
      </c>
      <c r="AN194">
        <v>9</v>
      </c>
      <c r="AO194">
        <v>1</v>
      </c>
      <c r="AP194" t="s">
        <v>93</v>
      </c>
      <c r="AQ194" t="s">
        <v>89</v>
      </c>
      <c r="AR194" t="s">
        <v>89</v>
      </c>
      <c r="AS194" t="s">
        <v>93</v>
      </c>
      <c r="AT194" t="s">
        <v>89</v>
      </c>
      <c r="AU194" t="s">
        <v>89</v>
      </c>
      <c r="AV194" t="s">
        <v>89</v>
      </c>
      <c r="AW194">
        <v>12</v>
      </c>
      <c r="AX194" t="s">
        <v>89</v>
      </c>
      <c r="AY194" t="s">
        <v>93</v>
      </c>
      <c r="AZ194">
        <v>0</v>
      </c>
      <c r="BA194">
        <v>0</v>
      </c>
      <c r="BB194">
        <v>0</v>
      </c>
      <c r="BC194">
        <v>0</v>
      </c>
      <c r="BD194">
        <v>332</v>
      </c>
      <c r="BE194">
        <v>27084</v>
      </c>
      <c r="BF194">
        <v>3</v>
      </c>
      <c r="BG194" t="s">
        <v>89</v>
      </c>
      <c r="BH194">
        <v>332</v>
      </c>
      <c r="BI194">
        <v>27084</v>
      </c>
      <c r="BJ194">
        <v>3</v>
      </c>
      <c r="BK194">
        <f t="shared" si="20"/>
        <v>332</v>
      </c>
      <c r="BL194">
        <f t="shared" si="21"/>
        <v>27084</v>
      </c>
      <c r="BM194">
        <f t="shared" si="22"/>
        <v>3</v>
      </c>
      <c r="BN194">
        <f t="shared" si="23"/>
        <v>0</v>
      </c>
      <c r="BO194">
        <f t="shared" si="24"/>
        <v>0</v>
      </c>
      <c r="BP194">
        <f t="shared" si="25"/>
        <v>0</v>
      </c>
      <c r="BQ194" t="s">
        <v>203</v>
      </c>
      <c r="BR194" t="s">
        <v>140</v>
      </c>
      <c r="BS194" s="1">
        <v>33655</v>
      </c>
      <c r="BT194">
        <v>33</v>
      </c>
      <c r="BU194" t="s">
        <v>89</v>
      </c>
      <c r="BV194" t="s">
        <v>89</v>
      </c>
      <c r="BW194">
        <v>12</v>
      </c>
      <c r="BX194">
        <v>1992</v>
      </c>
      <c r="BY194">
        <v>12</v>
      </c>
      <c r="BZ194">
        <f t="shared" si="26"/>
        <v>0</v>
      </c>
      <c r="CA194">
        <f t="shared" si="27"/>
        <v>0</v>
      </c>
      <c r="CB194" t="b">
        <f t="shared" si="28"/>
        <v>1</v>
      </c>
    </row>
    <row r="195" spans="1:80" x14ac:dyDescent="0.3">
      <c r="A195" t="s">
        <v>1965</v>
      </c>
      <c r="B195" t="s">
        <v>729</v>
      </c>
      <c r="C195" t="s">
        <v>1966</v>
      </c>
      <c r="D195">
        <v>42</v>
      </c>
      <c r="E195" s="1">
        <v>30515</v>
      </c>
      <c r="F195" t="s">
        <v>89</v>
      </c>
      <c r="G195" t="s">
        <v>226</v>
      </c>
      <c r="H195" t="s">
        <v>732</v>
      </c>
      <c r="I195" t="s">
        <v>1967</v>
      </c>
      <c r="J195" t="s">
        <v>78</v>
      </c>
      <c r="K195" t="s">
        <v>89</v>
      </c>
      <c r="L195" t="s">
        <v>117</v>
      </c>
      <c r="M195">
        <v>22</v>
      </c>
      <c r="N195" t="s">
        <v>268</v>
      </c>
      <c r="O195">
        <v>2005</v>
      </c>
      <c r="P195" t="s">
        <v>1968</v>
      </c>
      <c r="Q195" t="s">
        <v>1969</v>
      </c>
      <c r="R195">
        <v>32233</v>
      </c>
      <c r="S195" t="s">
        <v>1965</v>
      </c>
      <c r="T195" t="s">
        <v>1970</v>
      </c>
      <c r="U195">
        <v>1983</v>
      </c>
      <c r="V195" t="s">
        <v>736</v>
      </c>
      <c r="W195">
        <v>1.86</v>
      </c>
      <c r="X195" t="s">
        <v>1971</v>
      </c>
      <c r="Y195" t="s">
        <v>136</v>
      </c>
      <c r="Z195" t="s">
        <v>87</v>
      </c>
      <c r="AA195" t="s">
        <v>1900</v>
      </c>
      <c r="AB195" t="s">
        <v>1972</v>
      </c>
      <c r="AC195" t="s">
        <v>108</v>
      </c>
      <c r="AD195" t="s">
        <v>89</v>
      </c>
      <c r="AE195" t="s">
        <v>1973</v>
      </c>
      <c r="AF195">
        <v>21</v>
      </c>
      <c r="AG195" t="s">
        <v>171</v>
      </c>
      <c r="AH195" t="s">
        <v>1974</v>
      </c>
      <c r="AI195">
        <v>29</v>
      </c>
      <c r="AJ195" t="s">
        <v>110</v>
      </c>
      <c r="AK195">
        <v>21</v>
      </c>
      <c r="AL195">
        <v>1</v>
      </c>
      <c r="AM195">
        <v>512</v>
      </c>
      <c r="AN195">
        <v>68</v>
      </c>
      <c r="AO195">
        <v>1</v>
      </c>
      <c r="AP195" t="s">
        <v>93</v>
      </c>
      <c r="AQ195" t="s">
        <v>89</v>
      </c>
      <c r="AR195" t="s">
        <v>89</v>
      </c>
      <c r="AS195" t="s">
        <v>111</v>
      </c>
      <c r="AT195" t="s">
        <v>1972</v>
      </c>
      <c r="AU195">
        <v>2015</v>
      </c>
      <c r="AV195">
        <v>10</v>
      </c>
      <c r="AW195">
        <v>10</v>
      </c>
      <c r="AX195" t="s">
        <v>89</v>
      </c>
      <c r="AY195" t="s">
        <v>93</v>
      </c>
      <c r="AZ195">
        <v>0</v>
      </c>
      <c r="BA195">
        <v>0</v>
      </c>
      <c r="BB195">
        <v>0</v>
      </c>
      <c r="BC195">
        <v>0</v>
      </c>
      <c r="BD195">
        <v>177</v>
      </c>
      <c r="BE195">
        <v>14398</v>
      </c>
      <c r="BF195">
        <v>11</v>
      </c>
      <c r="BG195">
        <v>32</v>
      </c>
      <c r="BH195">
        <v>177</v>
      </c>
      <c r="BI195">
        <v>14398</v>
      </c>
      <c r="BJ195">
        <v>11</v>
      </c>
      <c r="BK195">
        <f t="shared" ref="BK195:BK258" si="29">+BA195+BD195</f>
        <v>177</v>
      </c>
      <c r="BL195">
        <f t="shared" ref="BL195:BL258" si="30">+BB195+BE195</f>
        <v>14398</v>
      </c>
      <c r="BM195">
        <f t="shared" ref="BM195:BM258" si="31">+BC195+BF195</f>
        <v>11</v>
      </c>
      <c r="BN195">
        <f t="shared" ref="BN195:BN258" si="32">+BK195-BH195</f>
        <v>0</v>
      </c>
      <c r="BO195">
        <f t="shared" ref="BO195:BO258" si="33">+BL195-BI195</f>
        <v>0</v>
      </c>
      <c r="BP195">
        <f t="shared" ref="BP195:BP258" si="34">+BM195-BJ195</f>
        <v>0</v>
      </c>
      <c r="BQ195" t="s">
        <v>136</v>
      </c>
      <c r="BR195" t="s">
        <v>140</v>
      </c>
      <c r="BS195" s="1">
        <v>30515</v>
      </c>
      <c r="BT195">
        <v>42</v>
      </c>
      <c r="BU195" t="s">
        <v>1972</v>
      </c>
      <c r="BV195" s="1">
        <v>42025</v>
      </c>
      <c r="BW195">
        <v>11</v>
      </c>
      <c r="BX195">
        <v>1983</v>
      </c>
      <c r="BY195">
        <v>11</v>
      </c>
      <c r="BZ195">
        <f t="shared" ref="BZ195:BZ258" si="35">+AW195-BW195</f>
        <v>-1</v>
      </c>
      <c r="CA195">
        <f t="shared" ref="CA195:CA258" si="36">+BW195-BY195</f>
        <v>0</v>
      </c>
      <c r="CB195" t="b">
        <f t="shared" ref="CB195:CB258" si="37">+BW195=AW195</f>
        <v>0</v>
      </c>
    </row>
    <row r="196" spans="1:80" x14ac:dyDescent="0.3">
      <c r="A196" t="s">
        <v>1975</v>
      </c>
      <c r="B196" t="s">
        <v>71</v>
      </c>
      <c r="C196" t="s">
        <v>1976</v>
      </c>
      <c r="D196">
        <v>29</v>
      </c>
      <c r="E196" t="s">
        <v>1977</v>
      </c>
      <c r="F196" t="s">
        <v>705</v>
      </c>
      <c r="G196" t="s">
        <v>277</v>
      </c>
      <c r="H196" t="s">
        <v>76</v>
      </c>
      <c r="I196" t="s">
        <v>437</v>
      </c>
      <c r="J196" t="s">
        <v>300</v>
      </c>
      <c r="K196" t="s">
        <v>1978</v>
      </c>
      <c r="L196" t="s">
        <v>324</v>
      </c>
      <c r="M196">
        <v>17</v>
      </c>
      <c r="N196" t="s">
        <v>304</v>
      </c>
      <c r="O196">
        <v>2013</v>
      </c>
      <c r="P196" t="s">
        <v>1979</v>
      </c>
      <c r="Q196" t="s">
        <v>1980</v>
      </c>
      <c r="R196">
        <v>216464</v>
      </c>
      <c r="S196" t="s">
        <v>1975</v>
      </c>
      <c r="T196" t="s">
        <v>1981</v>
      </c>
      <c r="U196">
        <v>1996</v>
      </c>
      <c r="V196" t="s">
        <v>1982</v>
      </c>
      <c r="W196">
        <v>1.85</v>
      </c>
      <c r="X196" t="s">
        <v>76</v>
      </c>
      <c r="Y196" t="s">
        <v>123</v>
      </c>
      <c r="Z196" t="s">
        <v>152</v>
      </c>
      <c r="AA196" t="s">
        <v>1983</v>
      </c>
      <c r="AB196" t="s">
        <v>1984</v>
      </c>
      <c r="AC196" t="s">
        <v>170</v>
      </c>
      <c r="AD196" t="s">
        <v>89</v>
      </c>
      <c r="AE196" s="1">
        <v>41673</v>
      </c>
      <c r="AF196">
        <v>17</v>
      </c>
      <c r="AG196" t="s">
        <v>91</v>
      </c>
      <c r="AH196" t="s">
        <v>1108</v>
      </c>
      <c r="AI196">
        <v>20</v>
      </c>
      <c r="AJ196" t="s">
        <v>110</v>
      </c>
      <c r="AK196">
        <v>17</v>
      </c>
      <c r="AL196">
        <v>14</v>
      </c>
      <c r="AM196">
        <v>1098</v>
      </c>
      <c r="AN196">
        <v>174</v>
      </c>
      <c r="AO196">
        <v>7</v>
      </c>
      <c r="AP196" t="s">
        <v>93</v>
      </c>
      <c r="AQ196" t="s">
        <v>89</v>
      </c>
      <c r="AR196" t="s">
        <v>89</v>
      </c>
      <c r="AS196" t="s">
        <v>93</v>
      </c>
      <c r="AT196" t="s">
        <v>89</v>
      </c>
      <c r="AU196" t="s">
        <v>89</v>
      </c>
      <c r="AV196" t="s">
        <v>89</v>
      </c>
      <c r="AW196">
        <v>12</v>
      </c>
      <c r="AX196">
        <v>10</v>
      </c>
      <c r="AY196" t="s">
        <v>93</v>
      </c>
      <c r="AZ196">
        <v>0</v>
      </c>
      <c r="BA196">
        <v>0</v>
      </c>
      <c r="BB196">
        <v>0</v>
      </c>
      <c r="BC196">
        <v>0</v>
      </c>
      <c r="BD196">
        <v>210</v>
      </c>
      <c r="BE196">
        <v>11369</v>
      </c>
      <c r="BF196">
        <v>41</v>
      </c>
      <c r="BG196" t="s">
        <v>89</v>
      </c>
      <c r="BH196">
        <v>210</v>
      </c>
      <c r="BI196">
        <v>11369</v>
      </c>
      <c r="BJ196">
        <v>41</v>
      </c>
      <c r="BK196">
        <f t="shared" si="29"/>
        <v>210</v>
      </c>
      <c r="BL196">
        <f t="shared" si="30"/>
        <v>11369</v>
      </c>
      <c r="BM196">
        <f t="shared" si="31"/>
        <v>41</v>
      </c>
      <c r="BN196">
        <f t="shared" si="32"/>
        <v>0</v>
      </c>
      <c r="BO196">
        <f t="shared" si="33"/>
        <v>0</v>
      </c>
      <c r="BP196">
        <f t="shared" si="34"/>
        <v>0</v>
      </c>
      <c r="BQ196" t="s">
        <v>123</v>
      </c>
      <c r="BR196" t="s">
        <v>112</v>
      </c>
      <c r="BS196" s="1">
        <v>35207</v>
      </c>
      <c r="BT196">
        <v>29</v>
      </c>
      <c r="BU196" t="s">
        <v>89</v>
      </c>
      <c r="BV196" t="s">
        <v>89</v>
      </c>
      <c r="BW196">
        <v>12</v>
      </c>
      <c r="BX196">
        <v>1996</v>
      </c>
      <c r="BY196">
        <v>12</v>
      </c>
      <c r="BZ196">
        <f t="shared" si="35"/>
        <v>0</v>
      </c>
      <c r="CA196">
        <f t="shared" si="36"/>
        <v>0</v>
      </c>
      <c r="CB196" t="b">
        <f t="shared" si="37"/>
        <v>1</v>
      </c>
    </row>
    <row r="197" spans="1:80" x14ac:dyDescent="0.3">
      <c r="A197" t="s">
        <v>1985</v>
      </c>
      <c r="B197" t="s">
        <v>71</v>
      </c>
      <c r="C197" t="s">
        <v>1986</v>
      </c>
      <c r="D197">
        <v>31</v>
      </c>
      <c r="E197" t="s">
        <v>1987</v>
      </c>
      <c r="F197" t="s">
        <v>705</v>
      </c>
      <c r="G197" t="s">
        <v>858</v>
      </c>
      <c r="H197" t="s">
        <v>76</v>
      </c>
      <c r="I197" t="s">
        <v>750</v>
      </c>
      <c r="J197" t="s">
        <v>89</v>
      </c>
      <c r="K197" t="s">
        <v>1988</v>
      </c>
      <c r="L197" t="s">
        <v>80</v>
      </c>
      <c r="M197">
        <v>18</v>
      </c>
      <c r="N197" t="s">
        <v>301</v>
      </c>
      <c r="O197">
        <v>2012</v>
      </c>
      <c r="P197" t="s">
        <v>1989</v>
      </c>
      <c r="Q197" t="s">
        <v>1990</v>
      </c>
      <c r="R197">
        <v>199134</v>
      </c>
      <c r="S197" t="s">
        <v>1985</v>
      </c>
      <c r="T197" t="s">
        <v>1991</v>
      </c>
      <c r="U197">
        <v>1993</v>
      </c>
      <c r="V197" t="s">
        <v>304</v>
      </c>
      <c r="W197">
        <v>1.81</v>
      </c>
      <c r="X197" t="s">
        <v>76</v>
      </c>
      <c r="Y197" t="s">
        <v>106</v>
      </c>
      <c r="Z197" t="s">
        <v>89</v>
      </c>
      <c r="AA197" t="s">
        <v>1992</v>
      </c>
      <c r="AB197" s="1">
        <v>45664</v>
      </c>
      <c r="AC197" t="s">
        <v>108</v>
      </c>
      <c r="AD197" t="s">
        <v>89</v>
      </c>
      <c r="AE197" t="s">
        <v>1993</v>
      </c>
      <c r="AF197">
        <v>19</v>
      </c>
      <c r="AG197" t="s">
        <v>91</v>
      </c>
      <c r="AH197">
        <v>42553</v>
      </c>
      <c r="AI197">
        <v>22</v>
      </c>
      <c r="AJ197" t="s">
        <v>110</v>
      </c>
      <c r="AK197">
        <v>19</v>
      </c>
      <c r="AL197">
        <v>1</v>
      </c>
      <c r="AM197">
        <v>106</v>
      </c>
      <c r="AN197">
        <v>15</v>
      </c>
      <c r="AO197">
        <v>1</v>
      </c>
      <c r="AP197" t="s">
        <v>93</v>
      </c>
      <c r="AQ197" t="s">
        <v>89</v>
      </c>
      <c r="AR197" t="s">
        <v>89</v>
      </c>
      <c r="AS197" t="s">
        <v>93</v>
      </c>
      <c r="AT197" t="s">
        <v>89</v>
      </c>
      <c r="AU197" t="s">
        <v>89</v>
      </c>
      <c r="AV197" t="s">
        <v>89</v>
      </c>
      <c r="AW197">
        <v>13</v>
      </c>
      <c r="AX197" t="s">
        <v>89</v>
      </c>
      <c r="AY197" t="s">
        <v>93</v>
      </c>
      <c r="AZ197">
        <v>0</v>
      </c>
      <c r="BA197">
        <v>0</v>
      </c>
      <c r="BB197">
        <v>0</v>
      </c>
      <c r="BC197">
        <v>0</v>
      </c>
      <c r="BD197">
        <v>5</v>
      </c>
      <c r="BE197">
        <v>228</v>
      </c>
      <c r="BF197">
        <v>0</v>
      </c>
      <c r="BG197" t="s">
        <v>89</v>
      </c>
      <c r="BH197">
        <v>5</v>
      </c>
      <c r="BI197">
        <v>228</v>
      </c>
      <c r="BJ197">
        <v>0</v>
      </c>
      <c r="BK197">
        <f t="shared" si="29"/>
        <v>5</v>
      </c>
      <c r="BL197">
        <f t="shared" si="30"/>
        <v>228</v>
      </c>
      <c r="BM197">
        <f t="shared" si="31"/>
        <v>0</v>
      </c>
      <c r="BN197">
        <f t="shared" si="32"/>
        <v>0</v>
      </c>
      <c r="BO197">
        <f t="shared" si="33"/>
        <v>0</v>
      </c>
      <c r="BP197">
        <f t="shared" si="34"/>
        <v>0</v>
      </c>
      <c r="BQ197" t="s">
        <v>106</v>
      </c>
      <c r="BR197" t="s">
        <v>112</v>
      </c>
      <c r="BS197" t="s">
        <v>89</v>
      </c>
      <c r="BT197">
        <v>33</v>
      </c>
      <c r="BU197" t="s">
        <v>89</v>
      </c>
      <c r="BV197" t="s">
        <v>89</v>
      </c>
      <c r="BW197">
        <v>14</v>
      </c>
      <c r="BX197">
        <v>1993</v>
      </c>
      <c r="BY197">
        <v>12</v>
      </c>
      <c r="BZ197">
        <f t="shared" si="35"/>
        <v>-1</v>
      </c>
      <c r="CA197">
        <f t="shared" si="36"/>
        <v>2</v>
      </c>
      <c r="CB197" t="b">
        <f t="shared" si="37"/>
        <v>0</v>
      </c>
    </row>
    <row r="198" spans="1:80" x14ac:dyDescent="0.3">
      <c r="A198" t="s">
        <v>1985</v>
      </c>
      <c r="B198" t="s">
        <v>89</v>
      </c>
      <c r="C198" t="s">
        <v>1994</v>
      </c>
      <c r="D198">
        <v>41</v>
      </c>
      <c r="E198" s="1">
        <v>30801</v>
      </c>
      <c r="F198" t="s">
        <v>89</v>
      </c>
      <c r="G198" t="s">
        <v>176</v>
      </c>
      <c r="H198" t="s">
        <v>76</v>
      </c>
      <c r="I198" t="s">
        <v>227</v>
      </c>
      <c r="J198" t="s">
        <v>89</v>
      </c>
      <c r="K198" t="s">
        <v>89</v>
      </c>
      <c r="L198" t="s">
        <v>657</v>
      </c>
      <c r="M198">
        <v>19</v>
      </c>
      <c r="N198" t="s">
        <v>146</v>
      </c>
      <c r="O198">
        <v>2003</v>
      </c>
      <c r="P198" t="s">
        <v>1995</v>
      </c>
      <c r="Q198" t="s">
        <v>1990</v>
      </c>
      <c r="R198">
        <v>15762</v>
      </c>
      <c r="S198" t="s">
        <v>1985</v>
      </c>
      <c r="T198" t="s">
        <v>1996</v>
      </c>
      <c r="U198">
        <v>1984</v>
      </c>
      <c r="V198" t="s">
        <v>644</v>
      </c>
      <c r="W198">
        <v>1.85</v>
      </c>
      <c r="X198" t="s">
        <v>76</v>
      </c>
      <c r="Y198" t="s">
        <v>235</v>
      </c>
      <c r="Z198" t="s">
        <v>152</v>
      </c>
      <c r="AA198" t="s">
        <v>1997</v>
      </c>
      <c r="AB198" t="s">
        <v>1998</v>
      </c>
      <c r="AC198" t="s">
        <v>108</v>
      </c>
      <c r="AD198" t="s">
        <v>89</v>
      </c>
      <c r="AE198" s="1">
        <v>37751</v>
      </c>
      <c r="AF198">
        <v>19</v>
      </c>
      <c r="AG198" t="s">
        <v>91</v>
      </c>
      <c r="AH198" t="s">
        <v>1999</v>
      </c>
      <c r="AI198">
        <v>20</v>
      </c>
      <c r="AJ198" t="s">
        <v>110</v>
      </c>
      <c r="AK198">
        <v>19</v>
      </c>
      <c r="AL198">
        <v>1</v>
      </c>
      <c r="AM198">
        <v>34</v>
      </c>
      <c r="AN198">
        <v>4</v>
      </c>
      <c r="AO198">
        <v>1</v>
      </c>
      <c r="AP198" t="s">
        <v>93</v>
      </c>
      <c r="AQ198" t="s">
        <v>89</v>
      </c>
      <c r="AR198" t="s">
        <v>89</v>
      </c>
      <c r="AS198" t="s">
        <v>111</v>
      </c>
      <c r="AT198" t="s">
        <v>1998</v>
      </c>
      <c r="AU198">
        <v>2017</v>
      </c>
      <c r="AV198">
        <v>14</v>
      </c>
      <c r="AW198">
        <v>14</v>
      </c>
      <c r="AX198" t="s">
        <v>89</v>
      </c>
      <c r="AY198" t="s">
        <v>93</v>
      </c>
      <c r="AZ198">
        <v>0</v>
      </c>
      <c r="BA198">
        <v>0</v>
      </c>
      <c r="BB198">
        <v>0</v>
      </c>
      <c r="BC198">
        <v>0</v>
      </c>
      <c r="BD198">
        <v>285</v>
      </c>
      <c r="BE198">
        <v>24985</v>
      </c>
      <c r="BF198">
        <v>3</v>
      </c>
      <c r="BG198">
        <v>33</v>
      </c>
      <c r="BH198">
        <v>285</v>
      </c>
      <c r="BI198">
        <v>24985</v>
      </c>
      <c r="BJ198">
        <v>3</v>
      </c>
      <c r="BK198">
        <f t="shared" si="29"/>
        <v>285</v>
      </c>
      <c r="BL198">
        <f t="shared" si="30"/>
        <v>24985</v>
      </c>
      <c r="BM198">
        <f t="shared" si="31"/>
        <v>3</v>
      </c>
      <c r="BN198">
        <f t="shared" si="32"/>
        <v>0</v>
      </c>
      <c r="BO198">
        <f t="shared" si="33"/>
        <v>0</v>
      </c>
      <c r="BP198">
        <f t="shared" si="34"/>
        <v>0</v>
      </c>
      <c r="BQ198" t="s">
        <v>235</v>
      </c>
      <c r="BR198" t="s">
        <v>140</v>
      </c>
      <c r="BS198" s="1">
        <v>30801</v>
      </c>
      <c r="BT198">
        <v>41</v>
      </c>
      <c r="BU198" t="s">
        <v>1998</v>
      </c>
      <c r="BV198" s="1">
        <v>43098</v>
      </c>
      <c r="BW198">
        <v>14</v>
      </c>
      <c r="BX198">
        <v>1984</v>
      </c>
      <c r="BY198">
        <v>14</v>
      </c>
      <c r="BZ198">
        <f t="shared" si="35"/>
        <v>0</v>
      </c>
      <c r="CA198">
        <f t="shared" si="36"/>
        <v>0</v>
      </c>
      <c r="CB198" t="b">
        <f t="shared" si="37"/>
        <v>1</v>
      </c>
    </row>
    <row r="199" spans="1:80" x14ac:dyDescent="0.3">
      <c r="A199" t="s">
        <v>2000</v>
      </c>
      <c r="B199" t="s">
        <v>71</v>
      </c>
      <c r="C199" t="s">
        <v>2001</v>
      </c>
      <c r="D199">
        <v>44</v>
      </c>
      <c r="E199">
        <v>29452</v>
      </c>
      <c r="F199" t="s">
        <v>89</v>
      </c>
      <c r="G199" t="s">
        <v>97</v>
      </c>
      <c r="H199" t="s">
        <v>89</v>
      </c>
      <c r="I199" t="s">
        <v>243</v>
      </c>
      <c r="J199" t="s">
        <v>78</v>
      </c>
      <c r="K199" t="s">
        <v>89</v>
      </c>
      <c r="L199" t="s">
        <v>99</v>
      </c>
      <c r="M199">
        <v>20</v>
      </c>
      <c r="N199" t="s">
        <v>137</v>
      </c>
      <c r="O199">
        <v>2001</v>
      </c>
      <c r="P199" t="s">
        <v>2002</v>
      </c>
      <c r="Q199" t="s">
        <v>2003</v>
      </c>
      <c r="R199">
        <v>7631</v>
      </c>
      <c r="S199" t="s">
        <v>2000</v>
      </c>
      <c r="T199" t="s">
        <v>2004</v>
      </c>
      <c r="U199">
        <v>1980</v>
      </c>
      <c r="V199" t="s">
        <v>1185</v>
      </c>
      <c r="W199">
        <v>1.81</v>
      </c>
      <c r="X199" t="s">
        <v>76</v>
      </c>
      <c r="Y199" t="s">
        <v>235</v>
      </c>
      <c r="Z199" t="s">
        <v>87</v>
      </c>
      <c r="AA199" t="s">
        <v>137</v>
      </c>
      <c r="AB199">
        <v>42376</v>
      </c>
      <c r="AC199" t="s">
        <v>108</v>
      </c>
      <c r="AD199" t="s">
        <v>89</v>
      </c>
      <c r="AE199" t="s">
        <v>2005</v>
      </c>
      <c r="AF199">
        <v>21</v>
      </c>
      <c r="AG199" t="s">
        <v>91</v>
      </c>
      <c r="AH199" t="s">
        <v>92</v>
      </c>
      <c r="AI199" t="s">
        <v>89</v>
      </c>
      <c r="AJ199" t="s">
        <v>92</v>
      </c>
      <c r="AK199">
        <v>21</v>
      </c>
      <c r="AL199">
        <v>4</v>
      </c>
      <c r="AM199">
        <v>273</v>
      </c>
      <c r="AN199">
        <v>55</v>
      </c>
      <c r="AO199">
        <v>4</v>
      </c>
      <c r="AP199" t="s">
        <v>93</v>
      </c>
      <c r="AQ199" t="s">
        <v>89</v>
      </c>
      <c r="AR199" t="s">
        <v>89</v>
      </c>
      <c r="AS199" t="s">
        <v>111</v>
      </c>
      <c r="AT199">
        <v>42376</v>
      </c>
      <c r="AU199">
        <v>2016</v>
      </c>
      <c r="AV199">
        <v>15</v>
      </c>
      <c r="AW199">
        <v>15</v>
      </c>
      <c r="AX199" t="s">
        <v>89</v>
      </c>
      <c r="AY199" t="s">
        <v>93</v>
      </c>
      <c r="AZ199">
        <v>0</v>
      </c>
      <c r="BA199">
        <v>0</v>
      </c>
      <c r="BB199">
        <v>0</v>
      </c>
      <c r="BC199">
        <v>0</v>
      </c>
      <c r="BD199">
        <v>350</v>
      </c>
      <c r="BE199">
        <v>26987</v>
      </c>
      <c r="BF199">
        <v>22</v>
      </c>
      <c r="BG199">
        <v>36</v>
      </c>
      <c r="BH199">
        <v>350</v>
      </c>
      <c r="BI199">
        <v>26987</v>
      </c>
      <c r="BJ199">
        <v>22</v>
      </c>
      <c r="BK199">
        <f t="shared" si="29"/>
        <v>350</v>
      </c>
      <c r="BL199">
        <f t="shared" si="30"/>
        <v>26987</v>
      </c>
      <c r="BM199">
        <f t="shared" si="31"/>
        <v>22</v>
      </c>
      <c r="BN199">
        <f t="shared" si="32"/>
        <v>0</v>
      </c>
      <c r="BO199">
        <f t="shared" si="33"/>
        <v>0</v>
      </c>
      <c r="BP199">
        <f t="shared" si="34"/>
        <v>0</v>
      </c>
      <c r="BQ199" t="s">
        <v>235</v>
      </c>
      <c r="BR199" t="s">
        <v>140</v>
      </c>
      <c r="BS199" s="1">
        <v>29452</v>
      </c>
      <c r="BT199">
        <v>45</v>
      </c>
      <c r="BU199">
        <v>42376</v>
      </c>
      <c r="BV199" t="s">
        <v>89</v>
      </c>
      <c r="BW199">
        <v>15</v>
      </c>
      <c r="BX199">
        <v>1980</v>
      </c>
      <c r="BY199">
        <v>15</v>
      </c>
      <c r="BZ199">
        <f t="shared" si="35"/>
        <v>0</v>
      </c>
      <c r="CA199">
        <f t="shared" si="36"/>
        <v>0</v>
      </c>
      <c r="CB199" t="b">
        <f t="shared" si="37"/>
        <v>1</v>
      </c>
    </row>
    <row r="200" spans="1:80" x14ac:dyDescent="0.3">
      <c r="A200" t="s">
        <v>2006</v>
      </c>
      <c r="B200" t="s">
        <v>1056</v>
      </c>
      <c r="C200" t="s">
        <v>2007</v>
      </c>
      <c r="D200">
        <v>41</v>
      </c>
      <c r="E200" s="1">
        <v>30730</v>
      </c>
      <c r="F200" t="s">
        <v>89</v>
      </c>
      <c r="G200" t="s">
        <v>193</v>
      </c>
      <c r="H200" t="s">
        <v>1058</v>
      </c>
      <c r="I200" t="s">
        <v>178</v>
      </c>
      <c r="J200" t="s">
        <v>78</v>
      </c>
      <c r="K200" t="s">
        <v>89</v>
      </c>
      <c r="L200" t="s">
        <v>145</v>
      </c>
      <c r="M200">
        <v>20</v>
      </c>
      <c r="N200" t="s">
        <v>146</v>
      </c>
      <c r="O200">
        <v>2004</v>
      </c>
      <c r="P200" t="s">
        <v>2008</v>
      </c>
      <c r="Q200" t="s">
        <v>2009</v>
      </c>
      <c r="R200">
        <v>7914</v>
      </c>
      <c r="S200" t="s">
        <v>2006</v>
      </c>
      <c r="T200" t="s">
        <v>2010</v>
      </c>
      <c r="U200">
        <v>1984</v>
      </c>
      <c r="V200" t="s">
        <v>1064</v>
      </c>
      <c r="W200">
        <v>1.86</v>
      </c>
      <c r="X200" t="s">
        <v>1065</v>
      </c>
      <c r="Y200" t="s">
        <v>186</v>
      </c>
      <c r="Z200" t="s">
        <v>87</v>
      </c>
      <c r="AA200" t="s">
        <v>476</v>
      </c>
      <c r="AB200" t="s">
        <v>2011</v>
      </c>
      <c r="AC200" t="s">
        <v>108</v>
      </c>
      <c r="AD200" t="s">
        <v>223</v>
      </c>
      <c r="AE200">
        <v>2004</v>
      </c>
      <c r="AF200">
        <v>20</v>
      </c>
      <c r="AG200" t="s">
        <v>91</v>
      </c>
      <c r="AH200" t="s">
        <v>89</v>
      </c>
      <c r="AI200" t="s">
        <v>89</v>
      </c>
      <c r="AJ200" t="s">
        <v>89</v>
      </c>
      <c r="AK200">
        <v>20</v>
      </c>
      <c r="AL200">
        <v>4</v>
      </c>
      <c r="AM200">
        <v>82</v>
      </c>
      <c r="AN200">
        <v>15</v>
      </c>
      <c r="AO200">
        <v>3</v>
      </c>
      <c r="AP200" t="s">
        <v>93</v>
      </c>
      <c r="AQ200" t="s">
        <v>89</v>
      </c>
      <c r="AR200" t="s">
        <v>89</v>
      </c>
      <c r="AS200" t="s">
        <v>93</v>
      </c>
      <c r="AT200" t="s">
        <v>89</v>
      </c>
      <c r="AU200" t="s">
        <v>89</v>
      </c>
      <c r="AV200" t="s">
        <v>89</v>
      </c>
      <c r="AW200">
        <v>21</v>
      </c>
      <c r="AX200" t="s">
        <v>89</v>
      </c>
      <c r="AY200" t="s">
        <v>111</v>
      </c>
      <c r="AZ200">
        <v>11</v>
      </c>
      <c r="BA200">
        <v>14</v>
      </c>
      <c r="BB200">
        <v>1250</v>
      </c>
      <c r="BC200">
        <v>0</v>
      </c>
      <c r="BD200">
        <v>348</v>
      </c>
      <c r="BE200">
        <v>31098</v>
      </c>
      <c r="BF200">
        <v>0</v>
      </c>
      <c r="BG200" t="s">
        <v>89</v>
      </c>
      <c r="BH200">
        <v>362</v>
      </c>
      <c r="BI200">
        <v>32348</v>
      </c>
      <c r="BJ200">
        <v>0</v>
      </c>
      <c r="BK200">
        <f t="shared" si="29"/>
        <v>362</v>
      </c>
      <c r="BL200">
        <f t="shared" si="30"/>
        <v>32348</v>
      </c>
      <c r="BM200">
        <f t="shared" si="31"/>
        <v>0</v>
      </c>
      <c r="BN200">
        <f t="shared" si="32"/>
        <v>0</v>
      </c>
      <c r="BO200">
        <f t="shared" si="33"/>
        <v>0</v>
      </c>
      <c r="BP200">
        <f t="shared" si="34"/>
        <v>0</v>
      </c>
      <c r="BQ200" t="s">
        <v>186</v>
      </c>
      <c r="BR200" t="s">
        <v>186</v>
      </c>
      <c r="BS200" s="1">
        <v>30730</v>
      </c>
      <c r="BT200">
        <v>41</v>
      </c>
      <c r="BU200" t="s">
        <v>89</v>
      </c>
      <c r="BV200" t="s">
        <v>89</v>
      </c>
      <c r="BW200">
        <v>21</v>
      </c>
      <c r="BX200">
        <v>1984</v>
      </c>
      <c r="BY200">
        <v>21</v>
      </c>
      <c r="BZ200">
        <f t="shared" si="35"/>
        <v>0</v>
      </c>
      <c r="CA200">
        <f t="shared" si="36"/>
        <v>0</v>
      </c>
      <c r="CB200" t="b">
        <f t="shared" si="37"/>
        <v>1</v>
      </c>
    </row>
    <row r="201" spans="1:80" x14ac:dyDescent="0.3">
      <c r="A201" t="s">
        <v>2012</v>
      </c>
      <c r="B201" t="s">
        <v>71</v>
      </c>
      <c r="C201" t="s">
        <v>2013</v>
      </c>
      <c r="D201">
        <v>46</v>
      </c>
      <c r="E201" s="1">
        <v>29067</v>
      </c>
      <c r="F201" t="s">
        <v>89</v>
      </c>
      <c r="G201" t="s">
        <v>413</v>
      </c>
      <c r="H201" t="s">
        <v>76</v>
      </c>
      <c r="I201" t="s">
        <v>243</v>
      </c>
      <c r="J201" t="s">
        <v>89</v>
      </c>
      <c r="K201" t="s">
        <v>89</v>
      </c>
      <c r="L201" t="s">
        <v>2014</v>
      </c>
      <c r="M201">
        <v>20</v>
      </c>
      <c r="N201" t="s">
        <v>304</v>
      </c>
      <c r="O201">
        <v>1999</v>
      </c>
      <c r="P201" t="s">
        <v>2015</v>
      </c>
      <c r="Q201" t="s">
        <v>2016</v>
      </c>
      <c r="R201">
        <v>7572</v>
      </c>
      <c r="S201" t="s">
        <v>2012</v>
      </c>
      <c r="T201" t="s">
        <v>2017</v>
      </c>
      <c r="U201">
        <v>1979</v>
      </c>
      <c r="V201" t="s">
        <v>2018</v>
      </c>
      <c r="W201">
        <v>1.82</v>
      </c>
      <c r="X201" t="s">
        <v>76</v>
      </c>
      <c r="Y201" t="s">
        <v>235</v>
      </c>
      <c r="Z201" t="s">
        <v>87</v>
      </c>
      <c r="AA201" t="s">
        <v>2019</v>
      </c>
      <c r="AB201" t="s">
        <v>2020</v>
      </c>
      <c r="AC201" t="s">
        <v>108</v>
      </c>
      <c r="AD201" t="s">
        <v>89</v>
      </c>
      <c r="AE201" t="s">
        <v>2021</v>
      </c>
      <c r="AF201">
        <v>20</v>
      </c>
      <c r="AG201" t="s">
        <v>91</v>
      </c>
      <c r="AH201" s="1">
        <v>35684</v>
      </c>
      <c r="AI201">
        <v>18</v>
      </c>
      <c r="AJ201" t="s">
        <v>110</v>
      </c>
      <c r="AK201">
        <v>18</v>
      </c>
      <c r="AL201">
        <v>5</v>
      </c>
      <c r="AM201">
        <v>144</v>
      </c>
      <c r="AN201">
        <v>30</v>
      </c>
      <c r="AO201">
        <v>4</v>
      </c>
      <c r="AP201" t="s">
        <v>93</v>
      </c>
      <c r="AQ201" t="s">
        <v>89</v>
      </c>
      <c r="AR201" t="s">
        <v>89</v>
      </c>
      <c r="AS201" t="s">
        <v>111</v>
      </c>
      <c r="AT201" t="s">
        <v>2020</v>
      </c>
      <c r="AU201">
        <v>2016</v>
      </c>
      <c r="AV201">
        <v>17</v>
      </c>
      <c r="AW201">
        <v>17</v>
      </c>
      <c r="AX201" t="s">
        <v>89</v>
      </c>
      <c r="AY201" t="s">
        <v>111</v>
      </c>
      <c r="AZ201">
        <v>9</v>
      </c>
      <c r="BA201">
        <v>34</v>
      </c>
      <c r="BB201">
        <v>2546</v>
      </c>
      <c r="BC201">
        <v>1</v>
      </c>
      <c r="BD201">
        <v>436</v>
      </c>
      <c r="BE201">
        <v>33559</v>
      </c>
      <c r="BF201">
        <v>18</v>
      </c>
      <c r="BG201">
        <v>37</v>
      </c>
      <c r="BH201">
        <v>470</v>
      </c>
      <c r="BI201">
        <v>36105</v>
      </c>
      <c r="BJ201">
        <v>19</v>
      </c>
      <c r="BK201">
        <f t="shared" si="29"/>
        <v>470</v>
      </c>
      <c r="BL201">
        <f t="shared" si="30"/>
        <v>36105</v>
      </c>
      <c r="BM201">
        <f t="shared" si="31"/>
        <v>19</v>
      </c>
      <c r="BN201">
        <f t="shared" si="32"/>
        <v>0</v>
      </c>
      <c r="BO201">
        <f t="shared" si="33"/>
        <v>0</v>
      </c>
      <c r="BP201">
        <f t="shared" si="34"/>
        <v>0</v>
      </c>
      <c r="BQ201" t="s">
        <v>235</v>
      </c>
      <c r="BR201" t="s">
        <v>140</v>
      </c>
      <c r="BS201" s="1">
        <v>29067</v>
      </c>
      <c r="BT201">
        <v>46</v>
      </c>
      <c r="BU201" t="s">
        <v>2020</v>
      </c>
      <c r="BV201" s="1">
        <v>42388</v>
      </c>
      <c r="BW201">
        <v>19</v>
      </c>
      <c r="BX201">
        <v>1979</v>
      </c>
      <c r="BY201">
        <v>19</v>
      </c>
      <c r="BZ201">
        <f t="shared" si="35"/>
        <v>-2</v>
      </c>
      <c r="CA201">
        <f t="shared" si="36"/>
        <v>0</v>
      </c>
      <c r="CB201" t="b">
        <f t="shared" si="37"/>
        <v>0</v>
      </c>
    </row>
    <row r="202" spans="1:80" x14ac:dyDescent="0.3">
      <c r="A202" t="s">
        <v>2022</v>
      </c>
      <c r="B202" t="s">
        <v>71</v>
      </c>
      <c r="C202" t="s">
        <v>2023</v>
      </c>
      <c r="D202">
        <v>39</v>
      </c>
      <c r="E202" s="1">
        <v>31511</v>
      </c>
      <c r="F202" t="s">
        <v>89</v>
      </c>
      <c r="G202" t="s">
        <v>277</v>
      </c>
      <c r="H202" t="s">
        <v>89</v>
      </c>
      <c r="I202" t="s">
        <v>348</v>
      </c>
      <c r="J202" t="s">
        <v>78</v>
      </c>
      <c r="K202" t="s">
        <v>89</v>
      </c>
      <c r="L202" t="s">
        <v>180</v>
      </c>
      <c r="M202">
        <v>21</v>
      </c>
      <c r="N202" t="s">
        <v>1365</v>
      </c>
      <c r="O202">
        <v>2007</v>
      </c>
      <c r="P202" t="s">
        <v>2024</v>
      </c>
      <c r="Q202" t="s">
        <v>2025</v>
      </c>
      <c r="R202">
        <v>58074</v>
      </c>
      <c r="S202" t="s">
        <v>2022</v>
      </c>
      <c r="T202">
        <v>31659</v>
      </c>
      <c r="U202">
        <v>1986</v>
      </c>
      <c r="V202" t="s">
        <v>2026</v>
      </c>
      <c r="W202">
        <v>1.89</v>
      </c>
      <c r="X202" t="s">
        <v>76</v>
      </c>
      <c r="Y202" t="s">
        <v>136</v>
      </c>
      <c r="Z202" t="s">
        <v>87</v>
      </c>
      <c r="AA202" t="s">
        <v>2027</v>
      </c>
      <c r="AB202" t="s">
        <v>2028</v>
      </c>
      <c r="AC202" t="s">
        <v>108</v>
      </c>
      <c r="AD202" t="s">
        <v>89</v>
      </c>
      <c r="AE202" t="s">
        <v>237</v>
      </c>
      <c r="AF202">
        <v>24</v>
      </c>
      <c r="AG202" t="s">
        <v>91</v>
      </c>
      <c r="AH202" t="s">
        <v>449</v>
      </c>
      <c r="AI202">
        <v>21</v>
      </c>
      <c r="AJ202" t="s">
        <v>110</v>
      </c>
      <c r="AK202">
        <v>21</v>
      </c>
      <c r="AL202">
        <v>9</v>
      </c>
      <c r="AM202">
        <v>1017</v>
      </c>
      <c r="AN202">
        <v>122</v>
      </c>
      <c r="AO202">
        <v>5</v>
      </c>
      <c r="AP202" t="s">
        <v>93</v>
      </c>
      <c r="AQ202" t="s">
        <v>89</v>
      </c>
      <c r="AR202" t="s">
        <v>89</v>
      </c>
      <c r="AS202" t="s">
        <v>111</v>
      </c>
      <c r="AT202" t="s">
        <v>2028</v>
      </c>
      <c r="AU202">
        <v>2020</v>
      </c>
      <c r="AV202">
        <v>13</v>
      </c>
      <c r="AW202">
        <v>13</v>
      </c>
      <c r="AX202" t="s">
        <v>89</v>
      </c>
      <c r="AY202" t="s">
        <v>93</v>
      </c>
      <c r="AZ202">
        <v>0</v>
      </c>
      <c r="BA202">
        <v>0</v>
      </c>
      <c r="BB202">
        <v>0</v>
      </c>
      <c r="BC202">
        <v>0</v>
      </c>
      <c r="BD202">
        <v>219</v>
      </c>
      <c r="BE202">
        <v>17986</v>
      </c>
      <c r="BF202">
        <v>3</v>
      </c>
      <c r="BG202">
        <v>34</v>
      </c>
      <c r="BH202">
        <v>219</v>
      </c>
      <c r="BI202">
        <v>17986</v>
      </c>
      <c r="BJ202">
        <v>3</v>
      </c>
      <c r="BK202">
        <f t="shared" si="29"/>
        <v>219</v>
      </c>
      <c r="BL202">
        <f t="shared" si="30"/>
        <v>17986</v>
      </c>
      <c r="BM202">
        <f t="shared" si="31"/>
        <v>3</v>
      </c>
      <c r="BN202">
        <f t="shared" si="32"/>
        <v>0</v>
      </c>
      <c r="BO202">
        <f t="shared" si="33"/>
        <v>0</v>
      </c>
      <c r="BP202">
        <f t="shared" si="34"/>
        <v>0</v>
      </c>
      <c r="BQ202" t="s">
        <v>136</v>
      </c>
      <c r="BR202" t="s">
        <v>140</v>
      </c>
      <c r="BS202" t="s">
        <v>89</v>
      </c>
      <c r="BT202">
        <v>40</v>
      </c>
      <c r="BU202" t="s">
        <v>2028</v>
      </c>
      <c r="BV202" s="1">
        <v>43845</v>
      </c>
      <c r="BW202">
        <v>13</v>
      </c>
      <c r="BX202">
        <v>1986</v>
      </c>
      <c r="BY202">
        <v>13</v>
      </c>
      <c r="BZ202">
        <f t="shared" si="35"/>
        <v>0</v>
      </c>
      <c r="CA202">
        <f t="shared" si="36"/>
        <v>0</v>
      </c>
      <c r="CB202" t="b">
        <f t="shared" si="37"/>
        <v>1</v>
      </c>
    </row>
    <row r="203" spans="1:80" x14ac:dyDescent="0.3">
      <c r="A203" t="s">
        <v>2029</v>
      </c>
      <c r="B203" t="s">
        <v>1231</v>
      </c>
      <c r="C203" t="s">
        <v>2030</v>
      </c>
      <c r="D203">
        <v>43</v>
      </c>
      <c r="E203">
        <v>30070</v>
      </c>
      <c r="F203" t="s">
        <v>89</v>
      </c>
      <c r="G203" t="s">
        <v>687</v>
      </c>
      <c r="H203" t="s">
        <v>1234</v>
      </c>
      <c r="I203" t="s">
        <v>791</v>
      </c>
      <c r="J203" t="s">
        <v>639</v>
      </c>
      <c r="K203" t="s">
        <v>89</v>
      </c>
      <c r="L203" t="s">
        <v>196</v>
      </c>
      <c r="M203">
        <v>18</v>
      </c>
      <c r="N203" t="s">
        <v>2031</v>
      </c>
      <c r="O203">
        <v>2000</v>
      </c>
      <c r="P203" t="s">
        <v>2032</v>
      </c>
      <c r="Q203" t="s">
        <v>2033</v>
      </c>
      <c r="R203">
        <v>14511</v>
      </c>
      <c r="S203" t="s">
        <v>2029</v>
      </c>
      <c r="T203" t="s">
        <v>2034</v>
      </c>
      <c r="U203">
        <v>1982</v>
      </c>
      <c r="V203" t="s">
        <v>2035</v>
      </c>
      <c r="W203">
        <v>1.72</v>
      </c>
      <c r="X203" t="s">
        <v>1234</v>
      </c>
      <c r="Y203" t="s">
        <v>106</v>
      </c>
      <c r="Z203" t="s">
        <v>392</v>
      </c>
      <c r="AA203" t="s">
        <v>2036</v>
      </c>
      <c r="AB203" s="1">
        <v>42469</v>
      </c>
      <c r="AC203" t="s">
        <v>108</v>
      </c>
      <c r="AD203" t="s">
        <v>89</v>
      </c>
      <c r="AE203" t="s">
        <v>205</v>
      </c>
      <c r="AF203">
        <v>18</v>
      </c>
      <c r="AG203" t="s">
        <v>613</v>
      </c>
      <c r="AH203">
        <v>41822</v>
      </c>
      <c r="AI203">
        <v>31</v>
      </c>
      <c r="AJ203" t="s">
        <v>615</v>
      </c>
      <c r="AK203">
        <v>18</v>
      </c>
      <c r="AL203">
        <v>2</v>
      </c>
      <c r="AM203">
        <v>64</v>
      </c>
      <c r="AN203">
        <v>14</v>
      </c>
      <c r="AO203">
        <v>2</v>
      </c>
      <c r="AP203" t="s">
        <v>93</v>
      </c>
      <c r="AQ203" t="s">
        <v>89</v>
      </c>
      <c r="AR203" t="s">
        <v>89</v>
      </c>
      <c r="AS203" t="s">
        <v>111</v>
      </c>
      <c r="AT203">
        <v>42469</v>
      </c>
      <c r="AU203">
        <v>2016</v>
      </c>
      <c r="AV203">
        <v>16</v>
      </c>
      <c r="AW203">
        <v>16</v>
      </c>
      <c r="AX203" t="s">
        <v>89</v>
      </c>
      <c r="AY203" t="s">
        <v>111</v>
      </c>
      <c r="AZ203">
        <v>4</v>
      </c>
      <c r="BA203">
        <v>9</v>
      </c>
      <c r="BB203">
        <v>481</v>
      </c>
      <c r="BC203">
        <v>0</v>
      </c>
      <c r="BD203">
        <v>310</v>
      </c>
      <c r="BE203">
        <v>17595</v>
      </c>
      <c r="BF203">
        <v>28</v>
      </c>
      <c r="BG203">
        <v>34</v>
      </c>
      <c r="BH203">
        <v>319</v>
      </c>
      <c r="BI203">
        <v>18076</v>
      </c>
      <c r="BJ203">
        <v>28</v>
      </c>
      <c r="BK203">
        <f t="shared" si="29"/>
        <v>319</v>
      </c>
      <c r="BL203">
        <f t="shared" si="30"/>
        <v>18076</v>
      </c>
      <c r="BM203">
        <f t="shared" si="31"/>
        <v>28</v>
      </c>
      <c r="BN203">
        <f t="shared" si="32"/>
        <v>0</v>
      </c>
      <c r="BO203">
        <f t="shared" si="33"/>
        <v>0</v>
      </c>
      <c r="BP203">
        <f t="shared" si="34"/>
        <v>0</v>
      </c>
      <c r="BQ203" t="s">
        <v>106</v>
      </c>
      <c r="BR203" t="s">
        <v>112</v>
      </c>
      <c r="BS203" s="1">
        <v>30070</v>
      </c>
      <c r="BT203">
        <v>43</v>
      </c>
      <c r="BU203">
        <v>42469</v>
      </c>
      <c r="BV203" t="s">
        <v>89</v>
      </c>
      <c r="BW203">
        <v>16</v>
      </c>
      <c r="BX203">
        <v>1982</v>
      </c>
      <c r="BY203">
        <v>16</v>
      </c>
      <c r="BZ203">
        <f t="shared" si="35"/>
        <v>0</v>
      </c>
      <c r="CA203">
        <f t="shared" si="36"/>
        <v>0</v>
      </c>
      <c r="CB203" t="b">
        <f t="shared" si="37"/>
        <v>1</v>
      </c>
    </row>
    <row r="204" spans="1:80" x14ac:dyDescent="0.3">
      <c r="A204" t="s">
        <v>2037</v>
      </c>
      <c r="B204" t="s">
        <v>71</v>
      </c>
      <c r="C204" t="s">
        <v>2038</v>
      </c>
      <c r="D204">
        <v>42</v>
      </c>
      <c r="E204" s="1">
        <v>30525</v>
      </c>
      <c r="F204" t="s">
        <v>89</v>
      </c>
      <c r="G204" t="s">
        <v>97</v>
      </c>
      <c r="H204" t="s">
        <v>76</v>
      </c>
      <c r="I204" t="s">
        <v>195</v>
      </c>
      <c r="J204" t="s">
        <v>89</v>
      </c>
      <c r="K204" t="s">
        <v>89</v>
      </c>
      <c r="L204" t="s">
        <v>163</v>
      </c>
      <c r="M204">
        <v>23</v>
      </c>
      <c r="N204" t="s">
        <v>361</v>
      </c>
      <c r="O204">
        <v>2006</v>
      </c>
      <c r="P204" t="s">
        <v>2039</v>
      </c>
      <c r="Q204" t="s">
        <v>2040</v>
      </c>
      <c r="R204">
        <v>8746</v>
      </c>
      <c r="S204" t="s">
        <v>2037</v>
      </c>
      <c r="T204" t="s">
        <v>2041</v>
      </c>
      <c r="U204">
        <v>1983</v>
      </c>
      <c r="V204" t="s">
        <v>105</v>
      </c>
      <c r="W204">
        <v>1.81</v>
      </c>
      <c r="X204" t="s">
        <v>76</v>
      </c>
      <c r="Y204" t="s">
        <v>203</v>
      </c>
      <c r="Z204" t="s">
        <v>152</v>
      </c>
      <c r="AA204" t="s">
        <v>717</v>
      </c>
      <c r="AB204" s="1">
        <v>43837</v>
      </c>
      <c r="AC204" t="s">
        <v>108</v>
      </c>
      <c r="AD204" t="s">
        <v>89</v>
      </c>
      <c r="AE204" t="s">
        <v>2042</v>
      </c>
      <c r="AF204">
        <v>29</v>
      </c>
      <c r="AG204" t="s">
        <v>91</v>
      </c>
      <c r="AH204" t="s">
        <v>2043</v>
      </c>
      <c r="AI204">
        <v>23</v>
      </c>
      <c r="AJ204" t="s">
        <v>110</v>
      </c>
      <c r="AK204">
        <v>23</v>
      </c>
      <c r="AL204" t="s">
        <v>89</v>
      </c>
      <c r="AM204" t="s">
        <v>89</v>
      </c>
      <c r="AN204" t="s">
        <v>89</v>
      </c>
      <c r="AO204">
        <v>0</v>
      </c>
      <c r="AP204" t="s">
        <v>93</v>
      </c>
      <c r="AQ204" t="s">
        <v>89</v>
      </c>
      <c r="AR204" t="s">
        <v>89</v>
      </c>
      <c r="AS204" t="s">
        <v>111</v>
      </c>
      <c r="AT204" s="1">
        <v>43837</v>
      </c>
      <c r="AU204">
        <v>2020</v>
      </c>
      <c r="AV204">
        <v>14</v>
      </c>
      <c r="AW204">
        <v>14</v>
      </c>
      <c r="AX204" t="s">
        <v>89</v>
      </c>
      <c r="AY204" t="s">
        <v>93</v>
      </c>
      <c r="AZ204">
        <v>0</v>
      </c>
      <c r="BA204">
        <v>0</v>
      </c>
      <c r="BB204">
        <v>0</v>
      </c>
      <c r="BC204">
        <v>0</v>
      </c>
      <c r="BD204">
        <v>415</v>
      </c>
      <c r="BE204">
        <v>35113</v>
      </c>
      <c r="BF204">
        <v>7</v>
      </c>
      <c r="BG204">
        <v>37</v>
      </c>
      <c r="BH204">
        <v>415</v>
      </c>
      <c r="BI204">
        <v>35113</v>
      </c>
      <c r="BJ204">
        <v>7</v>
      </c>
      <c r="BK204">
        <f t="shared" si="29"/>
        <v>415</v>
      </c>
      <c r="BL204">
        <f t="shared" si="30"/>
        <v>35113</v>
      </c>
      <c r="BM204">
        <f t="shared" si="31"/>
        <v>7</v>
      </c>
      <c r="BN204">
        <f t="shared" si="32"/>
        <v>0</v>
      </c>
      <c r="BO204">
        <f t="shared" si="33"/>
        <v>0</v>
      </c>
      <c r="BP204">
        <f t="shared" si="34"/>
        <v>0</v>
      </c>
      <c r="BQ204" t="s">
        <v>203</v>
      </c>
      <c r="BR204" t="s">
        <v>140</v>
      </c>
      <c r="BS204" t="s">
        <v>89</v>
      </c>
      <c r="BT204">
        <v>43</v>
      </c>
      <c r="BU204" s="1">
        <v>43837</v>
      </c>
      <c r="BV204" s="1">
        <v>44013</v>
      </c>
      <c r="BW204">
        <v>14</v>
      </c>
      <c r="BX204">
        <v>1983</v>
      </c>
      <c r="BY204">
        <v>14</v>
      </c>
      <c r="BZ204">
        <f t="shared" si="35"/>
        <v>0</v>
      </c>
      <c r="CA204">
        <f t="shared" si="36"/>
        <v>0</v>
      </c>
      <c r="CB204" t="b">
        <f t="shared" si="37"/>
        <v>1</v>
      </c>
    </row>
    <row r="205" spans="1:80" x14ac:dyDescent="0.3">
      <c r="A205" t="s">
        <v>2044</v>
      </c>
      <c r="B205" t="s">
        <v>617</v>
      </c>
      <c r="C205" t="s">
        <v>2045</v>
      </c>
      <c r="D205">
        <v>39</v>
      </c>
      <c r="E205" s="1">
        <v>31449</v>
      </c>
      <c r="F205" t="s">
        <v>89</v>
      </c>
      <c r="G205" t="s">
        <v>400</v>
      </c>
      <c r="H205" t="s">
        <v>619</v>
      </c>
      <c r="I205" t="s">
        <v>453</v>
      </c>
      <c r="J205" t="s">
        <v>78</v>
      </c>
      <c r="K205" t="s">
        <v>89</v>
      </c>
      <c r="L205" t="s">
        <v>180</v>
      </c>
      <c r="M205">
        <v>21</v>
      </c>
      <c r="N205" t="s">
        <v>1033</v>
      </c>
      <c r="O205">
        <v>2007</v>
      </c>
      <c r="P205" t="s">
        <v>2046</v>
      </c>
      <c r="Q205" t="s">
        <v>2047</v>
      </c>
      <c r="R205">
        <v>51226</v>
      </c>
      <c r="S205" t="s">
        <v>2044</v>
      </c>
      <c r="T205" t="s">
        <v>2048</v>
      </c>
      <c r="U205">
        <v>1986</v>
      </c>
      <c r="V205" t="s">
        <v>2049</v>
      </c>
      <c r="W205">
        <v>1.82</v>
      </c>
      <c r="X205" t="s">
        <v>619</v>
      </c>
      <c r="Y205" t="s">
        <v>259</v>
      </c>
      <c r="Z205" t="s">
        <v>152</v>
      </c>
      <c r="AA205" t="s">
        <v>2050</v>
      </c>
      <c r="AB205" s="1">
        <v>45658</v>
      </c>
      <c r="AC205" t="s">
        <v>108</v>
      </c>
      <c r="AD205" t="s">
        <v>223</v>
      </c>
      <c r="AE205" s="1">
        <v>38966</v>
      </c>
      <c r="AF205">
        <v>20</v>
      </c>
      <c r="AG205" t="s">
        <v>985</v>
      </c>
      <c r="AH205">
        <v>44350</v>
      </c>
      <c r="AI205">
        <v>35</v>
      </c>
      <c r="AJ205">
        <v>0</v>
      </c>
      <c r="AK205">
        <v>20</v>
      </c>
      <c r="AL205">
        <v>5</v>
      </c>
      <c r="AM205">
        <v>329</v>
      </c>
      <c r="AN205">
        <v>57</v>
      </c>
      <c r="AO205">
        <v>3</v>
      </c>
      <c r="AP205" t="s">
        <v>93</v>
      </c>
      <c r="AQ205" t="s">
        <v>89</v>
      </c>
      <c r="AR205" t="s">
        <v>89</v>
      </c>
      <c r="AS205" t="s">
        <v>111</v>
      </c>
      <c r="AT205" s="1">
        <v>45658</v>
      </c>
      <c r="AU205">
        <v>2025</v>
      </c>
      <c r="AV205">
        <v>18</v>
      </c>
      <c r="AW205">
        <v>18</v>
      </c>
      <c r="AX205" t="s">
        <v>89</v>
      </c>
      <c r="AY205" t="s">
        <v>111</v>
      </c>
      <c r="AZ205">
        <v>9</v>
      </c>
      <c r="BA205">
        <v>44</v>
      </c>
      <c r="BB205">
        <v>3537</v>
      </c>
      <c r="BC205">
        <v>0</v>
      </c>
      <c r="BD205">
        <v>467</v>
      </c>
      <c r="BE205">
        <v>34321</v>
      </c>
      <c r="BF205">
        <v>16</v>
      </c>
      <c r="BG205">
        <v>39</v>
      </c>
      <c r="BH205">
        <v>511</v>
      </c>
      <c r="BI205">
        <v>37858</v>
      </c>
      <c r="BJ205">
        <v>16</v>
      </c>
      <c r="BK205">
        <f t="shared" si="29"/>
        <v>511</v>
      </c>
      <c r="BL205">
        <f t="shared" si="30"/>
        <v>37858</v>
      </c>
      <c r="BM205">
        <f t="shared" si="31"/>
        <v>16</v>
      </c>
      <c r="BN205">
        <f t="shared" si="32"/>
        <v>0</v>
      </c>
      <c r="BO205">
        <f t="shared" si="33"/>
        <v>0</v>
      </c>
      <c r="BP205">
        <f t="shared" si="34"/>
        <v>0</v>
      </c>
      <c r="BQ205" t="s">
        <v>259</v>
      </c>
      <c r="BR205" t="s">
        <v>94</v>
      </c>
      <c r="BS205" t="s">
        <v>89</v>
      </c>
      <c r="BT205">
        <v>40</v>
      </c>
      <c r="BU205" s="1">
        <v>45658</v>
      </c>
      <c r="BV205" s="1">
        <v>45658</v>
      </c>
      <c r="BW205">
        <v>19</v>
      </c>
      <c r="BX205">
        <v>1986</v>
      </c>
      <c r="BY205">
        <v>19</v>
      </c>
      <c r="BZ205">
        <f t="shared" si="35"/>
        <v>-1</v>
      </c>
      <c r="CA205">
        <f t="shared" si="36"/>
        <v>0</v>
      </c>
      <c r="CB205" t="b">
        <f t="shared" si="37"/>
        <v>0</v>
      </c>
    </row>
    <row r="206" spans="1:80" x14ac:dyDescent="0.3">
      <c r="A206" t="s">
        <v>2051</v>
      </c>
      <c r="B206" t="s">
        <v>71</v>
      </c>
      <c r="C206" t="s">
        <v>2052</v>
      </c>
      <c r="D206">
        <v>33</v>
      </c>
      <c r="E206" s="1">
        <v>33719</v>
      </c>
      <c r="F206" t="s">
        <v>89</v>
      </c>
      <c r="G206" t="s">
        <v>400</v>
      </c>
      <c r="H206" t="s">
        <v>89</v>
      </c>
      <c r="I206" t="s">
        <v>555</v>
      </c>
      <c r="J206" t="s">
        <v>78</v>
      </c>
      <c r="K206" t="s">
        <v>89</v>
      </c>
      <c r="L206" t="s">
        <v>762</v>
      </c>
      <c r="M206">
        <v>22</v>
      </c>
      <c r="N206" t="s">
        <v>527</v>
      </c>
      <c r="O206">
        <v>2014</v>
      </c>
      <c r="P206" t="s">
        <v>2053</v>
      </c>
      <c r="Q206" t="s">
        <v>2054</v>
      </c>
      <c r="R206">
        <v>252688</v>
      </c>
      <c r="S206" t="s">
        <v>2051</v>
      </c>
      <c r="T206" t="s">
        <v>2055</v>
      </c>
      <c r="U206">
        <v>1992</v>
      </c>
      <c r="V206" t="s">
        <v>2056</v>
      </c>
      <c r="W206">
        <v>1.84</v>
      </c>
      <c r="X206" t="s">
        <v>76</v>
      </c>
      <c r="Y206" t="s">
        <v>86</v>
      </c>
      <c r="Z206" t="s">
        <v>87</v>
      </c>
      <c r="AA206" t="s">
        <v>476</v>
      </c>
      <c r="AB206">
        <v>44927</v>
      </c>
      <c r="AC206" t="s">
        <v>108</v>
      </c>
      <c r="AD206" t="s">
        <v>89</v>
      </c>
      <c r="AE206" t="s">
        <v>2057</v>
      </c>
      <c r="AF206">
        <v>22</v>
      </c>
      <c r="AG206" t="s">
        <v>91</v>
      </c>
      <c r="AH206" t="s">
        <v>92</v>
      </c>
      <c r="AI206" t="s">
        <v>89</v>
      </c>
      <c r="AJ206" t="s">
        <v>92</v>
      </c>
      <c r="AK206">
        <v>22</v>
      </c>
      <c r="AL206" t="s">
        <v>89</v>
      </c>
      <c r="AM206" t="s">
        <v>89</v>
      </c>
      <c r="AN206" t="s">
        <v>89</v>
      </c>
      <c r="AO206">
        <v>0</v>
      </c>
      <c r="AP206" t="s">
        <v>93</v>
      </c>
      <c r="AQ206" t="s">
        <v>89</v>
      </c>
      <c r="AR206" t="s">
        <v>89</v>
      </c>
      <c r="AS206" t="s">
        <v>93</v>
      </c>
      <c r="AT206" t="s">
        <v>89</v>
      </c>
      <c r="AU206" t="s">
        <v>89</v>
      </c>
      <c r="AV206" t="s">
        <v>89</v>
      </c>
      <c r="AW206">
        <v>11</v>
      </c>
      <c r="AX206" t="s">
        <v>89</v>
      </c>
      <c r="AY206" t="s">
        <v>93</v>
      </c>
      <c r="AZ206">
        <v>0</v>
      </c>
      <c r="BA206">
        <v>0</v>
      </c>
      <c r="BB206">
        <v>0</v>
      </c>
      <c r="BC206">
        <v>0</v>
      </c>
      <c r="BD206">
        <v>3</v>
      </c>
      <c r="BE206">
        <v>198</v>
      </c>
      <c r="BF206">
        <v>0</v>
      </c>
      <c r="BG206" t="s">
        <v>89</v>
      </c>
      <c r="BH206">
        <v>3</v>
      </c>
      <c r="BI206">
        <v>198</v>
      </c>
      <c r="BJ206">
        <v>0</v>
      </c>
      <c r="BK206">
        <f t="shared" si="29"/>
        <v>3</v>
      </c>
      <c r="BL206">
        <f t="shared" si="30"/>
        <v>198</v>
      </c>
      <c r="BM206">
        <f t="shared" si="31"/>
        <v>0</v>
      </c>
      <c r="BN206">
        <f t="shared" si="32"/>
        <v>0</v>
      </c>
      <c r="BO206">
        <f t="shared" si="33"/>
        <v>0</v>
      </c>
      <c r="BP206">
        <f t="shared" si="34"/>
        <v>0</v>
      </c>
      <c r="BQ206" t="s">
        <v>86</v>
      </c>
      <c r="BR206" t="s">
        <v>94</v>
      </c>
      <c r="BS206" s="1">
        <v>33719</v>
      </c>
      <c r="BT206">
        <v>33</v>
      </c>
      <c r="BU206" t="s">
        <v>89</v>
      </c>
      <c r="BV206" t="s">
        <v>89</v>
      </c>
      <c r="BW206">
        <v>11</v>
      </c>
      <c r="BX206">
        <v>1992</v>
      </c>
      <c r="BY206">
        <v>11</v>
      </c>
      <c r="BZ206">
        <f t="shared" si="35"/>
        <v>0</v>
      </c>
      <c r="CA206">
        <f t="shared" si="36"/>
        <v>0</v>
      </c>
      <c r="CB206" t="b">
        <f t="shared" si="37"/>
        <v>1</v>
      </c>
    </row>
    <row r="207" spans="1:80" x14ac:dyDescent="0.3">
      <c r="A207" t="s">
        <v>2058</v>
      </c>
      <c r="B207" t="s">
        <v>71</v>
      </c>
      <c r="C207" t="s">
        <v>2059</v>
      </c>
      <c r="D207">
        <v>37</v>
      </c>
      <c r="E207" s="1">
        <v>32281</v>
      </c>
      <c r="F207" t="s">
        <v>89</v>
      </c>
      <c r="G207" t="s">
        <v>413</v>
      </c>
      <c r="H207" t="s">
        <v>89</v>
      </c>
      <c r="I207" t="s">
        <v>227</v>
      </c>
      <c r="J207" t="s">
        <v>89</v>
      </c>
      <c r="K207" t="s">
        <v>89</v>
      </c>
      <c r="L207" t="s">
        <v>254</v>
      </c>
      <c r="M207">
        <v>21</v>
      </c>
      <c r="N207" t="s">
        <v>2060</v>
      </c>
      <c r="O207">
        <v>2009</v>
      </c>
      <c r="P207" t="s">
        <v>2061</v>
      </c>
      <c r="Q207" t="s">
        <v>2062</v>
      </c>
      <c r="R207">
        <v>125797</v>
      </c>
      <c r="S207" t="s">
        <v>2058</v>
      </c>
      <c r="T207" t="s">
        <v>2063</v>
      </c>
      <c r="U207">
        <v>1988</v>
      </c>
      <c r="V207" t="s">
        <v>1645</v>
      </c>
      <c r="W207">
        <v>1.85</v>
      </c>
      <c r="X207" t="s">
        <v>76</v>
      </c>
      <c r="Y207" t="s">
        <v>235</v>
      </c>
      <c r="Z207" t="s">
        <v>87</v>
      </c>
      <c r="AA207" t="s">
        <v>1652</v>
      </c>
      <c r="AB207" t="s">
        <v>2064</v>
      </c>
      <c r="AC207" t="s">
        <v>108</v>
      </c>
      <c r="AD207" t="s">
        <v>89</v>
      </c>
      <c r="AE207" t="s">
        <v>2065</v>
      </c>
      <c r="AF207">
        <v>23</v>
      </c>
      <c r="AG207" t="s">
        <v>91</v>
      </c>
      <c r="AH207" t="s">
        <v>371</v>
      </c>
      <c r="AI207">
        <v>21</v>
      </c>
      <c r="AJ207" t="s">
        <v>110</v>
      </c>
      <c r="AK207">
        <v>21</v>
      </c>
      <c r="AL207">
        <v>2</v>
      </c>
      <c r="AM207">
        <v>274</v>
      </c>
      <c r="AN207">
        <v>32</v>
      </c>
      <c r="AO207">
        <v>1</v>
      </c>
      <c r="AP207" t="s">
        <v>93</v>
      </c>
      <c r="AQ207" t="s">
        <v>89</v>
      </c>
      <c r="AR207" t="s">
        <v>89</v>
      </c>
      <c r="AS207" t="s">
        <v>111</v>
      </c>
      <c r="AT207" t="s">
        <v>2064</v>
      </c>
      <c r="AU207">
        <v>2017</v>
      </c>
      <c r="AV207">
        <v>8</v>
      </c>
      <c r="AW207">
        <v>8</v>
      </c>
      <c r="AX207" t="s">
        <v>89</v>
      </c>
      <c r="AY207" t="s">
        <v>93</v>
      </c>
      <c r="AZ207">
        <v>0</v>
      </c>
      <c r="BA207">
        <v>0</v>
      </c>
      <c r="BB207">
        <v>0</v>
      </c>
      <c r="BC207">
        <v>0</v>
      </c>
      <c r="BD207">
        <v>51</v>
      </c>
      <c r="BE207">
        <v>3609</v>
      </c>
      <c r="BF207">
        <v>1</v>
      </c>
      <c r="BG207">
        <v>29</v>
      </c>
      <c r="BH207">
        <v>51</v>
      </c>
      <c r="BI207">
        <v>3609</v>
      </c>
      <c r="BJ207">
        <v>1</v>
      </c>
      <c r="BK207">
        <f t="shared" si="29"/>
        <v>51</v>
      </c>
      <c r="BL207">
        <f t="shared" si="30"/>
        <v>3609</v>
      </c>
      <c r="BM207">
        <f t="shared" si="31"/>
        <v>1</v>
      </c>
      <c r="BN207">
        <f t="shared" si="32"/>
        <v>0</v>
      </c>
      <c r="BO207">
        <f t="shared" si="33"/>
        <v>0</v>
      </c>
      <c r="BP207">
        <f t="shared" si="34"/>
        <v>0</v>
      </c>
      <c r="BQ207" t="s">
        <v>235</v>
      </c>
      <c r="BR207" t="s">
        <v>140</v>
      </c>
      <c r="BS207" s="1">
        <v>32281</v>
      </c>
      <c r="BT207">
        <v>37</v>
      </c>
      <c r="BU207" t="s">
        <v>2064</v>
      </c>
      <c r="BV207" s="1">
        <v>43083</v>
      </c>
      <c r="BW207">
        <v>8</v>
      </c>
      <c r="BX207">
        <v>1988</v>
      </c>
      <c r="BY207">
        <v>8</v>
      </c>
      <c r="BZ207">
        <f t="shared" si="35"/>
        <v>0</v>
      </c>
      <c r="CA207">
        <f t="shared" si="36"/>
        <v>0</v>
      </c>
      <c r="CB207" t="b">
        <f t="shared" si="37"/>
        <v>1</v>
      </c>
    </row>
    <row r="208" spans="1:80" x14ac:dyDescent="0.3">
      <c r="A208" t="s">
        <v>2066</v>
      </c>
      <c r="B208" t="s">
        <v>1274</v>
      </c>
      <c r="C208" t="s">
        <v>2067</v>
      </c>
      <c r="D208">
        <v>36</v>
      </c>
      <c r="E208">
        <v>32568</v>
      </c>
      <c r="F208" t="s">
        <v>89</v>
      </c>
      <c r="G208" t="s">
        <v>160</v>
      </c>
      <c r="H208" t="s">
        <v>1276</v>
      </c>
      <c r="I208" t="s">
        <v>401</v>
      </c>
      <c r="J208" t="s">
        <v>300</v>
      </c>
      <c r="K208" t="s">
        <v>89</v>
      </c>
      <c r="L208" t="s">
        <v>163</v>
      </c>
      <c r="M208">
        <v>17</v>
      </c>
      <c r="N208" t="s">
        <v>105</v>
      </c>
      <c r="O208">
        <v>2006</v>
      </c>
      <c r="P208" t="s">
        <v>2068</v>
      </c>
      <c r="Q208" t="s">
        <v>2069</v>
      </c>
      <c r="R208">
        <v>35773</v>
      </c>
      <c r="S208" t="s">
        <v>2066</v>
      </c>
      <c r="T208">
        <v>32511</v>
      </c>
      <c r="U208">
        <v>1989</v>
      </c>
      <c r="V208" t="s">
        <v>2070</v>
      </c>
      <c r="W208">
        <v>1.77</v>
      </c>
      <c r="X208" t="s">
        <v>1283</v>
      </c>
      <c r="Y208" t="s">
        <v>494</v>
      </c>
      <c r="Z208" t="s">
        <v>152</v>
      </c>
      <c r="AA208" t="s">
        <v>2071</v>
      </c>
      <c r="AB208" t="s">
        <v>2072</v>
      </c>
      <c r="AC208" t="s">
        <v>108</v>
      </c>
      <c r="AD208" t="s">
        <v>89</v>
      </c>
      <c r="AE208" t="s">
        <v>1586</v>
      </c>
      <c r="AF208">
        <v>18</v>
      </c>
      <c r="AG208" t="s">
        <v>91</v>
      </c>
      <c r="AH208" t="s">
        <v>727</v>
      </c>
      <c r="AI208">
        <v>17</v>
      </c>
      <c r="AJ208" t="s">
        <v>110</v>
      </c>
      <c r="AK208">
        <v>17</v>
      </c>
      <c r="AL208">
        <v>9</v>
      </c>
      <c r="AM208">
        <v>284</v>
      </c>
      <c r="AN208">
        <v>51</v>
      </c>
      <c r="AO208">
        <v>7</v>
      </c>
      <c r="AP208" t="s">
        <v>93</v>
      </c>
      <c r="AQ208" t="s">
        <v>89</v>
      </c>
      <c r="AR208" t="s">
        <v>89</v>
      </c>
      <c r="AS208" t="s">
        <v>111</v>
      </c>
      <c r="AT208" t="s">
        <v>2072</v>
      </c>
      <c r="AU208">
        <v>2025</v>
      </c>
      <c r="AV208">
        <v>19</v>
      </c>
      <c r="AW208">
        <v>19</v>
      </c>
      <c r="AX208" t="s">
        <v>89</v>
      </c>
      <c r="AY208" t="s">
        <v>111</v>
      </c>
      <c r="AZ208">
        <v>10</v>
      </c>
      <c r="BA208">
        <v>50</v>
      </c>
      <c r="BB208">
        <v>3375</v>
      </c>
      <c r="BC208">
        <v>12</v>
      </c>
      <c r="BD208">
        <v>524</v>
      </c>
      <c r="BE208">
        <v>35742</v>
      </c>
      <c r="BF208">
        <v>177</v>
      </c>
      <c r="BG208">
        <v>36</v>
      </c>
      <c r="BH208">
        <v>574</v>
      </c>
      <c r="BI208">
        <v>39117</v>
      </c>
      <c r="BJ208">
        <v>189</v>
      </c>
      <c r="BK208">
        <f t="shared" si="29"/>
        <v>574</v>
      </c>
      <c r="BL208">
        <f t="shared" si="30"/>
        <v>39117</v>
      </c>
      <c r="BM208">
        <f t="shared" si="31"/>
        <v>189</v>
      </c>
      <c r="BN208">
        <f t="shared" si="32"/>
        <v>0</v>
      </c>
      <c r="BO208">
        <f t="shared" si="33"/>
        <v>0</v>
      </c>
      <c r="BP208">
        <f t="shared" si="34"/>
        <v>0</v>
      </c>
      <c r="BQ208" t="s">
        <v>494</v>
      </c>
      <c r="BR208" t="s">
        <v>112</v>
      </c>
      <c r="BS208" t="s">
        <v>89</v>
      </c>
      <c r="BT208">
        <v>37</v>
      </c>
      <c r="BU208" t="s">
        <v>2072</v>
      </c>
      <c r="BV208" s="1">
        <v>45804</v>
      </c>
      <c r="BW208">
        <v>19</v>
      </c>
      <c r="BX208">
        <v>1989</v>
      </c>
      <c r="BY208">
        <v>19</v>
      </c>
      <c r="BZ208">
        <f t="shared" si="35"/>
        <v>0</v>
      </c>
      <c r="CA208">
        <f t="shared" si="36"/>
        <v>0</v>
      </c>
      <c r="CB208" t="b">
        <f t="shared" si="37"/>
        <v>1</v>
      </c>
    </row>
    <row r="209" spans="1:80" x14ac:dyDescent="0.3">
      <c r="A209" t="s">
        <v>2073</v>
      </c>
      <c r="B209" t="s">
        <v>71</v>
      </c>
      <c r="C209" t="s">
        <v>2074</v>
      </c>
      <c r="D209">
        <v>30</v>
      </c>
      <c r="E209">
        <v>34584</v>
      </c>
      <c r="F209" t="s">
        <v>89</v>
      </c>
      <c r="G209" t="s">
        <v>400</v>
      </c>
      <c r="H209" t="s">
        <v>89</v>
      </c>
      <c r="I209" t="s">
        <v>348</v>
      </c>
      <c r="J209" t="s">
        <v>78</v>
      </c>
      <c r="K209" t="s">
        <v>89</v>
      </c>
      <c r="L209" t="s">
        <v>324</v>
      </c>
      <c r="M209">
        <v>18</v>
      </c>
      <c r="N209" t="s">
        <v>181</v>
      </c>
      <c r="O209">
        <v>2013</v>
      </c>
      <c r="P209" t="s">
        <v>2075</v>
      </c>
      <c r="Q209" t="s">
        <v>2076</v>
      </c>
      <c r="R209">
        <v>263627</v>
      </c>
      <c r="S209" t="s">
        <v>2073</v>
      </c>
      <c r="T209">
        <v>34524</v>
      </c>
      <c r="U209">
        <v>1994</v>
      </c>
      <c r="V209" t="s">
        <v>2077</v>
      </c>
      <c r="W209">
        <v>1.85</v>
      </c>
      <c r="X209" t="s">
        <v>76</v>
      </c>
      <c r="Y209" t="s">
        <v>235</v>
      </c>
      <c r="Z209" t="s">
        <v>87</v>
      </c>
      <c r="AA209" t="s">
        <v>2078</v>
      </c>
      <c r="AB209" t="s">
        <v>2079</v>
      </c>
      <c r="AC209" t="s">
        <v>170</v>
      </c>
      <c r="AD209" t="s">
        <v>89</v>
      </c>
      <c r="AE209" t="s">
        <v>2080</v>
      </c>
      <c r="AF209">
        <v>19</v>
      </c>
      <c r="AG209" t="s">
        <v>91</v>
      </c>
      <c r="AH209" t="s">
        <v>2081</v>
      </c>
      <c r="AI209">
        <v>24</v>
      </c>
      <c r="AJ209" t="s">
        <v>110</v>
      </c>
      <c r="AK209">
        <v>19</v>
      </c>
      <c r="AL209">
        <v>9</v>
      </c>
      <c r="AM209">
        <v>987</v>
      </c>
      <c r="AN209">
        <v>110</v>
      </c>
      <c r="AO209">
        <v>7</v>
      </c>
      <c r="AP209" t="s">
        <v>93</v>
      </c>
      <c r="AQ209" t="s">
        <v>89</v>
      </c>
      <c r="AR209" t="s">
        <v>89</v>
      </c>
      <c r="AS209" t="s">
        <v>93</v>
      </c>
      <c r="AT209" t="s">
        <v>89</v>
      </c>
      <c r="AU209" t="s">
        <v>89</v>
      </c>
      <c r="AV209" t="s">
        <v>89</v>
      </c>
      <c r="AW209">
        <v>12</v>
      </c>
      <c r="AX209" t="s">
        <v>89</v>
      </c>
      <c r="AY209" t="s">
        <v>93</v>
      </c>
      <c r="AZ209">
        <v>0</v>
      </c>
      <c r="BA209">
        <v>0</v>
      </c>
      <c r="BB209">
        <v>0</v>
      </c>
      <c r="BC209">
        <v>0</v>
      </c>
      <c r="BD209">
        <v>134</v>
      </c>
      <c r="BE209">
        <v>9992</v>
      </c>
      <c r="BF209">
        <v>4</v>
      </c>
      <c r="BG209" t="s">
        <v>89</v>
      </c>
      <c r="BH209">
        <v>134</v>
      </c>
      <c r="BI209">
        <v>9992</v>
      </c>
      <c r="BJ209">
        <v>4</v>
      </c>
      <c r="BK209">
        <f t="shared" si="29"/>
        <v>134</v>
      </c>
      <c r="BL209">
        <f t="shared" si="30"/>
        <v>9992</v>
      </c>
      <c r="BM209">
        <f t="shared" si="31"/>
        <v>4</v>
      </c>
      <c r="BN209">
        <f t="shared" si="32"/>
        <v>0</v>
      </c>
      <c r="BO209">
        <f t="shared" si="33"/>
        <v>0</v>
      </c>
      <c r="BP209">
        <f t="shared" si="34"/>
        <v>0</v>
      </c>
      <c r="BQ209" t="s">
        <v>235</v>
      </c>
      <c r="BR209" t="s">
        <v>140</v>
      </c>
      <c r="BS209" t="s">
        <v>89</v>
      </c>
      <c r="BT209">
        <v>32</v>
      </c>
      <c r="BU209" t="s">
        <v>89</v>
      </c>
      <c r="BV209" t="s">
        <v>89</v>
      </c>
      <c r="BW209">
        <v>13</v>
      </c>
      <c r="BX209">
        <v>1994</v>
      </c>
      <c r="BY209">
        <v>11</v>
      </c>
      <c r="BZ209">
        <f t="shared" si="35"/>
        <v>-1</v>
      </c>
      <c r="CA209">
        <f t="shared" si="36"/>
        <v>2</v>
      </c>
      <c r="CB209" t="b">
        <f t="shared" si="37"/>
        <v>0</v>
      </c>
    </row>
    <row r="210" spans="1:80" x14ac:dyDescent="0.3">
      <c r="A210" t="s">
        <v>2082</v>
      </c>
      <c r="B210" t="s">
        <v>71</v>
      </c>
      <c r="C210" t="s">
        <v>2083</v>
      </c>
      <c r="D210">
        <v>42</v>
      </c>
      <c r="E210" s="1">
        <v>30506</v>
      </c>
      <c r="F210" t="s">
        <v>89</v>
      </c>
      <c r="G210" t="s">
        <v>115</v>
      </c>
      <c r="H210" t="s">
        <v>76</v>
      </c>
      <c r="I210" t="s">
        <v>791</v>
      </c>
      <c r="J210" t="s">
        <v>89</v>
      </c>
      <c r="K210" t="s">
        <v>89</v>
      </c>
      <c r="L210" t="s">
        <v>99</v>
      </c>
      <c r="M210">
        <v>18</v>
      </c>
      <c r="N210" t="s">
        <v>364</v>
      </c>
      <c r="O210">
        <v>2001</v>
      </c>
      <c r="P210" t="s">
        <v>2084</v>
      </c>
      <c r="Q210" t="s">
        <v>2085</v>
      </c>
      <c r="R210">
        <v>44038</v>
      </c>
      <c r="S210" t="s">
        <v>2086</v>
      </c>
      <c r="T210" t="s">
        <v>2087</v>
      </c>
      <c r="U210">
        <v>1983</v>
      </c>
      <c r="V210" t="s">
        <v>502</v>
      </c>
      <c r="W210">
        <v>1.8</v>
      </c>
      <c r="X210" t="s">
        <v>76</v>
      </c>
      <c r="Y210" t="s">
        <v>106</v>
      </c>
      <c r="Z210" t="s">
        <v>87</v>
      </c>
      <c r="AA210" t="s">
        <v>1585</v>
      </c>
      <c r="AB210">
        <v>44933</v>
      </c>
      <c r="AC210" t="s">
        <v>108</v>
      </c>
      <c r="AD210" t="s">
        <v>442</v>
      </c>
      <c r="AE210" t="s">
        <v>2088</v>
      </c>
      <c r="AF210">
        <v>18</v>
      </c>
      <c r="AG210" t="s">
        <v>91</v>
      </c>
      <c r="AH210" t="s">
        <v>1162</v>
      </c>
      <c r="AI210">
        <v>19</v>
      </c>
      <c r="AJ210" t="s">
        <v>110</v>
      </c>
      <c r="AK210">
        <v>18</v>
      </c>
      <c r="AL210">
        <v>3</v>
      </c>
      <c r="AM210">
        <v>139</v>
      </c>
      <c r="AN210">
        <v>21</v>
      </c>
      <c r="AO210">
        <v>2</v>
      </c>
      <c r="AP210" t="s">
        <v>93</v>
      </c>
      <c r="AQ210" t="s">
        <v>89</v>
      </c>
      <c r="AR210" t="s">
        <v>89</v>
      </c>
      <c r="AS210" t="s">
        <v>111</v>
      </c>
      <c r="AT210">
        <v>44933</v>
      </c>
      <c r="AU210">
        <v>2023</v>
      </c>
      <c r="AV210">
        <v>22</v>
      </c>
      <c r="AW210">
        <v>22</v>
      </c>
      <c r="AX210" t="s">
        <v>89</v>
      </c>
      <c r="AY210" t="s">
        <v>93</v>
      </c>
      <c r="AZ210">
        <v>0</v>
      </c>
      <c r="BA210">
        <v>0</v>
      </c>
      <c r="BB210">
        <v>0</v>
      </c>
      <c r="BC210">
        <v>0</v>
      </c>
      <c r="BD210">
        <v>272</v>
      </c>
      <c r="BE210">
        <v>16577</v>
      </c>
      <c r="BF210">
        <v>27</v>
      </c>
      <c r="BG210">
        <v>40</v>
      </c>
      <c r="BH210">
        <v>272</v>
      </c>
      <c r="BI210">
        <v>16577</v>
      </c>
      <c r="BJ210">
        <v>27</v>
      </c>
      <c r="BK210">
        <f t="shared" si="29"/>
        <v>272</v>
      </c>
      <c r="BL210">
        <f t="shared" si="30"/>
        <v>16577</v>
      </c>
      <c r="BM210">
        <f t="shared" si="31"/>
        <v>27</v>
      </c>
      <c r="BN210">
        <f t="shared" si="32"/>
        <v>0</v>
      </c>
      <c r="BO210">
        <f t="shared" si="33"/>
        <v>0</v>
      </c>
      <c r="BP210">
        <f t="shared" si="34"/>
        <v>0</v>
      </c>
      <c r="BQ210" t="s">
        <v>106</v>
      </c>
      <c r="BR210" t="s">
        <v>112</v>
      </c>
      <c r="BS210" t="s">
        <v>89</v>
      </c>
      <c r="BT210">
        <v>43</v>
      </c>
      <c r="BU210">
        <v>44933</v>
      </c>
      <c r="BV210" t="s">
        <v>89</v>
      </c>
      <c r="BW210">
        <v>22</v>
      </c>
      <c r="BX210">
        <v>1983</v>
      </c>
      <c r="BY210">
        <v>22</v>
      </c>
      <c r="BZ210">
        <f t="shared" si="35"/>
        <v>0</v>
      </c>
      <c r="CA210">
        <f t="shared" si="36"/>
        <v>0</v>
      </c>
      <c r="CB210" t="b">
        <f t="shared" si="37"/>
        <v>1</v>
      </c>
    </row>
    <row r="211" spans="1:80" x14ac:dyDescent="0.3">
      <c r="A211" t="s">
        <v>2089</v>
      </c>
      <c r="B211" t="s">
        <v>776</v>
      </c>
      <c r="C211" t="s">
        <v>2090</v>
      </c>
      <c r="D211">
        <v>33</v>
      </c>
      <c r="E211" t="s">
        <v>2091</v>
      </c>
      <c r="F211" t="s">
        <v>2092</v>
      </c>
      <c r="G211" t="s">
        <v>176</v>
      </c>
      <c r="H211" t="s">
        <v>778</v>
      </c>
      <c r="I211" t="s">
        <v>288</v>
      </c>
      <c r="J211" t="s">
        <v>78</v>
      </c>
      <c r="K211" t="s">
        <v>2093</v>
      </c>
      <c r="L211" t="s">
        <v>80</v>
      </c>
      <c r="M211">
        <v>20</v>
      </c>
      <c r="N211" t="s">
        <v>118</v>
      </c>
      <c r="O211">
        <v>2012</v>
      </c>
      <c r="P211" t="s">
        <v>2094</v>
      </c>
      <c r="Q211" t="s">
        <v>2095</v>
      </c>
      <c r="R211">
        <v>16306</v>
      </c>
      <c r="S211" t="s">
        <v>2089</v>
      </c>
      <c r="T211" t="s">
        <v>2096</v>
      </c>
      <c r="U211">
        <v>1992</v>
      </c>
      <c r="V211" t="s">
        <v>2097</v>
      </c>
      <c r="W211">
        <v>1.85</v>
      </c>
      <c r="X211" t="s">
        <v>783</v>
      </c>
      <c r="Y211" t="s">
        <v>259</v>
      </c>
      <c r="Z211" t="s">
        <v>87</v>
      </c>
      <c r="AA211" t="s">
        <v>2098</v>
      </c>
      <c r="AB211" t="s">
        <v>2099</v>
      </c>
      <c r="AC211" t="s">
        <v>170</v>
      </c>
      <c r="AD211" t="s">
        <v>442</v>
      </c>
      <c r="AE211">
        <v>2010</v>
      </c>
      <c r="AF211">
        <v>18</v>
      </c>
      <c r="AG211" t="s">
        <v>786</v>
      </c>
      <c r="AH211">
        <v>2013</v>
      </c>
      <c r="AI211">
        <v>20</v>
      </c>
      <c r="AJ211">
        <v>0</v>
      </c>
      <c r="AK211">
        <v>18</v>
      </c>
      <c r="AL211">
        <v>11</v>
      </c>
      <c r="AM211">
        <v>268</v>
      </c>
      <c r="AN211">
        <v>64</v>
      </c>
      <c r="AO211">
        <v>8</v>
      </c>
      <c r="AP211" t="s">
        <v>93</v>
      </c>
      <c r="AQ211" t="s">
        <v>89</v>
      </c>
      <c r="AR211" t="s">
        <v>89</v>
      </c>
      <c r="AS211" t="s">
        <v>93</v>
      </c>
      <c r="AT211" t="s">
        <v>89</v>
      </c>
      <c r="AU211" t="s">
        <v>89</v>
      </c>
      <c r="AV211" t="s">
        <v>89</v>
      </c>
      <c r="AW211">
        <v>13</v>
      </c>
      <c r="AX211">
        <v>18</v>
      </c>
      <c r="AY211" t="s">
        <v>111</v>
      </c>
      <c r="AZ211">
        <v>13</v>
      </c>
      <c r="BA211">
        <v>61</v>
      </c>
      <c r="BB211">
        <v>4949</v>
      </c>
      <c r="BC211">
        <v>5</v>
      </c>
      <c r="BD211">
        <v>507</v>
      </c>
      <c r="BE211">
        <v>38966</v>
      </c>
      <c r="BF211">
        <v>55</v>
      </c>
      <c r="BG211" t="s">
        <v>89</v>
      </c>
      <c r="BH211">
        <v>568</v>
      </c>
      <c r="BI211">
        <v>43915</v>
      </c>
      <c r="BJ211">
        <v>60</v>
      </c>
      <c r="BK211">
        <f t="shared" si="29"/>
        <v>568</v>
      </c>
      <c r="BL211">
        <f t="shared" si="30"/>
        <v>43915</v>
      </c>
      <c r="BM211">
        <f t="shared" si="31"/>
        <v>60</v>
      </c>
      <c r="BN211">
        <f t="shared" si="32"/>
        <v>0</v>
      </c>
      <c r="BO211">
        <f t="shared" si="33"/>
        <v>0</v>
      </c>
      <c r="BP211">
        <f t="shared" si="34"/>
        <v>0</v>
      </c>
      <c r="BQ211" t="s">
        <v>259</v>
      </c>
      <c r="BR211" t="s">
        <v>94</v>
      </c>
      <c r="BS211" s="1">
        <v>33657</v>
      </c>
      <c r="BT211">
        <v>33</v>
      </c>
      <c r="BU211" t="s">
        <v>89</v>
      </c>
      <c r="BV211" t="s">
        <v>89</v>
      </c>
      <c r="BW211">
        <v>15</v>
      </c>
      <c r="BX211">
        <v>1992</v>
      </c>
      <c r="BY211">
        <v>15</v>
      </c>
      <c r="BZ211">
        <f t="shared" si="35"/>
        <v>-2</v>
      </c>
      <c r="CA211">
        <f t="shared" si="36"/>
        <v>0</v>
      </c>
      <c r="CB211" t="b">
        <f t="shared" si="37"/>
        <v>0</v>
      </c>
    </row>
    <row r="212" spans="1:80" x14ac:dyDescent="0.3">
      <c r="A212" t="s">
        <v>2100</v>
      </c>
      <c r="B212" t="s">
        <v>71</v>
      </c>
      <c r="C212" t="s">
        <v>2101</v>
      </c>
      <c r="D212">
        <v>43</v>
      </c>
      <c r="E212" s="1">
        <v>30120</v>
      </c>
      <c r="F212" t="s">
        <v>89</v>
      </c>
      <c r="G212" t="s">
        <v>97</v>
      </c>
      <c r="H212" t="s">
        <v>89</v>
      </c>
      <c r="I212" t="s">
        <v>178</v>
      </c>
      <c r="J212" t="s">
        <v>89</v>
      </c>
      <c r="K212" t="s">
        <v>89</v>
      </c>
      <c r="L212" t="s">
        <v>117</v>
      </c>
      <c r="M212">
        <v>23</v>
      </c>
      <c r="N212" t="s">
        <v>361</v>
      </c>
      <c r="O212">
        <v>2005</v>
      </c>
      <c r="P212" t="s">
        <v>2102</v>
      </c>
      <c r="Q212" t="s">
        <v>2103</v>
      </c>
      <c r="R212">
        <v>47722</v>
      </c>
      <c r="S212" t="s">
        <v>2100</v>
      </c>
      <c r="T212" t="s">
        <v>2104</v>
      </c>
      <c r="U212">
        <v>1982</v>
      </c>
      <c r="V212" t="s">
        <v>2105</v>
      </c>
      <c r="W212">
        <v>1.8</v>
      </c>
      <c r="X212" t="s">
        <v>76</v>
      </c>
      <c r="Y212" t="s">
        <v>186</v>
      </c>
      <c r="Z212" t="s">
        <v>89</v>
      </c>
      <c r="AA212" t="s">
        <v>2106</v>
      </c>
      <c r="AB212" t="s">
        <v>2107</v>
      </c>
      <c r="AC212" t="s">
        <v>108</v>
      </c>
      <c r="AD212" t="s">
        <v>89</v>
      </c>
      <c r="AE212" t="s">
        <v>2108</v>
      </c>
      <c r="AF212">
        <v>25</v>
      </c>
      <c r="AG212" t="s">
        <v>91</v>
      </c>
      <c r="AH212" t="s">
        <v>2109</v>
      </c>
      <c r="AI212">
        <v>24</v>
      </c>
      <c r="AJ212" t="s">
        <v>110</v>
      </c>
      <c r="AK212">
        <v>24</v>
      </c>
      <c r="AL212">
        <v>2</v>
      </c>
      <c r="AM212">
        <v>34</v>
      </c>
      <c r="AN212">
        <v>5</v>
      </c>
      <c r="AO212">
        <v>2</v>
      </c>
      <c r="AP212" t="s">
        <v>93</v>
      </c>
      <c r="AQ212" t="s">
        <v>89</v>
      </c>
      <c r="AR212" t="s">
        <v>89</v>
      </c>
      <c r="AS212" t="s">
        <v>111</v>
      </c>
      <c r="AT212" t="s">
        <v>2107</v>
      </c>
      <c r="AU212">
        <v>2022</v>
      </c>
      <c r="AV212">
        <v>17</v>
      </c>
      <c r="AW212">
        <v>17</v>
      </c>
      <c r="AX212" t="s">
        <v>89</v>
      </c>
      <c r="AY212" t="s">
        <v>93</v>
      </c>
      <c r="AZ212">
        <v>0</v>
      </c>
      <c r="BA212">
        <v>0</v>
      </c>
      <c r="BB212">
        <v>0</v>
      </c>
      <c r="BC212">
        <v>0</v>
      </c>
      <c r="BD212">
        <v>316</v>
      </c>
      <c r="BE212">
        <v>28235</v>
      </c>
      <c r="BF212">
        <v>0</v>
      </c>
      <c r="BG212">
        <v>40</v>
      </c>
      <c r="BH212">
        <v>316</v>
      </c>
      <c r="BI212">
        <v>28235</v>
      </c>
      <c r="BJ212">
        <v>0</v>
      </c>
      <c r="BK212">
        <f t="shared" si="29"/>
        <v>316</v>
      </c>
      <c r="BL212">
        <f t="shared" si="30"/>
        <v>28235</v>
      </c>
      <c r="BM212">
        <f t="shared" si="31"/>
        <v>0</v>
      </c>
      <c r="BN212">
        <f t="shared" si="32"/>
        <v>0</v>
      </c>
      <c r="BO212">
        <f t="shared" si="33"/>
        <v>0</v>
      </c>
      <c r="BP212">
        <f t="shared" si="34"/>
        <v>0</v>
      </c>
      <c r="BQ212" t="s">
        <v>186</v>
      </c>
      <c r="BR212" t="s">
        <v>186</v>
      </c>
      <c r="BS212" s="1">
        <v>30120</v>
      </c>
      <c r="BT212">
        <v>43</v>
      </c>
      <c r="BU212" t="s">
        <v>2107</v>
      </c>
      <c r="BV212" s="1">
        <v>44585</v>
      </c>
      <c r="BW212">
        <v>16</v>
      </c>
      <c r="BX212">
        <v>1982</v>
      </c>
      <c r="BY212">
        <v>16</v>
      </c>
      <c r="BZ212">
        <f t="shared" si="35"/>
        <v>1</v>
      </c>
      <c r="CA212">
        <f t="shared" si="36"/>
        <v>0</v>
      </c>
      <c r="CB212" t="b">
        <f t="shared" si="37"/>
        <v>0</v>
      </c>
    </row>
    <row r="213" spans="1:80" x14ac:dyDescent="0.3">
      <c r="A213" t="s">
        <v>2110</v>
      </c>
      <c r="B213" t="s">
        <v>156</v>
      </c>
      <c r="C213" t="s">
        <v>2111</v>
      </c>
      <c r="D213">
        <v>46</v>
      </c>
      <c r="E213" s="1">
        <v>29049</v>
      </c>
      <c r="F213" t="s">
        <v>89</v>
      </c>
      <c r="G213" t="s">
        <v>176</v>
      </c>
      <c r="H213" t="s">
        <v>177</v>
      </c>
      <c r="I213" t="s">
        <v>227</v>
      </c>
      <c r="J213" t="s">
        <v>78</v>
      </c>
      <c r="K213" t="s">
        <v>89</v>
      </c>
      <c r="L213" t="s">
        <v>657</v>
      </c>
      <c r="M213">
        <v>24</v>
      </c>
      <c r="N213" t="s">
        <v>2112</v>
      </c>
      <c r="O213">
        <v>2003</v>
      </c>
      <c r="P213" t="s">
        <v>2113</v>
      </c>
      <c r="Q213" t="s">
        <v>2114</v>
      </c>
      <c r="R213">
        <v>39087</v>
      </c>
      <c r="S213" t="s">
        <v>2110</v>
      </c>
      <c r="T213" t="s">
        <v>2115</v>
      </c>
      <c r="U213">
        <v>1979</v>
      </c>
      <c r="V213" t="s">
        <v>2116</v>
      </c>
      <c r="W213">
        <v>1.83</v>
      </c>
      <c r="X213" t="s">
        <v>169</v>
      </c>
      <c r="Y213" t="s">
        <v>235</v>
      </c>
      <c r="Z213" t="s">
        <v>87</v>
      </c>
      <c r="AA213" t="s">
        <v>2117</v>
      </c>
      <c r="AB213">
        <v>44203</v>
      </c>
      <c r="AC213" t="s">
        <v>108</v>
      </c>
      <c r="AD213" t="s">
        <v>89</v>
      </c>
      <c r="AE213" t="s">
        <v>2118</v>
      </c>
      <c r="AF213">
        <v>20</v>
      </c>
      <c r="AG213" t="s">
        <v>171</v>
      </c>
      <c r="AH213" t="s">
        <v>2119</v>
      </c>
      <c r="AI213">
        <v>37</v>
      </c>
      <c r="AJ213" t="s">
        <v>110</v>
      </c>
      <c r="AK213">
        <v>20</v>
      </c>
      <c r="AL213">
        <v>3</v>
      </c>
      <c r="AM213">
        <v>94</v>
      </c>
      <c r="AN213">
        <v>12</v>
      </c>
      <c r="AO213">
        <v>3</v>
      </c>
      <c r="AP213" t="s">
        <v>93</v>
      </c>
      <c r="AQ213" t="s">
        <v>89</v>
      </c>
      <c r="AR213" t="s">
        <v>89</v>
      </c>
      <c r="AS213" t="s">
        <v>111</v>
      </c>
      <c r="AT213">
        <v>44203</v>
      </c>
      <c r="AU213">
        <v>2021</v>
      </c>
      <c r="AV213">
        <v>18</v>
      </c>
      <c r="AW213">
        <v>18</v>
      </c>
      <c r="AX213" t="s">
        <v>89</v>
      </c>
      <c r="AY213" t="s">
        <v>93</v>
      </c>
      <c r="AZ213">
        <v>0</v>
      </c>
      <c r="BA213">
        <v>0</v>
      </c>
      <c r="BB213">
        <v>0</v>
      </c>
      <c r="BC213">
        <v>0</v>
      </c>
      <c r="BD213">
        <v>333</v>
      </c>
      <c r="BE213">
        <v>29325</v>
      </c>
      <c r="BF213">
        <v>5</v>
      </c>
      <c r="BG213">
        <v>42</v>
      </c>
      <c r="BH213">
        <v>333</v>
      </c>
      <c r="BI213">
        <v>29325</v>
      </c>
      <c r="BJ213">
        <v>5</v>
      </c>
      <c r="BK213">
        <f t="shared" si="29"/>
        <v>333</v>
      </c>
      <c r="BL213">
        <f t="shared" si="30"/>
        <v>29325</v>
      </c>
      <c r="BM213">
        <f t="shared" si="31"/>
        <v>5</v>
      </c>
      <c r="BN213">
        <f t="shared" si="32"/>
        <v>0</v>
      </c>
      <c r="BO213">
        <f t="shared" si="33"/>
        <v>0</v>
      </c>
      <c r="BP213">
        <f t="shared" si="34"/>
        <v>0</v>
      </c>
      <c r="BQ213" t="s">
        <v>235</v>
      </c>
      <c r="BR213" t="s">
        <v>140</v>
      </c>
      <c r="BS213" s="1">
        <v>29049</v>
      </c>
      <c r="BT213">
        <v>46</v>
      </c>
      <c r="BU213">
        <v>44203</v>
      </c>
      <c r="BV213" t="s">
        <v>89</v>
      </c>
      <c r="BW213">
        <v>22</v>
      </c>
      <c r="BX213">
        <v>1979</v>
      </c>
      <c r="BY213">
        <v>22</v>
      </c>
      <c r="BZ213">
        <f t="shared" si="35"/>
        <v>-4</v>
      </c>
      <c r="CA213">
        <f t="shared" si="36"/>
        <v>0</v>
      </c>
      <c r="CB213" t="b">
        <f t="shared" si="37"/>
        <v>0</v>
      </c>
    </row>
    <row r="214" spans="1:80" x14ac:dyDescent="0.3">
      <c r="A214" t="s">
        <v>2120</v>
      </c>
      <c r="B214" t="s">
        <v>2121</v>
      </c>
      <c r="C214" t="s">
        <v>2122</v>
      </c>
      <c r="D214">
        <v>33</v>
      </c>
      <c r="E214" s="1">
        <v>33671</v>
      </c>
      <c r="F214" t="s">
        <v>89</v>
      </c>
      <c r="G214" t="s">
        <v>731</v>
      </c>
      <c r="H214" t="s">
        <v>2123</v>
      </c>
      <c r="I214" t="s">
        <v>340</v>
      </c>
      <c r="J214" t="s">
        <v>89</v>
      </c>
      <c r="K214" t="s">
        <v>89</v>
      </c>
      <c r="L214" t="s">
        <v>228</v>
      </c>
      <c r="M214">
        <v>18</v>
      </c>
      <c r="N214" t="s">
        <v>1926</v>
      </c>
      <c r="O214">
        <v>2010</v>
      </c>
      <c r="P214" t="s">
        <v>2124</v>
      </c>
      <c r="Q214" t="s">
        <v>2125</v>
      </c>
      <c r="R214">
        <v>137162</v>
      </c>
      <c r="S214" t="s">
        <v>2126</v>
      </c>
      <c r="T214" s="1">
        <v>33819</v>
      </c>
      <c r="U214">
        <v>1992</v>
      </c>
      <c r="V214" t="s">
        <v>2127</v>
      </c>
      <c r="W214">
        <v>1.68</v>
      </c>
      <c r="X214" t="s">
        <v>2128</v>
      </c>
      <c r="Y214" t="s">
        <v>391</v>
      </c>
      <c r="Z214" t="s">
        <v>87</v>
      </c>
      <c r="AA214" t="s">
        <v>2129</v>
      </c>
      <c r="AB214">
        <v>45298</v>
      </c>
      <c r="AC214" t="s">
        <v>108</v>
      </c>
      <c r="AD214" t="s">
        <v>89</v>
      </c>
      <c r="AE214" t="s">
        <v>331</v>
      </c>
      <c r="AF214">
        <v>21</v>
      </c>
      <c r="AG214" t="s">
        <v>91</v>
      </c>
      <c r="AH214" t="s">
        <v>237</v>
      </c>
      <c r="AI214">
        <v>18</v>
      </c>
      <c r="AJ214" t="s">
        <v>110</v>
      </c>
      <c r="AK214">
        <v>18</v>
      </c>
      <c r="AL214">
        <v>2</v>
      </c>
      <c r="AM214">
        <v>118</v>
      </c>
      <c r="AN214">
        <v>12</v>
      </c>
      <c r="AO214">
        <v>2</v>
      </c>
      <c r="AP214" t="s">
        <v>93</v>
      </c>
      <c r="AQ214" t="s">
        <v>89</v>
      </c>
      <c r="AR214" t="s">
        <v>89</v>
      </c>
      <c r="AS214" t="s">
        <v>111</v>
      </c>
      <c r="AT214">
        <v>45298</v>
      </c>
      <c r="AU214">
        <v>2024</v>
      </c>
      <c r="AV214">
        <v>14</v>
      </c>
      <c r="AW214">
        <v>14</v>
      </c>
      <c r="AX214" t="s">
        <v>89</v>
      </c>
      <c r="AY214" t="s">
        <v>111</v>
      </c>
      <c r="AZ214">
        <v>5</v>
      </c>
      <c r="BA214">
        <v>12</v>
      </c>
      <c r="BB214">
        <v>774</v>
      </c>
      <c r="BC214">
        <v>0</v>
      </c>
      <c r="BD214">
        <v>200</v>
      </c>
      <c r="BE214">
        <v>11207</v>
      </c>
      <c r="BF214">
        <v>16</v>
      </c>
      <c r="BG214">
        <v>32</v>
      </c>
      <c r="BH214">
        <v>212</v>
      </c>
      <c r="BI214">
        <v>11981</v>
      </c>
      <c r="BJ214">
        <v>16</v>
      </c>
      <c r="BK214">
        <f t="shared" si="29"/>
        <v>212</v>
      </c>
      <c r="BL214">
        <f t="shared" si="30"/>
        <v>11981</v>
      </c>
      <c r="BM214">
        <f t="shared" si="31"/>
        <v>16</v>
      </c>
      <c r="BN214">
        <f t="shared" si="32"/>
        <v>0</v>
      </c>
      <c r="BO214">
        <f t="shared" si="33"/>
        <v>0</v>
      </c>
      <c r="BP214">
        <f t="shared" si="34"/>
        <v>0</v>
      </c>
      <c r="BQ214" t="s">
        <v>391</v>
      </c>
      <c r="BR214" t="s">
        <v>112</v>
      </c>
      <c r="BS214" s="1">
        <v>33671</v>
      </c>
      <c r="BT214">
        <v>33</v>
      </c>
      <c r="BU214">
        <v>45298</v>
      </c>
      <c r="BV214" t="s">
        <v>89</v>
      </c>
      <c r="BW214">
        <v>14</v>
      </c>
      <c r="BX214">
        <v>1992</v>
      </c>
      <c r="BY214">
        <v>14</v>
      </c>
      <c r="BZ214">
        <f t="shared" si="35"/>
        <v>0</v>
      </c>
      <c r="CA214">
        <f t="shared" si="36"/>
        <v>0</v>
      </c>
      <c r="CB214" t="b">
        <f t="shared" si="37"/>
        <v>1</v>
      </c>
    </row>
    <row r="215" spans="1:80" x14ac:dyDescent="0.3">
      <c r="A215" t="s">
        <v>2130</v>
      </c>
      <c r="B215" t="s">
        <v>2131</v>
      </c>
      <c r="C215" t="s">
        <v>2132</v>
      </c>
      <c r="D215">
        <v>37</v>
      </c>
      <c r="E215" t="s">
        <v>2133</v>
      </c>
      <c r="F215" t="s">
        <v>2134</v>
      </c>
      <c r="G215" t="s">
        <v>193</v>
      </c>
      <c r="H215" t="s">
        <v>2135</v>
      </c>
      <c r="I215" t="s">
        <v>2136</v>
      </c>
      <c r="J215" t="s">
        <v>78</v>
      </c>
      <c r="K215" t="s">
        <v>2137</v>
      </c>
      <c r="L215">
        <v>2009</v>
      </c>
      <c r="M215">
        <v>20</v>
      </c>
      <c r="N215" t="s">
        <v>2138</v>
      </c>
      <c r="O215">
        <v>2009</v>
      </c>
      <c r="P215" t="s">
        <v>2139</v>
      </c>
      <c r="Q215" t="s">
        <v>2140</v>
      </c>
      <c r="R215">
        <v>81532</v>
      </c>
      <c r="S215" t="s">
        <v>2130</v>
      </c>
      <c r="T215" t="s">
        <v>2141</v>
      </c>
      <c r="U215">
        <v>1988</v>
      </c>
      <c r="V215" t="s">
        <v>2142</v>
      </c>
      <c r="W215">
        <v>1.83</v>
      </c>
      <c r="X215" t="s">
        <v>2143</v>
      </c>
      <c r="Y215" t="s">
        <v>86</v>
      </c>
      <c r="Z215" t="s">
        <v>87</v>
      </c>
      <c r="AA215" t="s">
        <v>2144</v>
      </c>
      <c r="AB215" t="s">
        <v>2145</v>
      </c>
      <c r="AC215" t="s">
        <v>108</v>
      </c>
      <c r="AD215" t="s">
        <v>89</v>
      </c>
      <c r="AE215" t="s">
        <v>2146</v>
      </c>
      <c r="AF215">
        <v>19</v>
      </c>
      <c r="AG215" t="s">
        <v>2147</v>
      </c>
      <c r="AH215" s="1">
        <v>40302</v>
      </c>
      <c r="AI215">
        <v>21</v>
      </c>
      <c r="AJ215" t="s">
        <v>2148</v>
      </c>
      <c r="AK215">
        <v>19</v>
      </c>
      <c r="AL215">
        <v>18</v>
      </c>
      <c r="AM215">
        <v>280</v>
      </c>
      <c r="AN215">
        <v>60</v>
      </c>
      <c r="AO215">
        <v>7</v>
      </c>
      <c r="AP215" t="s">
        <v>93</v>
      </c>
      <c r="AQ215" t="s">
        <v>89</v>
      </c>
      <c r="AR215" t="s">
        <v>89</v>
      </c>
      <c r="AS215" t="s">
        <v>93</v>
      </c>
      <c r="AT215" t="s">
        <v>89</v>
      </c>
      <c r="AU215" t="s">
        <v>89</v>
      </c>
      <c r="AV215" t="s">
        <v>89</v>
      </c>
      <c r="AW215">
        <v>16</v>
      </c>
      <c r="AX215">
        <v>5</v>
      </c>
      <c r="AY215" t="s">
        <v>111</v>
      </c>
      <c r="AZ215">
        <v>22</v>
      </c>
      <c r="BA215">
        <v>116</v>
      </c>
      <c r="BB215">
        <v>9291</v>
      </c>
      <c r="BC215">
        <v>16</v>
      </c>
      <c r="BD215">
        <v>303</v>
      </c>
      <c r="BE215">
        <v>23856</v>
      </c>
      <c r="BF215">
        <v>54</v>
      </c>
      <c r="BG215" t="s">
        <v>89</v>
      </c>
      <c r="BH215">
        <v>419</v>
      </c>
      <c r="BI215">
        <v>33147</v>
      </c>
      <c r="BJ215">
        <v>70</v>
      </c>
      <c r="BK215">
        <f t="shared" si="29"/>
        <v>419</v>
      </c>
      <c r="BL215">
        <f t="shared" si="30"/>
        <v>33147</v>
      </c>
      <c r="BM215">
        <f t="shared" si="31"/>
        <v>70</v>
      </c>
      <c r="BN215">
        <f t="shared" si="32"/>
        <v>0</v>
      </c>
      <c r="BO215">
        <f t="shared" si="33"/>
        <v>0</v>
      </c>
      <c r="BP215">
        <f t="shared" si="34"/>
        <v>0</v>
      </c>
      <c r="BQ215" t="s">
        <v>86</v>
      </c>
      <c r="BR215" t="s">
        <v>94</v>
      </c>
      <c r="BS215" s="1">
        <v>32290</v>
      </c>
      <c r="BT215">
        <v>37</v>
      </c>
      <c r="BU215" t="s">
        <v>89</v>
      </c>
      <c r="BV215" t="s">
        <v>89</v>
      </c>
      <c r="BW215">
        <v>18</v>
      </c>
      <c r="BX215">
        <v>1988</v>
      </c>
      <c r="BY215">
        <v>18</v>
      </c>
      <c r="BZ215">
        <f t="shared" si="35"/>
        <v>-2</v>
      </c>
      <c r="CA215">
        <f t="shared" si="36"/>
        <v>0</v>
      </c>
      <c r="CB215" t="b">
        <f t="shared" si="37"/>
        <v>0</v>
      </c>
    </row>
    <row r="216" spans="1:80" x14ac:dyDescent="0.3">
      <c r="A216" t="s">
        <v>2149</v>
      </c>
      <c r="B216" t="s">
        <v>71</v>
      </c>
      <c r="C216" t="s">
        <v>2150</v>
      </c>
      <c r="D216">
        <v>38</v>
      </c>
      <c r="E216" s="1">
        <v>31901</v>
      </c>
      <c r="F216" t="s">
        <v>89</v>
      </c>
      <c r="G216" t="s">
        <v>143</v>
      </c>
      <c r="H216" t="s">
        <v>76</v>
      </c>
      <c r="I216" t="s">
        <v>2136</v>
      </c>
      <c r="J216" t="s">
        <v>78</v>
      </c>
      <c r="K216" t="s">
        <v>89</v>
      </c>
      <c r="L216" t="s">
        <v>145</v>
      </c>
      <c r="M216">
        <v>17</v>
      </c>
      <c r="N216" t="s">
        <v>2151</v>
      </c>
      <c r="O216">
        <v>2004</v>
      </c>
      <c r="P216" t="s">
        <v>2152</v>
      </c>
      <c r="Q216" t="s">
        <v>2153</v>
      </c>
      <c r="R216">
        <v>8806</v>
      </c>
      <c r="S216" t="s">
        <v>2149</v>
      </c>
      <c r="T216">
        <v>31872</v>
      </c>
      <c r="U216">
        <v>1987</v>
      </c>
      <c r="V216" t="s">
        <v>2154</v>
      </c>
      <c r="W216">
        <v>1.79</v>
      </c>
      <c r="X216" t="s">
        <v>76</v>
      </c>
      <c r="Y216" t="s">
        <v>86</v>
      </c>
      <c r="Z216" t="s">
        <v>87</v>
      </c>
      <c r="AA216" t="s">
        <v>438</v>
      </c>
      <c r="AB216" s="1">
        <v>44933</v>
      </c>
      <c r="AC216" t="s">
        <v>108</v>
      </c>
      <c r="AD216" t="s">
        <v>395</v>
      </c>
      <c r="AE216" t="s">
        <v>2155</v>
      </c>
      <c r="AF216">
        <v>17</v>
      </c>
      <c r="AG216" t="s">
        <v>1653</v>
      </c>
      <c r="AH216" t="s">
        <v>2156</v>
      </c>
      <c r="AI216">
        <v>35</v>
      </c>
      <c r="AJ216" t="s">
        <v>575</v>
      </c>
      <c r="AK216">
        <v>17</v>
      </c>
      <c r="AL216">
        <v>28</v>
      </c>
      <c r="AM216">
        <v>867</v>
      </c>
      <c r="AN216">
        <v>179</v>
      </c>
      <c r="AO216">
        <v>13</v>
      </c>
      <c r="AP216" t="s">
        <v>93</v>
      </c>
      <c r="AQ216" t="s">
        <v>89</v>
      </c>
      <c r="AR216" t="s">
        <v>89</v>
      </c>
      <c r="AS216" t="s">
        <v>111</v>
      </c>
      <c r="AT216" s="1">
        <v>44933</v>
      </c>
      <c r="AU216">
        <v>2023</v>
      </c>
      <c r="AV216">
        <v>19</v>
      </c>
      <c r="AW216">
        <v>19</v>
      </c>
      <c r="AX216" t="s">
        <v>89</v>
      </c>
      <c r="AY216" t="s">
        <v>111</v>
      </c>
      <c r="AZ216">
        <v>16</v>
      </c>
      <c r="BA216">
        <v>74</v>
      </c>
      <c r="BB216">
        <v>4296</v>
      </c>
      <c r="BC216">
        <v>8</v>
      </c>
      <c r="BD216">
        <v>671</v>
      </c>
      <c r="BE216">
        <v>48500</v>
      </c>
      <c r="BF216">
        <v>105</v>
      </c>
      <c r="BG216">
        <v>36</v>
      </c>
      <c r="BH216">
        <v>745</v>
      </c>
      <c r="BI216">
        <v>52796</v>
      </c>
      <c r="BJ216">
        <v>113</v>
      </c>
      <c r="BK216">
        <f t="shared" si="29"/>
        <v>745</v>
      </c>
      <c r="BL216">
        <f t="shared" si="30"/>
        <v>52796</v>
      </c>
      <c r="BM216">
        <f t="shared" si="31"/>
        <v>113</v>
      </c>
      <c r="BN216">
        <f t="shared" si="32"/>
        <v>0</v>
      </c>
      <c r="BO216">
        <f t="shared" si="33"/>
        <v>0</v>
      </c>
      <c r="BP216">
        <f t="shared" si="34"/>
        <v>0</v>
      </c>
      <c r="BQ216" t="s">
        <v>86</v>
      </c>
      <c r="BR216" t="s">
        <v>94</v>
      </c>
      <c r="BS216" t="s">
        <v>89</v>
      </c>
      <c r="BT216">
        <v>39</v>
      </c>
      <c r="BU216" s="1">
        <v>44933</v>
      </c>
      <c r="BV216" s="1">
        <v>45108</v>
      </c>
      <c r="BW216">
        <v>19</v>
      </c>
      <c r="BX216">
        <v>1987</v>
      </c>
      <c r="BY216">
        <v>19</v>
      </c>
      <c r="BZ216">
        <f t="shared" si="35"/>
        <v>0</v>
      </c>
      <c r="CA216">
        <f t="shared" si="36"/>
        <v>0</v>
      </c>
      <c r="CB216" t="b">
        <f t="shared" si="37"/>
        <v>1</v>
      </c>
    </row>
    <row r="217" spans="1:80" x14ac:dyDescent="0.3">
      <c r="A217" t="s">
        <v>2157</v>
      </c>
      <c r="B217" t="s">
        <v>1618</v>
      </c>
      <c r="C217" t="s">
        <v>2158</v>
      </c>
      <c r="D217">
        <v>39</v>
      </c>
      <c r="E217" s="1">
        <v>31455</v>
      </c>
      <c r="F217" t="s">
        <v>89</v>
      </c>
      <c r="G217" t="s">
        <v>115</v>
      </c>
      <c r="H217" t="s">
        <v>1622</v>
      </c>
      <c r="I217" t="s">
        <v>253</v>
      </c>
      <c r="J217" t="s">
        <v>78</v>
      </c>
      <c r="K217" t="s">
        <v>89</v>
      </c>
      <c r="L217" t="s">
        <v>117</v>
      </c>
      <c r="M217">
        <v>19</v>
      </c>
      <c r="N217" t="s">
        <v>2159</v>
      </c>
      <c r="O217">
        <v>2005</v>
      </c>
      <c r="P217" t="s">
        <v>2160</v>
      </c>
      <c r="Q217" t="s">
        <v>2161</v>
      </c>
      <c r="R217">
        <v>35448</v>
      </c>
      <c r="S217" t="s">
        <v>2157</v>
      </c>
      <c r="T217">
        <v>31748</v>
      </c>
      <c r="U217">
        <v>1986</v>
      </c>
      <c r="V217" t="s">
        <v>2162</v>
      </c>
      <c r="W217">
        <v>1.8</v>
      </c>
      <c r="X217" t="s">
        <v>1622</v>
      </c>
      <c r="Y217" t="s">
        <v>259</v>
      </c>
      <c r="Z217" t="s">
        <v>87</v>
      </c>
      <c r="AA217" t="s">
        <v>1900</v>
      </c>
      <c r="AB217" t="s">
        <v>2163</v>
      </c>
      <c r="AC217" t="s">
        <v>108</v>
      </c>
      <c r="AD217" t="s">
        <v>89</v>
      </c>
      <c r="AE217" t="s">
        <v>2164</v>
      </c>
      <c r="AF217">
        <v>19</v>
      </c>
      <c r="AG217" t="s">
        <v>1631</v>
      </c>
      <c r="AH217" s="1">
        <v>39699</v>
      </c>
      <c r="AI217">
        <v>22</v>
      </c>
      <c r="AJ217" t="s">
        <v>2165</v>
      </c>
      <c r="AK217">
        <v>19</v>
      </c>
      <c r="AL217">
        <v>5</v>
      </c>
      <c r="AM217">
        <v>854</v>
      </c>
      <c r="AN217">
        <v>120</v>
      </c>
      <c r="AO217">
        <v>5</v>
      </c>
      <c r="AP217" t="s">
        <v>93</v>
      </c>
      <c r="AQ217" t="s">
        <v>89</v>
      </c>
      <c r="AR217" t="s">
        <v>89</v>
      </c>
      <c r="AS217" t="s">
        <v>111</v>
      </c>
      <c r="AT217" t="s">
        <v>2163</v>
      </c>
      <c r="AU217">
        <v>2018</v>
      </c>
      <c r="AV217">
        <v>13</v>
      </c>
      <c r="AW217">
        <v>13</v>
      </c>
      <c r="AX217" t="s">
        <v>89</v>
      </c>
      <c r="AY217" t="s">
        <v>93</v>
      </c>
      <c r="AZ217">
        <v>0</v>
      </c>
      <c r="BA217">
        <v>0</v>
      </c>
      <c r="BB217">
        <v>0</v>
      </c>
      <c r="BC217">
        <v>0</v>
      </c>
      <c r="BD217">
        <v>186</v>
      </c>
      <c r="BE217">
        <v>13247</v>
      </c>
      <c r="BF217">
        <v>9</v>
      </c>
      <c r="BG217">
        <v>32</v>
      </c>
      <c r="BH217">
        <v>186</v>
      </c>
      <c r="BI217">
        <v>13247</v>
      </c>
      <c r="BJ217">
        <v>9</v>
      </c>
      <c r="BK217">
        <f t="shared" si="29"/>
        <v>186</v>
      </c>
      <c r="BL217">
        <f t="shared" si="30"/>
        <v>13247</v>
      </c>
      <c r="BM217">
        <f t="shared" si="31"/>
        <v>9</v>
      </c>
      <c r="BN217">
        <f t="shared" si="32"/>
        <v>0</v>
      </c>
      <c r="BO217">
        <f t="shared" si="33"/>
        <v>0</v>
      </c>
      <c r="BP217">
        <f t="shared" si="34"/>
        <v>0</v>
      </c>
      <c r="BQ217" t="s">
        <v>259</v>
      </c>
      <c r="BR217" t="s">
        <v>94</v>
      </c>
      <c r="BS217" t="s">
        <v>89</v>
      </c>
      <c r="BT217">
        <v>40</v>
      </c>
      <c r="BU217" t="s">
        <v>2163</v>
      </c>
      <c r="BV217" s="1">
        <v>43179</v>
      </c>
      <c r="BW217">
        <v>13</v>
      </c>
      <c r="BX217">
        <v>1986</v>
      </c>
      <c r="BY217">
        <v>13</v>
      </c>
      <c r="BZ217">
        <f t="shared" si="35"/>
        <v>0</v>
      </c>
      <c r="CA217">
        <f t="shared" si="36"/>
        <v>0</v>
      </c>
      <c r="CB217" t="b">
        <f t="shared" si="37"/>
        <v>1</v>
      </c>
    </row>
    <row r="218" spans="1:80" x14ac:dyDescent="0.3">
      <c r="A218" t="s">
        <v>2166</v>
      </c>
      <c r="B218" t="s">
        <v>776</v>
      </c>
      <c r="C218" t="s">
        <v>2167</v>
      </c>
      <c r="D218">
        <v>41</v>
      </c>
      <c r="E218" s="1">
        <v>30776</v>
      </c>
      <c r="F218" t="s">
        <v>89</v>
      </c>
      <c r="G218" t="s">
        <v>321</v>
      </c>
      <c r="H218" t="s">
        <v>89</v>
      </c>
      <c r="I218" t="s">
        <v>437</v>
      </c>
      <c r="J218" t="s">
        <v>78</v>
      </c>
      <c r="K218" t="s">
        <v>89</v>
      </c>
      <c r="L218" t="s">
        <v>145</v>
      </c>
      <c r="M218">
        <v>20</v>
      </c>
      <c r="N218" t="s">
        <v>2168</v>
      </c>
      <c r="O218">
        <v>2004</v>
      </c>
      <c r="P218" t="s">
        <v>2169</v>
      </c>
      <c r="Q218" t="s">
        <v>2170</v>
      </c>
      <c r="R218">
        <v>154059</v>
      </c>
      <c r="S218" t="s">
        <v>2166</v>
      </c>
      <c r="T218" t="s">
        <v>2171</v>
      </c>
      <c r="U218">
        <v>1984</v>
      </c>
      <c r="V218" t="s">
        <v>2172</v>
      </c>
      <c r="W218">
        <v>1.79</v>
      </c>
      <c r="X218" t="s">
        <v>2173</v>
      </c>
      <c r="Y218" t="s">
        <v>123</v>
      </c>
      <c r="Z218" t="s">
        <v>87</v>
      </c>
      <c r="AA218" t="s">
        <v>2174</v>
      </c>
      <c r="AB218" s="1">
        <v>44933</v>
      </c>
      <c r="AC218" t="s">
        <v>108</v>
      </c>
      <c r="AD218" t="s">
        <v>89</v>
      </c>
      <c r="AE218">
        <v>2013</v>
      </c>
      <c r="AF218">
        <v>29</v>
      </c>
      <c r="AG218" t="s">
        <v>91</v>
      </c>
      <c r="AH218">
        <v>2004</v>
      </c>
      <c r="AI218">
        <v>19</v>
      </c>
      <c r="AJ218">
        <v>0</v>
      </c>
      <c r="AK218">
        <v>19</v>
      </c>
      <c r="AL218">
        <v>9</v>
      </c>
      <c r="AM218">
        <v>235</v>
      </c>
      <c r="AN218">
        <v>27</v>
      </c>
      <c r="AO218">
        <v>5</v>
      </c>
      <c r="AP218" t="s">
        <v>93</v>
      </c>
      <c r="AQ218" t="s">
        <v>89</v>
      </c>
      <c r="AR218" t="s">
        <v>89</v>
      </c>
      <c r="AS218" t="s">
        <v>111</v>
      </c>
      <c r="AT218">
        <v>44933</v>
      </c>
      <c r="AU218">
        <v>2023</v>
      </c>
      <c r="AV218">
        <v>19</v>
      </c>
      <c r="AW218">
        <v>19</v>
      </c>
      <c r="AX218" t="s">
        <v>89</v>
      </c>
      <c r="AY218" t="s">
        <v>93</v>
      </c>
      <c r="AZ218">
        <v>0</v>
      </c>
      <c r="BA218">
        <v>0</v>
      </c>
      <c r="BB218">
        <v>0</v>
      </c>
      <c r="BC218">
        <v>0</v>
      </c>
      <c r="BD218">
        <v>358</v>
      </c>
      <c r="BE218">
        <v>22920</v>
      </c>
      <c r="BF218">
        <v>116</v>
      </c>
      <c r="BG218">
        <v>39</v>
      </c>
      <c r="BH218">
        <v>358</v>
      </c>
      <c r="BI218">
        <v>22920</v>
      </c>
      <c r="BJ218">
        <v>116</v>
      </c>
      <c r="BK218">
        <f t="shared" si="29"/>
        <v>358</v>
      </c>
      <c r="BL218">
        <f t="shared" si="30"/>
        <v>22920</v>
      </c>
      <c r="BM218">
        <f t="shared" si="31"/>
        <v>116</v>
      </c>
      <c r="BN218">
        <f t="shared" si="32"/>
        <v>0</v>
      </c>
      <c r="BO218">
        <f t="shared" si="33"/>
        <v>0</v>
      </c>
      <c r="BP218">
        <f t="shared" si="34"/>
        <v>0</v>
      </c>
      <c r="BQ218" t="s">
        <v>123</v>
      </c>
      <c r="BR218" t="s">
        <v>112</v>
      </c>
      <c r="BS218" t="s">
        <v>89</v>
      </c>
      <c r="BT218">
        <v>42</v>
      </c>
      <c r="BU218">
        <v>44933</v>
      </c>
      <c r="BV218" t="s">
        <v>89</v>
      </c>
      <c r="BW218">
        <v>20</v>
      </c>
      <c r="BX218">
        <v>1984</v>
      </c>
      <c r="BY218">
        <v>20</v>
      </c>
      <c r="BZ218">
        <f t="shared" si="35"/>
        <v>-1</v>
      </c>
      <c r="CA218">
        <f t="shared" si="36"/>
        <v>0</v>
      </c>
      <c r="CB218" t="b">
        <f t="shared" si="37"/>
        <v>0</v>
      </c>
    </row>
    <row r="219" spans="1:80" x14ac:dyDescent="0.3">
      <c r="A219" t="s">
        <v>2175</v>
      </c>
      <c r="B219" t="s">
        <v>2176</v>
      </c>
      <c r="C219" t="s">
        <v>2177</v>
      </c>
      <c r="D219">
        <v>32</v>
      </c>
      <c r="E219" s="1">
        <v>34151</v>
      </c>
      <c r="F219" t="s">
        <v>89</v>
      </c>
      <c r="G219" t="s">
        <v>97</v>
      </c>
      <c r="H219" t="s">
        <v>89</v>
      </c>
      <c r="I219" t="s">
        <v>227</v>
      </c>
      <c r="J219" t="s">
        <v>89</v>
      </c>
      <c r="K219" t="s">
        <v>89</v>
      </c>
      <c r="L219" t="s">
        <v>228</v>
      </c>
      <c r="M219">
        <v>17</v>
      </c>
      <c r="N219" t="s">
        <v>2178</v>
      </c>
      <c r="O219">
        <v>2010</v>
      </c>
      <c r="P219" t="s">
        <v>2179</v>
      </c>
      <c r="Q219" t="s">
        <v>2180</v>
      </c>
      <c r="R219">
        <v>191866</v>
      </c>
      <c r="S219" t="s">
        <v>2175</v>
      </c>
      <c r="T219" t="s">
        <v>2181</v>
      </c>
      <c r="U219">
        <v>1993</v>
      </c>
      <c r="V219" t="s">
        <v>2182</v>
      </c>
      <c r="W219">
        <v>1.82</v>
      </c>
      <c r="X219" t="s">
        <v>2183</v>
      </c>
      <c r="Y219" t="s">
        <v>235</v>
      </c>
      <c r="Z219" t="s">
        <v>87</v>
      </c>
      <c r="AA219" t="s">
        <v>476</v>
      </c>
      <c r="AB219">
        <v>45298</v>
      </c>
      <c r="AC219" t="s">
        <v>108</v>
      </c>
      <c r="AD219" t="s">
        <v>89</v>
      </c>
      <c r="AE219">
        <v>41404</v>
      </c>
      <c r="AF219">
        <v>20</v>
      </c>
      <c r="AG219" t="s">
        <v>91</v>
      </c>
      <c r="AH219" t="s">
        <v>1729</v>
      </c>
      <c r="AI219">
        <v>21</v>
      </c>
      <c r="AJ219" t="s">
        <v>110</v>
      </c>
      <c r="AK219">
        <v>20</v>
      </c>
      <c r="AL219" t="s">
        <v>89</v>
      </c>
      <c r="AM219" t="s">
        <v>89</v>
      </c>
      <c r="AN219" t="s">
        <v>89</v>
      </c>
      <c r="AO219">
        <v>0</v>
      </c>
      <c r="AP219" t="s">
        <v>93</v>
      </c>
      <c r="AQ219" t="s">
        <v>89</v>
      </c>
      <c r="AR219" t="s">
        <v>89</v>
      </c>
      <c r="AS219" t="s">
        <v>93</v>
      </c>
      <c r="AT219" t="s">
        <v>89</v>
      </c>
      <c r="AU219" t="s">
        <v>89</v>
      </c>
      <c r="AV219" t="s">
        <v>89</v>
      </c>
      <c r="AW219">
        <v>15</v>
      </c>
      <c r="AX219" t="s">
        <v>89</v>
      </c>
      <c r="AY219" t="s">
        <v>93</v>
      </c>
      <c r="AZ219">
        <v>0</v>
      </c>
      <c r="BA219">
        <v>0</v>
      </c>
      <c r="BB219">
        <v>0</v>
      </c>
      <c r="BC219">
        <v>0</v>
      </c>
      <c r="BD219">
        <v>36</v>
      </c>
      <c r="BE219">
        <v>2802</v>
      </c>
      <c r="BF219">
        <v>2</v>
      </c>
      <c r="BG219" t="s">
        <v>89</v>
      </c>
      <c r="BH219">
        <v>36</v>
      </c>
      <c r="BI219">
        <v>2802</v>
      </c>
      <c r="BJ219">
        <v>2</v>
      </c>
      <c r="BK219">
        <f t="shared" si="29"/>
        <v>36</v>
      </c>
      <c r="BL219">
        <f t="shared" si="30"/>
        <v>2802</v>
      </c>
      <c r="BM219">
        <f t="shared" si="31"/>
        <v>2</v>
      </c>
      <c r="BN219">
        <f t="shared" si="32"/>
        <v>0</v>
      </c>
      <c r="BO219">
        <f t="shared" si="33"/>
        <v>0</v>
      </c>
      <c r="BP219">
        <f t="shared" si="34"/>
        <v>0</v>
      </c>
      <c r="BQ219" t="s">
        <v>235</v>
      </c>
      <c r="BR219" t="s">
        <v>140</v>
      </c>
      <c r="BS219" t="s">
        <v>89</v>
      </c>
      <c r="BT219">
        <v>33</v>
      </c>
      <c r="BU219" t="s">
        <v>89</v>
      </c>
      <c r="BV219" t="s">
        <v>89</v>
      </c>
      <c r="BW219">
        <v>13</v>
      </c>
      <c r="BX219">
        <v>1993</v>
      </c>
      <c r="BY219">
        <v>12</v>
      </c>
      <c r="BZ219">
        <f t="shared" si="35"/>
        <v>2</v>
      </c>
      <c r="CA219">
        <f t="shared" si="36"/>
        <v>1</v>
      </c>
      <c r="CB219" t="b">
        <f t="shared" si="37"/>
        <v>0</v>
      </c>
    </row>
    <row r="220" spans="1:80" x14ac:dyDescent="0.3">
      <c r="A220" t="s">
        <v>2184</v>
      </c>
      <c r="B220" t="s">
        <v>1056</v>
      </c>
      <c r="C220" t="s">
        <v>2185</v>
      </c>
      <c r="D220">
        <v>32</v>
      </c>
      <c r="E220" s="1">
        <v>34114</v>
      </c>
      <c r="F220" t="s">
        <v>89</v>
      </c>
      <c r="G220" t="s">
        <v>176</v>
      </c>
      <c r="H220" t="s">
        <v>89</v>
      </c>
      <c r="I220" t="s">
        <v>227</v>
      </c>
      <c r="J220" t="s">
        <v>89</v>
      </c>
      <c r="K220" t="s">
        <v>89</v>
      </c>
      <c r="L220" t="s">
        <v>80</v>
      </c>
      <c r="M220">
        <v>19</v>
      </c>
      <c r="N220" t="s">
        <v>164</v>
      </c>
      <c r="O220">
        <v>2012</v>
      </c>
      <c r="P220" t="s">
        <v>2186</v>
      </c>
      <c r="Q220" t="s">
        <v>2187</v>
      </c>
      <c r="R220">
        <v>210142</v>
      </c>
      <c r="S220" t="s">
        <v>2184</v>
      </c>
      <c r="T220" t="s">
        <v>2188</v>
      </c>
      <c r="U220">
        <v>1993</v>
      </c>
      <c r="V220" t="s">
        <v>1064</v>
      </c>
      <c r="W220">
        <v>1.84</v>
      </c>
      <c r="X220" t="s">
        <v>1058</v>
      </c>
      <c r="Y220" t="s">
        <v>235</v>
      </c>
      <c r="Z220" t="s">
        <v>89</v>
      </c>
      <c r="AA220" t="s">
        <v>476</v>
      </c>
      <c r="AB220">
        <v>45298</v>
      </c>
      <c r="AC220" t="s">
        <v>108</v>
      </c>
      <c r="AD220" t="s">
        <v>89</v>
      </c>
      <c r="AE220" t="s">
        <v>927</v>
      </c>
      <c r="AF220">
        <v>19</v>
      </c>
      <c r="AG220" t="s">
        <v>91</v>
      </c>
      <c r="AH220" t="s">
        <v>92</v>
      </c>
      <c r="AI220" t="s">
        <v>89</v>
      </c>
      <c r="AJ220" t="s">
        <v>89</v>
      </c>
      <c r="AK220">
        <v>19</v>
      </c>
      <c r="AL220" t="s">
        <v>89</v>
      </c>
      <c r="AM220" t="s">
        <v>89</v>
      </c>
      <c r="AN220" t="s">
        <v>89</v>
      </c>
      <c r="AO220">
        <v>0</v>
      </c>
      <c r="AP220" t="s">
        <v>93</v>
      </c>
      <c r="AQ220" t="s">
        <v>89</v>
      </c>
      <c r="AR220" t="s">
        <v>89</v>
      </c>
      <c r="AS220" t="s">
        <v>93</v>
      </c>
      <c r="AT220" t="s">
        <v>89</v>
      </c>
      <c r="AU220" t="s">
        <v>89</v>
      </c>
      <c r="AV220" t="s">
        <v>89</v>
      </c>
      <c r="AW220">
        <v>13</v>
      </c>
      <c r="AX220" t="s">
        <v>89</v>
      </c>
      <c r="AY220" t="s">
        <v>93</v>
      </c>
      <c r="AZ220">
        <v>0</v>
      </c>
      <c r="BA220">
        <v>0</v>
      </c>
      <c r="BB220">
        <v>0</v>
      </c>
      <c r="BC220">
        <v>0</v>
      </c>
      <c r="BD220">
        <v>1</v>
      </c>
      <c r="BE220">
        <v>15</v>
      </c>
      <c r="BF220">
        <v>0</v>
      </c>
      <c r="BG220" t="s">
        <v>89</v>
      </c>
      <c r="BH220">
        <v>1</v>
      </c>
      <c r="BI220">
        <v>15</v>
      </c>
      <c r="BJ220">
        <v>0</v>
      </c>
      <c r="BK220">
        <f t="shared" si="29"/>
        <v>1</v>
      </c>
      <c r="BL220">
        <f t="shared" si="30"/>
        <v>15</v>
      </c>
      <c r="BM220">
        <f t="shared" si="31"/>
        <v>0</v>
      </c>
      <c r="BN220">
        <f t="shared" si="32"/>
        <v>0</v>
      </c>
      <c r="BO220">
        <f t="shared" si="33"/>
        <v>0</v>
      </c>
      <c r="BP220">
        <f t="shared" si="34"/>
        <v>0</v>
      </c>
      <c r="BQ220" t="s">
        <v>235</v>
      </c>
      <c r="BR220" t="s">
        <v>140</v>
      </c>
      <c r="BS220" s="1">
        <v>34114</v>
      </c>
      <c r="BT220">
        <v>32</v>
      </c>
      <c r="BU220" t="s">
        <v>89</v>
      </c>
      <c r="BV220" t="s">
        <v>89</v>
      </c>
      <c r="BW220">
        <v>13</v>
      </c>
      <c r="BX220">
        <v>1993</v>
      </c>
      <c r="BY220">
        <v>13</v>
      </c>
      <c r="BZ220">
        <f t="shared" si="35"/>
        <v>0</v>
      </c>
      <c r="CA220">
        <f t="shared" si="36"/>
        <v>0</v>
      </c>
      <c r="CB220" t="b">
        <f t="shared" si="37"/>
        <v>1</v>
      </c>
    </row>
    <row r="221" spans="1:80" x14ac:dyDescent="0.3">
      <c r="A221" t="s">
        <v>2189</v>
      </c>
      <c r="B221" t="s">
        <v>71</v>
      </c>
      <c r="C221" t="s">
        <v>2190</v>
      </c>
      <c r="D221">
        <v>43</v>
      </c>
      <c r="E221" s="1">
        <v>30142</v>
      </c>
      <c r="F221" t="s">
        <v>89</v>
      </c>
      <c r="G221" t="s">
        <v>115</v>
      </c>
      <c r="H221" t="s">
        <v>89</v>
      </c>
      <c r="I221" t="s">
        <v>227</v>
      </c>
      <c r="J221" t="s">
        <v>300</v>
      </c>
      <c r="K221" t="s">
        <v>89</v>
      </c>
      <c r="L221" t="s">
        <v>145</v>
      </c>
      <c r="M221">
        <v>22</v>
      </c>
      <c r="N221" t="s">
        <v>2191</v>
      </c>
      <c r="O221">
        <v>2004</v>
      </c>
      <c r="P221" t="s">
        <v>2192</v>
      </c>
      <c r="Q221" t="s">
        <v>2193</v>
      </c>
      <c r="R221">
        <v>70898</v>
      </c>
      <c r="S221" t="s">
        <v>2194</v>
      </c>
      <c r="T221" s="1">
        <v>30231</v>
      </c>
      <c r="U221">
        <v>1982</v>
      </c>
      <c r="V221" t="s">
        <v>1858</v>
      </c>
      <c r="W221">
        <v>1.81</v>
      </c>
      <c r="X221" t="s">
        <v>76</v>
      </c>
      <c r="Y221" t="s">
        <v>235</v>
      </c>
      <c r="Z221" t="s">
        <v>152</v>
      </c>
      <c r="AA221" t="s">
        <v>2195</v>
      </c>
      <c r="AB221">
        <v>44932</v>
      </c>
      <c r="AC221" t="s">
        <v>108</v>
      </c>
      <c r="AD221" t="s">
        <v>89</v>
      </c>
      <c r="AE221" t="s">
        <v>306</v>
      </c>
      <c r="AF221">
        <v>29</v>
      </c>
      <c r="AG221" t="s">
        <v>91</v>
      </c>
      <c r="AH221" t="s">
        <v>505</v>
      </c>
      <c r="AI221">
        <v>22</v>
      </c>
      <c r="AJ221" t="s">
        <v>110</v>
      </c>
      <c r="AK221">
        <v>22</v>
      </c>
      <c r="AL221">
        <v>5</v>
      </c>
      <c r="AM221">
        <v>194</v>
      </c>
      <c r="AN221">
        <v>28</v>
      </c>
      <c r="AO221">
        <v>5</v>
      </c>
      <c r="AP221" t="s">
        <v>93</v>
      </c>
      <c r="AQ221" t="s">
        <v>89</v>
      </c>
      <c r="AR221" t="s">
        <v>89</v>
      </c>
      <c r="AS221" t="s">
        <v>111</v>
      </c>
      <c r="AT221">
        <v>44932</v>
      </c>
      <c r="AU221">
        <v>2023</v>
      </c>
      <c r="AV221">
        <v>19</v>
      </c>
      <c r="AW221">
        <v>19</v>
      </c>
      <c r="AX221" t="s">
        <v>89</v>
      </c>
      <c r="AY221" t="s">
        <v>93</v>
      </c>
      <c r="AZ221">
        <v>0</v>
      </c>
      <c r="BA221">
        <v>0</v>
      </c>
      <c r="BB221">
        <v>0</v>
      </c>
      <c r="BC221">
        <v>0</v>
      </c>
      <c r="BD221">
        <v>336</v>
      </c>
      <c r="BE221">
        <v>27989</v>
      </c>
      <c r="BF221">
        <v>4</v>
      </c>
      <c r="BG221">
        <v>41</v>
      </c>
      <c r="BH221">
        <v>336</v>
      </c>
      <c r="BI221">
        <v>27989</v>
      </c>
      <c r="BJ221">
        <v>4</v>
      </c>
      <c r="BK221">
        <f t="shared" si="29"/>
        <v>336</v>
      </c>
      <c r="BL221">
        <f t="shared" si="30"/>
        <v>27989</v>
      </c>
      <c r="BM221">
        <f t="shared" si="31"/>
        <v>4</v>
      </c>
      <c r="BN221">
        <f t="shared" si="32"/>
        <v>0</v>
      </c>
      <c r="BO221">
        <f t="shared" si="33"/>
        <v>0</v>
      </c>
      <c r="BP221">
        <f t="shared" si="34"/>
        <v>0</v>
      </c>
      <c r="BQ221" t="s">
        <v>235</v>
      </c>
      <c r="BR221" t="s">
        <v>140</v>
      </c>
      <c r="BS221" s="1">
        <v>30142</v>
      </c>
      <c r="BT221">
        <v>43</v>
      </c>
      <c r="BU221">
        <v>44932</v>
      </c>
      <c r="BV221" t="s">
        <v>89</v>
      </c>
      <c r="BW221">
        <v>19</v>
      </c>
      <c r="BX221">
        <v>1982</v>
      </c>
      <c r="BY221">
        <v>19</v>
      </c>
      <c r="BZ221">
        <f t="shared" si="35"/>
        <v>0</v>
      </c>
      <c r="CA221">
        <f t="shared" si="36"/>
        <v>0</v>
      </c>
      <c r="CB221" t="b">
        <f t="shared" si="37"/>
        <v>1</v>
      </c>
    </row>
    <row r="222" spans="1:80" x14ac:dyDescent="0.3">
      <c r="A222" t="s">
        <v>2196</v>
      </c>
      <c r="B222" t="s">
        <v>71</v>
      </c>
      <c r="C222" t="s">
        <v>2197</v>
      </c>
      <c r="D222">
        <v>38</v>
      </c>
      <c r="E222" s="1">
        <v>31842</v>
      </c>
      <c r="F222" t="s">
        <v>89</v>
      </c>
      <c r="G222" t="s">
        <v>819</v>
      </c>
      <c r="H222" t="s">
        <v>76</v>
      </c>
      <c r="I222" t="s">
        <v>227</v>
      </c>
      <c r="J222" t="s">
        <v>78</v>
      </c>
      <c r="K222" t="s">
        <v>89</v>
      </c>
      <c r="L222" t="s">
        <v>163</v>
      </c>
      <c r="M222">
        <v>19</v>
      </c>
      <c r="N222" t="s">
        <v>267</v>
      </c>
      <c r="O222">
        <v>2006</v>
      </c>
      <c r="P222" t="s">
        <v>2198</v>
      </c>
      <c r="Q222" t="s">
        <v>2199</v>
      </c>
      <c r="R222">
        <v>51681</v>
      </c>
      <c r="S222" t="s">
        <v>2196</v>
      </c>
      <c r="T222">
        <v>31931</v>
      </c>
      <c r="U222">
        <v>1987</v>
      </c>
      <c r="V222" t="s">
        <v>267</v>
      </c>
      <c r="W222">
        <v>1.87</v>
      </c>
      <c r="X222" t="s">
        <v>76</v>
      </c>
      <c r="Y222" t="s">
        <v>235</v>
      </c>
      <c r="Z222" t="s">
        <v>87</v>
      </c>
      <c r="AA222" t="s">
        <v>726</v>
      </c>
      <c r="AB222" t="s">
        <v>2200</v>
      </c>
      <c r="AC222" t="s">
        <v>108</v>
      </c>
      <c r="AD222" t="s">
        <v>89</v>
      </c>
      <c r="AE222" t="s">
        <v>719</v>
      </c>
      <c r="AF222">
        <v>21</v>
      </c>
      <c r="AG222" t="s">
        <v>91</v>
      </c>
      <c r="AH222" t="s">
        <v>2201</v>
      </c>
      <c r="AI222">
        <v>30</v>
      </c>
      <c r="AJ222" t="s">
        <v>110</v>
      </c>
      <c r="AK222">
        <v>21</v>
      </c>
      <c r="AL222">
        <v>7</v>
      </c>
      <c r="AM222">
        <v>226</v>
      </c>
      <c r="AN222">
        <v>37</v>
      </c>
      <c r="AO222">
        <v>5</v>
      </c>
      <c r="AP222" t="s">
        <v>93</v>
      </c>
      <c r="AQ222" t="s">
        <v>89</v>
      </c>
      <c r="AR222" t="s">
        <v>89</v>
      </c>
      <c r="AS222" t="s">
        <v>111</v>
      </c>
      <c r="AT222" t="s">
        <v>2200</v>
      </c>
      <c r="AU222">
        <v>2020</v>
      </c>
      <c r="AV222">
        <v>14</v>
      </c>
      <c r="AW222">
        <v>14</v>
      </c>
      <c r="AX222" t="s">
        <v>89</v>
      </c>
      <c r="AY222" t="s">
        <v>93</v>
      </c>
      <c r="AZ222">
        <v>0</v>
      </c>
      <c r="BA222">
        <v>0</v>
      </c>
      <c r="BB222">
        <v>0</v>
      </c>
      <c r="BC222">
        <v>0</v>
      </c>
      <c r="BD222">
        <v>218</v>
      </c>
      <c r="BE222">
        <v>17515</v>
      </c>
      <c r="BF222">
        <v>4</v>
      </c>
      <c r="BG222">
        <v>33</v>
      </c>
      <c r="BH222">
        <v>218</v>
      </c>
      <c r="BI222">
        <v>17515</v>
      </c>
      <c r="BJ222">
        <v>4</v>
      </c>
      <c r="BK222">
        <f t="shared" si="29"/>
        <v>218</v>
      </c>
      <c r="BL222">
        <f t="shared" si="30"/>
        <v>17515</v>
      </c>
      <c r="BM222">
        <f t="shared" si="31"/>
        <v>4</v>
      </c>
      <c r="BN222">
        <f t="shared" si="32"/>
        <v>0</v>
      </c>
      <c r="BO222">
        <f t="shared" si="33"/>
        <v>0</v>
      </c>
      <c r="BP222">
        <f t="shared" si="34"/>
        <v>0</v>
      </c>
      <c r="BQ222" t="s">
        <v>235</v>
      </c>
      <c r="BR222" t="s">
        <v>140</v>
      </c>
      <c r="BS222" t="s">
        <v>89</v>
      </c>
      <c r="BT222">
        <v>39</v>
      </c>
      <c r="BU222" t="s">
        <v>2200</v>
      </c>
      <c r="BV222" s="1">
        <v>44067</v>
      </c>
      <c r="BW222">
        <v>12</v>
      </c>
      <c r="BX222">
        <v>1987</v>
      </c>
      <c r="BY222">
        <v>12</v>
      </c>
      <c r="BZ222">
        <f t="shared" si="35"/>
        <v>2</v>
      </c>
      <c r="CA222">
        <f t="shared" si="36"/>
        <v>0</v>
      </c>
      <c r="CB222" t="b">
        <f t="shared" si="37"/>
        <v>0</v>
      </c>
    </row>
    <row r="223" spans="1:80" x14ac:dyDescent="0.3">
      <c r="A223" t="s">
        <v>2202</v>
      </c>
      <c r="B223" t="s">
        <v>156</v>
      </c>
      <c r="C223" t="s">
        <v>2203</v>
      </c>
      <c r="D223">
        <v>44</v>
      </c>
      <c r="E223">
        <v>29747</v>
      </c>
      <c r="F223" t="s">
        <v>89</v>
      </c>
      <c r="G223" t="s">
        <v>298</v>
      </c>
      <c r="H223" t="s">
        <v>177</v>
      </c>
      <c r="I223" t="s">
        <v>161</v>
      </c>
      <c r="J223" t="s">
        <v>78</v>
      </c>
      <c r="K223" t="s">
        <v>89</v>
      </c>
      <c r="L223">
        <v>2004</v>
      </c>
      <c r="M223">
        <v>22</v>
      </c>
      <c r="N223" t="s">
        <v>2204</v>
      </c>
      <c r="O223">
        <v>2004</v>
      </c>
      <c r="P223" t="s">
        <v>2205</v>
      </c>
      <c r="Q223" t="s">
        <v>2206</v>
      </c>
      <c r="R223">
        <v>18958</v>
      </c>
      <c r="S223" t="s">
        <v>2207</v>
      </c>
      <c r="T223">
        <v>29865</v>
      </c>
      <c r="U223">
        <v>1981</v>
      </c>
      <c r="V223" t="s">
        <v>2208</v>
      </c>
      <c r="W223">
        <v>1.75</v>
      </c>
      <c r="X223" t="s">
        <v>169</v>
      </c>
      <c r="Y223" t="s">
        <v>106</v>
      </c>
      <c r="Z223" t="s">
        <v>392</v>
      </c>
      <c r="AA223" t="s">
        <v>162</v>
      </c>
      <c r="AB223">
        <v>43107</v>
      </c>
      <c r="AC223" t="s">
        <v>108</v>
      </c>
      <c r="AD223" t="s">
        <v>89</v>
      </c>
      <c r="AE223" s="1">
        <v>37595</v>
      </c>
      <c r="AF223">
        <v>20</v>
      </c>
      <c r="AG223" t="s">
        <v>171</v>
      </c>
      <c r="AH223" t="s">
        <v>2209</v>
      </c>
      <c r="AI223">
        <v>30</v>
      </c>
      <c r="AJ223" t="s">
        <v>2210</v>
      </c>
      <c r="AK223">
        <v>20</v>
      </c>
      <c r="AL223">
        <v>7</v>
      </c>
      <c r="AM223">
        <v>544</v>
      </c>
      <c r="AN223">
        <v>91</v>
      </c>
      <c r="AO223">
        <v>6</v>
      </c>
      <c r="AP223" t="s">
        <v>93</v>
      </c>
      <c r="AQ223" t="s">
        <v>89</v>
      </c>
      <c r="AR223" t="s">
        <v>89</v>
      </c>
      <c r="AS223" t="s">
        <v>111</v>
      </c>
      <c r="AT223">
        <v>43107</v>
      </c>
      <c r="AU223">
        <v>2018</v>
      </c>
      <c r="AV223">
        <v>14</v>
      </c>
      <c r="AW223">
        <v>21</v>
      </c>
      <c r="AX223" t="s">
        <v>89</v>
      </c>
      <c r="AY223" t="s">
        <v>93</v>
      </c>
      <c r="AZ223">
        <v>0</v>
      </c>
      <c r="BA223">
        <v>0</v>
      </c>
      <c r="BB223">
        <v>0</v>
      </c>
      <c r="BC223">
        <v>0</v>
      </c>
      <c r="BD223">
        <v>330</v>
      </c>
      <c r="BE223">
        <v>19886</v>
      </c>
      <c r="BF223">
        <v>85</v>
      </c>
      <c r="BG223">
        <v>37</v>
      </c>
      <c r="BH223">
        <v>330</v>
      </c>
      <c r="BI223">
        <v>19886</v>
      </c>
      <c r="BJ223">
        <v>85</v>
      </c>
      <c r="BK223">
        <f t="shared" si="29"/>
        <v>330</v>
      </c>
      <c r="BL223">
        <f t="shared" si="30"/>
        <v>19886</v>
      </c>
      <c r="BM223">
        <f t="shared" si="31"/>
        <v>85</v>
      </c>
      <c r="BN223">
        <f t="shared" si="32"/>
        <v>0</v>
      </c>
      <c r="BO223">
        <f t="shared" si="33"/>
        <v>0</v>
      </c>
      <c r="BP223">
        <f t="shared" si="34"/>
        <v>0</v>
      </c>
      <c r="BQ223" t="s">
        <v>106</v>
      </c>
      <c r="BR223" t="s">
        <v>112</v>
      </c>
      <c r="BS223" t="s">
        <v>89</v>
      </c>
      <c r="BT223">
        <v>45</v>
      </c>
      <c r="BU223">
        <v>43107</v>
      </c>
      <c r="BV223" t="s">
        <v>89</v>
      </c>
      <c r="BW223">
        <v>17</v>
      </c>
      <c r="BX223">
        <v>1981</v>
      </c>
      <c r="BY223">
        <v>17</v>
      </c>
      <c r="BZ223">
        <f t="shared" si="35"/>
        <v>4</v>
      </c>
      <c r="CA223">
        <f t="shared" si="36"/>
        <v>0</v>
      </c>
      <c r="CB223" t="b">
        <f t="shared" si="37"/>
        <v>0</v>
      </c>
    </row>
    <row r="224" spans="1:80" x14ac:dyDescent="0.3">
      <c r="A224" t="s">
        <v>2211</v>
      </c>
      <c r="B224" t="s">
        <v>729</v>
      </c>
      <c r="C224" t="s">
        <v>2212</v>
      </c>
      <c r="D224">
        <v>40</v>
      </c>
      <c r="E224" s="1">
        <v>30939</v>
      </c>
      <c r="F224" t="s">
        <v>89</v>
      </c>
      <c r="G224" t="s">
        <v>298</v>
      </c>
      <c r="H224" t="s">
        <v>732</v>
      </c>
      <c r="I224" t="s">
        <v>386</v>
      </c>
      <c r="J224" t="s">
        <v>300</v>
      </c>
      <c r="K224" t="s">
        <v>89</v>
      </c>
      <c r="L224" t="s">
        <v>180</v>
      </c>
      <c r="M224">
        <v>22</v>
      </c>
      <c r="N224" t="s">
        <v>164</v>
      </c>
      <c r="O224">
        <v>2007</v>
      </c>
      <c r="P224" t="s">
        <v>2213</v>
      </c>
      <c r="Q224" t="s">
        <v>2214</v>
      </c>
      <c r="R224">
        <v>28171</v>
      </c>
      <c r="S224" t="s">
        <v>2211</v>
      </c>
      <c r="T224" t="s">
        <v>2215</v>
      </c>
      <c r="U224">
        <v>1984</v>
      </c>
      <c r="V224" t="s">
        <v>2216</v>
      </c>
      <c r="W224">
        <v>1.78</v>
      </c>
      <c r="X224" t="s">
        <v>2217</v>
      </c>
      <c r="Y224" t="s">
        <v>391</v>
      </c>
      <c r="Z224" t="s">
        <v>152</v>
      </c>
      <c r="AA224" t="s">
        <v>2218</v>
      </c>
      <c r="AB224">
        <v>45658</v>
      </c>
      <c r="AC224" t="s">
        <v>108</v>
      </c>
      <c r="AD224" t="s">
        <v>89</v>
      </c>
      <c r="AE224" t="s">
        <v>2219</v>
      </c>
      <c r="AF224">
        <v>21</v>
      </c>
      <c r="AG224">
        <v>0</v>
      </c>
      <c r="AH224" t="s">
        <v>92</v>
      </c>
      <c r="AI224" t="s">
        <v>89</v>
      </c>
      <c r="AJ224" t="s">
        <v>92</v>
      </c>
      <c r="AK224">
        <v>21</v>
      </c>
      <c r="AL224">
        <v>8</v>
      </c>
      <c r="AM224">
        <v>132</v>
      </c>
      <c r="AN224">
        <v>20</v>
      </c>
      <c r="AO224">
        <v>5</v>
      </c>
      <c r="AP224" t="s">
        <v>93</v>
      </c>
      <c r="AQ224" t="s">
        <v>89</v>
      </c>
      <c r="AR224" t="s">
        <v>89</v>
      </c>
      <c r="AS224" t="s">
        <v>111</v>
      </c>
      <c r="AT224">
        <v>45658</v>
      </c>
      <c r="AU224">
        <v>2025</v>
      </c>
      <c r="AV224">
        <v>18</v>
      </c>
      <c r="AW224">
        <v>18</v>
      </c>
      <c r="AX224" t="s">
        <v>89</v>
      </c>
      <c r="AY224" t="s">
        <v>111</v>
      </c>
      <c r="AZ224">
        <v>1</v>
      </c>
      <c r="BA224">
        <v>1</v>
      </c>
      <c r="BB224">
        <v>45</v>
      </c>
      <c r="BC224">
        <v>0</v>
      </c>
      <c r="BD224">
        <v>477</v>
      </c>
      <c r="BE224">
        <v>29018</v>
      </c>
      <c r="BF224">
        <v>53</v>
      </c>
      <c r="BG224">
        <v>41</v>
      </c>
      <c r="BH224">
        <v>478</v>
      </c>
      <c r="BI224">
        <v>29063</v>
      </c>
      <c r="BJ224">
        <v>53</v>
      </c>
      <c r="BK224">
        <f t="shared" si="29"/>
        <v>478</v>
      </c>
      <c r="BL224">
        <f t="shared" si="30"/>
        <v>29063</v>
      </c>
      <c r="BM224">
        <f t="shared" si="31"/>
        <v>53</v>
      </c>
      <c r="BN224">
        <f t="shared" si="32"/>
        <v>0</v>
      </c>
      <c r="BO224">
        <f t="shared" si="33"/>
        <v>0</v>
      </c>
      <c r="BP224">
        <f t="shared" si="34"/>
        <v>0</v>
      </c>
      <c r="BQ224" t="s">
        <v>391</v>
      </c>
      <c r="BR224" t="s">
        <v>112</v>
      </c>
      <c r="BS224" s="1">
        <v>30939</v>
      </c>
      <c r="BT224">
        <v>41</v>
      </c>
      <c r="BU224">
        <v>45658</v>
      </c>
      <c r="BV224" t="s">
        <v>89</v>
      </c>
      <c r="BW224">
        <v>20</v>
      </c>
      <c r="BX224">
        <v>1984</v>
      </c>
      <c r="BY224">
        <v>20</v>
      </c>
      <c r="BZ224">
        <f t="shared" si="35"/>
        <v>-2</v>
      </c>
      <c r="CA224">
        <f t="shared" si="36"/>
        <v>0</v>
      </c>
      <c r="CB224" t="b">
        <f t="shared" si="37"/>
        <v>0</v>
      </c>
    </row>
    <row r="225" spans="1:80" x14ac:dyDescent="0.3">
      <c r="A225" t="s">
        <v>2220</v>
      </c>
      <c r="B225" t="s">
        <v>71</v>
      </c>
      <c r="C225" t="s">
        <v>2221</v>
      </c>
      <c r="D225">
        <v>39</v>
      </c>
      <c r="E225" s="1">
        <v>31335</v>
      </c>
      <c r="F225" t="s">
        <v>89</v>
      </c>
      <c r="G225" t="s">
        <v>400</v>
      </c>
      <c r="H225" t="s">
        <v>89</v>
      </c>
      <c r="I225" t="s">
        <v>375</v>
      </c>
      <c r="J225" t="s">
        <v>89</v>
      </c>
      <c r="K225" t="s">
        <v>89</v>
      </c>
      <c r="L225" t="s">
        <v>163</v>
      </c>
      <c r="M225">
        <v>20</v>
      </c>
      <c r="N225" t="s">
        <v>416</v>
      </c>
      <c r="O225">
        <v>2006</v>
      </c>
      <c r="P225" t="s">
        <v>2222</v>
      </c>
      <c r="Q225" t="s">
        <v>2223</v>
      </c>
      <c r="R225">
        <v>48294</v>
      </c>
      <c r="S225" t="s">
        <v>2224</v>
      </c>
      <c r="T225" t="s">
        <v>2225</v>
      </c>
      <c r="U225">
        <v>1985</v>
      </c>
      <c r="V225" t="s">
        <v>2226</v>
      </c>
      <c r="W225">
        <v>1.82</v>
      </c>
      <c r="X225" t="s">
        <v>76</v>
      </c>
      <c r="Y225" t="s">
        <v>203</v>
      </c>
      <c r="Z225" t="s">
        <v>152</v>
      </c>
      <c r="AA225" t="s">
        <v>2227</v>
      </c>
      <c r="AB225" s="1">
        <v>44933</v>
      </c>
      <c r="AC225" t="s">
        <v>108</v>
      </c>
      <c r="AD225" t="s">
        <v>223</v>
      </c>
      <c r="AE225" t="s">
        <v>2228</v>
      </c>
      <c r="AF225">
        <v>21</v>
      </c>
      <c r="AG225" t="s">
        <v>91</v>
      </c>
      <c r="AH225">
        <v>39600</v>
      </c>
      <c r="AI225">
        <v>22</v>
      </c>
      <c r="AJ225" t="s">
        <v>110</v>
      </c>
      <c r="AK225">
        <v>21</v>
      </c>
      <c r="AL225" t="s">
        <v>89</v>
      </c>
      <c r="AM225" t="s">
        <v>89</v>
      </c>
      <c r="AN225" t="s">
        <v>89</v>
      </c>
      <c r="AO225">
        <v>0</v>
      </c>
      <c r="AP225" t="s">
        <v>93</v>
      </c>
      <c r="AQ225" t="s">
        <v>89</v>
      </c>
      <c r="AR225" t="s">
        <v>89</v>
      </c>
      <c r="AS225" t="s">
        <v>111</v>
      </c>
      <c r="AT225" s="1">
        <v>44933</v>
      </c>
      <c r="AU225">
        <v>2023</v>
      </c>
      <c r="AV225">
        <v>17</v>
      </c>
      <c r="AW225">
        <v>17</v>
      </c>
      <c r="AX225" t="s">
        <v>89</v>
      </c>
      <c r="AY225" t="s">
        <v>93</v>
      </c>
      <c r="AZ225">
        <v>0</v>
      </c>
      <c r="BA225">
        <v>0</v>
      </c>
      <c r="BB225">
        <v>0</v>
      </c>
      <c r="BC225">
        <v>0</v>
      </c>
      <c r="BD225">
        <v>394</v>
      </c>
      <c r="BE225">
        <v>31818</v>
      </c>
      <c r="BF225">
        <v>30</v>
      </c>
      <c r="BG225">
        <v>38</v>
      </c>
      <c r="BH225">
        <v>394</v>
      </c>
      <c r="BI225">
        <v>31818</v>
      </c>
      <c r="BJ225">
        <v>30</v>
      </c>
      <c r="BK225">
        <f t="shared" si="29"/>
        <v>394</v>
      </c>
      <c r="BL225">
        <f t="shared" si="30"/>
        <v>31818</v>
      </c>
      <c r="BM225">
        <f t="shared" si="31"/>
        <v>30</v>
      </c>
      <c r="BN225">
        <f t="shared" si="32"/>
        <v>0</v>
      </c>
      <c r="BO225">
        <f t="shared" si="33"/>
        <v>0</v>
      </c>
      <c r="BP225">
        <f t="shared" si="34"/>
        <v>0</v>
      </c>
      <c r="BQ225" t="s">
        <v>203</v>
      </c>
      <c r="BR225" t="s">
        <v>140</v>
      </c>
      <c r="BS225" t="s">
        <v>89</v>
      </c>
      <c r="BT225">
        <v>41</v>
      </c>
      <c r="BU225" s="1">
        <v>44933</v>
      </c>
      <c r="BV225" s="1">
        <v>45108</v>
      </c>
      <c r="BW225">
        <v>17</v>
      </c>
      <c r="BX225">
        <v>1985</v>
      </c>
      <c r="BY225">
        <v>17</v>
      </c>
      <c r="BZ225">
        <f t="shared" si="35"/>
        <v>0</v>
      </c>
      <c r="CA225">
        <f t="shared" si="36"/>
        <v>0</v>
      </c>
      <c r="CB225" t="b">
        <f t="shared" si="37"/>
        <v>1</v>
      </c>
    </row>
    <row r="226" spans="1:80" x14ac:dyDescent="0.3">
      <c r="A226" t="s">
        <v>2229</v>
      </c>
      <c r="B226" t="s">
        <v>71</v>
      </c>
      <c r="C226" t="s">
        <v>2230</v>
      </c>
      <c r="D226">
        <v>36</v>
      </c>
      <c r="E226" s="1">
        <v>32630</v>
      </c>
      <c r="F226" t="s">
        <v>89</v>
      </c>
      <c r="G226" t="s">
        <v>160</v>
      </c>
      <c r="H226" t="s">
        <v>89</v>
      </c>
      <c r="I226" t="s">
        <v>791</v>
      </c>
      <c r="J226" t="s">
        <v>89</v>
      </c>
      <c r="K226" t="s">
        <v>89</v>
      </c>
      <c r="L226" t="s">
        <v>278</v>
      </c>
      <c r="M226">
        <v>22</v>
      </c>
      <c r="N226" t="s">
        <v>146</v>
      </c>
      <c r="O226">
        <v>2011</v>
      </c>
      <c r="P226" t="s">
        <v>2231</v>
      </c>
      <c r="Q226" t="s">
        <v>2232</v>
      </c>
      <c r="R226">
        <v>203108</v>
      </c>
      <c r="S226" t="s">
        <v>2229</v>
      </c>
      <c r="T226" s="1">
        <v>32544</v>
      </c>
      <c r="U226">
        <v>1989</v>
      </c>
      <c r="V226" t="s">
        <v>644</v>
      </c>
      <c r="W226">
        <v>1.77</v>
      </c>
      <c r="X226" t="s">
        <v>76</v>
      </c>
      <c r="Y226" t="s">
        <v>106</v>
      </c>
      <c r="Z226" t="s">
        <v>89</v>
      </c>
      <c r="AA226" t="s">
        <v>476</v>
      </c>
      <c r="AB226" s="1">
        <v>44568</v>
      </c>
      <c r="AC226" t="s">
        <v>108</v>
      </c>
      <c r="AD226" t="s">
        <v>89</v>
      </c>
      <c r="AE226" s="1">
        <v>40584</v>
      </c>
      <c r="AF226">
        <v>22</v>
      </c>
      <c r="AG226" t="s">
        <v>91</v>
      </c>
      <c r="AH226" t="s">
        <v>331</v>
      </c>
      <c r="AI226">
        <v>24</v>
      </c>
      <c r="AJ226" t="s">
        <v>110</v>
      </c>
      <c r="AK226">
        <v>22</v>
      </c>
      <c r="AL226">
        <v>1</v>
      </c>
      <c r="AM226">
        <v>62</v>
      </c>
      <c r="AN226">
        <v>2</v>
      </c>
      <c r="AO226">
        <v>1</v>
      </c>
      <c r="AP226" t="s">
        <v>93</v>
      </c>
      <c r="AQ226" t="s">
        <v>89</v>
      </c>
      <c r="AR226" t="s">
        <v>89</v>
      </c>
      <c r="AS226" t="s">
        <v>93</v>
      </c>
      <c r="AT226" t="s">
        <v>89</v>
      </c>
      <c r="AU226" t="s">
        <v>89</v>
      </c>
      <c r="AV226" t="s">
        <v>89</v>
      </c>
      <c r="AW226">
        <v>14</v>
      </c>
      <c r="AX226" t="s">
        <v>89</v>
      </c>
      <c r="AY226" t="s">
        <v>93</v>
      </c>
      <c r="AZ226">
        <v>0</v>
      </c>
      <c r="BA226">
        <v>0</v>
      </c>
      <c r="BB226">
        <v>0</v>
      </c>
      <c r="BC226">
        <v>0</v>
      </c>
      <c r="BD226">
        <v>51</v>
      </c>
      <c r="BE226">
        <v>2003</v>
      </c>
      <c r="BF226">
        <v>1</v>
      </c>
      <c r="BG226" t="s">
        <v>89</v>
      </c>
      <c r="BH226">
        <v>51</v>
      </c>
      <c r="BI226">
        <v>2003</v>
      </c>
      <c r="BJ226">
        <v>1</v>
      </c>
      <c r="BK226">
        <f t="shared" si="29"/>
        <v>51</v>
      </c>
      <c r="BL226">
        <f t="shared" si="30"/>
        <v>2003</v>
      </c>
      <c r="BM226">
        <f t="shared" si="31"/>
        <v>1</v>
      </c>
      <c r="BN226">
        <f t="shared" si="32"/>
        <v>0</v>
      </c>
      <c r="BO226">
        <f t="shared" si="33"/>
        <v>0</v>
      </c>
      <c r="BP226">
        <f t="shared" si="34"/>
        <v>0</v>
      </c>
      <c r="BQ226" t="s">
        <v>106</v>
      </c>
      <c r="BR226" t="s">
        <v>112</v>
      </c>
      <c r="BS226" s="1">
        <v>32630</v>
      </c>
      <c r="BT226">
        <v>36</v>
      </c>
      <c r="BU226" t="s">
        <v>89</v>
      </c>
      <c r="BV226" t="s">
        <v>89</v>
      </c>
      <c r="BW226">
        <v>14</v>
      </c>
      <c r="BX226">
        <v>1989</v>
      </c>
      <c r="BY226">
        <v>14</v>
      </c>
      <c r="BZ226">
        <f t="shared" si="35"/>
        <v>0</v>
      </c>
      <c r="CA226">
        <f t="shared" si="36"/>
        <v>0</v>
      </c>
      <c r="CB226" t="b">
        <f t="shared" si="37"/>
        <v>1</v>
      </c>
    </row>
    <row r="227" spans="1:80" x14ac:dyDescent="0.3">
      <c r="A227" t="s">
        <v>2233</v>
      </c>
      <c r="B227" t="s">
        <v>1089</v>
      </c>
      <c r="C227" t="s">
        <v>2234</v>
      </c>
      <c r="D227">
        <v>31</v>
      </c>
      <c r="E227" t="s">
        <v>2235</v>
      </c>
      <c r="F227" t="s">
        <v>2236</v>
      </c>
      <c r="G227" t="s">
        <v>385</v>
      </c>
      <c r="H227" t="s">
        <v>1093</v>
      </c>
      <c r="I227" t="s">
        <v>2237</v>
      </c>
      <c r="J227" t="s">
        <v>89</v>
      </c>
      <c r="K227" t="s">
        <v>2238</v>
      </c>
      <c r="L227" t="s">
        <v>324</v>
      </c>
      <c r="M227">
        <v>19</v>
      </c>
      <c r="N227" t="s">
        <v>229</v>
      </c>
      <c r="O227">
        <v>2013</v>
      </c>
      <c r="P227" t="s">
        <v>2239</v>
      </c>
      <c r="Q227" t="s">
        <v>2240</v>
      </c>
      <c r="R227">
        <v>189735</v>
      </c>
      <c r="S227" t="s">
        <v>2233</v>
      </c>
      <c r="T227">
        <v>33979</v>
      </c>
      <c r="U227">
        <v>1993</v>
      </c>
      <c r="V227" t="s">
        <v>2241</v>
      </c>
      <c r="W227">
        <v>1.69</v>
      </c>
      <c r="X227" t="s">
        <v>1093</v>
      </c>
      <c r="Y227" t="s">
        <v>494</v>
      </c>
      <c r="Z227" t="s">
        <v>87</v>
      </c>
      <c r="AA227" t="s">
        <v>2238</v>
      </c>
      <c r="AB227" t="s">
        <v>2242</v>
      </c>
      <c r="AC227" t="s">
        <v>222</v>
      </c>
      <c r="AD227" t="s">
        <v>223</v>
      </c>
      <c r="AE227" t="s">
        <v>2243</v>
      </c>
      <c r="AF227">
        <v>18</v>
      </c>
      <c r="AG227" t="s">
        <v>2244</v>
      </c>
      <c r="AH227" t="s">
        <v>2245</v>
      </c>
      <c r="AI227">
        <v>29</v>
      </c>
      <c r="AJ227" t="s">
        <v>2246</v>
      </c>
      <c r="AK227">
        <v>18</v>
      </c>
      <c r="AL227" t="s">
        <v>89</v>
      </c>
      <c r="AM227" t="s">
        <v>89</v>
      </c>
      <c r="AN227" t="s">
        <v>89</v>
      </c>
      <c r="AO227">
        <v>0</v>
      </c>
      <c r="AP227" t="s">
        <v>93</v>
      </c>
      <c r="AQ227" t="s">
        <v>89</v>
      </c>
      <c r="AR227" t="s">
        <v>89</v>
      </c>
      <c r="AS227" t="s">
        <v>93</v>
      </c>
      <c r="AT227" t="s">
        <v>89</v>
      </c>
      <c r="AU227" t="s">
        <v>89</v>
      </c>
      <c r="AV227" t="s">
        <v>89</v>
      </c>
      <c r="AW227">
        <v>12</v>
      </c>
      <c r="AX227">
        <v>7</v>
      </c>
      <c r="AY227" t="s">
        <v>111</v>
      </c>
      <c r="AZ227">
        <v>1</v>
      </c>
      <c r="BA227">
        <v>2</v>
      </c>
      <c r="BB227">
        <v>77</v>
      </c>
      <c r="BC227">
        <v>0</v>
      </c>
      <c r="BD227">
        <v>210</v>
      </c>
      <c r="BE227">
        <v>12810</v>
      </c>
      <c r="BF227">
        <v>20</v>
      </c>
      <c r="BG227" t="s">
        <v>89</v>
      </c>
      <c r="BH227">
        <v>212</v>
      </c>
      <c r="BI227">
        <v>12887</v>
      </c>
      <c r="BJ227">
        <v>20</v>
      </c>
      <c r="BK227">
        <f t="shared" si="29"/>
        <v>212</v>
      </c>
      <c r="BL227">
        <f t="shared" si="30"/>
        <v>12887</v>
      </c>
      <c r="BM227">
        <f t="shared" si="31"/>
        <v>20</v>
      </c>
      <c r="BN227">
        <f t="shared" si="32"/>
        <v>0</v>
      </c>
      <c r="BO227">
        <f t="shared" si="33"/>
        <v>0</v>
      </c>
      <c r="BP227">
        <f t="shared" si="34"/>
        <v>0</v>
      </c>
      <c r="BQ227" t="s">
        <v>494</v>
      </c>
      <c r="BR227" t="s">
        <v>112</v>
      </c>
      <c r="BS227" t="s">
        <v>89</v>
      </c>
      <c r="BT227">
        <v>33</v>
      </c>
      <c r="BU227" t="s">
        <v>89</v>
      </c>
      <c r="BV227" t="s">
        <v>89</v>
      </c>
      <c r="BW227">
        <v>15</v>
      </c>
      <c r="BX227">
        <v>1993</v>
      </c>
      <c r="BY227">
        <v>13</v>
      </c>
      <c r="BZ227">
        <f t="shared" si="35"/>
        <v>-3</v>
      </c>
      <c r="CA227">
        <f t="shared" si="36"/>
        <v>2</v>
      </c>
      <c r="CB227" t="b">
        <f t="shared" si="37"/>
        <v>0</v>
      </c>
    </row>
    <row r="228" spans="1:80" x14ac:dyDescent="0.3">
      <c r="A228" t="s">
        <v>2247</v>
      </c>
      <c r="B228" t="s">
        <v>2248</v>
      </c>
      <c r="C228" t="s">
        <v>2249</v>
      </c>
      <c r="D228">
        <v>33</v>
      </c>
      <c r="E228" t="s">
        <v>2250</v>
      </c>
      <c r="F228" t="s">
        <v>2251</v>
      </c>
      <c r="G228" t="s">
        <v>1946</v>
      </c>
      <c r="H228" t="s">
        <v>2252</v>
      </c>
      <c r="I228" t="s">
        <v>98</v>
      </c>
      <c r="J228" t="s">
        <v>78</v>
      </c>
      <c r="K228" t="s">
        <v>2253</v>
      </c>
      <c r="L228" t="s">
        <v>324</v>
      </c>
      <c r="M228">
        <v>21</v>
      </c>
      <c r="N228" t="s">
        <v>162</v>
      </c>
      <c r="O228">
        <v>2013</v>
      </c>
      <c r="P228" t="s">
        <v>2254</v>
      </c>
      <c r="Q228" t="s">
        <v>2255</v>
      </c>
      <c r="R228">
        <v>95280</v>
      </c>
      <c r="S228" t="s">
        <v>2247</v>
      </c>
      <c r="T228" t="s">
        <v>2256</v>
      </c>
      <c r="U228">
        <v>1991</v>
      </c>
      <c r="V228" t="s">
        <v>2257</v>
      </c>
      <c r="W228">
        <v>1.69</v>
      </c>
      <c r="X228" t="s">
        <v>2252</v>
      </c>
      <c r="Y228" t="s">
        <v>106</v>
      </c>
      <c r="Z228" t="s">
        <v>87</v>
      </c>
      <c r="AA228" t="s">
        <v>2258</v>
      </c>
      <c r="AB228" t="s">
        <v>2259</v>
      </c>
      <c r="AC228" t="s">
        <v>170</v>
      </c>
      <c r="AD228" t="s">
        <v>223</v>
      </c>
      <c r="AE228">
        <v>39786</v>
      </c>
      <c r="AF228">
        <v>16</v>
      </c>
      <c r="AG228" t="s">
        <v>2260</v>
      </c>
      <c r="AH228" t="s">
        <v>92</v>
      </c>
      <c r="AI228" t="s">
        <v>89</v>
      </c>
      <c r="AJ228" t="s">
        <v>92</v>
      </c>
      <c r="AK228">
        <v>16</v>
      </c>
      <c r="AL228">
        <v>3</v>
      </c>
      <c r="AM228">
        <v>35</v>
      </c>
      <c r="AN228">
        <v>4</v>
      </c>
      <c r="AO228">
        <v>2</v>
      </c>
      <c r="AP228" t="s">
        <v>93</v>
      </c>
      <c r="AQ228" t="s">
        <v>89</v>
      </c>
      <c r="AR228" t="s">
        <v>89</v>
      </c>
      <c r="AS228" t="s">
        <v>93</v>
      </c>
      <c r="AT228" t="s">
        <v>89</v>
      </c>
      <c r="AU228" t="s">
        <v>89</v>
      </c>
      <c r="AV228" t="s">
        <v>89</v>
      </c>
      <c r="AW228">
        <v>12</v>
      </c>
      <c r="AX228">
        <v>10</v>
      </c>
      <c r="AY228" t="s">
        <v>111</v>
      </c>
      <c r="AZ228">
        <v>13</v>
      </c>
      <c r="BA228">
        <v>68</v>
      </c>
      <c r="BB228">
        <v>4957</v>
      </c>
      <c r="BC228">
        <v>14</v>
      </c>
      <c r="BD228">
        <v>250</v>
      </c>
      <c r="BE228">
        <v>15313</v>
      </c>
      <c r="BF228">
        <v>38</v>
      </c>
      <c r="BG228" t="s">
        <v>89</v>
      </c>
      <c r="BH228">
        <v>318</v>
      </c>
      <c r="BI228">
        <v>20270</v>
      </c>
      <c r="BJ228">
        <v>52</v>
      </c>
      <c r="BK228">
        <f t="shared" si="29"/>
        <v>318</v>
      </c>
      <c r="BL228">
        <f t="shared" si="30"/>
        <v>20270</v>
      </c>
      <c r="BM228">
        <f t="shared" si="31"/>
        <v>52</v>
      </c>
      <c r="BN228">
        <f t="shared" si="32"/>
        <v>0</v>
      </c>
      <c r="BO228">
        <f t="shared" si="33"/>
        <v>0</v>
      </c>
      <c r="BP228">
        <f t="shared" si="34"/>
        <v>0</v>
      </c>
      <c r="BQ228" t="s">
        <v>106</v>
      </c>
      <c r="BR228" t="s">
        <v>112</v>
      </c>
      <c r="BS228" s="1">
        <v>33565</v>
      </c>
      <c r="BT228">
        <v>34</v>
      </c>
      <c r="BU228" t="s">
        <v>89</v>
      </c>
      <c r="BV228" t="s">
        <v>89</v>
      </c>
      <c r="BW228">
        <v>18</v>
      </c>
      <c r="BX228">
        <v>1991</v>
      </c>
      <c r="BY228">
        <v>17</v>
      </c>
      <c r="BZ228">
        <f t="shared" si="35"/>
        <v>-6</v>
      </c>
      <c r="CA228">
        <f t="shared" si="36"/>
        <v>1</v>
      </c>
      <c r="CB228" t="b">
        <f t="shared" si="37"/>
        <v>0</v>
      </c>
    </row>
    <row r="229" spans="1:80" x14ac:dyDescent="0.3">
      <c r="A229" t="s">
        <v>2261</v>
      </c>
      <c r="B229" t="s">
        <v>2262</v>
      </c>
      <c r="C229" t="s">
        <v>2263</v>
      </c>
      <c r="D229">
        <v>40</v>
      </c>
      <c r="E229" s="1">
        <v>30923</v>
      </c>
      <c r="F229" t="s">
        <v>89</v>
      </c>
      <c r="G229" t="s">
        <v>115</v>
      </c>
      <c r="H229" t="s">
        <v>2264</v>
      </c>
      <c r="I229" t="s">
        <v>348</v>
      </c>
      <c r="J229" t="s">
        <v>89</v>
      </c>
      <c r="K229" t="s">
        <v>89</v>
      </c>
      <c r="L229" t="s">
        <v>657</v>
      </c>
      <c r="M229">
        <v>18</v>
      </c>
      <c r="N229" t="s">
        <v>2265</v>
      </c>
      <c r="O229">
        <v>2003</v>
      </c>
      <c r="P229" t="s">
        <v>2266</v>
      </c>
      <c r="Q229" t="s">
        <v>2267</v>
      </c>
      <c r="R229">
        <v>2233</v>
      </c>
      <c r="S229" t="s">
        <v>2261</v>
      </c>
      <c r="T229" t="s">
        <v>2268</v>
      </c>
      <c r="U229">
        <v>1984</v>
      </c>
      <c r="V229" t="s">
        <v>2269</v>
      </c>
      <c r="W229" t="s">
        <v>89</v>
      </c>
      <c r="X229" t="s">
        <v>2270</v>
      </c>
      <c r="Y229" t="s">
        <v>136</v>
      </c>
      <c r="Z229" t="s">
        <v>89</v>
      </c>
      <c r="AA229" t="s">
        <v>2271</v>
      </c>
      <c r="AB229">
        <v>42376</v>
      </c>
      <c r="AC229" t="s">
        <v>108</v>
      </c>
      <c r="AD229" t="s">
        <v>89</v>
      </c>
      <c r="AE229">
        <v>37721</v>
      </c>
      <c r="AF229">
        <v>19</v>
      </c>
      <c r="AG229" t="s">
        <v>2272</v>
      </c>
      <c r="AH229" s="1">
        <v>38207</v>
      </c>
      <c r="AI229">
        <v>19</v>
      </c>
      <c r="AJ229" t="s">
        <v>250</v>
      </c>
      <c r="AK229">
        <v>19</v>
      </c>
      <c r="AL229">
        <v>8</v>
      </c>
      <c r="AM229">
        <v>119</v>
      </c>
      <c r="AN229">
        <v>26</v>
      </c>
      <c r="AO229">
        <v>4</v>
      </c>
      <c r="AP229" t="s">
        <v>93</v>
      </c>
      <c r="AQ229" t="s">
        <v>89</v>
      </c>
      <c r="AR229" t="s">
        <v>89</v>
      </c>
      <c r="AS229" t="s">
        <v>111</v>
      </c>
      <c r="AT229">
        <v>42376</v>
      </c>
      <c r="AU229">
        <v>2016</v>
      </c>
      <c r="AV229">
        <v>13</v>
      </c>
      <c r="AW229">
        <v>13</v>
      </c>
      <c r="AX229" t="s">
        <v>89</v>
      </c>
      <c r="AY229" t="s">
        <v>93</v>
      </c>
      <c r="AZ229">
        <v>0</v>
      </c>
      <c r="BA229">
        <v>0</v>
      </c>
      <c r="BB229">
        <v>0</v>
      </c>
      <c r="BC229">
        <v>0</v>
      </c>
      <c r="BD229">
        <v>220</v>
      </c>
      <c r="BE229">
        <v>16787</v>
      </c>
      <c r="BF229">
        <v>6</v>
      </c>
      <c r="BG229">
        <v>32</v>
      </c>
      <c r="BH229">
        <v>220</v>
      </c>
      <c r="BI229">
        <v>16787</v>
      </c>
      <c r="BJ229">
        <v>6</v>
      </c>
      <c r="BK229">
        <f t="shared" si="29"/>
        <v>220</v>
      </c>
      <c r="BL229">
        <f t="shared" si="30"/>
        <v>16787</v>
      </c>
      <c r="BM229">
        <f t="shared" si="31"/>
        <v>6</v>
      </c>
      <c r="BN229">
        <f t="shared" si="32"/>
        <v>0</v>
      </c>
      <c r="BO229">
        <f t="shared" si="33"/>
        <v>0</v>
      </c>
      <c r="BP229">
        <f t="shared" si="34"/>
        <v>0</v>
      </c>
      <c r="BQ229" t="s">
        <v>136</v>
      </c>
      <c r="BR229" t="s">
        <v>140</v>
      </c>
      <c r="BS229" s="1">
        <v>30923</v>
      </c>
      <c r="BT229">
        <v>41</v>
      </c>
      <c r="BU229">
        <v>42376</v>
      </c>
      <c r="BV229" t="s">
        <v>89</v>
      </c>
      <c r="BW229">
        <v>13</v>
      </c>
      <c r="BX229">
        <v>1984</v>
      </c>
      <c r="BY229">
        <v>13</v>
      </c>
      <c r="BZ229">
        <f t="shared" si="35"/>
        <v>0</v>
      </c>
      <c r="CA229">
        <f t="shared" si="36"/>
        <v>0</v>
      </c>
      <c r="CB229" t="b">
        <f t="shared" si="37"/>
        <v>1</v>
      </c>
    </row>
    <row r="230" spans="1:80" x14ac:dyDescent="0.3">
      <c r="A230" t="s">
        <v>2273</v>
      </c>
      <c r="B230" t="s">
        <v>71</v>
      </c>
      <c r="C230" t="s">
        <v>2274</v>
      </c>
      <c r="D230">
        <v>34</v>
      </c>
      <c r="E230" t="s">
        <v>2275</v>
      </c>
      <c r="F230" t="s">
        <v>2276</v>
      </c>
      <c r="G230" t="s">
        <v>75</v>
      </c>
      <c r="H230" t="s">
        <v>76</v>
      </c>
      <c r="I230" t="s">
        <v>401</v>
      </c>
      <c r="J230" t="s">
        <v>89</v>
      </c>
      <c r="K230" t="s">
        <v>2277</v>
      </c>
      <c r="L230" t="s">
        <v>278</v>
      </c>
      <c r="M230">
        <v>20</v>
      </c>
      <c r="N230" t="s">
        <v>2278</v>
      </c>
      <c r="O230">
        <v>2011</v>
      </c>
      <c r="P230" t="s">
        <v>2279</v>
      </c>
      <c r="Q230" t="s">
        <v>2280</v>
      </c>
      <c r="R230">
        <v>129515</v>
      </c>
      <c r="S230" t="s">
        <v>2273</v>
      </c>
      <c r="T230" t="s">
        <v>2281</v>
      </c>
      <c r="U230">
        <v>1991</v>
      </c>
      <c r="V230" t="s">
        <v>969</v>
      </c>
      <c r="W230">
        <v>1.7</v>
      </c>
      <c r="X230" t="s">
        <v>76</v>
      </c>
      <c r="Y230" t="s">
        <v>123</v>
      </c>
      <c r="Z230" t="s">
        <v>152</v>
      </c>
      <c r="AA230" t="s">
        <v>2282</v>
      </c>
      <c r="AB230" s="1">
        <v>45664</v>
      </c>
      <c r="AC230" t="s">
        <v>108</v>
      </c>
      <c r="AD230" t="s">
        <v>2283</v>
      </c>
      <c r="AE230" t="s">
        <v>2284</v>
      </c>
      <c r="AF230">
        <v>22</v>
      </c>
      <c r="AG230" t="s">
        <v>91</v>
      </c>
      <c r="AH230" t="s">
        <v>2285</v>
      </c>
      <c r="AI230">
        <v>21</v>
      </c>
      <c r="AJ230" t="s">
        <v>110</v>
      </c>
      <c r="AK230">
        <v>21</v>
      </c>
      <c r="AL230">
        <v>3</v>
      </c>
      <c r="AM230">
        <v>176</v>
      </c>
      <c r="AN230">
        <v>27</v>
      </c>
      <c r="AO230">
        <v>2</v>
      </c>
      <c r="AP230" t="s">
        <v>93</v>
      </c>
      <c r="AQ230" t="s">
        <v>89</v>
      </c>
      <c r="AR230" t="s">
        <v>89</v>
      </c>
      <c r="AS230" t="s">
        <v>111</v>
      </c>
      <c r="AT230" s="1">
        <v>45664</v>
      </c>
      <c r="AU230">
        <v>2025</v>
      </c>
      <c r="AV230">
        <v>14</v>
      </c>
      <c r="AW230">
        <v>14</v>
      </c>
      <c r="AX230" t="s">
        <v>89</v>
      </c>
      <c r="AY230" t="s">
        <v>93</v>
      </c>
      <c r="AZ230">
        <v>0</v>
      </c>
      <c r="BA230">
        <v>0</v>
      </c>
      <c r="BB230">
        <v>0</v>
      </c>
      <c r="BC230">
        <v>0</v>
      </c>
      <c r="BD230">
        <v>185</v>
      </c>
      <c r="BE230">
        <v>11147</v>
      </c>
      <c r="BF230">
        <v>41</v>
      </c>
      <c r="BG230">
        <v>34</v>
      </c>
      <c r="BH230">
        <v>185</v>
      </c>
      <c r="BI230">
        <v>11147</v>
      </c>
      <c r="BJ230">
        <v>41</v>
      </c>
      <c r="BK230">
        <f t="shared" si="29"/>
        <v>185</v>
      </c>
      <c r="BL230">
        <f t="shared" si="30"/>
        <v>11147</v>
      </c>
      <c r="BM230">
        <f t="shared" si="31"/>
        <v>41</v>
      </c>
      <c r="BN230">
        <f t="shared" si="32"/>
        <v>0</v>
      </c>
      <c r="BO230">
        <f t="shared" si="33"/>
        <v>0</v>
      </c>
      <c r="BP230">
        <f t="shared" si="34"/>
        <v>0</v>
      </c>
      <c r="BQ230" t="s">
        <v>123</v>
      </c>
      <c r="BR230" t="s">
        <v>112</v>
      </c>
      <c r="BS230" s="1">
        <v>33263</v>
      </c>
      <c r="BT230">
        <v>35</v>
      </c>
      <c r="BU230" s="1">
        <v>45664</v>
      </c>
      <c r="BV230" s="1">
        <v>45839</v>
      </c>
      <c r="BW230">
        <v>13</v>
      </c>
      <c r="BX230">
        <v>1991</v>
      </c>
      <c r="BY230">
        <v>13</v>
      </c>
      <c r="BZ230">
        <f t="shared" si="35"/>
        <v>1</v>
      </c>
      <c r="CA230">
        <f t="shared" si="36"/>
        <v>0</v>
      </c>
      <c r="CB230" t="b">
        <f t="shared" si="37"/>
        <v>0</v>
      </c>
    </row>
    <row r="231" spans="1:80" x14ac:dyDescent="0.3">
      <c r="A231" t="s">
        <v>2286</v>
      </c>
      <c r="B231" t="s">
        <v>776</v>
      </c>
      <c r="C231" t="s">
        <v>2287</v>
      </c>
      <c r="D231">
        <v>45</v>
      </c>
      <c r="E231" s="1">
        <v>29396</v>
      </c>
      <c r="F231" t="s">
        <v>89</v>
      </c>
      <c r="G231" t="s">
        <v>1289</v>
      </c>
      <c r="H231" t="s">
        <v>778</v>
      </c>
      <c r="I231" t="s">
        <v>348</v>
      </c>
      <c r="J231" t="s">
        <v>78</v>
      </c>
      <c r="K231" t="s">
        <v>89</v>
      </c>
      <c r="L231" t="s">
        <v>117</v>
      </c>
      <c r="M231">
        <v>25</v>
      </c>
      <c r="N231" t="s">
        <v>268</v>
      </c>
      <c r="O231">
        <v>2005</v>
      </c>
      <c r="P231" t="s">
        <v>2288</v>
      </c>
      <c r="Q231" t="s">
        <v>2289</v>
      </c>
      <c r="R231">
        <v>26101</v>
      </c>
      <c r="S231" t="s">
        <v>2286</v>
      </c>
      <c r="T231" t="s">
        <v>2290</v>
      </c>
      <c r="U231">
        <v>1980</v>
      </c>
      <c r="V231" t="s">
        <v>2291</v>
      </c>
      <c r="W231">
        <v>1.71</v>
      </c>
      <c r="X231" t="s">
        <v>2292</v>
      </c>
      <c r="Y231" t="s">
        <v>136</v>
      </c>
      <c r="Z231" t="s">
        <v>87</v>
      </c>
      <c r="AA231" t="s">
        <v>2293</v>
      </c>
      <c r="AB231" s="1">
        <v>43103</v>
      </c>
      <c r="AC231" t="s">
        <v>108</v>
      </c>
      <c r="AD231" t="s">
        <v>89</v>
      </c>
      <c r="AE231" s="1">
        <v>36444</v>
      </c>
      <c r="AF231">
        <v>19</v>
      </c>
      <c r="AG231" t="s">
        <v>786</v>
      </c>
      <c r="AH231" t="s">
        <v>92</v>
      </c>
      <c r="AI231" t="s">
        <v>89</v>
      </c>
      <c r="AJ231" t="s">
        <v>92</v>
      </c>
      <c r="AK231">
        <v>19</v>
      </c>
      <c r="AL231">
        <v>7</v>
      </c>
      <c r="AM231">
        <v>523</v>
      </c>
      <c r="AN231">
        <v>35</v>
      </c>
      <c r="AO231">
        <v>3</v>
      </c>
      <c r="AP231" t="s">
        <v>93</v>
      </c>
      <c r="AQ231" t="s">
        <v>89</v>
      </c>
      <c r="AR231" t="s">
        <v>89</v>
      </c>
      <c r="AS231" t="s">
        <v>111</v>
      </c>
      <c r="AT231">
        <v>43103</v>
      </c>
      <c r="AU231">
        <v>2018</v>
      </c>
      <c r="AV231">
        <v>13</v>
      </c>
      <c r="AW231">
        <v>13</v>
      </c>
      <c r="AX231" t="s">
        <v>89</v>
      </c>
      <c r="AY231" t="s">
        <v>111</v>
      </c>
      <c r="AZ231">
        <v>2</v>
      </c>
      <c r="BA231">
        <v>7</v>
      </c>
      <c r="BB231">
        <v>505</v>
      </c>
      <c r="BC231">
        <v>0</v>
      </c>
      <c r="BD231">
        <v>202</v>
      </c>
      <c r="BE231">
        <v>14536</v>
      </c>
      <c r="BF231">
        <v>7</v>
      </c>
      <c r="BG231">
        <v>38</v>
      </c>
      <c r="BH231">
        <v>209</v>
      </c>
      <c r="BI231">
        <v>15041</v>
      </c>
      <c r="BJ231">
        <v>7</v>
      </c>
      <c r="BK231">
        <f t="shared" si="29"/>
        <v>209</v>
      </c>
      <c r="BL231">
        <f t="shared" si="30"/>
        <v>15041</v>
      </c>
      <c r="BM231">
        <f t="shared" si="31"/>
        <v>7</v>
      </c>
      <c r="BN231">
        <f t="shared" si="32"/>
        <v>0</v>
      </c>
      <c r="BO231">
        <f t="shared" si="33"/>
        <v>0</v>
      </c>
      <c r="BP231">
        <f t="shared" si="34"/>
        <v>0</v>
      </c>
      <c r="BQ231" t="s">
        <v>136</v>
      </c>
      <c r="BR231" t="s">
        <v>140</v>
      </c>
      <c r="BS231" s="1">
        <v>29396</v>
      </c>
      <c r="BT231">
        <v>45</v>
      </c>
      <c r="BU231">
        <v>43103</v>
      </c>
      <c r="BV231" t="s">
        <v>89</v>
      </c>
      <c r="BW231">
        <v>19</v>
      </c>
      <c r="BX231">
        <v>1980</v>
      </c>
      <c r="BY231">
        <v>19</v>
      </c>
      <c r="BZ231">
        <f t="shared" si="35"/>
        <v>-6</v>
      </c>
      <c r="CA231">
        <f t="shared" si="36"/>
        <v>0</v>
      </c>
      <c r="CB231" t="b">
        <f t="shared" si="37"/>
        <v>0</v>
      </c>
    </row>
    <row r="232" spans="1:80" x14ac:dyDescent="0.3">
      <c r="A232" t="s">
        <v>2286</v>
      </c>
      <c r="B232" t="s">
        <v>89</v>
      </c>
      <c r="C232" t="s">
        <v>2294</v>
      </c>
      <c r="D232">
        <v>38</v>
      </c>
      <c r="E232" s="1">
        <v>31628</v>
      </c>
      <c r="F232" t="s">
        <v>89</v>
      </c>
      <c r="G232" t="s">
        <v>687</v>
      </c>
      <c r="H232" t="s">
        <v>89</v>
      </c>
      <c r="I232" t="s">
        <v>348</v>
      </c>
      <c r="J232" t="s">
        <v>89</v>
      </c>
      <c r="K232" t="s">
        <v>89</v>
      </c>
      <c r="L232" t="s">
        <v>80</v>
      </c>
      <c r="M232">
        <v>25</v>
      </c>
      <c r="N232" t="s">
        <v>304</v>
      </c>
      <c r="O232">
        <v>2012</v>
      </c>
      <c r="P232" t="s">
        <v>2295</v>
      </c>
      <c r="Q232" t="s">
        <v>2289</v>
      </c>
      <c r="R232">
        <v>99632</v>
      </c>
      <c r="S232" t="s">
        <v>2286</v>
      </c>
      <c r="T232" t="s">
        <v>2296</v>
      </c>
      <c r="U232">
        <v>1986</v>
      </c>
      <c r="V232" t="s">
        <v>2297</v>
      </c>
      <c r="W232">
        <v>1.74</v>
      </c>
      <c r="X232" t="s">
        <v>778</v>
      </c>
      <c r="Y232" t="s">
        <v>136</v>
      </c>
      <c r="Z232" t="s">
        <v>87</v>
      </c>
      <c r="AA232" t="s">
        <v>2298</v>
      </c>
      <c r="AB232" t="s">
        <v>2299</v>
      </c>
      <c r="AC232" t="s">
        <v>108</v>
      </c>
      <c r="AD232" t="s">
        <v>89</v>
      </c>
      <c r="AE232">
        <v>40091</v>
      </c>
      <c r="AF232">
        <v>22</v>
      </c>
      <c r="AG232" t="s">
        <v>786</v>
      </c>
      <c r="AH232">
        <v>40395</v>
      </c>
      <c r="AI232">
        <v>23</v>
      </c>
      <c r="AJ232" t="s">
        <v>986</v>
      </c>
      <c r="AK232">
        <v>22</v>
      </c>
      <c r="AL232">
        <v>1</v>
      </c>
      <c r="AM232">
        <v>274</v>
      </c>
      <c r="AN232">
        <v>40</v>
      </c>
      <c r="AO232">
        <v>1</v>
      </c>
      <c r="AP232" t="s">
        <v>93</v>
      </c>
      <c r="AQ232" t="s">
        <v>89</v>
      </c>
      <c r="AR232" t="s">
        <v>89</v>
      </c>
      <c r="AS232" t="s">
        <v>111</v>
      </c>
      <c r="AT232" t="s">
        <v>2299</v>
      </c>
      <c r="AU232">
        <v>2019</v>
      </c>
      <c r="AV232">
        <v>7</v>
      </c>
      <c r="AW232">
        <v>7</v>
      </c>
      <c r="AX232" t="s">
        <v>89</v>
      </c>
      <c r="AY232" t="s">
        <v>93</v>
      </c>
      <c r="AZ232">
        <v>0</v>
      </c>
      <c r="BA232">
        <v>0</v>
      </c>
      <c r="BB232">
        <v>0</v>
      </c>
      <c r="BC232">
        <v>0</v>
      </c>
      <c r="BD232">
        <v>57</v>
      </c>
      <c r="BE232">
        <v>4044</v>
      </c>
      <c r="BF232">
        <v>2</v>
      </c>
      <c r="BG232">
        <v>33</v>
      </c>
      <c r="BH232">
        <v>57</v>
      </c>
      <c r="BI232">
        <v>4044</v>
      </c>
      <c r="BJ232">
        <v>2</v>
      </c>
      <c r="BK232">
        <f t="shared" si="29"/>
        <v>57</v>
      </c>
      <c r="BL232">
        <f t="shared" si="30"/>
        <v>4044</v>
      </c>
      <c r="BM232">
        <f t="shared" si="31"/>
        <v>2</v>
      </c>
      <c r="BN232">
        <f t="shared" si="32"/>
        <v>0</v>
      </c>
      <c r="BO232">
        <f t="shared" si="33"/>
        <v>0</v>
      </c>
      <c r="BP232">
        <f t="shared" si="34"/>
        <v>0</v>
      </c>
      <c r="BQ232" t="s">
        <v>136</v>
      </c>
      <c r="BR232" t="s">
        <v>140</v>
      </c>
      <c r="BS232" t="s">
        <v>89</v>
      </c>
      <c r="BT232">
        <v>40</v>
      </c>
      <c r="BU232" t="s">
        <v>2299</v>
      </c>
      <c r="BV232" s="1">
        <v>43782</v>
      </c>
      <c r="BW232">
        <v>11</v>
      </c>
      <c r="BX232">
        <v>1986</v>
      </c>
      <c r="BY232">
        <v>11</v>
      </c>
      <c r="BZ232">
        <f t="shared" si="35"/>
        <v>-4</v>
      </c>
      <c r="CA232">
        <f t="shared" si="36"/>
        <v>0</v>
      </c>
      <c r="CB232" t="b">
        <f t="shared" si="37"/>
        <v>0</v>
      </c>
    </row>
    <row r="233" spans="1:80" x14ac:dyDescent="0.3">
      <c r="A233" t="s">
        <v>2300</v>
      </c>
      <c r="B233" t="s">
        <v>2301</v>
      </c>
      <c r="C233" t="s">
        <v>2302</v>
      </c>
      <c r="D233">
        <v>39</v>
      </c>
      <c r="E233" s="1">
        <v>31322</v>
      </c>
      <c r="F233" t="s">
        <v>89</v>
      </c>
      <c r="G233" t="s">
        <v>226</v>
      </c>
      <c r="H233" t="s">
        <v>2303</v>
      </c>
      <c r="I233" t="s">
        <v>437</v>
      </c>
      <c r="J233" t="s">
        <v>78</v>
      </c>
      <c r="K233" t="s">
        <v>89</v>
      </c>
      <c r="L233" t="s">
        <v>657</v>
      </c>
      <c r="M233">
        <v>17</v>
      </c>
      <c r="N233" t="s">
        <v>2304</v>
      </c>
      <c r="O233">
        <v>2003</v>
      </c>
      <c r="P233" t="s">
        <v>2305</v>
      </c>
      <c r="Q233" t="s">
        <v>2306</v>
      </c>
      <c r="R233">
        <v>16833</v>
      </c>
      <c r="S233" t="s">
        <v>2300</v>
      </c>
      <c r="T233" s="1">
        <v>31088</v>
      </c>
      <c r="U233">
        <v>1985</v>
      </c>
      <c r="V233" t="s">
        <v>2307</v>
      </c>
      <c r="W233">
        <v>1.84</v>
      </c>
      <c r="X233" t="s">
        <v>2303</v>
      </c>
      <c r="Y233" t="s">
        <v>123</v>
      </c>
      <c r="Z233" t="s">
        <v>392</v>
      </c>
      <c r="AA233" t="s">
        <v>2308</v>
      </c>
      <c r="AB233" t="s">
        <v>2309</v>
      </c>
      <c r="AC233" t="s">
        <v>108</v>
      </c>
      <c r="AD233" t="s">
        <v>89</v>
      </c>
      <c r="AE233" t="s">
        <v>2310</v>
      </c>
      <c r="AF233">
        <v>17</v>
      </c>
      <c r="AG233" t="s">
        <v>2311</v>
      </c>
      <c r="AH233" t="s">
        <v>92</v>
      </c>
      <c r="AI233" t="s">
        <v>89</v>
      </c>
      <c r="AJ233" t="s">
        <v>92</v>
      </c>
      <c r="AK233">
        <v>17</v>
      </c>
      <c r="AL233">
        <v>17</v>
      </c>
      <c r="AM233">
        <v>511</v>
      </c>
      <c r="AN233">
        <v>96</v>
      </c>
      <c r="AO233">
        <v>6</v>
      </c>
      <c r="AP233" t="s">
        <v>93</v>
      </c>
      <c r="AQ233" t="s">
        <v>89</v>
      </c>
      <c r="AR233" t="s">
        <v>89</v>
      </c>
      <c r="AS233" t="s">
        <v>111</v>
      </c>
      <c r="AT233" t="s">
        <v>2309</v>
      </c>
      <c r="AU233">
        <v>2016</v>
      </c>
      <c r="AV233">
        <v>13</v>
      </c>
      <c r="AW233">
        <v>13</v>
      </c>
      <c r="AX233" t="s">
        <v>89</v>
      </c>
      <c r="AY233" t="s">
        <v>111</v>
      </c>
      <c r="AZ233">
        <v>8</v>
      </c>
      <c r="BA233">
        <v>46</v>
      </c>
      <c r="BB233">
        <v>3259</v>
      </c>
      <c r="BC233">
        <v>17</v>
      </c>
      <c r="BD233">
        <v>298</v>
      </c>
      <c r="BE233">
        <v>15504</v>
      </c>
      <c r="BF233">
        <v>60</v>
      </c>
      <c r="BG233">
        <v>31</v>
      </c>
      <c r="BH233">
        <v>344</v>
      </c>
      <c r="BI233">
        <v>18763</v>
      </c>
      <c r="BJ233">
        <v>77</v>
      </c>
      <c r="BK233">
        <f t="shared" si="29"/>
        <v>344</v>
      </c>
      <c r="BL233">
        <f t="shared" si="30"/>
        <v>18763</v>
      </c>
      <c r="BM233">
        <f t="shared" si="31"/>
        <v>77</v>
      </c>
      <c r="BN233">
        <f t="shared" si="32"/>
        <v>0</v>
      </c>
      <c r="BO233">
        <f t="shared" si="33"/>
        <v>0</v>
      </c>
      <c r="BP233">
        <f t="shared" si="34"/>
        <v>0</v>
      </c>
      <c r="BQ233" t="s">
        <v>123</v>
      </c>
      <c r="BR233" t="s">
        <v>112</v>
      </c>
      <c r="BS233" s="1">
        <v>31322</v>
      </c>
      <c r="BT233">
        <v>40</v>
      </c>
      <c r="BU233" t="s">
        <v>2309</v>
      </c>
      <c r="BV233" s="1">
        <v>42674</v>
      </c>
      <c r="BW233">
        <v>14</v>
      </c>
      <c r="BX233">
        <v>1985</v>
      </c>
      <c r="BY233">
        <v>14</v>
      </c>
      <c r="BZ233">
        <f t="shared" si="35"/>
        <v>-1</v>
      </c>
      <c r="CA233">
        <f t="shared" si="36"/>
        <v>0</v>
      </c>
      <c r="CB233" t="b">
        <f t="shared" si="37"/>
        <v>0</v>
      </c>
    </row>
    <row r="234" spans="1:80" x14ac:dyDescent="0.3">
      <c r="A234" t="s">
        <v>2312</v>
      </c>
      <c r="B234" t="s">
        <v>1089</v>
      </c>
      <c r="C234" t="s">
        <v>2313</v>
      </c>
      <c r="D234">
        <v>42</v>
      </c>
      <c r="E234" s="1">
        <v>30419</v>
      </c>
      <c r="F234" t="s">
        <v>89</v>
      </c>
      <c r="G234" t="s">
        <v>176</v>
      </c>
      <c r="H234" t="s">
        <v>1093</v>
      </c>
      <c r="I234" t="s">
        <v>178</v>
      </c>
      <c r="J234" t="s">
        <v>78</v>
      </c>
      <c r="K234" t="s">
        <v>89</v>
      </c>
      <c r="L234" t="s">
        <v>163</v>
      </c>
      <c r="M234">
        <v>23</v>
      </c>
      <c r="N234" t="s">
        <v>1365</v>
      </c>
      <c r="O234">
        <v>2006</v>
      </c>
      <c r="P234" t="s">
        <v>2314</v>
      </c>
      <c r="Q234" t="s">
        <v>2315</v>
      </c>
      <c r="R234">
        <v>40423</v>
      </c>
      <c r="S234" t="s">
        <v>2312</v>
      </c>
      <c r="T234" t="s">
        <v>2316</v>
      </c>
      <c r="U234">
        <v>1983</v>
      </c>
      <c r="V234" t="s">
        <v>2317</v>
      </c>
      <c r="W234">
        <v>1.84</v>
      </c>
      <c r="X234" t="s">
        <v>1872</v>
      </c>
      <c r="Y234" t="s">
        <v>186</v>
      </c>
      <c r="Z234" t="s">
        <v>87</v>
      </c>
      <c r="AA234" t="s">
        <v>706</v>
      </c>
      <c r="AB234" t="s">
        <v>2318</v>
      </c>
      <c r="AC234" t="s">
        <v>108</v>
      </c>
      <c r="AD234" t="s">
        <v>442</v>
      </c>
      <c r="AE234" t="s">
        <v>2319</v>
      </c>
      <c r="AF234">
        <v>20</v>
      </c>
      <c r="AG234" t="s">
        <v>2320</v>
      </c>
      <c r="AH234" t="s">
        <v>961</v>
      </c>
      <c r="AI234">
        <v>25</v>
      </c>
      <c r="AJ234" t="s">
        <v>110</v>
      </c>
      <c r="AK234">
        <v>20</v>
      </c>
      <c r="AL234">
        <v>15</v>
      </c>
      <c r="AM234">
        <v>678</v>
      </c>
      <c r="AN234">
        <v>148</v>
      </c>
      <c r="AO234">
        <v>10</v>
      </c>
      <c r="AP234" t="s">
        <v>93</v>
      </c>
      <c r="AQ234" t="s">
        <v>89</v>
      </c>
      <c r="AR234" t="s">
        <v>89</v>
      </c>
      <c r="AS234" t="s">
        <v>111</v>
      </c>
      <c r="AT234" t="s">
        <v>2318</v>
      </c>
      <c r="AU234">
        <v>2024</v>
      </c>
      <c r="AV234">
        <v>18</v>
      </c>
      <c r="AW234">
        <v>18</v>
      </c>
      <c r="AX234" t="s">
        <v>89</v>
      </c>
      <c r="AY234" t="s">
        <v>111</v>
      </c>
      <c r="AZ234">
        <v>14</v>
      </c>
      <c r="BA234">
        <v>62</v>
      </c>
      <c r="BB234">
        <v>5512</v>
      </c>
      <c r="BC234">
        <v>0</v>
      </c>
      <c r="BD234">
        <v>442</v>
      </c>
      <c r="BE234">
        <v>39640</v>
      </c>
      <c r="BF234">
        <v>0</v>
      </c>
      <c r="BG234">
        <v>41</v>
      </c>
      <c r="BH234">
        <v>504</v>
      </c>
      <c r="BI234">
        <v>45152</v>
      </c>
      <c r="BJ234">
        <v>0</v>
      </c>
      <c r="BK234">
        <f t="shared" si="29"/>
        <v>504</v>
      </c>
      <c r="BL234">
        <f t="shared" si="30"/>
        <v>45152</v>
      </c>
      <c r="BM234">
        <f t="shared" si="31"/>
        <v>0</v>
      </c>
      <c r="BN234">
        <f t="shared" si="32"/>
        <v>0</v>
      </c>
      <c r="BO234">
        <f t="shared" si="33"/>
        <v>0</v>
      </c>
      <c r="BP234">
        <f t="shared" si="34"/>
        <v>0</v>
      </c>
      <c r="BQ234" t="s">
        <v>186</v>
      </c>
      <c r="BR234" t="s">
        <v>186</v>
      </c>
      <c r="BS234" s="1">
        <v>30419</v>
      </c>
      <c r="BT234">
        <v>42</v>
      </c>
      <c r="BU234" t="s">
        <v>2318</v>
      </c>
      <c r="BV234" s="1">
        <v>45530</v>
      </c>
      <c r="BW234">
        <v>21</v>
      </c>
      <c r="BX234">
        <v>1983</v>
      </c>
      <c r="BY234">
        <v>21</v>
      </c>
      <c r="BZ234">
        <f t="shared" si="35"/>
        <v>-3</v>
      </c>
      <c r="CA234">
        <f t="shared" si="36"/>
        <v>0</v>
      </c>
      <c r="CB234" t="b">
        <f t="shared" si="37"/>
        <v>0</v>
      </c>
    </row>
    <row r="235" spans="1:80" x14ac:dyDescent="0.3">
      <c r="A235" t="s">
        <v>2321</v>
      </c>
      <c r="B235" t="s">
        <v>2322</v>
      </c>
      <c r="C235" t="s">
        <v>2323</v>
      </c>
      <c r="D235">
        <v>47</v>
      </c>
      <c r="E235" s="1">
        <v>28523</v>
      </c>
      <c r="F235" t="s">
        <v>89</v>
      </c>
      <c r="G235" t="s">
        <v>143</v>
      </c>
      <c r="H235" t="s">
        <v>2324</v>
      </c>
      <c r="I235" t="s">
        <v>375</v>
      </c>
      <c r="J235" t="s">
        <v>89</v>
      </c>
      <c r="K235" t="s">
        <v>89</v>
      </c>
      <c r="L235" t="s">
        <v>228</v>
      </c>
      <c r="M235">
        <v>32</v>
      </c>
      <c r="N235" t="s">
        <v>741</v>
      </c>
      <c r="O235">
        <v>2010</v>
      </c>
      <c r="P235" t="s">
        <v>2325</v>
      </c>
      <c r="Q235" t="s">
        <v>2326</v>
      </c>
      <c r="R235">
        <v>7924</v>
      </c>
      <c r="S235" t="s">
        <v>2321</v>
      </c>
      <c r="T235" s="1">
        <v>28523</v>
      </c>
      <c r="U235">
        <v>1978</v>
      </c>
      <c r="V235" t="s">
        <v>2327</v>
      </c>
      <c r="W235">
        <v>1.75</v>
      </c>
      <c r="X235" t="s">
        <v>2324</v>
      </c>
      <c r="Y235" t="s">
        <v>203</v>
      </c>
      <c r="Z235" t="s">
        <v>152</v>
      </c>
      <c r="AA235" t="s">
        <v>2328</v>
      </c>
      <c r="AB235" s="1">
        <v>43466</v>
      </c>
      <c r="AC235" t="s">
        <v>108</v>
      </c>
      <c r="AD235" t="s">
        <v>89</v>
      </c>
      <c r="AE235" t="s">
        <v>2329</v>
      </c>
      <c r="AF235">
        <v>21</v>
      </c>
      <c r="AG235" t="s">
        <v>171</v>
      </c>
      <c r="AH235" t="s">
        <v>2330</v>
      </c>
      <c r="AI235">
        <v>33</v>
      </c>
      <c r="AJ235" t="s">
        <v>110</v>
      </c>
      <c r="AK235">
        <v>21</v>
      </c>
      <c r="AL235">
        <v>8</v>
      </c>
      <c r="AM235">
        <v>126</v>
      </c>
      <c r="AN235">
        <v>27</v>
      </c>
      <c r="AO235">
        <v>6</v>
      </c>
      <c r="AP235" t="s">
        <v>93</v>
      </c>
      <c r="AQ235" t="s">
        <v>89</v>
      </c>
      <c r="AR235" t="s">
        <v>89</v>
      </c>
      <c r="AS235" t="s">
        <v>111</v>
      </c>
      <c r="AT235" s="1">
        <v>43466</v>
      </c>
      <c r="AU235">
        <v>2019</v>
      </c>
      <c r="AV235">
        <v>9</v>
      </c>
      <c r="AW235">
        <v>9</v>
      </c>
      <c r="AX235" t="s">
        <v>89</v>
      </c>
      <c r="AY235" t="s">
        <v>111</v>
      </c>
      <c r="AZ235">
        <v>1</v>
      </c>
      <c r="BA235">
        <v>5</v>
      </c>
      <c r="BB235">
        <v>480</v>
      </c>
      <c r="BC235">
        <v>0</v>
      </c>
      <c r="BD235">
        <v>33</v>
      </c>
      <c r="BE235">
        <v>2726</v>
      </c>
      <c r="BF235">
        <v>0</v>
      </c>
      <c r="BG235">
        <v>41</v>
      </c>
      <c r="BH235">
        <v>38</v>
      </c>
      <c r="BI235">
        <v>3206</v>
      </c>
      <c r="BJ235">
        <v>0</v>
      </c>
      <c r="BK235">
        <f t="shared" si="29"/>
        <v>38</v>
      </c>
      <c r="BL235">
        <f t="shared" si="30"/>
        <v>3206</v>
      </c>
      <c r="BM235">
        <f t="shared" si="31"/>
        <v>0</v>
      </c>
      <c r="BN235">
        <f t="shared" si="32"/>
        <v>0</v>
      </c>
      <c r="BO235">
        <f t="shared" si="33"/>
        <v>0</v>
      </c>
      <c r="BP235">
        <f t="shared" si="34"/>
        <v>0</v>
      </c>
      <c r="BQ235" t="s">
        <v>203</v>
      </c>
      <c r="BR235" t="s">
        <v>140</v>
      </c>
      <c r="BS235" s="1">
        <v>28523</v>
      </c>
      <c r="BT235">
        <v>48</v>
      </c>
      <c r="BU235" s="1">
        <v>43466</v>
      </c>
      <c r="BV235" s="1">
        <v>43466</v>
      </c>
      <c r="BW235">
        <v>20</v>
      </c>
      <c r="BX235">
        <v>1978</v>
      </c>
      <c r="BY235">
        <v>20</v>
      </c>
      <c r="BZ235">
        <f t="shared" si="35"/>
        <v>-11</v>
      </c>
      <c r="CA235">
        <f t="shared" si="36"/>
        <v>0</v>
      </c>
      <c r="CB235" t="b">
        <f t="shared" si="37"/>
        <v>0</v>
      </c>
    </row>
    <row r="236" spans="1:80" x14ac:dyDescent="0.3">
      <c r="A236" t="s">
        <v>2331</v>
      </c>
      <c r="B236" t="s">
        <v>71</v>
      </c>
      <c r="C236" t="s">
        <v>2332</v>
      </c>
      <c r="D236">
        <v>38</v>
      </c>
      <c r="E236" s="1">
        <v>31893</v>
      </c>
      <c r="F236" t="s">
        <v>89</v>
      </c>
      <c r="G236" t="s">
        <v>400</v>
      </c>
      <c r="H236" t="s">
        <v>76</v>
      </c>
      <c r="I236" t="s">
        <v>596</v>
      </c>
      <c r="J236" t="s">
        <v>78</v>
      </c>
      <c r="K236" t="s">
        <v>89</v>
      </c>
      <c r="L236" t="s">
        <v>130</v>
      </c>
      <c r="M236">
        <v>21</v>
      </c>
      <c r="N236" t="s">
        <v>162</v>
      </c>
      <c r="O236">
        <v>2008</v>
      </c>
      <c r="P236" t="s">
        <v>2333</v>
      </c>
      <c r="Q236" t="s">
        <v>2334</v>
      </c>
      <c r="R236">
        <v>71905</v>
      </c>
      <c r="S236" t="s">
        <v>2331</v>
      </c>
      <c r="T236" t="s">
        <v>522</v>
      </c>
      <c r="U236">
        <v>1987</v>
      </c>
      <c r="V236" t="s">
        <v>122</v>
      </c>
      <c r="W236">
        <v>1.76</v>
      </c>
      <c r="X236" t="s">
        <v>76</v>
      </c>
      <c r="Y236" t="s">
        <v>136</v>
      </c>
      <c r="Z236" t="s">
        <v>87</v>
      </c>
      <c r="AA236" t="s">
        <v>634</v>
      </c>
      <c r="AB236" s="1">
        <v>45298</v>
      </c>
      <c r="AC236" t="s">
        <v>108</v>
      </c>
      <c r="AD236" t="s">
        <v>2335</v>
      </c>
      <c r="AE236" t="s">
        <v>654</v>
      </c>
      <c r="AF236">
        <v>24</v>
      </c>
      <c r="AG236" t="s">
        <v>91</v>
      </c>
      <c r="AH236">
        <v>39608</v>
      </c>
      <c r="AI236">
        <v>21</v>
      </c>
      <c r="AJ236" t="s">
        <v>110</v>
      </c>
      <c r="AK236">
        <v>21</v>
      </c>
      <c r="AL236">
        <v>8</v>
      </c>
      <c r="AM236">
        <v>371</v>
      </c>
      <c r="AN236">
        <v>56</v>
      </c>
      <c r="AO236">
        <v>6</v>
      </c>
      <c r="AP236" t="s">
        <v>93</v>
      </c>
      <c r="AQ236" t="s">
        <v>89</v>
      </c>
      <c r="AR236" t="s">
        <v>89</v>
      </c>
      <c r="AS236" t="s">
        <v>111</v>
      </c>
      <c r="AT236" s="1">
        <v>45298</v>
      </c>
      <c r="AU236">
        <v>2024</v>
      </c>
      <c r="AV236">
        <v>16</v>
      </c>
      <c r="AW236">
        <v>16</v>
      </c>
      <c r="AX236" t="s">
        <v>89</v>
      </c>
      <c r="AY236" t="s">
        <v>93</v>
      </c>
      <c r="AZ236">
        <v>0</v>
      </c>
      <c r="BA236">
        <v>0</v>
      </c>
      <c r="BB236">
        <v>0</v>
      </c>
      <c r="BC236">
        <v>0</v>
      </c>
      <c r="BD236">
        <v>398</v>
      </c>
      <c r="BE236">
        <v>30773</v>
      </c>
      <c r="BF236">
        <v>44</v>
      </c>
      <c r="BG236">
        <v>37</v>
      </c>
      <c r="BH236">
        <v>398</v>
      </c>
      <c r="BI236">
        <v>30773</v>
      </c>
      <c r="BJ236">
        <v>44</v>
      </c>
      <c r="BK236">
        <f t="shared" si="29"/>
        <v>398</v>
      </c>
      <c r="BL236">
        <f t="shared" si="30"/>
        <v>30773</v>
      </c>
      <c r="BM236">
        <f t="shared" si="31"/>
        <v>44</v>
      </c>
      <c r="BN236">
        <f t="shared" si="32"/>
        <v>0</v>
      </c>
      <c r="BO236">
        <f t="shared" si="33"/>
        <v>0</v>
      </c>
      <c r="BP236">
        <f t="shared" si="34"/>
        <v>0</v>
      </c>
      <c r="BQ236" t="s">
        <v>136</v>
      </c>
      <c r="BR236" t="s">
        <v>140</v>
      </c>
      <c r="BS236" s="1">
        <v>31893</v>
      </c>
      <c r="BT236">
        <v>38</v>
      </c>
      <c r="BU236" s="1">
        <v>45298</v>
      </c>
      <c r="BV236" s="1">
        <v>45474</v>
      </c>
      <c r="BW236">
        <v>16</v>
      </c>
      <c r="BX236">
        <v>1987</v>
      </c>
      <c r="BY236">
        <v>16</v>
      </c>
      <c r="BZ236">
        <f t="shared" si="35"/>
        <v>0</v>
      </c>
      <c r="CA236">
        <f t="shared" si="36"/>
        <v>0</v>
      </c>
      <c r="CB236" t="b">
        <f t="shared" si="37"/>
        <v>1</v>
      </c>
    </row>
    <row r="237" spans="1:80" x14ac:dyDescent="0.3">
      <c r="A237" t="s">
        <v>2336</v>
      </c>
      <c r="B237" t="s">
        <v>71</v>
      </c>
      <c r="C237" t="s">
        <v>2337</v>
      </c>
      <c r="D237">
        <v>44</v>
      </c>
      <c r="E237" s="1">
        <v>29629</v>
      </c>
      <c r="F237" t="s">
        <v>89</v>
      </c>
      <c r="G237" t="s">
        <v>298</v>
      </c>
      <c r="H237" t="s">
        <v>76</v>
      </c>
      <c r="I237" t="s">
        <v>722</v>
      </c>
      <c r="J237" t="s">
        <v>78</v>
      </c>
      <c r="K237" t="s">
        <v>89</v>
      </c>
      <c r="L237" t="s">
        <v>196</v>
      </c>
      <c r="M237">
        <v>19</v>
      </c>
      <c r="N237" t="s">
        <v>508</v>
      </c>
      <c r="O237">
        <v>2000</v>
      </c>
      <c r="P237" t="s">
        <v>2338</v>
      </c>
      <c r="Q237" t="s">
        <v>2339</v>
      </c>
      <c r="R237">
        <v>7945</v>
      </c>
      <c r="S237" t="s">
        <v>2340</v>
      </c>
      <c r="T237" t="s">
        <v>2341</v>
      </c>
      <c r="U237">
        <v>1981</v>
      </c>
      <c r="V237" t="s">
        <v>2342</v>
      </c>
      <c r="W237">
        <v>1.74</v>
      </c>
      <c r="X237" t="s">
        <v>76</v>
      </c>
      <c r="Y237" t="s">
        <v>86</v>
      </c>
      <c r="Z237" t="s">
        <v>87</v>
      </c>
      <c r="AA237" t="s">
        <v>531</v>
      </c>
      <c r="AB237" s="1">
        <v>42742</v>
      </c>
      <c r="AC237" t="s">
        <v>108</v>
      </c>
      <c r="AD237" t="s">
        <v>89</v>
      </c>
      <c r="AE237" t="s">
        <v>2343</v>
      </c>
      <c r="AF237">
        <v>19</v>
      </c>
      <c r="AG237" t="s">
        <v>91</v>
      </c>
      <c r="AH237" s="1">
        <v>37265</v>
      </c>
      <c r="AI237">
        <v>21</v>
      </c>
      <c r="AJ237" t="s">
        <v>110</v>
      </c>
      <c r="AK237">
        <v>19</v>
      </c>
      <c r="AL237">
        <v>5</v>
      </c>
      <c r="AM237">
        <v>147</v>
      </c>
      <c r="AN237">
        <v>15</v>
      </c>
      <c r="AO237">
        <v>3</v>
      </c>
      <c r="AP237" t="s">
        <v>93</v>
      </c>
      <c r="AQ237" t="s">
        <v>89</v>
      </c>
      <c r="AR237" t="s">
        <v>89</v>
      </c>
      <c r="AS237" t="s">
        <v>111</v>
      </c>
      <c r="AT237" s="1">
        <v>42742</v>
      </c>
      <c r="AU237">
        <v>2017</v>
      </c>
      <c r="AV237">
        <v>17</v>
      </c>
      <c r="AW237">
        <v>17</v>
      </c>
      <c r="AX237" t="s">
        <v>89</v>
      </c>
      <c r="AY237" t="s">
        <v>93</v>
      </c>
      <c r="AZ237">
        <v>0</v>
      </c>
      <c r="BA237">
        <v>0</v>
      </c>
      <c r="BB237">
        <v>0</v>
      </c>
      <c r="BC237">
        <v>0</v>
      </c>
      <c r="BD237">
        <v>443</v>
      </c>
      <c r="BE237">
        <v>26234</v>
      </c>
      <c r="BF237">
        <v>26</v>
      </c>
      <c r="BG237">
        <v>36</v>
      </c>
      <c r="BH237">
        <v>443</v>
      </c>
      <c r="BI237">
        <v>26234</v>
      </c>
      <c r="BJ237">
        <v>26</v>
      </c>
      <c r="BK237">
        <f t="shared" si="29"/>
        <v>443</v>
      </c>
      <c r="BL237">
        <f t="shared" si="30"/>
        <v>26234</v>
      </c>
      <c r="BM237">
        <f t="shared" si="31"/>
        <v>26</v>
      </c>
      <c r="BN237">
        <f t="shared" si="32"/>
        <v>0</v>
      </c>
      <c r="BO237">
        <f t="shared" si="33"/>
        <v>0</v>
      </c>
      <c r="BP237">
        <f t="shared" si="34"/>
        <v>0</v>
      </c>
      <c r="BQ237" t="s">
        <v>86</v>
      </c>
      <c r="BR237" t="s">
        <v>94</v>
      </c>
      <c r="BS237" t="s">
        <v>89</v>
      </c>
      <c r="BT237">
        <v>45</v>
      </c>
      <c r="BU237" s="1">
        <v>42742</v>
      </c>
      <c r="BV237" s="1">
        <v>42917</v>
      </c>
      <c r="BW237">
        <v>17</v>
      </c>
      <c r="BX237">
        <v>1981</v>
      </c>
      <c r="BY237">
        <v>17</v>
      </c>
      <c r="BZ237">
        <f t="shared" si="35"/>
        <v>0</v>
      </c>
      <c r="CA237">
        <f t="shared" si="36"/>
        <v>0</v>
      </c>
      <c r="CB237" t="b">
        <f t="shared" si="37"/>
        <v>1</v>
      </c>
    </row>
    <row r="238" spans="1:80" x14ac:dyDescent="0.3">
      <c r="A238" t="s">
        <v>2344</v>
      </c>
      <c r="B238" t="s">
        <v>71</v>
      </c>
      <c r="C238" t="s">
        <v>2345</v>
      </c>
      <c r="D238">
        <v>41</v>
      </c>
      <c r="E238" s="1">
        <v>30793</v>
      </c>
      <c r="F238" t="s">
        <v>89</v>
      </c>
      <c r="G238" t="s">
        <v>115</v>
      </c>
      <c r="H238" t="s">
        <v>89</v>
      </c>
      <c r="I238" t="s">
        <v>2346</v>
      </c>
      <c r="J238" t="s">
        <v>78</v>
      </c>
      <c r="K238" t="s">
        <v>89</v>
      </c>
      <c r="L238" t="s">
        <v>254</v>
      </c>
      <c r="M238">
        <v>25</v>
      </c>
      <c r="N238" t="s">
        <v>2060</v>
      </c>
      <c r="O238">
        <v>2009</v>
      </c>
      <c r="P238" t="s">
        <v>2347</v>
      </c>
      <c r="Q238" t="s">
        <v>2348</v>
      </c>
      <c r="R238">
        <v>72281</v>
      </c>
      <c r="S238" t="s">
        <v>2349</v>
      </c>
      <c r="T238" t="s">
        <v>2350</v>
      </c>
      <c r="U238">
        <v>1984</v>
      </c>
      <c r="V238" t="s">
        <v>122</v>
      </c>
      <c r="W238">
        <v>1.8</v>
      </c>
      <c r="X238" t="s">
        <v>76</v>
      </c>
      <c r="Y238" t="s">
        <v>86</v>
      </c>
      <c r="Z238" t="s">
        <v>87</v>
      </c>
      <c r="AA238" t="s">
        <v>476</v>
      </c>
      <c r="AB238" s="1">
        <v>45298</v>
      </c>
      <c r="AC238" t="s">
        <v>108</v>
      </c>
      <c r="AD238" t="s">
        <v>89</v>
      </c>
      <c r="AE238" t="s">
        <v>2351</v>
      </c>
      <c r="AF238">
        <v>26</v>
      </c>
      <c r="AG238" t="s">
        <v>91</v>
      </c>
      <c r="AH238" t="s">
        <v>371</v>
      </c>
      <c r="AI238">
        <v>25</v>
      </c>
      <c r="AJ238" t="s">
        <v>110</v>
      </c>
      <c r="AK238">
        <v>25</v>
      </c>
      <c r="AL238" t="s">
        <v>89</v>
      </c>
      <c r="AM238" t="s">
        <v>89</v>
      </c>
      <c r="AN238" t="s">
        <v>89</v>
      </c>
      <c r="AO238">
        <v>0</v>
      </c>
      <c r="AP238" t="s">
        <v>93</v>
      </c>
      <c r="AQ238" t="s">
        <v>89</v>
      </c>
      <c r="AR238" t="s">
        <v>89</v>
      </c>
      <c r="AS238" t="s">
        <v>93</v>
      </c>
      <c r="AT238" t="s">
        <v>89</v>
      </c>
      <c r="AU238" t="s">
        <v>89</v>
      </c>
      <c r="AV238" t="s">
        <v>89</v>
      </c>
      <c r="AW238">
        <v>16</v>
      </c>
      <c r="AX238" t="s">
        <v>89</v>
      </c>
      <c r="AY238" t="s">
        <v>93</v>
      </c>
      <c r="AZ238">
        <v>0</v>
      </c>
      <c r="BA238">
        <v>0</v>
      </c>
      <c r="BB238">
        <v>0</v>
      </c>
      <c r="BC238">
        <v>0</v>
      </c>
      <c r="BD238">
        <v>185</v>
      </c>
      <c r="BE238">
        <v>13596</v>
      </c>
      <c r="BF238">
        <v>15</v>
      </c>
      <c r="BG238" t="s">
        <v>89</v>
      </c>
      <c r="BH238">
        <v>185</v>
      </c>
      <c r="BI238">
        <v>13596</v>
      </c>
      <c r="BJ238">
        <v>15</v>
      </c>
      <c r="BK238">
        <f t="shared" si="29"/>
        <v>185</v>
      </c>
      <c r="BL238">
        <f t="shared" si="30"/>
        <v>13596</v>
      </c>
      <c r="BM238">
        <f t="shared" si="31"/>
        <v>15</v>
      </c>
      <c r="BN238">
        <f t="shared" si="32"/>
        <v>0</v>
      </c>
      <c r="BO238">
        <f t="shared" si="33"/>
        <v>0</v>
      </c>
      <c r="BP238">
        <f t="shared" si="34"/>
        <v>0</v>
      </c>
      <c r="BQ238" t="s">
        <v>86</v>
      </c>
      <c r="BR238" t="s">
        <v>94</v>
      </c>
      <c r="BS238" t="s">
        <v>89</v>
      </c>
      <c r="BT238">
        <v>42</v>
      </c>
      <c r="BU238" t="s">
        <v>89</v>
      </c>
      <c r="BV238" t="s">
        <v>89</v>
      </c>
      <c r="BW238">
        <v>17</v>
      </c>
      <c r="BX238">
        <v>1984</v>
      </c>
      <c r="BY238">
        <v>16</v>
      </c>
      <c r="BZ238">
        <f t="shared" si="35"/>
        <v>-1</v>
      </c>
      <c r="CA238">
        <f t="shared" si="36"/>
        <v>1</v>
      </c>
      <c r="CB238" t="b">
        <f t="shared" si="37"/>
        <v>0</v>
      </c>
    </row>
    <row r="239" spans="1:80" x14ac:dyDescent="0.3">
      <c r="A239" t="s">
        <v>2352</v>
      </c>
      <c r="B239" t="s">
        <v>729</v>
      </c>
      <c r="C239" t="s">
        <v>2353</v>
      </c>
      <c r="D239">
        <v>38</v>
      </c>
      <c r="E239" t="s">
        <v>2354</v>
      </c>
      <c r="F239" t="s">
        <v>732</v>
      </c>
      <c r="G239" t="s">
        <v>193</v>
      </c>
      <c r="H239" t="s">
        <v>732</v>
      </c>
      <c r="I239" t="s">
        <v>401</v>
      </c>
      <c r="J239" t="s">
        <v>78</v>
      </c>
      <c r="K239" t="s">
        <v>323</v>
      </c>
      <c r="L239" t="s">
        <v>180</v>
      </c>
      <c r="M239">
        <v>20</v>
      </c>
      <c r="N239" t="s">
        <v>2355</v>
      </c>
      <c r="O239">
        <v>2007</v>
      </c>
      <c r="P239" t="s">
        <v>2356</v>
      </c>
      <c r="Q239" t="s">
        <v>2357</v>
      </c>
      <c r="R239">
        <v>59323</v>
      </c>
      <c r="S239" t="s">
        <v>2352</v>
      </c>
      <c r="T239" s="1">
        <v>31756</v>
      </c>
      <c r="U239">
        <v>1986</v>
      </c>
      <c r="V239" t="s">
        <v>2358</v>
      </c>
      <c r="W239">
        <v>1.84</v>
      </c>
      <c r="X239" t="s">
        <v>1971</v>
      </c>
      <c r="Y239" t="s">
        <v>123</v>
      </c>
      <c r="Z239" t="s">
        <v>87</v>
      </c>
      <c r="AA239" t="s">
        <v>323</v>
      </c>
      <c r="AB239" t="s">
        <v>2359</v>
      </c>
      <c r="AC239" t="s">
        <v>170</v>
      </c>
      <c r="AD239" t="s">
        <v>89</v>
      </c>
      <c r="AE239" t="s">
        <v>2360</v>
      </c>
      <c r="AF239">
        <v>20</v>
      </c>
      <c r="AG239">
        <v>0</v>
      </c>
      <c r="AH239" t="s">
        <v>371</v>
      </c>
      <c r="AI239">
        <v>22</v>
      </c>
      <c r="AJ239" t="s">
        <v>110</v>
      </c>
      <c r="AK239">
        <v>20</v>
      </c>
      <c r="AL239">
        <v>21</v>
      </c>
      <c r="AM239">
        <v>267</v>
      </c>
      <c r="AN239">
        <v>44</v>
      </c>
      <c r="AO239">
        <v>8</v>
      </c>
      <c r="AP239" t="s">
        <v>93</v>
      </c>
      <c r="AQ239" t="s">
        <v>89</v>
      </c>
      <c r="AR239" t="s">
        <v>89</v>
      </c>
      <c r="AS239" t="s">
        <v>93</v>
      </c>
      <c r="AT239" t="s">
        <v>89</v>
      </c>
      <c r="AU239" t="s">
        <v>89</v>
      </c>
      <c r="AV239" t="s">
        <v>89</v>
      </c>
      <c r="AW239">
        <v>18</v>
      </c>
      <c r="AX239">
        <v>7</v>
      </c>
      <c r="AY239" t="s">
        <v>111</v>
      </c>
      <c r="AZ239">
        <v>10</v>
      </c>
      <c r="BA239">
        <v>34</v>
      </c>
      <c r="BB239">
        <v>1496</v>
      </c>
      <c r="BC239">
        <v>2</v>
      </c>
      <c r="BD239">
        <v>583</v>
      </c>
      <c r="BE239">
        <v>35181</v>
      </c>
      <c r="BF239">
        <v>223</v>
      </c>
      <c r="BG239" t="s">
        <v>89</v>
      </c>
      <c r="BH239">
        <v>617</v>
      </c>
      <c r="BI239">
        <v>36677</v>
      </c>
      <c r="BJ239">
        <v>225</v>
      </c>
      <c r="BK239">
        <f t="shared" si="29"/>
        <v>617</v>
      </c>
      <c r="BL239">
        <f t="shared" si="30"/>
        <v>36677</v>
      </c>
      <c r="BM239">
        <f t="shared" si="31"/>
        <v>225</v>
      </c>
      <c r="BN239">
        <f t="shared" si="32"/>
        <v>0</v>
      </c>
      <c r="BO239">
        <f t="shared" si="33"/>
        <v>0</v>
      </c>
      <c r="BP239">
        <f t="shared" si="34"/>
        <v>0</v>
      </c>
      <c r="BQ239" t="s">
        <v>123</v>
      </c>
      <c r="BR239" t="s">
        <v>112</v>
      </c>
      <c r="BS239" s="1">
        <v>31697</v>
      </c>
      <c r="BT239">
        <v>39</v>
      </c>
      <c r="BU239" t="s">
        <v>89</v>
      </c>
      <c r="BV239" t="s">
        <v>89</v>
      </c>
      <c r="BW239">
        <v>19</v>
      </c>
      <c r="BX239">
        <v>1986</v>
      </c>
      <c r="BY239">
        <v>18</v>
      </c>
      <c r="BZ239">
        <f t="shared" si="35"/>
        <v>-1</v>
      </c>
      <c r="CA239">
        <f t="shared" si="36"/>
        <v>1</v>
      </c>
      <c r="CB239" t="b">
        <f t="shared" si="37"/>
        <v>0</v>
      </c>
    </row>
    <row r="240" spans="1:80" x14ac:dyDescent="0.3">
      <c r="A240" t="s">
        <v>2361</v>
      </c>
      <c r="B240" t="s">
        <v>617</v>
      </c>
      <c r="C240" t="s">
        <v>2362</v>
      </c>
      <c r="D240">
        <v>38</v>
      </c>
      <c r="E240" t="s">
        <v>2363</v>
      </c>
      <c r="F240" t="s">
        <v>2364</v>
      </c>
      <c r="G240" t="s">
        <v>193</v>
      </c>
      <c r="H240" t="s">
        <v>619</v>
      </c>
      <c r="I240" t="s">
        <v>227</v>
      </c>
      <c r="J240" t="s">
        <v>78</v>
      </c>
      <c r="K240" t="s">
        <v>2365</v>
      </c>
      <c r="L240" t="s">
        <v>117</v>
      </c>
      <c r="M240">
        <v>18</v>
      </c>
      <c r="N240" t="s">
        <v>620</v>
      </c>
      <c r="O240">
        <v>2005</v>
      </c>
      <c r="P240" t="s">
        <v>2366</v>
      </c>
      <c r="Q240" t="s">
        <v>2367</v>
      </c>
      <c r="R240">
        <v>34344</v>
      </c>
      <c r="S240" t="s">
        <v>2368</v>
      </c>
      <c r="T240" t="s">
        <v>2369</v>
      </c>
      <c r="U240">
        <v>1986</v>
      </c>
      <c r="V240" t="s">
        <v>2370</v>
      </c>
      <c r="W240">
        <v>1.87</v>
      </c>
      <c r="X240" t="s">
        <v>619</v>
      </c>
      <c r="Y240" t="s">
        <v>235</v>
      </c>
      <c r="Z240" t="s">
        <v>87</v>
      </c>
      <c r="AA240" t="s">
        <v>476</v>
      </c>
      <c r="AB240">
        <v>45664</v>
      </c>
      <c r="AC240" t="s">
        <v>108</v>
      </c>
      <c r="AD240" t="s">
        <v>89</v>
      </c>
      <c r="AE240" t="s">
        <v>2164</v>
      </c>
      <c r="AF240">
        <v>19</v>
      </c>
      <c r="AG240" t="s">
        <v>573</v>
      </c>
      <c r="AH240" t="s">
        <v>92</v>
      </c>
      <c r="AI240" t="s">
        <v>89</v>
      </c>
      <c r="AJ240" t="s">
        <v>92</v>
      </c>
      <c r="AK240">
        <v>19</v>
      </c>
      <c r="AL240">
        <v>17</v>
      </c>
      <c r="AM240">
        <v>594</v>
      </c>
      <c r="AN240">
        <v>97</v>
      </c>
      <c r="AO240">
        <v>11</v>
      </c>
      <c r="AP240" t="s">
        <v>93</v>
      </c>
      <c r="AQ240" t="s">
        <v>89</v>
      </c>
      <c r="AR240" t="s">
        <v>89</v>
      </c>
      <c r="AS240" t="s">
        <v>93</v>
      </c>
      <c r="AT240" t="s">
        <v>89</v>
      </c>
      <c r="AU240" t="s">
        <v>89</v>
      </c>
      <c r="AV240" t="s">
        <v>89</v>
      </c>
      <c r="AW240">
        <v>20</v>
      </c>
      <c r="AX240" t="s">
        <v>89</v>
      </c>
      <c r="AY240" t="s">
        <v>111</v>
      </c>
      <c r="AZ240">
        <v>10</v>
      </c>
      <c r="BA240">
        <v>28</v>
      </c>
      <c r="BB240">
        <v>2346</v>
      </c>
      <c r="BC240">
        <v>1</v>
      </c>
      <c r="BD240">
        <v>495</v>
      </c>
      <c r="BE240">
        <v>42263</v>
      </c>
      <c r="BF240">
        <v>15</v>
      </c>
      <c r="BG240" t="s">
        <v>89</v>
      </c>
      <c r="BH240">
        <v>523</v>
      </c>
      <c r="BI240">
        <v>44609</v>
      </c>
      <c r="BJ240">
        <v>16</v>
      </c>
      <c r="BK240">
        <f t="shared" si="29"/>
        <v>523</v>
      </c>
      <c r="BL240">
        <f t="shared" si="30"/>
        <v>44609</v>
      </c>
      <c r="BM240">
        <f t="shared" si="31"/>
        <v>16</v>
      </c>
      <c r="BN240">
        <f t="shared" si="32"/>
        <v>0</v>
      </c>
      <c r="BO240">
        <f t="shared" si="33"/>
        <v>0</v>
      </c>
      <c r="BP240">
        <f t="shared" si="34"/>
        <v>0</v>
      </c>
      <c r="BQ240" t="s">
        <v>235</v>
      </c>
      <c r="BR240" t="s">
        <v>140</v>
      </c>
      <c r="BS240" s="1">
        <v>31685</v>
      </c>
      <c r="BT240">
        <v>39</v>
      </c>
      <c r="BU240" t="s">
        <v>89</v>
      </c>
      <c r="BV240" t="s">
        <v>89</v>
      </c>
      <c r="BW240">
        <v>20</v>
      </c>
      <c r="BX240">
        <v>1986</v>
      </c>
      <c r="BY240">
        <v>19</v>
      </c>
      <c r="BZ240">
        <f t="shared" si="35"/>
        <v>0</v>
      </c>
      <c r="CA240">
        <f t="shared" si="36"/>
        <v>1</v>
      </c>
      <c r="CB240" t="b">
        <f t="shared" si="37"/>
        <v>1</v>
      </c>
    </row>
    <row r="241" spans="1:80" x14ac:dyDescent="0.3">
      <c r="A241" t="s">
        <v>2371</v>
      </c>
      <c r="B241" t="s">
        <v>156</v>
      </c>
      <c r="C241" t="s">
        <v>2372</v>
      </c>
      <c r="D241">
        <v>39</v>
      </c>
      <c r="E241" s="1">
        <v>31364</v>
      </c>
      <c r="F241" t="s">
        <v>89</v>
      </c>
      <c r="G241" t="s">
        <v>226</v>
      </c>
      <c r="H241" t="s">
        <v>89</v>
      </c>
      <c r="I241" t="s">
        <v>178</v>
      </c>
      <c r="J241" t="s">
        <v>78</v>
      </c>
      <c r="K241" t="s">
        <v>89</v>
      </c>
      <c r="L241" t="s">
        <v>130</v>
      </c>
      <c r="M241">
        <v>22</v>
      </c>
      <c r="N241" t="s">
        <v>146</v>
      </c>
      <c r="O241">
        <v>2008</v>
      </c>
      <c r="P241" t="s">
        <v>2373</v>
      </c>
      <c r="Q241" t="s">
        <v>2374</v>
      </c>
      <c r="R241">
        <v>55135</v>
      </c>
      <c r="S241" t="s">
        <v>2371</v>
      </c>
      <c r="T241" t="s">
        <v>2375</v>
      </c>
      <c r="U241">
        <v>1985</v>
      </c>
      <c r="V241" t="s">
        <v>218</v>
      </c>
      <c r="W241">
        <v>1.86</v>
      </c>
      <c r="X241" t="s">
        <v>219</v>
      </c>
      <c r="Y241" t="s">
        <v>186</v>
      </c>
      <c r="Z241" t="s">
        <v>87</v>
      </c>
      <c r="AA241" t="s">
        <v>1900</v>
      </c>
      <c r="AB241" s="1">
        <v>45718</v>
      </c>
      <c r="AC241" t="s">
        <v>108</v>
      </c>
      <c r="AD241" t="s">
        <v>89</v>
      </c>
      <c r="AE241" t="s">
        <v>2376</v>
      </c>
      <c r="AF241">
        <v>20</v>
      </c>
      <c r="AG241" t="s">
        <v>171</v>
      </c>
      <c r="AH241" t="s">
        <v>2377</v>
      </c>
      <c r="AI241">
        <v>31</v>
      </c>
      <c r="AJ241" t="s">
        <v>110</v>
      </c>
      <c r="AK241">
        <v>20</v>
      </c>
      <c r="AL241">
        <v>3</v>
      </c>
      <c r="AM241">
        <v>98</v>
      </c>
      <c r="AN241">
        <v>18</v>
      </c>
      <c r="AO241">
        <v>3</v>
      </c>
      <c r="AP241" t="s">
        <v>93</v>
      </c>
      <c r="AQ241" t="s">
        <v>89</v>
      </c>
      <c r="AR241" t="s">
        <v>89</v>
      </c>
      <c r="AS241" t="s">
        <v>111</v>
      </c>
      <c r="AT241" s="1">
        <v>45718</v>
      </c>
      <c r="AU241">
        <v>2025</v>
      </c>
      <c r="AV241">
        <v>17</v>
      </c>
      <c r="AW241">
        <v>17</v>
      </c>
      <c r="AX241" t="s">
        <v>89</v>
      </c>
      <c r="AY241" t="s">
        <v>93</v>
      </c>
      <c r="AZ241">
        <v>0</v>
      </c>
      <c r="BA241">
        <v>0</v>
      </c>
      <c r="BB241">
        <v>0</v>
      </c>
      <c r="BC241">
        <v>0</v>
      </c>
      <c r="BD241">
        <v>306</v>
      </c>
      <c r="BE241">
        <v>27212</v>
      </c>
      <c r="BF241">
        <v>0</v>
      </c>
      <c r="BG241">
        <v>40</v>
      </c>
      <c r="BH241">
        <v>306</v>
      </c>
      <c r="BI241">
        <v>27212</v>
      </c>
      <c r="BJ241">
        <v>0</v>
      </c>
      <c r="BK241">
        <f t="shared" si="29"/>
        <v>306</v>
      </c>
      <c r="BL241">
        <f t="shared" si="30"/>
        <v>27212</v>
      </c>
      <c r="BM241">
        <f t="shared" si="31"/>
        <v>0</v>
      </c>
      <c r="BN241">
        <f t="shared" si="32"/>
        <v>0</v>
      </c>
      <c r="BO241">
        <f t="shared" si="33"/>
        <v>0</v>
      </c>
      <c r="BP241">
        <f t="shared" si="34"/>
        <v>0</v>
      </c>
      <c r="BQ241" t="s">
        <v>186</v>
      </c>
      <c r="BR241" t="s">
        <v>186</v>
      </c>
      <c r="BS241" s="1">
        <v>31364</v>
      </c>
      <c r="BT241">
        <v>40</v>
      </c>
      <c r="BU241" s="1">
        <v>45718</v>
      </c>
      <c r="BV241" s="1">
        <v>45691</v>
      </c>
      <c r="BW241">
        <v>20</v>
      </c>
      <c r="BX241">
        <v>1985</v>
      </c>
      <c r="BY241">
        <v>20</v>
      </c>
      <c r="BZ241">
        <f t="shared" si="35"/>
        <v>-3</v>
      </c>
      <c r="CA241">
        <f t="shared" si="36"/>
        <v>0</v>
      </c>
      <c r="CB241" t="b">
        <f t="shared" si="37"/>
        <v>0</v>
      </c>
    </row>
    <row r="242" spans="1:80" x14ac:dyDescent="0.3">
      <c r="A242" t="s">
        <v>2378</v>
      </c>
      <c r="B242" t="s">
        <v>156</v>
      </c>
      <c r="C242" t="s">
        <v>2379</v>
      </c>
      <c r="D242">
        <v>38</v>
      </c>
      <c r="E242">
        <v>31675</v>
      </c>
      <c r="F242" t="s">
        <v>89</v>
      </c>
      <c r="G242" t="s">
        <v>97</v>
      </c>
      <c r="H242" t="s">
        <v>177</v>
      </c>
      <c r="I242" t="s">
        <v>322</v>
      </c>
      <c r="J242" t="s">
        <v>639</v>
      </c>
      <c r="K242" t="s">
        <v>89</v>
      </c>
      <c r="L242">
        <v>2008</v>
      </c>
      <c r="M242">
        <v>21</v>
      </c>
      <c r="N242" t="s">
        <v>2204</v>
      </c>
      <c r="O242">
        <v>2008</v>
      </c>
      <c r="P242" t="s">
        <v>2380</v>
      </c>
      <c r="Q242" t="s">
        <v>2381</v>
      </c>
      <c r="R242">
        <v>55854</v>
      </c>
      <c r="S242" t="s">
        <v>2378</v>
      </c>
      <c r="T242" t="s">
        <v>2382</v>
      </c>
      <c r="U242">
        <v>1986</v>
      </c>
      <c r="V242" t="s">
        <v>218</v>
      </c>
      <c r="W242">
        <v>1.81</v>
      </c>
      <c r="X242" t="s">
        <v>169</v>
      </c>
      <c r="Y242" t="s">
        <v>203</v>
      </c>
      <c r="Z242" t="s">
        <v>392</v>
      </c>
      <c r="AA242" t="s">
        <v>2383</v>
      </c>
      <c r="AB242" s="1">
        <v>45298</v>
      </c>
      <c r="AC242" t="s">
        <v>108</v>
      </c>
      <c r="AD242" t="s">
        <v>89</v>
      </c>
      <c r="AE242">
        <v>2006</v>
      </c>
      <c r="AF242">
        <v>19</v>
      </c>
      <c r="AG242" t="s">
        <v>171</v>
      </c>
      <c r="AH242">
        <v>2022</v>
      </c>
      <c r="AI242">
        <v>35</v>
      </c>
      <c r="AJ242">
        <v>0</v>
      </c>
      <c r="AK242">
        <v>19</v>
      </c>
      <c r="AL242">
        <v>24</v>
      </c>
      <c r="AM242">
        <v>677</v>
      </c>
      <c r="AN242">
        <v>102</v>
      </c>
      <c r="AO242">
        <v>10</v>
      </c>
      <c r="AP242" t="s">
        <v>93</v>
      </c>
      <c r="AQ242" t="s">
        <v>89</v>
      </c>
      <c r="AR242" t="s">
        <v>89</v>
      </c>
      <c r="AS242" t="s">
        <v>111</v>
      </c>
      <c r="AT242" s="1">
        <v>45298</v>
      </c>
      <c r="AU242">
        <v>2024</v>
      </c>
      <c r="AV242">
        <v>16</v>
      </c>
      <c r="AW242">
        <v>17</v>
      </c>
      <c r="AX242" t="s">
        <v>89</v>
      </c>
      <c r="AY242" t="s">
        <v>111</v>
      </c>
      <c r="AZ242">
        <v>5</v>
      </c>
      <c r="BA242">
        <v>2</v>
      </c>
      <c r="BB242">
        <v>148</v>
      </c>
      <c r="BC242">
        <v>1</v>
      </c>
      <c r="BD242">
        <v>402</v>
      </c>
      <c r="BE242">
        <v>29190</v>
      </c>
      <c r="BF242">
        <v>14</v>
      </c>
      <c r="BG242">
        <v>38</v>
      </c>
      <c r="BH242">
        <v>404</v>
      </c>
      <c r="BI242">
        <v>29338</v>
      </c>
      <c r="BJ242">
        <v>15</v>
      </c>
      <c r="BK242">
        <f t="shared" si="29"/>
        <v>404</v>
      </c>
      <c r="BL242">
        <f t="shared" si="30"/>
        <v>29338</v>
      </c>
      <c r="BM242">
        <f t="shared" si="31"/>
        <v>15</v>
      </c>
      <c r="BN242">
        <f t="shared" si="32"/>
        <v>0</v>
      </c>
      <c r="BO242">
        <f t="shared" si="33"/>
        <v>0</v>
      </c>
      <c r="BP242">
        <f t="shared" si="34"/>
        <v>0</v>
      </c>
      <c r="BQ242" t="s">
        <v>203</v>
      </c>
      <c r="BR242" t="s">
        <v>140</v>
      </c>
      <c r="BS242" s="1">
        <v>31675</v>
      </c>
      <c r="BT242">
        <v>39</v>
      </c>
      <c r="BU242" s="1">
        <v>45298</v>
      </c>
      <c r="BV242" s="1">
        <v>45474</v>
      </c>
      <c r="BW242">
        <v>19</v>
      </c>
      <c r="BX242">
        <v>1986</v>
      </c>
      <c r="BY242">
        <v>19</v>
      </c>
      <c r="BZ242">
        <f t="shared" si="35"/>
        <v>-2</v>
      </c>
      <c r="CA242">
        <f t="shared" si="36"/>
        <v>0</v>
      </c>
      <c r="CB242" t="b">
        <f t="shared" si="37"/>
        <v>0</v>
      </c>
    </row>
    <row r="243" spans="1:80" x14ac:dyDescent="0.3">
      <c r="A243" t="s">
        <v>2384</v>
      </c>
      <c r="B243" t="s">
        <v>71</v>
      </c>
      <c r="C243" t="s">
        <v>2385</v>
      </c>
      <c r="D243">
        <v>42</v>
      </c>
      <c r="E243" s="1">
        <v>30465</v>
      </c>
      <c r="F243" t="s">
        <v>89</v>
      </c>
      <c r="G243" t="s">
        <v>143</v>
      </c>
      <c r="H243" t="s">
        <v>89</v>
      </c>
      <c r="I243" t="s">
        <v>253</v>
      </c>
      <c r="J243" t="s">
        <v>78</v>
      </c>
      <c r="K243" t="s">
        <v>89</v>
      </c>
      <c r="L243" t="s">
        <v>180</v>
      </c>
      <c r="M243">
        <v>24</v>
      </c>
      <c r="N243" t="s">
        <v>105</v>
      </c>
      <c r="O243">
        <v>2007</v>
      </c>
      <c r="P243" t="s">
        <v>2386</v>
      </c>
      <c r="Q243" t="s">
        <v>2387</v>
      </c>
      <c r="R243">
        <v>57922</v>
      </c>
      <c r="S243" t="s">
        <v>2384</v>
      </c>
      <c r="T243" t="s">
        <v>2388</v>
      </c>
      <c r="U243">
        <v>1983</v>
      </c>
      <c r="V243" t="s">
        <v>2389</v>
      </c>
      <c r="W243">
        <v>1.76</v>
      </c>
      <c r="X243" t="s">
        <v>76</v>
      </c>
      <c r="Y243" t="s">
        <v>86</v>
      </c>
      <c r="Z243" t="s">
        <v>87</v>
      </c>
      <c r="AA243" t="s">
        <v>1386</v>
      </c>
      <c r="AB243" s="1">
        <v>43107</v>
      </c>
      <c r="AC243" t="s">
        <v>108</v>
      </c>
      <c r="AD243" t="s">
        <v>89</v>
      </c>
      <c r="AE243" t="s">
        <v>294</v>
      </c>
      <c r="AF243">
        <v>29</v>
      </c>
      <c r="AG243" t="s">
        <v>91</v>
      </c>
      <c r="AH243" t="s">
        <v>449</v>
      </c>
      <c r="AI243">
        <v>24</v>
      </c>
      <c r="AJ243" t="s">
        <v>110</v>
      </c>
      <c r="AK243">
        <v>24</v>
      </c>
      <c r="AL243" t="s">
        <v>89</v>
      </c>
      <c r="AM243" t="s">
        <v>89</v>
      </c>
      <c r="AN243" t="s">
        <v>89</v>
      </c>
      <c r="AO243">
        <v>0</v>
      </c>
      <c r="AP243" t="s">
        <v>93</v>
      </c>
      <c r="AQ243" t="s">
        <v>89</v>
      </c>
      <c r="AR243" t="s">
        <v>89</v>
      </c>
      <c r="AS243" t="s">
        <v>111</v>
      </c>
      <c r="AT243" s="1">
        <v>43107</v>
      </c>
      <c r="AU243">
        <v>2018</v>
      </c>
      <c r="AV243">
        <v>11</v>
      </c>
      <c r="AW243">
        <v>11</v>
      </c>
      <c r="AX243" t="s">
        <v>89</v>
      </c>
      <c r="AY243" t="s">
        <v>93</v>
      </c>
      <c r="AZ243">
        <v>0</v>
      </c>
      <c r="BA243">
        <v>0</v>
      </c>
      <c r="BB243">
        <v>0</v>
      </c>
      <c r="BC243">
        <v>0</v>
      </c>
      <c r="BD243">
        <v>245</v>
      </c>
      <c r="BE243">
        <v>18560</v>
      </c>
      <c r="BF243">
        <v>1</v>
      </c>
      <c r="BG243">
        <v>35</v>
      </c>
      <c r="BH243">
        <v>245</v>
      </c>
      <c r="BI243">
        <v>18560</v>
      </c>
      <c r="BJ243">
        <v>1</v>
      </c>
      <c r="BK243">
        <f t="shared" si="29"/>
        <v>245</v>
      </c>
      <c r="BL243">
        <f t="shared" si="30"/>
        <v>18560</v>
      </c>
      <c r="BM243">
        <f t="shared" si="31"/>
        <v>1</v>
      </c>
      <c r="BN243">
        <f t="shared" si="32"/>
        <v>0</v>
      </c>
      <c r="BO243">
        <f t="shared" si="33"/>
        <v>0</v>
      </c>
      <c r="BP243">
        <f t="shared" si="34"/>
        <v>0</v>
      </c>
      <c r="BQ243" t="s">
        <v>86</v>
      </c>
      <c r="BR243" t="s">
        <v>94</v>
      </c>
      <c r="BS243" s="1">
        <v>30465</v>
      </c>
      <c r="BT243">
        <v>42</v>
      </c>
      <c r="BU243" s="1">
        <v>43107</v>
      </c>
      <c r="BV243" s="1">
        <v>43282</v>
      </c>
      <c r="BW243">
        <v>11</v>
      </c>
      <c r="BX243">
        <v>1983</v>
      </c>
      <c r="BY243">
        <v>11</v>
      </c>
      <c r="BZ243">
        <f t="shared" si="35"/>
        <v>0</v>
      </c>
      <c r="CA243">
        <f t="shared" si="36"/>
        <v>0</v>
      </c>
      <c r="CB243" t="b">
        <f t="shared" si="37"/>
        <v>1</v>
      </c>
    </row>
    <row r="244" spans="1:80" x14ac:dyDescent="0.3">
      <c r="A244" t="s">
        <v>2390</v>
      </c>
      <c r="B244" t="s">
        <v>71</v>
      </c>
      <c r="C244" t="s">
        <v>2391</v>
      </c>
      <c r="D244">
        <v>36</v>
      </c>
      <c r="E244" s="1">
        <v>32716</v>
      </c>
      <c r="F244" t="s">
        <v>89</v>
      </c>
      <c r="G244" t="s">
        <v>193</v>
      </c>
      <c r="H244" t="s">
        <v>89</v>
      </c>
      <c r="I244" t="s">
        <v>750</v>
      </c>
      <c r="J244" t="s">
        <v>300</v>
      </c>
      <c r="K244" t="s">
        <v>89</v>
      </c>
      <c r="L244" t="s">
        <v>278</v>
      </c>
      <c r="M244">
        <v>22</v>
      </c>
      <c r="N244" t="s">
        <v>146</v>
      </c>
      <c r="O244">
        <v>2011</v>
      </c>
      <c r="P244" t="s">
        <v>2392</v>
      </c>
      <c r="Q244" t="s">
        <v>2393</v>
      </c>
      <c r="R244">
        <v>198047</v>
      </c>
      <c r="S244" t="s">
        <v>2390</v>
      </c>
      <c r="T244" t="s">
        <v>2394</v>
      </c>
      <c r="U244">
        <v>1989</v>
      </c>
      <c r="V244" t="s">
        <v>673</v>
      </c>
      <c r="W244">
        <v>1.86</v>
      </c>
      <c r="X244" t="s">
        <v>76</v>
      </c>
      <c r="Y244" t="s">
        <v>86</v>
      </c>
      <c r="Z244" t="s">
        <v>152</v>
      </c>
      <c r="AA244" t="s">
        <v>700</v>
      </c>
      <c r="AB244">
        <v>44933</v>
      </c>
      <c r="AC244" t="s">
        <v>108</v>
      </c>
      <c r="AD244" t="s">
        <v>89</v>
      </c>
      <c r="AE244" t="s">
        <v>2395</v>
      </c>
      <c r="AF244">
        <v>22</v>
      </c>
      <c r="AG244" t="s">
        <v>91</v>
      </c>
      <c r="AH244" t="s">
        <v>2396</v>
      </c>
      <c r="AI244">
        <v>24</v>
      </c>
      <c r="AJ244" t="s">
        <v>110</v>
      </c>
      <c r="AK244">
        <v>22</v>
      </c>
      <c r="AL244" t="s">
        <v>89</v>
      </c>
      <c r="AM244" t="s">
        <v>89</v>
      </c>
      <c r="AN244" t="s">
        <v>89</v>
      </c>
      <c r="AO244">
        <v>0</v>
      </c>
      <c r="AP244" t="s">
        <v>93</v>
      </c>
      <c r="AQ244" t="s">
        <v>89</v>
      </c>
      <c r="AR244" t="s">
        <v>89</v>
      </c>
      <c r="AS244" t="s">
        <v>111</v>
      </c>
      <c r="AT244">
        <v>44933</v>
      </c>
      <c r="AU244">
        <v>2023</v>
      </c>
      <c r="AV244">
        <v>12</v>
      </c>
      <c r="AW244">
        <v>12</v>
      </c>
      <c r="AX244" t="s">
        <v>89</v>
      </c>
      <c r="AY244" t="s">
        <v>93</v>
      </c>
      <c r="AZ244">
        <v>0</v>
      </c>
      <c r="BA244">
        <v>0</v>
      </c>
      <c r="BB244">
        <v>0</v>
      </c>
      <c r="BC244">
        <v>0</v>
      </c>
      <c r="BD244">
        <v>59</v>
      </c>
      <c r="BE244">
        <v>2719</v>
      </c>
      <c r="BF244">
        <v>1</v>
      </c>
      <c r="BG244">
        <v>34</v>
      </c>
      <c r="BH244">
        <v>59</v>
      </c>
      <c r="BI244">
        <v>2719</v>
      </c>
      <c r="BJ244">
        <v>1</v>
      </c>
      <c r="BK244">
        <f t="shared" si="29"/>
        <v>59</v>
      </c>
      <c r="BL244">
        <f t="shared" si="30"/>
        <v>2719</v>
      </c>
      <c r="BM244">
        <f t="shared" si="31"/>
        <v>1</v>
      </c>
      <c r="BN244">
        <f t="shared" si="32"/>
        <v>0</v>
      </c>
      <c r="BO244">
        <f t="shared" si="33"/>
        <v>0</v>
      </c>
      <c r="BP244">
        <f t="shared" si="34"/>
        <v>0</v>
      </c>
      <c r="BQ244" t="s">
        <v>86</v>
      </c>
      <c r="BR244" t="s">
        <v>94</v>
      </c>
      <c r="BS244" s="1">
        <v>32716</v>
      </c>
      <c r="BT244">
        <v>36</v>
      </c>
      <c r="BU244">
        <v>44933</v>
      </c>
      <c r="BV244" t="s">
        <v>89</v>
      </c>
      <c r="BW244">
        <v>12</v>
      </c>
      <c r="BX244">
        <v>1989</v>
      </c>
      <c r="BY244">
        <v>12</v>
      </c>
      <c r="BZ244">
        <f t="shared" si="35"/>
        <v>0</v>
      </c>
      <c r="CA244">
        <f t="shared" si="36"/>
        <v>0</v>
      </c>
      <c r="CB244" t="b">
        <f t="shared" si="37"/>
        <v>1</v>
      </c>
    </row>
    <row r="245" spans="1:80" x14ac:dyDescent="0.3">
      <c r="A245" t="s">
        <v>2397</v>
      </c>
      <c r="B245" t="s">
        <v>71</v>
      </c>
      <c r="C245" t="s">
        <v>2398</v>
      </c>
      <c r="D245">
        <v>34</v>
      </c>
      <c r="E245" t="s">
        <v>2399</v>
      </c>
      <c r="F245" t="s">
        <v>2400</v>
      </c>
      <c r="G245" t="s">
        <v>193</v>
      </c>
      <c r="H245" t="s">
        <v>89</v>
      </c>
      <c r="I245" t="s">
        <v>161</v>
      </c>
      <c r="J245" t="s">
        <v>639</v>
      </c>
      <c r="K245" t="s">
        <v>2401</v>
      </c>
      <c r="L245" t="s">
        <v>324</v>
      </c>
      <c r="M245">
        <v>22</v>
      </c>
      <c r="N245" t="s">
        <v>402</v>
      </c>
      <c r="O245">
        <v>2013</v>
      </c>
      <c r="P245" t="s">
        <v>2402</v>
      </c>
      <c r="Q245" t="s">
        <v>2403</v>
      </c>
      <c r="R245">
        <v>237617</v>
      </c>
      <c r="S245" t="s">
        <v>2397</v>
      </c>
      <c r="T245" t="s">
        <v>2404</v>
      </c>
      <c r="U245">
        <v>1991</v>
      </c>
      <c r="V245" t="s">
        <v>502</v>
      </c>
      <c r="W245">
        <v>1.82</v>
      </c>
      <c r="X245" t="s">
        <v>76</v>
      </c>
      <c r="Y245" t="s">
        <v>123</v>
      </c>
      <c r="Z245" t="s">
        <v>392</v>
      </c>
      <c r="AA245" t="s">
        <v>260</v>
      </c>
      <c r="AB245" t="s">
        <v>2405</v>
      </c>
      <c r="AC245" t="s">
        <v>170</v>
      </c>
      <c r="AD245" t="s">
        <v>89</v>
      </c>
      <c r="AE245" t="s">
        <v>2406</v>
      </c>
      <c r="AF245">
        <v>22</v>
      </c>
      <c r="AG245" t="s">
        <v>91</v>
      </c>
      <c r="AH245" s="1">
        <v>42164</v>
      </c>
      <c r="AI245">
        <v>24</v>
      </c>
      <c r="AJ245" t="s">
        <v>110</v>
      </c>
      <c r="AK245">
        <v>22</v>
      </c>
      <c r="AL245">
        <v>1</v>
      </c>
      <c r="AM245">
        <v>7</v>
      </c>
      <c r="AN245">
        <v>1</v>
      </c>
      <c r="AO245">
        <v>1</v>
      </c>
      <c r="AP245" t="s">
        <v>93</v>
      </c>
      <c r="AQ245" t="s">
        <v>89</v>
      </c>
      <c r="AR245" t="s">
        <v>89</v>
      </c>
      <c r="AS245" t="s">
        <v>93</v>
      </c>
      <c r="AT245" t="s">
        <v>89</v>
      </c>
      <c r="AU245" t="s">
        <v>89</v>
      </c>
      <c r="AV245" t="s">
        <v>89</v>
      </c>
      <c r="AW245">
        <v>12</v>
      </c>
      <c r="AX245">
        <v>17</v>
      </c>
      <c r="AY245" t="s">
        <v>93</v>
      </c>
      <c r="AZ245">
        <v>0</v>
      </c>
      <c r="BA245">
        <v>0</v>
      </c>
      <c r="BB245">
        <v>0</v>
      </c>
      <c r="BC245">
        <v>0</v>
      </c>
      <c r="BD245">
        <v>389</v>
      </c>
      <c r="BE245">
        <v>21893</v>
      </c>
      <c r="BF245">
        <v>70</v>
      </c>
      <c r="BG245" t="s">
        <v>89</v>
      </c>
      <c r="BH245">
        <v>389</v>
      </c>
      <c r="BI245">
        <v>21893</v>
      </c>
      <c r="BJ245">
        <v>70</v>
      </c>
      <c r="BK245">
        <f t="shared" si="29"/>
        <v>389</v>
      </c>
      <c r="BL245">
        <f t="shared" si="30"/>
        <v>21893</v>
      </c>
      <c r="BM245">
        <f t="shared" si="31"/>
        <v>70</v>
      </c>
      <c r="BN245">
        <f t="shared" si="32"/>
        <v>0</v>
      </c>
      <c r="BO245">
        <f t="shared" si="33"/>
        <v>0</v>
      </c>
      <c r="BP245">
        <f t="shared" si="34"/>
        <v>0</v>
      </c>
      <c r="BQ245" t="s">
        <v>123</v>
      </c>
      <c r="BR245" t="s">
        <v>112</v>
      </c>
      <c r="BS245" s="1">
        <v>33310</v>
      </c>
      <c r="BT245">
        <v>34</v>
      </c>
      <c r="BU245" t="s">
        <v>89</v>
      </c>
      <c r="BV245" t="s">
        <v>89</v>
      </c>
      <c r="BW245">
        <v>12</v>
      </c>
      <c r="BX245">
        <v>1991</v>
      </c>
      <c r="BY245">
        <v>12</v>
      </c>
      <c r="BZ245">
        <f t="shared" si="35"/>
        <v>0</v>
      </c>
      <c r="CA245">
        <f t="shared" si="36"/>
        <v>0</v>
      </c>
      <c r="CB245" t="b">
        <f t="shared" si="37"/>
        <v>1</v>
      </c>
    </row>
    <row r="246" spans="1:80" x14ac:dyDescent="0.3">
      <c r="A246" t="s">
        <v>2407</v>
      </c>
      <c r="B246" t="s">
        <v>71</v>
      </c>
      <c r="C246" t="s">
        <v>2408</v>
      </c>
      <c r="D246">
        <v>41</v>
      </c>
      <c r="E246" s="1">
        <v>30580</v>
      </c>
      <c r="F246" t="s">
        <v>89</v>
      </c>
      <c r="G246" t="s">
        <v>1289</v>
      </c>
      <c r="H246" t="s">
        <v>89</v>
      </c>
      <c r="I246" t="s">
        <v>668</v>
      </c>
      <c r="J246" t="s">
        <v>89</v>
      </c>
      <c r="K246" t="s">
        <v>89</v>
      </c>
      <c r="L246" t="s">
        <v>163</v>
      </c>
      <c r="M246">
        <v>22</v>
      </c>
      <c r="N246" t="s">
        <v>741</v>
      </c>
      <c r="O246">
        <v>2006</v>
      </c>
      <c r="P246" t="s">
        <v>2409</v>
      </c>
      <c r="Q246" t="s">
        <v>2410</v>
      </c>
      <c r="R246">
        <v>8155</v>
      </c>
      <c r="S246" t="s">
        <v>2407</v>
      </c>
      <c r="T246" t="s">
        <v>2411</v>
      </c>
      <c r="U246">
        <v>1983</v>
      </c>
      <c r="V246" t="s">
        <v>644</v>
      </c>
      <c r="W246">
        <v>1.71</v>
      </c>
      <c r="X246" t="s">
        <v>76</v>
      </c>
      <c r="Y246" t="s">
        <v>391</v>
      </c>
      <c r="Z246" t="s">
        <v>87</v>
      </c>
      <c r="AA246" t="s">
        <v>2412</v>
      </c>
      <c r="AB246">
        <v>44203</v>
      </c>
      <c r="AC246" t="s">
        <v>108</v>
      </c>
      <c r="AD246" t="s">
        <v>89</v>
      </c>
      <c r="AE246">
        <v>2006</v>
      </c>
      <c r="AF246">
        <v>22</v>
      </c>
      <c r="AG246" t="s">
        <v>91</v>
      </c>
      <c r="AH246">
        <v>2009</v>
      </c>
      <c r="AI246">
        <v>25</v>
      </c>
      <c r="AJ246">
        <v>0</v>
      </c>
      <c r="AK246">
        <v>22</v>
      </c>
      <c r="AL246" t="s">
        <v>89</v>
      </c>
      <c r="AM246" t="s">
        <v>89</v>
      </c>
      <c r="AN246" t="s">
        <v>89</v>
      </c>
      <c r="AO246">
        <v>0</v>
      </c>
      <c r="AP246" t="s">
        <v>93</v>
      </c>
      <c r="AQ246" t="s">
        <v>89</v>
      </c>
      <c r="AR246" t="s">
        <v>89</v>
      </c>
      <c r="AS246" t="s">
        <v>111</v>
      </c>
      <c r="AT246">
        <v>44203</v>
      </c>
      <c r="AU246">
        <v>2021</v>
      </c>
      <c r="AV246">
        <v>15</v>
      </c>
      <c r="AW246">
        <v>15</v>
      </c>
      <c r="AX246" t="s">
        <v>89</v>
      </c>
      <c r="AY246" t="s">
        <v>93</v>
      </c>
      <c r="AZ246">
        <v>0</v>
      </c>
      <c r="BA246">
        <v>0</v>
      </c>
      <c r="BB246">
        <v>0</v>
      </c>
      <c r="BC246">
        <v>0</v>
      </c>
      <c r="BD246">
        <v>123</v>
      </c>
      <c r="BE246">
        <v>5592</v>
      </c>
      <c r="BF246">
        <v>6</v>
      </c>
      <c r="BG246">
        <v>38</v>
      </c>
      <c r="BH246">
        <v>123</v>
      </c>
      <c r="BI246">
        <v>5592</v>
      </c>
      <c r="BJ246">
        <v>6</v>
      </c>
      <c r="BK246">
        <f t="shared" si="29"/>
        <v>123</v>
      </c>
      <c r="BL246">
        <f t="shared" si="30"/>
        <v>5592</v>
      </c>
      <c r="BM246">
        <f t="shared" si="31"/>
        <v>6</v>
      </c>
      <c r="BN246">
        <f t="shared" si="32"/>
        <v>0</v>
      </c>
      <c r="BO246">
        <f t="shared" si="33"/>
        <v>0</v>
      </c>
      <c r="BP246">
        <f t="shared" si="34"/>
        <v>0</v>
      </c>
      <c r="BQ246" t="s">
        <v>391</v>
      </c>
      <c r="BR246" t="s">
        <v>112</v>
      </c>
      <c r="BS246" s="1">
        <v>30580</v>
      </c>
      <c r="BT246">
        <v>42</v>
      </c>
      <c r="BU246">
        <v>44203</v>
      </c>
      <c r="BV246" t="s">
        <v>89</v>
      </c>
      <c r="BW246">
        <v>16</v>
      </c>
      <c r="BX246">
        <v>1983</v>
      </c>
      <c r="BY246">
        <v>16</v>
      </c>
      <c r="BZ246">
        <f t="shared" si="35"/>
        <v>-1</v>
      </c>
      <c r="CA246">
        <f t="shared" si="36"/>
        <v>0</v>
      </c>
      <c r="CB246" t="b">
        <f t="shared" si="37"/>
        <v>0</v>
      </c>
    </row>
    <row r="247" spans="1:80" x14ac:dyDescent="0.3">
      <c r="A247" t="s">
        <v>2413</v>
      </c>
      <c r="B247" t="s">
        <v>71</v>
      </c>
      <c r="C247" t="s">
        <v>2414</v>
      </c>
      <c r="D247">
        <v>36</v>
      </c>
      <c r="E247" s="1">
        <v>32574</v>
      </c>
      <c r="F247" t="s">
        <v>89</v>
      </c>
      <c r="G247" t="s">
        <v>115</v>
      </c>
      <c r="H247" t="s">
        <v>89</v>
      </c>
      <c r="I247" t="s">
        <v>340</v>
      </c>
      <c r="J247" t="s">
        <v>89</v>
      </c>
      <c r="K247" t="s">
        <v>89</v>
      </c>
      <c r="L247" t="s">
        <v>278</v>
      </c>
      <c r="M247">
        <v>22</v>
      </c>
      <c r="N247" t="s">
        <v>649</v>
      </c>
      <c r="O247">
        <v>2011</v>
      </c>
      <c r="P247" t="s">
        <v>2415</v>
      </c>
      <c r="Q247" t="s">
        <v>2416</v>
      </c>
      <c r="R247">
        <v>175787</v>
      </c>
      <c r="S247" t="s">
        <v>2413</v>
      </c>
      <c r="T247" s="1">
        <v>32692</v>
      </c>
      <c r="U247">
        <v>1989</v>
      </c>
      <c r="V247" t="s">
        <v>2417</v>
      </c>
      <c r="W247">
        <v>1.74</v>
      </c>
      <c r="X247" t="s">
        <v>76</v>
      </c>
      <c r="Y247" t="s">
        <v>391</v>
      </c>
      <c r="Z247" t="s">
        <v>152</v>
      </c>
      <c r="AA247" t="s">
        <v>2418</v>
      </c>
      <c r="AB247" s="1">
        <v>45511</v>
      </c>
      <c r="AC247" t="s">
        <v>1615</v>
      </c>
      <c r="AD247" t="s">
        <v>89</v>
      </c>
      <c r="AE247">
        <v>41700</v>
      </c>
      <c r="AF247">
        <v>24</v>
      </c>
      <c r="AG247" t="s">
        <v>91</v>
      </c>
      <c r="AH247" t="s">
        <v>306</v>
      </c>
      <c r="AI247">
        <v>22</v>
      </c>
      <c r="AJ247" t="s">
        <v>110</v>
      </c>
      <c r="AK247">
        <v>22</v>
      </c>
      <c r="AL247">
        <v>4</v>
      </c>
      <c r="AM247">
        <v>370</v>
      </c>
      <c r="AN247">
        <v>51</v>
      </c>
      <c r="AO247">
        <v>3</v>
      </c>
      <c r="AP247" t="s">
        <v>93</v>
      </c>
      <c r="AQ247" t="s">
        <v>89</v>
      </c>
      <c r="AR247" t="s">
        <v>89</v>
      </c>
      <c r="AS247" t="s">
        <v>93</v>
      </c>
      <c r="AT247" t="s">
        <v>89</v>
      </c>
      <c r="AU247" t="s">
        <v>89</v>
      </c>
      <c r="AV247" t="s">
        <v>89</v>
      </c>
      <c r="AW247">
        <v>14</v>
      </c>
      <c r="AX247" t="s">
        <v>89</v>
      </c>
      <c r="AY247" t="s">
        <v>93</v>
      </c>
      <c r="AZ247">
        <v>0</v>
      </c>
      <c r="BA247">
        <v>0</v>
      </c>
      <c r="BB247">
        <v>0</v>
      </c>
      <c r="BC247">
        <v>0</v>
      </c>
      <c r="BD247">
        <v>138</v>
      </c>
      <c r="BE247">
        <v>8397</v>
      </c>
      <c r="BF247">
        <v>13</v>
      </c>
      <c r="BG247" t="s">
        <v>89</v>
      </c>
      <c r="BH247">
        <v>138</v>
      </c>
      <c r="BI247">
        <v>8397</v>
      </c>
      <c r="BJ247">
        <v>13</v>
      </c>
      <c r="BK247">
        <f t="shared" si="29"/>
        <v>138</v>
      </c>
      <c r="BL247">
        <f t="shared" si="30"/>
        <v>8397</v>
      </c>
      <c r="BM247">
        <f t="shared" si="31"/>
        <v>13</v>
      </c>
      <c r="BN247">
        <f t="shared" si="32"/>
        <v>0</v>
      </c>
      <c r="BO247">
        <f t="shared" si="33"/>
        <v>0</v>
      </c>
      <c r="BP247">
        <f t="shared" si="34"/>
        <v>0</v>
      </c>
      <c r="BQ247" t="s">
        <v>391</v>
      </c>
      <c r="BR247" t="s">
        <v>112</v>
      </c>
      <c r="BS247" s="1">
        <v>32574</v>
      </c>
      <c r="BT247">
        <v>36</v>
      </c>
      <c r="BU247" t="s">
        <v>89</v>
      </c>
      <c r="BV247" t="s">
        <v>89</v>
      </c>
      <c r="BW247">
        <v>14</v>
      </c>
      <c r="BX247">
        <v>1989</v>
      </c>
      <c r="BY247">
        <v>14</v>
      </c>
      <c r="BZ247">
        <f t="shared" si="35"/>
        <v>0</v>
      </c>
      <c r="CA247">
        <f t="shared" si="36"/>
        <v>0</v>
      </c>
      <c r="CB247" t="b">
        <f t="shared" si="37"/>
        <v>1</v>
      </c>
    </row>
    <row r="248" spans="1:80" x14ac:dyDescent="0.3">
      <c r="A248" t="s">
        <v>2419</v>
      </c>
      <c r="B248" t="s">
        <v>71</v>
      </c>
      <c r="C248" t="s">
        <v>2420</v>
      </c>
      <c r="D248">
        <v>36</v>
      </c>
      <c r="E248" s="1">
        <v>32383</v>
      </c>
      <c r="F248" t="s">
        <v>89</v>
      </c>
      <c r="G248" t="s">
        <v>115</v>
      </c>
      <c r="H248" t="s">
        <v>76</v>
      </c>
      <c r="I248" t="s">
        <v>791</v>
      </c>
      <c r="J248" t="s">
        <v>300</v>
      </c>
      <c r="K248" t="s">
        <v>89</v>
      </c>
      <c r="L248" t="s">
        <v>117</v>
      </c>
      <c r="M248">
        <v>16</v>
      </c>
      <c r="N248" t="s">
        <v>416</v>
      </c>
      <c r="O248">
        <v>2005</v>
      </c>
      <c r="P248" t="s">
        <v>2421</v>
      </c>
      <c r="Q248" t="s">
        <v>2422</v>
      </c>
      <c r="R248">
        <v>35538</v>
      </c>
      <c r="S248" t="s">
        <v>2419</v>
      </c>
      <c r="T248" t="s">
        <v>2423</v>
      </c>
      <c r="U248">
        <v>1988</v>
      </c>
      <c r="V248" t="s">
        <v>2226</v>
      </c>
      <c r="W248">
        <v>1.8</v>
      </c>
      <c r="X248" t="s">
        <v>76</v>
      </c>
      <c r="Y248" t="s">
        <v>86</v>
      </c>
      <c r="Z248" t="s">
        <v>152</v>
      </c>
      <c r="AA248" t="s">
        <v>2424</v>
      </c>
      <c r="AB248" s="1">
        <v>44568</v>
      </c>
      <c r="AC248" t="s">
        <v>108</v>
      </c>
      <c r="AD248" t="s">
        <v>89</v>
      </c>
      <c r="AE248" t="s">
        <v>2425</v>
      </c>
      <c r="AF248">
        <v>17</v>
      </c>
      <c r="AG248" t="s">
        <v>91</v>
      </c>
      <c r="AH248" t="s">
        <v>2426</v>
      </c>
      <c r="AI248">
        <v>19</v>
      </c>
      <c r="AJ248" t="s">
        <v>110</v>
      </c>
      <c r="AK248">
        <v>17</v>
      </c>
      <c r="AL248">
        <v>1</v>
      </c>
      <c r="AM248">
        <v>213</v>
      </c>
      <c r="AN248">
        <v>26</v>
      </c>
      <c r="AO248">
        <v>1</v>
      </c>
      <c r="AP248" t="s">
        <v>93</v>
      </c>
      <c r="AQ248" t="s">
        <v>89</v>
      </c>
      <c r="AR248" t="s">
        <v>89</v>
      </c>
      <c r="AS248" t="s">
        <v>111</v>
      </c>
      <c r="AT248" s="1">
        <v>44568</v>
      </c>
      <c r="AU248">
        <v>2022</v>
      </c>
      <c r="AV248">
        <v>17</v>
      </c>
      <c r="AW248">
        <v>17</v>
      </c>
      <c r="AX248" t="s">
        <v>89</v>
      </c>
      <c r="AY248" t="s">
        <v>93</v>
      </c>
      <c r="AZ248">
        <v>0</v>
      </c>
      <c r="BA248">
        <v>0</v>
      </c>
      <c r="BB248">
        <v>0</v>
      </c>
      <c r="BC248">
        <v>0</v>
      </c>
      <c r="BD248">
        <v>89</v>
      </c>
      <c r="BE248">
        <v>5765</v>
      </c>
      <c r="BF248">
        <v>6</v>
      </c>
      <c r="BG248">
        <v>34</v>
      </c>
      <c r="BH248">
        <v>89</v>
      </c>
      <c r="BI248">
        <v>5765</v>
      </c>
      <c r="BJ248">
        <v>6</v>
      </c>
      <c r="BK248">
        <f t="shared" si="29"/>
        <v>89</v>
      </c>
      <c r="BL248">
        <f t="shared" si="30"/>
        <v>5765</v>
      </c>
      <c r="BM248">
        <f t="shared" si="31"/>
        <v>6</v>
      </c>
      <c r="BN248">
        <f t="shared" si="32"/>
        <v>0</v>
      </c>
      <c r="BO248">
        <f t="shared" si="33"/>
        <v>0</v>
      </c>
      <c r="BP248">
        <f t="shared" si="34"/>
        <v>0</v>
      </c>
      <c r="BQ248" t="s">
        <v>86</v>
      </c>
      <c r="BR248" t="s">
        <v>94</v>
      </c>
      <c r="BS248" s="1">
        <v>32383</v>
      </c>
      <c r="BT248">
        <v>37</v>
      </c>
      <c r="BU248" s="1">
        <v>44568</v>
      </c>
      <c r="BV248" s="1">
        <v>44743</v>
      </c>
      <c r="BW248">
        <v>17</v>
      </c>
      <c r="BX248">
        <v>1988</v>
      </c>
      <c r="BY248">
        <v>17</v>
      </c>
      <c r="BZ248">
        <f t="shared" si="35"/>
        <v>0</v>
      </c>
      <c r="CA248">
        <f t="shared" si="36"/>
        <v>0</v>
      </c>
      <c r="CB248" t="b">
        <f t="shared" si="37"/>
        <v>1</v>
      </c>
    </row>
    <row r="249" spans="1:80" x14ac:dyDescent="0.3">
      <c r="A249" t="s">
        <v>2427</v>
      </c>
      <c r="B249" t="s">
        <v>2301</v>
      </c>
      <c r="C249" t="s">
        <v>2428</v>
      </c>
      <c r="D249">
        <v>40</v>
      </c>
      <c r="E249" s="1">
        <v>30911</v>
      </c>
      <c r="F249" t="s">
        <v>89</v>
      </c>
      <c r="G249" t="s">
        <v>298</v>
      </c>
      <c r="H249" t="s">
        <v>2303</v>
      </c>
      <c r="I249" t="s">
        <v>195</v>
      </c>
      <c r="J249" t="s">
        <v>89</v>
      </c>
      <c r="K249" t="s">
        <v>89</v>
      </c>
      <c r="L249" t="s">
        <v>163</v>
      </c>
      <c r="M249">
        <v>21</v>
      </c>
      <c r="N249" t="s">
        <v>2429</v>
      </c>
      <c r="O249">
        <v>2006</v>
      </c>
      <c r="P249" t="s">
        <v>2430</v>
      </c>
      <c r="Q249" t="s">
        <v>2431</v>
      </c>
      <c r="R249">
        <v>34781</v>
      </c>
      <c r="S249" t="s">
        <v>2427</v>
      </c>
      <c r="T249" t="s">
        <v>2432</v>
      </c>
      <c r="U249">
        <v>1984</v>
      </c>
      <c r="V249" t="s">
        <v>2433</v>
      </c>
      <c r="W249">
        <v>1.76</v>
      </c>
      <c r="X249" t="s">
        <v>2303</v>
      </c>
      <c r="Y249" t="s">
        <v>203</v>
      </c>
      <c r="Z249" t="s">
        <v>152</v>
      </c>
      <c r="AA249" t="s">
        <v>2434</v>
      </c>
      <c r="AB249" s="1">
        <v>43101</v>
      </c>
      <c r="AC249" t="s">
        <v>108</v>
      </c>
      <c r="AD249" t="s">
        <v>89</v>
      </c>
      <c r="AE249" t="s">
        <v>2435</v>
      </c>
      <c r="AF249">
        <v>20</v>
      </c>
      <c r="AG249" t="s">
        <v>2311</v>
      </c>
      <c r="AH249" t="s">
        <v>2436</v>
      </c>
      <c r="AI249">
        <v>32</v>
      </c>
      <c r="AJ249" t="s">
        <v>2437</v>
      </c>
      <c r="AK249">
        <v>20</v>
      </c>
      <c r="AL249">
        <v>1</v>
      </c>
      <c r="AM249">
        <v>183</v>
      </c>
      <c r="AN249">
        <v>15</v>
      </c>
      <c r="AO249">
        <v>1</v>
      </c>
      <c r="AP249" t="s">
        <v>93</v>
      </c>
      <c r="AQ249" t="s">
        <v>89</v>
      </c>
      <c r="AR249" t="s">
        <v>89</v>
      </c>
      <c r="AS249" t="s">
        <v>111</v>
      </c>
      <c r="AT249" s="1">
        <v>43101</v>
      </c>
      <c r="AU249">
        <v>2018</v>
      </c>
      <c r="AV249">
        <v>12</v>
      </c>
      <c r="AW249">
        <v>12</v>
      </c>
      <c r="AX249" t="s">
        <v>89</v>
      </c>
      <c r="AY249" t="s">
        <v>93</v>
      </c>
      <c r="AZ249">
        <v>0</v>
      </c>
      <c r="BA249">
        <v>0</v>
      </c>
      <c r="BB249">
        <v>0</v>
      </c>
      <c r="BC249">
        <v>0</v>
      </c>
      <c r="BD249">
        <v>177</v>
      </c>
      <c r="BE249">
        <v>14588</v>
      </c>
      <c r="BF249">
        <v>1</v>
      </c>
      <c r="BG249">
        <v>34</v>
      </c>
      <c r="BH249">
        <v>177</v>
      </c>
      <c r="BI249">
        <v>14588</v>
      </c>
      <c r="BJ249">
        <v>1</v>
      </c>
      <c r="BK249">
        <f t="shared" si="29"/>
        <v>177</v>
      </c>
      <c r="BL249">
        <f t="shared" si="30"/>
        <v>14588</v>
      </c>
      <c r="BM249">
        <f t="shared" si="31"/>
        <v>1</v>
      </c>
      <c r="BN249">
        <f t="shared" si="32"/>
        <v>0</v>
      </c>
      <c r="BO249">
        <f t="shared" si="33"/>
        <v>0</v>
      </c>
      <c r="BP249">
        <f t="shared" si="34"/>
        <v>0</v>
      </c>
      <c r="BQ249" t="s">
        <v>203</v>
      </c>
      <c r="BR249" t="s">
        <v>140</v>
      </c>
      <c r="BS249" s="1">
        <v>30911</v>
      </c>
      <c r="BT249">
        <v>41</v>
      </c>
      <c r="BU249" s="1">
        <v>43101</v>
      </c>
      <c r="BV249" s="1">
        <v>43101</v>
      </c>
      <c r="BW249">
        <v>14</v>
      </c>
      <c r="BX249">
        <v>1984</v>
      </c>
      <c r="BY249">
        <v>14</v>
      </c>
      <c r="BZ249">
        <f t="shared" si="35"/>
        <v>-2</v>
      </c>
      <c r="CA249">
        <f t="shared" si="36"/>
        <v>0</v>
      </c>
      <c r="CB249" t="b">
        <f t="shared" si="37"/>
        <v>0</v>
      </c>
    </row>
    <row r="250" spans="1:80" x14ac:dyDescent="0.3">
      <c r="A250" t="s">
        <v>2438</v>
      </c>
      <c r="B250" t="s">
        <v>729</v>
      </c>
      <c r="C250" t="s">
        <v>2439</v>
      </c>
      <c r="D250">
        <v>39</v>
      </c>
      <c r="E250" s="1">
        <v>31320</v>
      </c>
      <c r="F250" t="s">
        <v>89</v>
      </c>
      <c r="G250" t="s">
        <v>75</v>
      </c>
      <c r="H250" t="s">
        <v>732</v>
      </c>
      <c r="I250" t="s">
        <v>144</v>
      </c>
      <c r="J250" t="s">
        <v>300</v>
      </c>
      <c r="K250" t="s">
        <v>89</v>
      </c>
      <c r="L250" t="s">
        <v>117</v>
      </c>
      <c r="M250">
        <v>19</v>
      </c>
      <c r="N250" t="s">
        <v>2440</v>
      </c>
      <c r="O250">
        <v>2005</v>
      </c>
      <c r="P250" t="s">
        <v>2441</v>
      </c>
      <c r="Q250" t="s">
        <v>2442</v>
      </c>
      <c r="R250">
        <v>33448</v>
      </c>
      <c r="S250" t="s">
        <v>2438</v>
      </c>
      <c r="T250" t="s">
        <v>2443</v>
      </c>
      <c r="U250">
        <v>1985</v>
      </c>
      <c r="V250" t="s">
        <v>2444</v>
      </c>
      <c r="W250">
        <v>1.76</v>
      </c>
      <c r="X250" t="s">
        <v>1971</v>
      </c>
      <c r="Y250" t="s">
        <v>151</v>
      </c>
      <c r="Z250" t="s">
        <v>152</v>
      </c>
      <c r="AA250" t="s">
        <v>2445</v>
      </c>
      <c r="AB250" s="1">
        <v>44927</v>
      </c>
      <c r="AC250" t="s">
        <v>108</v>
      </c>
      <c r="AD250" t="s">
        <v>395</v>
      </c>
      <c r="AE250">
        <v>2005</v>
      </c>
      <c r="AF250">
        <v>20</v>
      </c>
      <c r="AG250" t="s">
        <v>206</v>
      </c>
      <c r="AH250" t="s">
        <v>89</v>
      </c>
      <c r="AI250" t="s">
        <v>89</v>
      </c>
      <c r="AJ250" t="s">
        <v>89</v>
      </c>
      <c r="AK250">
        <v>20</v>
      </c>
      <c r="AL250">
        <v>28</v>
      </c>
      <c r="AM250">
        <v>471</v>
      </c>
      <c r="AN250">
        <v>77</v>
      </c>
      <c r="AO250">
        <v>12</v>
      </c>
      <c r="AP250" t="s">
        <v>93</v>
      </c>
      <c r="AQ250" t="s">
        <v>89</v>
      </c>
      <c r="AR250" t="s">
        <v>89</v>
      </c>
      <c r="AS250" t="s">
        <v>111</v>
      </c>
      <c r="AT250">
        <v>44927</v>
      </c>
      <c r="AU250">
        <v>2023</v>
      </c>
      <c r="AV250">
        <v>18</v>
      </c>
      <c r="AW250">
        <v>18</v>
      </c>
      <c r="AX250" t="s">
        <v>89</v>
      </c>
      <c r="AY250" t="s">
        <v>111</v>
      </c>
      <c r="AZ250">
        <v>10</v>
      </c>
      <c r="BA250">
        <v>43</v>
      </c>
      <c r="BB250">
        <v>2528</v>
      </c>
      <c r="BC250">
        <v>3</v>
      </c>
      <c r="BD250">
        <v>445</v>
      </c>
      <c r="BE250">
        <v>23753</v>
      </c>
      <c r="BF250">
        <v>66</v>
      </c>
      <c r="BG250">
        <v>38</v>
      </c>
      <c r="BH250">
        <v>488</v>
      </c>
      <c r="BI250">
        <v>26281</v>
      </c>
      <c r="BJ250">
        <v>69</v>
      </c>
      <c r="BK250">
        <f t="shared" si="29"/>
        <v>488</v>
      </c>
      <c r="BL250">
        <f t="shared" si="30"/>
        <v>26281</v>
      </c>
      <c r="BM250">
        <f t="shared" si="31"/>
        <v>69</v>
      </c>
      <c r="BN250">
        <f t="shared" si="32"/>
        <v>0</v>
      </c>
      <c r="BO250">
        <f t="shared" si="33"/>
        <v>0</v>
      </c>
      <c r="BP250">
        <f t="shared" si="34"/>
        <v>0</v>
      </c>
      <c r="BQ250" t="s">
        <v>151</v>
      </c>
      <c r="BR250" t="s">
        <v>94</v>
      </c>
      <c r="BS250" s="1">
        <v>31320</v>
      </c>
      <c r="BT250">
        <v>40</v>
      </c>
      <c r="BU250">
        <v>44927</v>
      </c>
      <c r="BV250" t="s">
        <v>89</v>
      </c>
      <c r="BW250">
        <v>18</v>
      </c>
      <c r="BX250">
        <v>1985</v>
      </c>
      <c r="BY250">
        <v>18</v>
      </c>
      <c r="BZ250">
        <f t="shared" si="35"/>
        <v>0</v>
      </c>
      <c r="CA250">
        <f t="shared" si="36"/>
        <v>0</v>
      </c>
      <c r="CB250" t="b">
        <f t="shared" si="37"/>
        <v>1</v>
      </c>
    </row>
    <row r="251" spans="1:80" x14ac:dyDescent="0.3">
      <c r="A251" t="s">
        <v>2446</v>
      </c>
      <c r="B251" t="s">
        <v>2301</v>
      </c>
      <c r="C251" t="s">
        <v>2447</v>
      </c>
      <c r="D251">
        <v>41</v>
      </c>
      <c r="E251">
        <v>30777</v>
      </c>
      <c r="F251" t="s">
        <v>89</v>
      </c>
      <c r="G251" t="s">
        <v>819</v>
      </c>
      <c r="H251" t="s">
        <v>2303</v>
      </c>
      <c r="I251" t="s">
        <v>357</v>
      </c>
      <c r="J251" t="s">
        <v>78</v>
      </c>
      <c r="K251" t="s">
        <v>89</v>
      </c>
      <c r="L251" t="s">
        <v>163</v>
      </c>
      <c r="M251">
        <v>22</v>
      </c>
      <c r="N251" t="s">
        <v>2448</v>
      </c>
      <c r="O251">
        <v>2006</v>
      </c>
      <c r="P251" t="s">
        <v>2449</v>
      </c>
      <c r="Q251" t="s">
        <v>2450</v>
      </c>
      <c r="R251">
        <v>25942</v>
      </c>
      <c r="S251" t="s">
        <v>2446</v>
      </c>
      <c r="T251" s="1">
        <v>30806</v>
      </c>
      <c r="U251">
        <v>1984</v>
      </c>
      <c r="V251" t="s">
        <v>2307</v>
      </c>
      <c r="W251">
        <v>1.87</v>
      </c>
      <c r="X251" t="s">
        <v>2303</v>
      </c>
      <c r="Y251" t="s">
        <v>235</v>
      </c>
      <c r="Z251" t="s">
        <v>87</v>
      </c>
      <c r="AA251" t="s">
        <v>2451</v>
      </c>
      <c r="AB251">
        <v>45664</v>
      </c>
      <c r="AC251" t="s">
        <v>108</v>
      </c>
      <c r="AD251" t="s">
        <v>89</v>
      </c>
      <c r="AE251" t="s">
        <v>2452</v>
      </c>
      <c r="AF251">
        <v>19</v>
      </c>
      <c r="AG251" t="s">
        <v>2311</v>
      </c>
      <c r="AH251" t="s">
        <v>92</v>
      </c>
      <c r="AI251" t="s">
        <v>89</v>
      </c>
      <c r="AJ251" t="s">
        <v>92</v>
      </c>
      <c r="AK251">
        <v>19</v>
      </c>
      <c r="AL251">
        <v>9</v>
      </c>
      <c r="AM251">
        <v>122</v>
      </c>
      <c r="AN251">
        <v>26</v>
      </c>
      <c r="AO251">
        <v>5</v>
      </c>
      <c r="AP251" t="s">
        <v>93</v>
      </c>
      <c r="AQ251" t="s">
        <v>89</v>
      </c>
      <c r="AR251" t="s">
        <v>89</v>
      </c>
      <c r="AS251" t="s">
        <v>111</v>
      </c>
      <c r="AT251">
        <v>45664</v>
      </c>
      <c r="AU251">
        <v>2025</v>
      </c>
      <c r="AV251">
        <v>19</v>
      </c>
      <c r="AW251">
        <v>19</v>
      </c>
      <c r="AX251" t="s">
        <v>89</v>
      </c>
      <c r="AY251" t="s">
        <v>111</v>
      </c>
      <c r="AZ251">
        <v>12</v>
      </c>
      <c r="BA251">
        <v>33</v>
      </c>
      <c r="BB251">
        <v>2886</v>
      </c>
      <c r="BC251">
        <v>0</v>
      </c>
      <c r="BD251">
        <v>487</v>
      </c>
      <c r="BE251">
        <v>40632</v>
      </c>
      <c r="BF251">
        <v>38</v>
      </c>
      <c r="BG251">
        <v>41</v>
      </c>
      <c r="BH251">
        <v>520</v>
      </c>
      <c r="BI251">
        <v>43518</v>
      </c>
      <c r="BJ251">
        <v>38</v>
      </c>
      <c r="BK251">
        <f t="shared" si="29"/>
        <v>520</v>
      </c>
      <c r="BL251">
        <f t="shared" si="30"/>
        <v>43518</v>
      </c>
      <c r="BM251">
        <f t="shared" si="31"/>
        <v>38</v>
      </c>
      <c r="BN251">
        <f t="shared" si="32"/>
        <v>0</v>
      </c>
      <c r="BO251">
        <f t="shared" si="33"/>
        <v>0</v>
      </c>
      <c r="BP251">
        <f t="shared" si="34"/>
        <v>0</v>
      </c>
      <c r="BQ251" t="s">
        <v>235</v>
      </c>
      <c r="BR251" t="s">
        <v>140</v>
      </c>
      <c r="BS251" s="1">
        <v>30777</v>
      </c>
      <c r="BT251">
        <v>41</v>
      </c>
      <c r="BU251">
        <v>45664</v>
      </c>
      <c r="BV251" t="s">
        <v>89</v>
      </c>
      <c r="BW251">
        <v>22</v>
      </c>
      <c r="BX251">
        <v>1984</v>
      </c>
      <c r="BY251">
        <v>22</v>
      </c>
      <c r="BZ251">
        <f t="shared" si="35"/>
        <v>-3</v>
      </c>
      <c r="CA251">
        <f t="shared" si="36"/>
        <v>0</v>
      </c>
      <c r="CB251" t="b">
        <f t="shared" si="37"/>
        <v>0</v>
      </c>
    </row>
    <row r="252" spans="1:80" x14ac:dyDescent="0.3">
      <c r="A252" t="s">
        <v>2453</v>
      </c>
      <c r="B252" t="s">
        <v>71</v>
      </c>
      <c r="C252" t="s">
        <v>2454</v>
      </c>
      <c r="D252">
        <v>33</v>
      </c>
      <c r="E252" t="s">
        <v>2455</v>
      </c>
      <c r="F252" t="s">
        <v>2456</v>
      </c>
      <c r="G252" t="s">
        <v>75</v>
      </c>
      <c r="H252" t="s">
        <v>76</v>
      </c>
      <c r="I252" t="s">
        <v>386</v>
      </c>
      <c r="J252" t="s">
        <v>78</v>
      </c>
      <c r="K252" t="s">
        <v>2457</v>
      </c>
      <c r="L252" t="s">
        <v>228</v>
      </c>
      <c r="M252">
        <v>18</v>
      </c>
      <c r="N252" t="s">
        <v>649</v>
      </c>
      <c r="O252">
        <v>2010</v>
      </c>
      <c r="P252" t="s">
        <v>2458</v>
      </c>
      <c r="Q252" t="s">
        <v>2459</v>
      </c>
      <c r="R252">
        <v>141834</v>
      </c>
      <c r="S252" t="s">
        <v>2453</v>
      </c>
      <c r="T252">
        <v>33550</v>
      </c>
      <c r="U252">
        <v>1991</v>
      </c>
      <c r="V252" t="s">
        <v>1958</v>
      </c>
      <c r="W252">
        <v>1.78</v>
      </c>
      <c r="X252" t="s">
        <v>76</v>
      </c>
      <c r="Y252" t="s">
        <v>391</v>
      </c>
      <c r="Z252" t="s">
        <v>392</v>
      </c>
      <c r="AA252" t="s">
        <v>994</v>
      </c>
      <c r="AB252" s="1">
        <v>45664</v>
      </c>
      <c r="AC252" t="s">
        <v>108</v>
      </c>
      <c r="AD252" t="s">
        <v>442</v>
      </c>
      <c r="AE252" t="s">
        <v>2460</v>
      </c>
      <c r="AF252">
        <v>20</v>
      </c>
      <c r="AG252" t="s">
        <v>91</v>
      </c>
      <c r="AH252">
        <v>40247</v>
      </c>
      <c r="AI252">
        <v>19</v>
      </c>
      <c r="AJ252" t="s">
        <v>110</v>
      </c>
      <c r="AK252">
        <v>19</v>
      </c>
      <c r="AL252">
        <v>11</v>
      </c>
      <c r="AM252">
        <v>227</v>
      </c>
      <c r="AN252">
        <v>42</v>
      </c>
      <c r="AO252">
        <v>7</v>
      </c>
      <c r="AP252" t="s">
        <v>93</v>
      </c>
      <c r="AQ252" t="s">
        <v>89</v>
      </c>
      <c r="AR252" t="s">
        <v>89</v>
      </c>
      <c r="AS252" t="s">
        <v>93</v>
      </c>
      <c r="AT252" t="s">
        <v>89</v>
      </c>
      <c r="AU252" t="s">
        <v>89</v>
      </c>
      <c r="AV252" t="s">
        <v>89</v>
      </c>
      <c r="AW252">
        <v>15</v>
      </c>
      <c r="AX252" t="s">
        <v>89</v>
      </c>
      <c r="AY252" t="s">
        <v>93</v>
      </c>
      <c r="AZ252">
        <v>0</v>
      </c>
      <c r="BA252">
        <v>0</v>
      </c>
      <c r="BB252">
        <v>0</v>
      </c>
      <c r="BC252">
        <v>0</v>
      </c>
      <c r="BD252">
        <v>455</v>
      </c>
      <c r="BE252">
        <v>23795</v>
      </c>
      <c r="BF252">
        <v>82</v>
      </c>
      <c r="BG252" t="s">
        <v>89</v>
      </c>
      <c r="BH252">
        <v>455</v>
      </c>
      <c r="BI252">
        <v>23795</v>
      </c>
      <c r="BJ252">
        <v>82</v>
      </c>
      <c r="BK252">
        <f t="shared" si="29"/>
        <v>455</v>
      </c>
      <c r="BL252">
        <f t="shared" si="30"/>
        <v>23795</v>
      </c>
      <c r="BM252">
        <f t="shared" si="31"/>
        <v>82</v>
      </c>
      <c r="BN252">
        <f t="shared" si="32"/>
        <v>0</v>
      </c>
      <c r="BO252">
        <f t="shared" si="33"/>
        <v>0</v>
      </c>
      <c r="BP252">
        <f t="shared" si="34"/>
        <v>0</v>
      </c>
      <c r="BQ252" t="s">
        <v>391</v>
      </c>
      <c r="BR252" t="s">
        <v>112</v>
      </c>
      <c r="BS252" t="s">
        <v>89</v>
      </c>
      <c r="BT252">
        <v>35</v>
      </c>
      <c r="BU252" t="s">
        <v>89</v>
      </c>
      <c r="BV252" t="s">
        <v>89</v>
      </c>
      <c r="BW252">
        <v>16</v>
      </c>
      <c r="BX252">
        <v>1991</v>
      </c>
      <c r="BY252">
        <v>14</v>
      </c>
      <c r="BZ252">
        <f t="shared" si="35"/>
        <v>-1</v>
      </c>
      <c r="CA252">
        <f t="shared" si="36"/>
        <v>2</v>
      </c>
      <c r="CB252" t="b">
        <f t="shared" si="37"/>
        <v>0</v>
      </c>
    </row>
    <row r="253" spans="1:80" x14ac:dyDescent="0.3">
      <c r="A253" t="s">
        <v>2461</v>
      </c>
      <c r="B253" t="s">
        <v>1231</v>
      </c>
      <c r="C253" t="s">
        <v>2462</v>
      </c>
      <c r="D253">
        <v>40</v>
      </c>
      <c r="E253" t="s">
        <v>2463</v>
      </c>
      <c r="F253" t="s">
        <v>2464</v>
      </c>
      <c r="G253" t="s">
        <v>819</v>
      </c>
      <c r="H253" t="s">
        <v>1234</v>
      </c>
      <c r="I253" t="s">
        <v>340</v>
      </c>
      <c r="J253" t="s">
        <v>78</v>
      </c>
      <c r="K253" t="s">
        <v>2465</v>
      </c>
      <c r="L253" t="s">
        <v>845</v>
      </c>
      <c r="M253">
        <v>17</v>
      </c>
      <c r="N253" t="s">
        <v>2031</v>
      </c>
      <c r="O253">
        <v>2002</v>
      </c>
      <c r="P253" t="s">
        <v>2466</v>
      </c>
      <c r="Q253" t="s">
        <v>2467</v>
      </c>
      <c r="R253">
        <v>8198</v>
      </c>
      <c r="S253" t="s">
        <v>2461</v>
      </c>
      <c r="T253">
        <v>31169</v>
      </c>
      <c r="U253">
        <v>1985</v>
      </c>
      <c r="V253" t="s">
        <v>2468</v>
      </c>
      <c r="W253">
        <v>1.88</v>
      </c>
      <c r="X253" t="s">
        <v>1234</v>
      </c>
      <c r="Y253" t="s">
        <v>123</v>
      </c>
      <c r="Z253" t="s">
        <v>87</v>
      </c>
      <c r="AA253" t="s">
        <v>2469</v>
      </c>
      <c r="AB253" s="1">
        <v>44927</v>
      </c>
      <c r="AC253" t="s">
        <v>88</v>
      </c>
      <c r="AD253" t="s">
        <v>223</v>
      </c>
      <c r="AE253" t="s">
        <v>2470</v>
      </c>
      <c r="AF253">
        <v>17</v>
      </c>
      <c r="AG253" t="s">
        <v>613</v>
      </c>
      <c r="AH253" t="s">
        <v>92</v>
      </c>
      <c r="AI253" t="s">
        <v>89</v>
      </c>
      <c r="AJ253" t="s">
        <v>92</v>
      </c>
      <c r="AK253">
        <v>17</v>
      </c>
      <c r="AL253">
        <v>29</v>
      </c>
      <c r="AM253">
        <v>482</v>
      </c>
      <c r="AN253">
        <v>85</v>
      </c>
      <c r="AO253">
        <v>16</v>
      </c>
      <c r="AP253" t="s">
        <v>93</v>
      </c>
      <c r="AQ253" t="s">
        <v>89</v>
      </c>
      <c r="AR253" t="s">
        <v>89</v>
      </c>
      <c r="AS253" t="s">
        <v>93</v>
      </c>
      <c r="AT253" t="s">
        <v>89</v>
      </c>
      <c r="AU253" t="s">
        <v>89</v>
      </c>
      <c r="AV253" t="s">
        <v>89</v>
      </c>
      <c r="AW253">
        <v>23</v>
      </c>
      <c r="AX253">
        <v>7</v>
      </c>
      <c r="AY253" t="s">
        <v>111</v>
      </c>
      <c r="AZ253">
        <v>35</v>
      </c>
      <c r="BA253">
        <v>190</v>
      </c>
      <c r="BB253">
        <v>15733</v>
      </c>
      <c r="BC253">
        <v>134</v>
      </c>
      <c r="BD253">
        <v>946</v>
      </c>
      <c r="BE253">
        <v>77548</v>
      </c>
      <c r="BF253">
        <v>731</v>
      </c>
      <c r="BG253" t="s">
        <v>89</v>
      </c>
      <c r="BH253">
        <v>1136</v>
      </c>
      <c r="BI253">
        <v>93281</v>
      </c>
      <c r="BJ253">
        <v>865</v>
      </c>
      <c r="BK253">
        <f t="shared" si="29"/>
        <v>1136</v>
      </c>
      <c r="BL253">
        <f t="shared" si="30"/>
        <v>93281</v>
      </c>
      <c r="BM253">
        <f t="shared" si="31"/>
        <v>865</v>
      </c>
      <c r="BN253">
        <f t="shared" si="32"/>
        <v>0</v>
      </c>
      <c r="BO253">
        <f t="shared" si="33"/>
        <v>0</v>
      </c>
      <c r="BP253">
        <f t="shared" si="34"/>
        <v>0</v>
      </c>
      <c r="BQ253" t="s">
        <v>123</v>
      </c>
      <c r="BR253" t="s">
        <v>112</v>
      </c>
      <c r="BS253" t="s">
        <v>89</v>
      </c>
      <c r="BT253">
        <v>41</v>
      </c>
      <c r="BU253" t="s">
        <v>89</v>
      </c>
      <c r="BV253" t="s">
        <v>89</v>
      </c>
      <c r="BW253">
        <v>24</v>
      </c>
      <c r="BX253">
        <v>1985</v>
      </c>
      <c r="BY253">
        <v>23</v>
      </c>
      <c r="BZ253">
        <f t="shared" si="35"/>
        <v>-1</v>
      </c>
      <c r="CA253">
        <f t="shared" si="36"/>
        <v>1</v>
      </c>
      <c r="CB253" t="b">
        <f t="shared" si="37"/>
        <v>0</v>
      </c>
    </row>
    <row r="254" spans="1:80" x14ac:dyDescent="0.3">
      <c r="A254" t="s">
        <v>2471</v>
      </c>
      <c r="B254" t="s">
        <v>71</v>
      </c>
      <c r="C254" t="s">
        <v>2472</v>
      </c>
      <c r="D254">
        <v>36</v>
      </c>
      <c r="E254" s="1">
        <v>32668</v>
      </c>
      <c r="F254" t="s">
        <v>89</v>
      </c>
      <c r="G254" t="s">
        <v>176</v>
      </c>
      <c r="H254" t="s">
        <v>76</v>
      </c>
      <c r="I254" t="s">
        <v>195</v>
      </c>
      <c r="J254" t="s">
        <v>300</v>
      </c>
      <c r="K254" t="s">
        <v>89</v>
      </c>
      <c r="L254" t="s">
        <v>254</v>
      </c>
      <c r="M254">
        <v>20</v>
      </c>
      <c r="N254" t="s">
        <v>146</v>
      </c>
      <c r="O254">
        <v>2009</v>
      </c>
      <c r="P254" t="s">
        <v>2473</v>
      </c>
      <c r="Q254" t="s">
        <v>2474</v>
      </c>
      <c r="R254">
        <v>67090</v>
      </c>
      <c r="S254" t="s">
        <v>2471</v>
      </c>
      <c r="T254">
        <v>32757</v>
      </c>
      <c r="U254">
        <v>1989</v>
      </c>
      <c r="V254" t="s">
        <v>644</v>
      </c>
      <c r="W254">
        <v>1.85</v>
      </c>
      <c r="X254" t="s">
        <v>76</v>
      </c>
      <c r="Y254" t="s">
        <v>203</v>
      </c>
      <c r="Z254" t="s">
        <v>152</v>
      </c>
      <c r="AA254" t="s">
        <v>146</v>
      </c>
      <c r="AB254" s="1">
        <v>44568</v>
      </c>
      <c r="AC254" t="s">
        <v>108</v>
      </c>
      <c r="AD254" t="s">
        <v>89</v>
      </c>
      <c r="AE254" t="s">
        <v>2475</v>
      </c>
      <c r="AF254">
        <v>20</v>
      </c>
      <c r="AG254" t="s">
        <v>91</v>
      </c>
      <c r="AH254" s="1">
        <v>44174</v>
      </c>
      <c r="AI254">
        <v>31</v>
      </c>
      <c r="AJ254" t="s">
        <v>110</v>
      </c>
      <c r="AK254">
        <v>20</v>
      </c>
      <c r="AL254">
        <v>8</v>
      </c>
      <c r="AM254">
        <v>486</v>
      </c>
      <c r="AN254">
        <v>51</v>
      </c>
      <c r="AO254">
        <v>6</v>
      </c>
      <c r="AP254" t="s">
        <v>93</v>
      </c>
      <c r="AQ254" t="s">
        <v>89</v>
      </c>
      <c r="AR254" t="s">
        <v>89</v>
      </c>
      <c r="AS254" t="s">
        <v>111</v>
      </c>
      <c r="AT254" s="1">
        <v>44568</v>
      </c>
      <c r="AU254">
        <v>2022</v>
      </c>
      <c r="AV254">
        <v>13</v>
      </c>
      <c r="AW254">
        <v>13</v>
      </c>
      <c r="AX254" t="s">
        <v>89</v>
      </c>
      <c r="AY254" t="s">
        <v>93</v>
      </c>
      <c r="AZ254">
        <v>0</v>
      </c>
      <c r="BA254">
        <v>0</v>
      </c>
      <c r="BB254">
        <v>0</v>
      </c>
      <c r="BC254">
        <v>0</v>
      </c>
      <c r="BD254">
        <v>259</v>
      </c>
      <c r="BE254">
        <v>20632</v>
      </c>
      <c r="BF254">
        <v>5</v>
      </c>
      <c r="BG254">
        <v>33</v>
      </c>
      <c r="BH254">
        <v>259</v>
      </c>
      <c r="BI254">
        <v>20632</v>
      </c>
      <c r="BJ254">
        <v>5</v>
      </c>
      <c r="BK254">
        <f t="shared" si="29"/>
        <v>259</v>
      </c>
      <c r="BL254">
        <f t="shared" si="30"/>
        <v>20632</v>
      </c>
      <c r="BM254">
        <f t="shared" si="31"/>
        <v>5</v>
      </c>
      <c r="BN254">
        <f t="shared" si="32"/>
        <v>0</v>
      </c>
      <c r="BO254">
        <f t="shared" si="33"/>
        <v>0</v>
      </c>
      <c r="BP254">
        <f t="shared" si="34"/>
        <v>0</v>
      </c>
      <c r="BQ254" t="s">
        <v>203</v>
      </c>
      <c r="BR254" t="s">
        <v>140</v>
      </c>
      <c r="BS254" t="s">
        <v>89</v>
      </c>
      <c r="BT254">
        <v>37</v>
      </c>
      <c r="BU254" s="1">
        <v>44568</v>
      </c>
      <c r="BV254" s="1">
        <v>44743</v>
      </c>
      <c r="BW254">
        <v>13</v>
      </c>
      <c r="BX254">
        <v>1989</v>
      </c>
      <c r="BY254">
        <v>13</v>
      </c>
      <c r="BZ254">
        <f t="shared" si="35"/>
        <v>0</v>
      </c>
      <c r="CA254">
        <f t="shared" si="36"/>
        <v>0</v>
      </c>
      <c r="CB254" t="b">
        <f t="shared" si="37"/>
        <v>1</v>
      </c>
    </row>
    <row r="255" spans="1:80" x14ac:dyDescent="0.3">
      <c r="A255" t="s">
        <v>2476</v>
      </c>
      <c r="B255" t="s">
        <v>71</v>
      </c>
      <c r="C255" t="s">
        <v>2477</v>
      </c>
      <c r="D255">
        <v>43</v>
      </c>
      <c r="E255" s="1">
        <v>30056</v>
      </c>
      <c r="F255" t="s">
        <v>89</v>
      </c>
      <c r="G255" t="s">
        <v>277</v>
      </c>
      <c r="H255" t="s">
        <v>89</v>
      </c>
      <c r="I255" t="s">
        <v>1190</v>
      </c>
      <c r="J255" t="s">
        <v>89</v>
      </c>
      <c r="K255" t="s">
        <v>89</v>
      </c>
      <c r="L255" t="s">
        <v>145</v>
      </c>
      <c r="M255">
        <v>22</v>
      </c>
      <c r="N255" t="s">
        <v>644</v>
      </c>
      <c r="O255">
        <v>2004</v>
      </c>
      <c r="P255" t="s">
        <v>2478</v>
      </c>
      <c r="Q255" t="s">
        <v>2479</v>
      </c>
      <c r="R255">
        <v>28002</v>
      </c>
      <c r="S255" t="s">
        <v>2476</v>
      </c>
      <c r="T255" t="s">
        <v>2480</v>
      </c>
      <c r="U255">
        <v>1982</v>
      </c>
      <c r="V255" t="s">
        <v>2481</v>
      </c>
      <c r="W255">
        <v>1.88</v>
      </c>
      <c r="X255" t="s">
        <v>76</v>
      </c>
      <c r="Y255" t="s">
        <v>136</v>
      </c>
      <c r="Z255" t="s">
        <v>392</v>
      </c>
      <c r="AA255" t="s">
        <v>2482</v>
      </c>
      <c r="AB255" s="1">
        <v>42376</v>
      </c>
      <c r="AC255" t="s">
        <v>108</v>
      </c>
      <c r="AD255" t="s">
        <v>89</v>
      </c>
      <c r="AE255" t="s">
        <v>2483</v>
      </c>
      <c r="AF255">
        <v>22</v>
      </c>
      <c r="AG255" t="s">
        <v>91</v>
      </c>
      <c r="AH255" t="s">
        <v>371</v>
      </c>
      <c r="AI255">
        <v>27</v>
      </c>
      <c r="AJ255" t="s">
        <v>110</v>
      </c>
      <c r="AK255">
        <v>22</v>
      </c>
      <c r="AL255">
        <v>2</v>
      </c>
      <c r="AM255">
        <v>502</v>
      </c>
      <c r="AN255">
        <v>80</v>
      </c>
      <c r="AO255">
        <v>2</v>
      </c>
      <c r="AP255" t="s">
        <v>93</v>
      </c>
      <c r="AQ255" t="s">
        <v>89</v>
      </c>
      <c r="AR255" t="s">
        <v>89</v>
      </c>
      <c r="AS255" t="s">
        <v>111</v>
      </c>
      <c r="AT255" s="1">
        <v>42376</v>
      </c>
      <c r="AU255">
        <v>2016</v>
      </c>
      <c r="AV255">
        <v>12</v>
      </c>
      <c r="AW255">
        <v>12</v>
      </c>
      <c r="AX255" t="s">
        <v>89</v>
      </c>
      <c r="AY255" t="s">
        <v>93</v>
      </c>
      <c r="AZ255">
        <v>0</v>
      </c>
      <c r="BA255">
        <v>0</v>
      </c>
      <c r="BB255">
        <v>0</v>
      </c>
      <c r="BC255">
        <v>0</v>
      </c>
      <c r="BD255">
        <v>233</v>
      </c>
      <c r="BE255">
        <v>17730</v>
      </c>
      <c r="BF255">
        <v>5</v>
      </c>
      <c r="BG255">
        <v>34</v>
      </c>
      <c r="BH255">
        <v>233</v>
      </c>
      <c r="BI255">
        <v>17730</v>
      </c>
      <c r="BJ255">
        <v>5</v>
      </c>
      <c r="BK255">
        <f t="shared" si="29"/>
        <v>233</v>
      </c>
      <c r="BL255">
        <f t="shared" si="30"/>
        <v>17730</v>
      </c>
      <c r="BM255">
        <f t="shared" si="31"/>
        <v>5</v>
      </c>
      <c r="BN255">
        <f t="shared" si="32"/>
        <v>0</v>
      </c>
      <c r="BO255">
        <f t="shared" si="33"/>
        <v>0</v>
      </c>
      <c r="BP255">
        <f t="shared" si="34"/>
        <v>0</v>
      </c>
      <c r="BQ255" t="s">
        <v>136</v>
      </c>
      <c r="BR255" t="s">
        <v>140</v>
      </c>
      <c r="BS255" s="1">
        <v>30056</v>
      </c>
      <c r="BT255">
        <v>43</v>
      </c>
      <c r="BU255" s="1">
        <v>42376</v>
      </c>
      <c r="BV255" s="1">
        <v>42552</v>
      </c>
      <c r="BW255">
        <v>12</v>
      </c>
      <c r="BX255">
        <v>1982</v>
      </c>
      <c r="BY255">
        <v>12</v>
      </c>
      <c r="BZ255">
        <f t="shared" si="35"/>
        <v>0</v>
      </c>
      <c r="CA255">
        <f t="shared" si="36"/>
        <v>0</v>
      </c>
      <c r="CB255" t="b">
        <f t="shared" si="37"/>
        <v>1</v>
      </c>
    </row>
    <row r="256" spans="1:80" x14ac:dyDescent="0.3">
      <c r="A256" t="s">
        <v>2484</v>
      </c>
      <c r="B256" t="s">
        <v>729</v>
      </c>
      <c r="C256" t="s">
        <v>2485</v>
      </c>
      <c r="D256">
        <v>37</v>
      </c>
      <c r="E256" t="s">
        <v>2486</v>
      </c>
      <c r="F256" t="s">
        <v>2487</v>
      </c>
      <c r="G256" t="s">
        <v>518</v>
      </c>
      <c r="H256" t="s">
        <v>732</v>
      </c>
      <c r="I256" t="s">
        <v>596</v>
      </c>
      <c r="J256" t="s">
        <v>78</v>
      </c>
      <c r="K256" t="s">
        <v>2488</v>
      </c>
      <c r="L256" t="s">
        <v>278</v>
      </c>
      <c r="M256">
        <v>23</v>
      </c>
      <c r="N256" t="s">
        <v>279</v>
      </c>
      <c r="O256">
        <v>2011</v>
      </c>
      <c r="P256" t="s">
        <v>2489</v>
      </c>
      <c r="Q256" t="s">
        <v>2490</v>
      </c>
      <c r="R256">
        <v>76746</v>
      </c>
      <c r="S256" t="s">
        <v>2484</v>
      </c>
      <c r="T256" t="s">
        <v>2491</v>
      </c>
      <c r="U256">
        <v>1988</v>
      </c>
      <c r="V256" t="s">
        <v>736</v>
      </c>
      <c r="W256">
        <v>1.73</v>
      </c>
      <c r="X256" t="s">
        <v>2217</v>
      </c>
      <c r="Y256" t="s">
        <v>136</v>
      </c>
      <c r="Z256" t="s">
        <v>87</v>
      </c>
      <c r="AA256" t="s">
        <v>2492</v>
      </c>
      <c r="AB256" t="s">
        <v>2493</v>
      </c>
      <c r="AC256" t="s">
        <v>222</v>
      </c>
      <c r="AD256" t="s">
        <v>89</v>
      </c>
      <c r="AE256" t="s">
        <v>1681</v>
      </c>
      <c r="AF256">
        <v>19</v>
      </c>
      <c r="AG256" t="s">
        <v>985</v>
      </c>
      <c r="AH256" t="s">
        <v>90</v>
      </c>
      <c r="AI256">
        <v>24</v>
      </c>
      <c r="AJ256" t="s">
        <v>110</v>
      </c>
      <c r="AK256">
        <v>19</v>
      </c>
      <c r="AL256">
        <v>12</v>
      </c>
      <c r="AM256">
        <v>117</v>
      </c>
      <c r="AN256">
        <v>18</v>
      </c>
      <c r="AO256">
        <v>7</v>
      </c>
      <c r="AP256" t="s">
        <v>93</v>
      </c>
      <c r="AQ256" t="s">
        <v>89</v>
      </c>
      <c r="AR256" t="s">
        <v>89</v>
      </c>
      <c r="AS256" t="s">
        <v>93</v>
      </c>
      <c r="AT256" t="s">
        <v>89</v>
      </c>
      <c r="AU256" t="s">
        <v>89</v>
      </c>
      <c r="AV256" t="s">
        <v>89</v>
      </c>
      <c r="AW256">
        <v>14</v>
      </c>
      <c r="AX256">
        <v>22</v>
      </c>
      <c r="AY256" t="s">
        <v>111</v>
      </c>
      <c r="AZ256">
        <v>2</v>
      </c>
      <c r="BA256">
        <v>6</v>
      </c>
      <c r="BB256">
        <v>182</v>
      </c>
      <c r="BC256">
        <v>0</v>
      </c>
      <c r="BD256">
        <v>452</v>
      </c>
      <c r="BE256">
        <v>37235</v>
      </c>
      <c r="BF256">
        <v>7</v>
      </c>
      <c r="BG256" t="s">
        <v>89</v>
      </c>
      <c r="BH256">
        <v>458</v>
      </c>
      <c r="BI256">
        <v>37417</v>
      </c>
      <c r="BJ256">
        <v>7</v>
      </c>
      <c r="BK256">
        <f t="shared" si="29"/>
        <v>458</v>
      </c>
      <c r="BL256">
        <f t="shared" si="30"/>
        <v>37417</v>
      </c>
      <c r="BM256">
        <f t="shared" si="31"/>
        <v>7</v>
      </c>
      <c r="BN256">
        <f t="shared" si="32"/>
        <v>0</v>
      </c>
      <c r="BO256">
        <f t="shared" si="33"/>
        <v>0</v>
      </c>
      <c r="BP256">
        <f t="shared" si="34"/>
        <v>0</v>
      </c>
      <c r="BQ256" t="s">
        <v>136</v>
      </c>
      <c r="BR256" t="s">
        <v>140</v>
      </c>
      <c r="BS256" s="1">
        <v>32260</v>
      </c>
      <c r="BT256">
        <v>37</v>
      </c>
      <c r="BU256" t="s">
        <v>89</v>
      </c>
      <c r="BV256" t="s">
        <v>89</v>
      </c>
      <c r="BW256">
        <v>18</v>
      </c>
      <c r="BX256">
        <v>1988</v>
      </c>
      <c r="BY256">
        <v>18</v>
      </c>
      <c r="BZ256">
        <f t="shared" si="35"/>
        <v>-4</v>
      </c>
      <c r="CA256">
        <f t="shared" si="36"/>
        <v>0</v>
      </c>
      <c r="CB256" t="b">
        <f t="shared" si="37"/>
        <v>0</v>
      </c>
    </row>
    <row r="257" spans="1:80" x14ac:dyDescent="0.3">
      <c r="A257" t="s">
        <v>2494</v>
      </c>
      <c r="B257" t="s">
        <v>1618</v>
      </c>
      <c r="C257" t="s">
        <v>2495</v>
      </c>
      <c r="D257">
        <v>41</v>
      </c>
      <c r="E257">
        <v>30782</v>
      </c>
      <c r="F257" t="s">
        <v>89</v>
      </c>
      <c r="G257" t="s">
        <v>176</v>
      </c>
      <c r="H257" t="s">
        <v>2496</v>
      </c>
      <c r="I257" t="s">
        <v>227</v>
      </c>
      <c r="J257" t="s">
        <v>78</v>
      </c>
      <c r="K257" t="s">
        <v>89</v>
      </c>
      <c r="L257" t="s">
        <v>117</v>
      </c>
      <c r="M257">
        <v>21</v>
      </c>
      <c r="N257" t="s">
        <v>1549</v>
      </c>
      <c r="O257">
        <v>2005</v>
      </c>
      <c r="P257" t="s">
        <v>2497</v>
      </c>
      <c r="Q257" t="s">
        <v>2498</v>
      </c>
      <c r="R257">
        <v>31050</v>
      </c>
      <c r="S257" t="s">
        <v>2494</v>
      </c>
      <c r="T257">
        <v>30959</v>
      </c>
      <c r="U257">
        <v>1984</v>
      </c>
      <c r="V257" t="s">
        <v>588</v>
      </c>
      <c r="W257">
        <v>1.84</v>
      </c>
      <c r="X257" t="s">
        <v>2499</v>
      </c>
      <c r="Y257" t="s">
        <v>235</v>
      </c>
      <c r="Z257" t="s">
        <v>87</v>
      </c>
      <c r="AA257" t="s">
        <v>2500</v>
      </c>
      <c r="AB257">
        <v>43472</v>
      </c>
      <c r="AC257" t="s">
        <v>108</v>
      </c>
      <c r="AD257" t="s">
        <v>89</v>
      </c>
      <c r="AE257" t="s">
        <v>2501</v>
      </c>
      <c r="AF257">
        <v>21</v>
      </c>
      <c r="AG257" t="s">
        <v>206</v>
      </c>
      <c r="AH257">
        <v>37660</v>
      </c>
      <c r="AI257">
        <v>19</v>
      </c>
      <c r="AJ257" t="s">
        <v>1044</v>
      </c>
      <c r="AK257">
        <v>19</v>
      </c>
      <c r="AL257">
        <v>8</v>
      </c>
      <c r="AM257">
        <v>372</v>
      </c>
      <c r="AN257">
        <v>63</v>
      </c>
      <c r="AO257">
        <v>4</v>
      </c>
      <c r="AP257" t="s">
        <v>93</v>
      </c>
      <c r="AQ257" t="s">
        <v>89</v>
      </c>
      <c r="AR257" t="s">
        <v>89</v>
      </c>
      <c r="AS257" t="s">
        <v>111</v>
      </c>
      <c r="AT257">
        <v>43472</v>
      </c>
      <c r="AU257">
        <v>2019</v>
      </c>
      <c r="AV257">
        <v>14</v>
      </c>
      <c r="AW257">
        <v>14</v>
      </c>
      <c r="AX257" t="s">
        <v>89</v>
      </c>
      <c r="AY257" t="s">
        <v>111</v>
      </c>
      <c r="AZ257">
        <v>2</v>
      </c>
      <c r="BA257">
        <v>3</v>
      </c>
      <c r="BB257">
        <v>270</v>
      </c>
      <c r="BC257">
        <v>0</v>
      </c>
      <c r="BD257">
        <v>327</v>
      </c>
      <c r="BE257">
        <v>25655</v>
      </c>
      <c r="BF257">
        <v>19</v>
      </c>
      <c r="BG257">
        <v>35</v>
      </c>
      <c r="BH257">
        <v>330</v>
      </c>
      <c r="BI257">
        <v>25925</v>
      </c>
      <c r="BJ257">
        <v>19</v>
      </c>
      <c r="BK257">
        <f t="shared" si="29"/>
        <v>330</v>
      </c>
      <c r="BL257">
        <f t="shared" si="30"/>
        <v>25925</v>
      </c>
      <c r="BM257">
        <f t="shared" si="31"/>
        <v>19</v>
      </c>
      <c r="BN257">
        <f t="shared" si="32"/>
        <v>0</v>
      </c>
      <c r="BO257">
        <f t="shared" si="33"/>
        <v>0</v>
      </c>
      <c r="BP257">
        <f t="shared" si="34"/>
        <v>0</v>
      </c>
      <c r="BQ257" t="s">
        <v>235</v>
      </c>
      <c r="BR257" t="s">
        <v>140</v>
      </c>
      <c r="BS257" t="s">
        <v>89</v>
      </c>
      <c r="BT257">
        <v>42</v>
      </c>
      <c r="BU257">
        <v>43472</v>
      </c>
      <c r="BV257" t="s">
        <v>89</v>
      </c>
      <c r="BW257">
        <v>16</v>
      </c>
      <c r="BX257">
        <v>1984</v>
      </c>
      <c r="BY257">
        <v>16</v>
      </c>
      <c r="BZ257">
        <f t="shared" si="35"/>
        <v>-2</v>
      </c>
      <c r="CA257">
        <f t="shared" si="36"/>
        <v>0</v>
      </c>
      <c r="CB257" t="b">
        <f t="shared" si="37"/>
        <v>0</v>
      </c>
    </row>
    <row r="258" spans="1:80" x14ac:dyDescent="0.3">
      <c r="A258" t="s">
        <v>2502</v>
      </c>
      <c r="B258" t="s">
        <v>776</v>
      </c>
      <c r="C258" t="s">
        <v>2503</v>
      </c>
      <c r="D258">
        <v>42</v>
      </c>
      <c r="E258" s="1">
        <v>30442</v>
      </c>
      <c r="F258" t="s">
        <v>89</v>
      </c>
      <c r="G258" t="s">
        <v>518</v>
      </c>
      <c r="H258" t="s">
        <v>778</v>
      </c>
      <c r="I258" t="s">
        <v>2504</v>
      </c>
      <c r="J258" t="s">
        <v>78</v>
      </c>
      <c r="K258" t="s">
        <v>89</v>
      </c>
      <c r="L258" t="s">
        <v>845</v>
      </c>
      <c r="M258">
        <v>19</v>
      </c>
      <c r="N258" t="s">
        <v>304</v>
      </c>
      <c r="O258">
        <v>2002</v>
      </c>
      <c r="P258" t="s">
        <v>2505</v>
      </c>
      <c r="Q258" t="s">
        <v>2506</v>
      </c>
      <c r="R258">
        <v>15951</v>
      </c>
      <c r="S258" t="s">
        <v>2502</v>
      </c>
      <c r="T258">
        <v>30472</v>
      </c>
      <c r="U258">
        <v>1983</v>
      </c>
      <c r="V258" t="s">
        <v>2507</v>
      </c>
      <c r="W258">
        <v>1.72</v>
      </c>
      <c r="X258" t="s">
        <v>783</v>
      </c>
      <c r="Y258" t="s">
        <v>136</v>
      </c>
      <c r="Z258" t="s">
        <v>87</v>
      </c>
      <c r="AA258" t="s">
        <v>2508</v>
      </c>
      <c r="AB258" t="s">
        <v>2509</v>
      </c>
      <c r="AC258" t="s">
        <v>108</v>
      </c>
      <c r="AD258" t="s">
        <v>442</v>
      </c>
      <c r="AE258" s="1">
        <v>36989</v>
      </c>
      <c r="AF258">
        <v>18</v>
      </c>
      <c r="AG258" t="s">
        <v>786</v>
      </c>
      <c r="AH258" t="s">
        <v>92</v>
      </c>
      <c r="AI258" t="s">
        <v>89</v>
      </c>
      <c r="AJ258" t="s">
        <v>92</v>
      </c>
      <c r="AK258">
        <v>18</v>
      </c>
      <c r="AL258">
        <v>16</v>
      </c>
      <c r="AM258">
        <v>501</v>
      </c>
      <c r="AN258">
        <v>91</v>
      </c>
      <c r="AO258">
        <v>9</v>
      </c>
      <c r="AP258" t="s">
        <v>93</v>
      </c>
      <c r="AQ258" t="s">
        <v>89</v>
      </c>
      <c r="AR258" t="s">
        <v>89</v>
      </c>
      <c r="AS258" t="s">
        <v>111</v>
      </c>
      <c r="AT258" t="s">
        <v>2509</v>
      </c>
      <c r="AU258">
        <v>2023</v>
      </c>
      <c r="AV258">
        <v>21</v>
      </c>
      <c r="AW258">
        <v>21</v>
      </c>
      <c r="AX258" t="s">
        <v>89</v>
      </c>
      <c r="AY258" t="s">
        <v>111</v>
      </c>
      <c r="AZ258">
        <v>13</v>
      </c>
      <c r="BA258">
        <v>54</v>
      </c>
      <c r="BB258">
        <v>4276</v>
      </c>
      <c r="BC258">
        <v>3</v>
      </c>
      <c r="BD258">
        <v>763</v>
      </c>
      <c r="BE258">
        <v>63007</v>
      </c>
      <c r="BF258">
        <v>55</v>
      </c>
      <c r="BG258">
        <v>40</v>
      </c>
      <c r="BH258">
        <v>817</v>
      </c>
      <c r="BI258">
        <v>67283</v>
      </c>
      <c r="BJ258">
        <v>58</v>
      </c>
      <c r="BK258">
        <f t="shared" si="29"/>
        <v>817</v>
      </c>
      <c r="BL258">
        <f t="shared" si="30"/>
        <v>67283</v>
      </c>
      <c r="BM258">
        <f t="shared" si="31"/>
        <v>58</v>
      </c>
      <c r="BN258">
        <f t="shared" si="32"/>
        <v>0</v>
      </c>
      <c r="BO258">
        <f t="shared" si="33"/>
        <v>0</v>
      </c>
      <c r="BP258">
        <f t="shared" si="34"/>
        <v>0</v>
      </c>
      <c r="BQ258" t="s">
        <v>136</v>
      </c>
      <c r="BR258" t="s">
        <v>140</v>
      </c>
      <c r="BS258" t="s">
        <v>89</v>
      </c>
      <c r="BT258">
        <v>43</v>
      </c>
      <c r="BU258" t="s">
        <v>2509</v>
      </c>
      <c r="BV258" s="1">
        <v>44947</v>
      </c>
      <c r="BW258">
        <v>22</v>
      </c>
      <c r="BX258">
        <v>1983</v>
      </c>
      <c r="BY258">
        <v>22</v>
      </c>
      <c r="BZ258">
        <f t="shared" si="35"/>
        <v>-1</v>
      </c>
      <c r="CA258">
        <f t="shared" si="36"/>
        <v>0</v>
      </c>
      <c r="CB258" t="b">
        <f t="shared" si="37"/>
        <v>0</v>
      </c>
    </row>
    <row r="259" spans="1:80" x14ac:dyDescent="0.3">
      <c r="A259" t="s">
        <v>2510</v>
      </c>
      <c r="B259" t="s">
        <v>71</v>
      </c>
      <c r="C259" t="s">
        <v>2511</v>
      </c>
      <c r="D259">
        <v>35</v>
      </c>
      <c r="E259" t="s">
        <v>2512</v>
      </c>
      <c r="F259" t="s">
        <v>873</v>
      </c>
      <c r="G259" t="s">
        <v>211</v>
      </c>
      <c r="H259" t="s">
        <v>76</v>
      </c>
      <c r="I259" t="s">
        <v>865</v>
      </c>
      <c r="J259" t="s">
        <v>300</v>
      </c>
      <c r="K259" t="s">
        <v>2513</v>
      </c>
      <c r="L259" t="s">
        <v>180</v>
      </c>
      <c r="M259">
        <v>17</v>
      </c>
      <c r="N259" t="s">
        <v>2514</v>
      </c>
      <c r="O259">
        <v>2007</v>
      </c>
      <c r="P259" t="s">
        <v>2515</v>
      </c>
      <c r="Q259" t="s">
        <v>2516</v>
      </c>
      <c r="R259">
        <v>59335</v>
      </c>
      <c r="S259" t="s">
        <v>2510</v>
      </c>
      <c r="T259" t="s">
        <v>2517</v>
      </c>
      <c r="U259">
        <v>1990</v>
      </c>
      <c r="V259" t="s">
        <v>2518</v>
      </c>
      <c r="W259">
        <v>1.78</v>
      </c>
      <c r="X259" t="s">
        <v>2519</v>
      </c>
      <c r="Y259" t="s">
        <v>369</v>
      </c>
      <c r="Z259" t="s">
        <v>152</v>
      </c>
      <c r="AA259" t="s">
        <v>1386</v>
      </c>
      <c r="AB259" t="s">
        <v>1271</v>
      </c>
      <c r="AC259" t="s">
        <v>170</v>
      </c>
      <c r="AD259" t="s">
        <v>89</v>
      </c>
      <c r="AE259" t="s">
        <v>2146</v>
      </c>
      <c r="AF259">
        <v>17</v>
      </c>
      <c r="AG259" t="s">
        <v>91</v>
      </c>
      <c r="AH259" t="s">
        <v>2520</v>
      </c>
      <c r="AI259">
        <v>16</v>
      </c>
      <c r="AJ259" t="s">
        <v>110</v>
      </c>
      <c r="AK259">
        <v>16</v>
      </c>
      <c r="AL259">
        <v>9</v>
      </c>
      <c r="AM259">
        <v>325</v>
      </c>
      <c r="AN259">
        <v>61</v>
      </c>
      <c r="AO259">
        <v>4</v>
      </c>
      <c r="AP259" t="s">
        <v>93</v>
      </c>
      <c r="AQ259" t="s">
        <v>89</v>
      </c>
      <c r="AR259" t="s">
        <v>89</v>
      </c>
      <c r="AS259" t="s">
        <v>93</v>
      </c>
      <c r="AT259" t="s">
        <v>89</v>
      </c>
      <c r="AU259" t="s">
        <v>89</v>
      </c>
      <c r="AV259" t="s">
        <v>89</v>
      </c>
      <c r="AW259">
        <v>18</v>
      </c>
      <c r="AX259">
        <v>11</v>
      </c>
      <c r="AY259" t="s">
        <v>93</v>
      </c>
      <c r="AZ259">
        <v>0</v>
      </c>
      <c r="BA259">
        <v>0</v>
      </c>
      <c r="BB259">
        <v>0</v>
      </c>
      <c r="BC259">
        <v>0</v>
      </c>
      <c r="BD259">
        <v>94</v>
      </c>
      <c r="BE259">
        <v>4490</v>
      </c>
      <c r="BF259">
        <v>8</v>
      </c>
      <c r="BG259" t="s">
        <v>89</v>
      </c>
      <c r="BH259">
        <v>94</v>
      </c>
      <c r="BI259">
        <v>4490</v>
      </c>
      <c r="BJ259">
        <v>8</v>
      </c>
      <c r="BK259">
        <f t="shared" ref="BK259:BK322" si="38">+BA259+BD259</f>
        <v>94</v>
      </c>
      <c r="BL259">
        <f t="shared" ref="BL259:BL322" si="39">+BB259+BE259</f>
        <v>4490</v>
      </c>
      <c r="BM259">
        <f t="shared" ref="BM259:BM322" si="40">+BC259+BF259</f>
        <v>8</v>
      </c>
      <c r="BN259">
        <f t="shared" ref="BN259:BN322" si="41">+BK259-BH259</f>
        <v>0</v>
      </c>
      <c r="BO259">
        <f t="shared" ref="BO259:BO322" si="42">+BL259-BI259</f>
        <v>0</v>
      </c>
      <c r="BP259">
        <f t="shared" ref="BP259:BP322" si="43">+BM259-BJ259</f>
        <v>0</v>
      </c>
      <c r="BQ259" t="s">
        <v>369</v>
      </c>
      <c r="BR259" t="s">
        <v>112</v>
      </c>
      <c r="BS259" s="1">
        <v>33081</v>
      </c>
      <c r="BT259">
        <v>35</v>
      </c>
      <c r="BU259" t="s">
        <v>89</v>
      </c>
      <c r="BV259" t="s">
        <v>89</v>
      </c>
      <c r="BW259">
        <v>19</v>
      </c>
      <c r="BX259">
        <v>1990</v>
      </c>
      <c r="BY259">
        <v>19</v>
      </c>
      <c r="BZ259">
        <f t="shared" ref="BZ259:BZ322" si="44">+AW259-BW259</f>
        <v>-1</v>
      </c>
      <c r="CA259">
        <f t="shared" ref="CA259:CA322" si="45">+BW259-BY259</f>
        <v>0</v>
      </c>
      <c r="CB259" t="b">
        <f t="shared" ref="CB259:CB322" si="46">+BW259=AW259</f>
        <v>0</v>
      </c>
    </row>
    <row r="260" spans="1:80" x14ac:dyDescent="0.3">
      <c r="A260" t="s">
        <v>2521</v>
      </c>
      <c r="B260" t="s">
        <v>71</v>
      </c>
      <c r="C260" t="s">
        <v>2522</v>
      </c>
      <c r="D260">
        <v>38</v>
      </c>
      <c r="E260" s="1">
        <v>31874</v>
      </c>
      <c r="F260" t="s">
        <v>89</v>
      </c>
      <c r="G260" t="s">
        <v>97</v>
      </c>
      <c r="H260" t="s">
        <v>89</v>
      </c>
      <c r="I260" t="s">
        <v>2523</v>
      </c>
      <c r="J260" t="s">
        <v>300</v>
      </c>
      <c r="K260" t="s">
        <v>89</v>
      </c>
      <c r="L260" t="s">
        <v>130</v>
      </c>
      <c r="M260">
        <v>21</v>
      </c>
      <c r="N260" t="s">
        <v>402</v>
      </c>
      <c r="O260">
        <v>2008</v>
      </c>
      <c r="P260" t="s">
        <v>2524</v>
      </c>
      <c r="Q260" t="s">
        <v>2525</v>
      </c>
      <c r="R260">
        <v>63695</v>
      </c>
      <c r="S260" t="s">
        <v>2521</v>
      </c>
      <c r="T260">
        <v>31962</v>
      </c>
      <c r="U260">
        <v>1987</v>
      </c>
      <c r="V260" t="s">
        <v>2526</v>
      </c>
      <c r="W260">
        <v>1.82</v>
      </c>
      <c r="X260" t="s">
        <v>76</v>
      </c>
      <c r="Y260" t="s">
        <v>391</v>
      </c>
      <c r="Z260" t="s">
        <v>152</v>
      </c>
      <c r="AA260" t="s">
        <v>476</v>
      </c>
      <c r="AB260" s="1">
        <v>45664</v>
      </c>
      <c r="AC260" t="s">
        <v>108</v>
      </c>
      <c r="AD260" t="s">
        <v>89</v>
      </c>
      <c r="AE260" t="s">
        <v>306</v>
      </c>
      <c r="AF260">
        <v>24</v>
      </c>
      <c r="AG260" t="s">
        <v>91</v>
      </c>
      <c r="AH260" t="s">
        <v>719</v>
      </c>
      <c r="AI260">
        <v>21</v>
      </c>
      <c r="AJ260" t="s">
        <v>110</v>
      </c>
      <c r="AK260">
        <v>21</v>
      </c>
      <c r="AL260">
        <v>4</v>
      </c>
      <c r="AM260">
        <v>171</v>
      </c>
      <c r="AN260">
        <v>22</v>
      </c>
      <c r="AO260">
        <v>3</v>
      </c>
      <c r="AP260" t="s">
        <v>93</v>
      </c>
      <c r="AQ260" t="s">
        <v>89</v>
      </c>
      <c r="AR260" t="s">
        <v>89</v>
      </c>
      <c r="AS260" t="s">
        <v>93</v>
      </c>
      <c r="AT260" t="s">
        <v>89</v>
      </c>
      <c r="AU260" t="s">
        <v>89</v>
      </c>
      <c r="AV260" t="s">
        <v>89</v>
      </c>
      <c r="AW260">
        <v>17</v>
      </c>
      <c r="AX260" t="s">
        <v>89</v>
      </c>
      <c r="AY260" t="s">
        <v>93</v>
      </c>
      <c r="AZ260">
        <v>0</v>
      </c>
      <c r="BA260">
        <v>0</v>
      </c>
      <c r="BB260">
        <v>0</v>
      </c>
      <c r="BC260">
        <v>0</v>
      </c>
      <c r="BD260">
        <v>113</v>
      </c>
      <c r="BE260">
        <v>7935</v>
      </c>
      <c r="BF260">
        <v>13</v>
      </c>
      <c r="BG260" t="s">
        <v>89</v>
      </c>
      <c r="BH260">
        <v>113</v>
      </c>
      <c r="BI260">
        <v>7935</v>
      </c>
      <c r="BJ260">
        <v>13</v>
      </c>
      <c r="BK260">
        <f t="shared" si="38"/>
        <v>113</v>
      </c>
      <c r="BL260">
        <f t="shared" si="39"/>
        <v>7935</v>
      </c>
      <c r="BM260">
        <f t="shared" si="40"/>
        <v>13</v>
      </c>
      <c r="BN260">
        <f t="shared" si="41"/>
        <v>0</v>
      </c>
      <c r="BO260">
        <f t="shared" si="42"/>
        <v>0</v>
      </c>
      <c r="BP260">
        <f t="shared" si="43"/>
        <v>0</v>
      </c>
      <c r="BQ260" t="s">
        <v>391</v>
      </c>
      <c r="BR260" t="s">
        <v>112</v>
      </c>
      <c r="BS260" t="s">
        <v>89</v>
      </c>
      <c r="BT260">
        <v>39</v>
      </c>
      <c r="BU260" t="s">
        <v>89</v>
      </c>
      <c r="BV260" t="s">
        <v>89</v>
      </c>
      <c r="BW260">
        <v>18</v>
      </c>
      <c r="BX260">
        <v>1987</v>
      </c>
      <c r="BY260">
        <v>17</v>
      </c>
      <c r="BZ260">
        <f t="shared" si="44"/>
        <v>-1</v>
      </c>
      <c r="CA260">
        <f t="shared" si="45"/>
        <v>1</v>
      </c>
      <c r="CB260" t="b">
        <f t="shared" si="46"/>
        <v>0</v>
      </c>
    </row>
    <row r="261" spans="1:80" x14ac:dyDescent="0.3">
      <c r="A261" t="s">
        <v>2527</v>
      </c>
      <c r="B261" t="s">
        <v>71</v>
      </c>
      <c r="C261" t="s">
        <v>2528</v>
      </c>
      <c r="D261">
        <v>33</v>
      </c>
      <c r="E261" t="s">
        <v>2529</v>
      </c>
      <c r="F261" t="s">
        <v>2530</v>
      </c>
      <c r="G261" t="s">
        <v>687</v>
      </c>
      <c r="H261" t="s">
        <v>76</v>
      </c>
      <c r="I261" t="s">
        <v>348</v>
      </c>
      <c r="J261" t="s">
        <v>78</v>
      </c>
      <c r="K261" t="s">
        <v>268</v>
      </c>
      <c r="L261" t="s">
        <v>80</v>
      </c>
      <c r="M261">
        <v>20</v>
      </c>
      <c r="N261" t="s">
        <v>1302</v>
      </c>
      <c r="O261">
        <v>2012</v>
      </c>
      <c r="P261" t="s">
        <v>2531</v>
      </c>
      <c r="Q261" t="s">
        <v>2532</v>
      </c>
      <c r="R261">
        <v>138927</v>
      </c>
      <c r="S261" t="s">
        <v>2533</v>
      </c>
      <c r="T261">
        <v>33909</v>
      </c>
      <c r="U261">
        <v>1992</v>
      </c>
      <c r="V261" t="s">
        <v>2077</v>
      </c>
      <c r="W261">
        <v>1.73</v>
      </c>
      <c r="X261" t="s">
        <v>76</v>
      </c>
      <c r="Y261" t="s">
        <v>136</v>
      </c>
      <c r="Z261" t="s">
        <v>87</v>
      </c>
      <c r="AA261" t="s">
        <v>268</v>
      </c>
      <c r="AB261" s="1">
        <v>41281</v>
      </c>
      <c r="AC261" t="s">
        <v>170</v>
      </c>
      <c r="AD261" t="s">
        <v>395</v>
      </c>
      <c r="AE261">
        <v>40917</v>
      </c>
      <c r="AF261">
        <v>20</v>
      </c>
      <c r="AG261" t="s">
        <v>2272</v>
      </c>
      <c r="AH261" t="s">
        <v>92</v>
      </c>
      <c r="AI261" t="s">
        <v>89</v>
      </c>
      <c r="AJ261" t="s">
        <v>92</v>
      </c>
      <c r="AK261">
        <v>20</v>
      </c>
      <c r="AL261">
        <v>32</v>
      </c>
      <c r="AM261">
        <v>1181</v>
      </c>
      <c r="AN261">
        <v>239</v>
      </c>
      <c r="AO261">
        <v>13</v>
      </c>
      <c r="AP261" t="s">
        <v>93</v>
      </c>
      <c r="AQ261" t="s">
        <v>89</v>
      </c>
      <c r="AR261" t="s">
        <v>89</v>
      </c>
      <c r="AS261" t="s">
        <v>93</v>
      </c>
      <c r="AT261" t="s">
        <v>89</v>
      </c>
      <c r="AU261" t="s">
        <v>89</v>
      </c>
      <c r="AV261" t="s">
        <v>89</v>
      </c>
      <c r="AW261">
        <v>13</v>
      </c>
      <c r="AX261">
        <v>2</v>
      </c>
      <c r="AY261" t="s">
        <v>111</v>
      </c>
      <c r="AZ261">
        <v>20</v>
      </c>
      <c r="BA261">
        <v>51</v>
      </c>
      <c r="BB261">
        <v>4167</v>
      </c>
      <c r="BC261">
        <v>1</v>
      </c>
      <c r="BD261">
        <v>457</v>
      </c>
      <c r="BE261">
        <v>36309</v>
      </c>
      <c r="BF261">
        <v>15</v>
      </c>
      <c r="BG261" t="s">
        <v>89</v>
      </c>
      <c r="BH261">
        <v>508</v>
      </c>
      <c r="BI261">
        <v>40476</v>
      </c>
      <c r="BJ261">
        <v>16</v>
      </c>
      <c r="BK261">
        <f t="shared" si="38"/>
        <v>508</v>
      </c>
      <c r="BL261">
        <f t="shared" si="39"/>
        <v>40476</v>
      </c>
      <c r="BM261">
        <f t="shared" si="40"/>
        <v>16</v>
      </c>
      <c r="BN261">
        <f t="shared" si="41"/>
        <v>0</v>
      </c>
      <c r="BO261">
        <f t="shared" si="42"/>
        <v>0</v>
      </c>
      <c r="BP261">
        <f t="shared" si="43"/>
        <v>0</v>
      </c>
      <c r="BQ261" t="s">
        <v>136</v>
      </c>
      <c r="BR261" t="s">
        <v>140</v>
      </c>
      <c r="BS261" t="s">
        <v>89</v>
      </c>
      <c r="BT261">
        <v>34</v>
      </c>
      <c r="BU261" t="s">
        <v>89</v>
      </c>
      <c r="BV261" t="s">
        <v>89</v>
      </c>
      <c r="BW261">
        <v>14</v>
      </c>
      <c r="BX261">
        <v>1992</v>
      </c>
      <c r="BY261">
        <v>13</v>
      </c>
      <c r="BZ261">
        <f t="shared" si="44"/>
        <v>-1</v>
      </c>
      <c r="CA261">
        <f t="shared" si="45"/>
        <v>1</v>
      </c>
      <c r="CB261" t="b">
        <f t="shared" si="46"/>
        <v>0</v>
      </c>
    </row>
    <row r="262" spans="1:80" x14ac:dyDescent="0.3">
      <c r="A262" t="s">
        <v>2534</v>
      </c>
      <c r="B262" t="s">
        <v>71</v>
      </c>
      <c r="C262" t="s">
        <v>2535</v>
      </c>
      <c r="D262">
        <v>28</v>
      </c>
      <c r="E262" t="s">
        <v>2536</v>
      </c>
      <c r="F262" t="s">
        <v>384</v>
      </c>
      <c r="G262" t="s">
        <v>298</v>
      </c>
      <c r="H262" t="s">
        <v>76</v>
      </c>
      <c r="I262" t="s">
        <v>2537</v>
      </c>
      <c r="J262" t="s">
        <v>78</v>
      </c>
      <c r="K262" t="s">
        <v>268</v>
      </c>
      <c r="L262" t="s">
        <v>324</v>
      </c>
      <c r="M262">
        <v>16</v>
      </c>
      <c r="N262" t="s">
        <v>301</v>
      </c>
      <c r="O262">
        <v>2013</v>
      </c>
      <c r="P262" t="s">
        <v>2538</v>
      </c>
      <c r="Q262" t="s">
        <v>2539</v>
      </c>
      <c r="R262">
        <v>319745</v>
      </c>
      <c r="S262" t="s">
        <v>2534</v>
      </c>
      <c r="T262">
        <v>35254</v>
      </c>
      <c r="U262">
        <v>1996</v>
      </c>
      <c r="V262" t="s">
        <v>390</v>
      </c>
      <c r="W262">
        <v>1.79</v>
      </c>
      <c r="X262" t="s">
        <v>76</v>
      </c>
      <c r="Y262" t="s">
        <v>86</v>
      </c>
      <c r="Z262" t="s">
        <v>87</v>
      </c>
      <c r="AA262" t="s">
        <v>268</v>
      </c>
      <c r="AB262" t="s">
        <v>2540</v>
      </c>
      <c r="AC262" t="s">
        <v>88</v>
      </c>
      <c r="AD262" t="s">
        <v>223</v>
      </c>
      <c r="AE262" t="s">
        <v>2541</v>
      </c>
      <c r="AF262">
        <v>17</v>
      </c>
      <c r="AG262" t="s">
        <v>91</v>
      </c>
      <c r="AH262" t="s">
        <v>2542</v>
      </c>
      <c r="AI262">
        <v>18</v>
      </c>
      <c r="AJ262" t="s">
        <v>110</v>
      </c>
      <c r="AK262">
        <v>17</v>
      </c>
      <c r="AL262">
        <v>13</v>
      </c>
      <c r="AM262">
        <v>440</v>
      </c>
      <c r="AN262">
        <v>80</v>
      </c>
      <c r="AO262">
        <v>8</v>
      </c>
      <c r="AP262" t="s">
        <v>93</v>
      </c>
      <c r="AQ262" t="s">
        <v>89</v>
      </c>
      <c r="AR262" t="s">
        <v>89</v>
      </c>
      <c r="AS262" t="s">
        <v>93</v>
      </c>
      <c r="AT262" t="s">
        <v>89</v>
      </c>
      <c r="AU262" t="s">
        <v>89</v>
      </c>
      <c r="AV262" t="s">
        <v>89</v>
      </c>
      <c r="AW262">
        <v>12</v>
      </c>
      <c r="AX262">
        <v>19</v>
      </c>
      <c r="AY262" t="s">
        <v>111</v>
      </c>
      <c r="AZ262">
        <v>6</v>
      </c>
      <c r="BA262">
        <v>13</v>
      </c>
      <c r="BB262">
        <v>870</v>
      </c>
      <c r="BC262">
        <v>1</v>
      </c>
      <c r="BD262">
        <v>380</v>
      </c>
      <c r="BE262">
        <v>20215</v>
      </c>
      <c r="BF262">
        <v>16</v>
      </c>
      <c r="BG262" t="s">
        <v>89</v>
      </c>
      <c r="BH262">
        <v>393</v>
      </c>
      <c r="BI262">
        <v>21085</v>
      </c>
      <c r="BJ262">
        <v>17</v>
      </c>
      <c r="BK262">
        <f t="shared" si="38"/>
        <v>393</v>
      </c>
      <c r="BL262">
        <f t="shared" si="39"/>
        <v>21085</v>
      </c>
      <c r="BM262">
        <f t="shared" si="40"/>
        <v>17</v>
      </c>
      <c r="BN262">
        <f t="shared" si="41"/>
        <v>0</v>
      </c>
      <c r="BO262">
        <f t="shared" si="42"/>
        <v>0</v>
      </c>
      <c r="BP262">
        <f t="shared" si="43"/>
        <v>0</v>
      </c>
      <c r="BQ262" t="s">
        <v>86</v>
      </c>
      <c r="BR262" t="s">
        <v>94</v>
      </c>
      <c r="BS262" t="s">
        <v>89</v>
      </c>
      <c r="BT262">
        <v>30</v>
      </c>
      <c r="BU262" t="s">
        <v>89</v>
      </c>
      <c r="BV262" t="s">
        <v>89</v>
      </c>
      <c r="BW262">
        <v>13</v>
      </c>
      <c r="BX262">
        <v>1996</v>
      </c>
      <c r="BY262">
        <v>11</v>
      </c>
      <c r="BZ262">
        <f t="shared" si="44"/>
        <v>-1</v>
      </c>
      <c r="CA262">
        <f t="shared" si="45"/>
        <v>2</v>
      </c>
      <c r="CB262" t="b">
        <f t="shared" si="46"/>
        <v>0</v>
      </c>
    </row>
    <row r="263" spans="1:80" x14ac:dyDescent="0.3">
      <c r="A263" t="s">
        <v>2543</v>
      </c>
      <c r="B263" t="s">
        <v>71</v>
      </c>
      <c r="C263" t="s">
        <v>2544</v>
      </c>
      <c r="D263">
        <v>38</v>
      </c>
      <c r="E263" s="1">
        <v>31780</v>
      </c>
      <c r="F263" t="s">
        <v>89</v>
      </c>
      <c r="G263" t="s">
        <v>75</v>
      </c>
      <c r="H263" t="s">
        <v>89</v>
      </c>
      <c r="I263" t="s">
        <v>1190</v>
      </c>
      <c r="J263" t="s">
        <v>78</v>
      </c>
      <c r="K263" t="s">
        <v>89</v>
      </c>
      <c r="L263" t="s">
        <v>163</v>
      </c>
      <c r="M263">
        <v>19</v>
      </c>
      <c r="N263" t="s">
        <v>1365</v>
      </c>
      <c r="O263">
        <v>2006</v>
      </c>
      <c r="P263" t="s">
        <v>2545</v>
      </c>
      <c r="Q263" t="s">
        <v>2546</v>
      </c>
      <c r="R263">
        <v>47648</v>
      </c>
      <c r="S263" t="s">
        <v>2543</v>
      </c>
      <c r="T263" s="1">
        <v>31837</v>
      </c>
      <c r="U263">
        <v>1987</v>
      </c>
      <c r="V263" t="s">
        <v>2547</v>
      </c>
      <c r="W263">
        <v>1.79</v>
      </c>
      <c r="X263" t="s">
        <v>76</v>
      </c>
      <c r="Y263" t="s">
        <v>136</v>
      </c>
      <c r="Z263" t="s">
        <v>87</v>
      </c>
      <c r="AA263" t="s">
        <v>476</v>
      </c>
      <c r="AB263" s="1">
        <v>44203</v>
      </c>
      <c r="AC263" t="s">
        <v>108</v>
      </c>
      <c r="AD263" t="s">
        <v>89</v>
      </c>
      <c r="AE263">
        <v>39357</v>
      </c>
      <c r="AF263">
        <v>20</v>
      </c>
      <c r="AG263" t="s">
        <v>91</v>
      </c>
      <c r="AH263" t="s">
        <v>449</v>
      </c>
      <c r="AI263">
        <v>20</v>
      </c>
      <c r="AJ263" t="s">
        <v>110</v>
      </c>
      <c r="AK263">
        <v>20</v>
      </c>
      <c r="AL263">
        <v>2</v>
      </c>
      <c r="AM263">
        <v>116</v>
      </c>
      <c r="AN263">
        <v>20</v>
      </c>
      <c r="AO263">
        <v>2</v>
      </c>
      <c r="AP263" t="s">
        <v>93</v>
      </c>
      <c r="AQ263" t="s">
        <v>89</v>
      </c>
      <c r="AR263" t="s">
        <v>89</v>
      </c>
      <c r="AS263" t="s">
        <v>93</v>
      </c>
      <c r="AT263" t="s">
        <v>89</v>
      </c>
      <c r="AU263" t="s">
        <v>89</v>
      </c>
      <c r="AV263" t="s">
        <v>89</v>
      </c>
      <c r="AW263">
        <v>19</v>
      </c>
      <c r="AX263" t="s">
        <v>89</v>
      </c>
      <c r="AY263" t="s">
        <v>93</v>
      </c>
      <c r="AZ263">
        <v>0</v>
      </c>
      <c r="BA263">
        <v>0</v>
      </c>
      <c r="BB263">
        <v>0</v>
      </c>
      <c r="BC263">
        <v>0</v>
      </c>
      <c r="BD263">
        <v>162</v>
      </c>
      <c r="BE263">
        <v>9923</v>
      </c>
      <c r="BF263">
        <v>4</v>
      </c>
      <c r="BG263" t="s">
        <v>89</v>
      </c>
      <c r="BH263">
        <v>162</v>
      </c>
      <c r="BI263">
        <v>9923</v>
      </c>
      <c r="BJ263">
        <v>4</v>
      </c>
      <c r="BK263">
        <f t="shared" si="38"/>
        <v>162</v>
      </c>
      <c r="BL263">
        <f t="shared" si="39"/>
        <v>9923</v>
      </c>
      <c r="BM263">
        <f t="shared" si="40"/>
        <v>4</v>
      </c>
      <c r="BN263">
        <f t="shared" si="41"/>
        <v>0</v>
      </c>
      <c r="BO263">
        <f t="shared" si="42"/>
        <v>0</v>
      </c>
      <c r="BP263">
        <f t="shared" si="43"/>
        <v>0</v>
      </c>
      <c r="BQ263" t="s">
        <v>136</v>
      </c>
      <c r="BR263" t="s">
        <v>140</v>
      </c>
      <c r="BS263" s="1">
        <v>31780</v>
      </c>
      <c r="BT263">
        <v>39</v>
      </c>
      <c r="BU263" t="s">
        <v>89</v>
      </c>
      <c r="BV263" t="s">
        <v>89</v>
      </c>
      <c r="BW263">
        <v>19</v>
      </c>
      <c r="BX263">
        <v>1987</v>
      </c>
      <c r="BY263">
        <v>18</v>
      </c>
      <c r="BZ263">
        <f t="shared" si="44"/>
        <v>0</v>
      </c>
      <c r="CA263">
        <f t="shared" si="45"/>
        <v>1</v>
      </c>
      <c r="CB263" t="b">
        <f t="shared" si="46"/>
        <v>1</v>
      </c>
    </row>
    <row r="264" spans="1:80" x14ac:dyDescent="0.3">
      <c r="A264" t="s">
        <v>2548</v>
      </c>
      <c r="B264" t="s">
        <v>71</v>
      </c>
      <c r="C264" t="s">
        <v>2549</v>
      </c>
      <c r="D264">
        <v>44</v>
      </c>
      <c r="E264">
        <v>29450</v>
      </c>
      <c r="F264" t="s">
        <v>89</v>
      </c>
      <c r="G264" t="s">
        <v>115</v>
      </c>
      <c r="H264" t="s">
        <v>76</v>
      </c>
      <c r="I264" t="s">
        <v>437</v>
      </c>
      <c r="J264" t="s">
        <v>89</v>
      </c>
      <c r="K264" t="s">
        <v>89</v>
      </c>
      <c r="L264" t="s">
        <v>2014</v>
      </c>
      <c r="M264">
        <v>18</v>
      </c>
      <c r="N264" t="s">
        <v>164</v>
      </c>
      <c r="O264">
        <v>1999</v>
      </c>
      <c r="P264" t="s">
        <v>2550</v>
      </c>
      <c r="Q264" t="s">
        <v>2551</v>
      </c>
      <c r="R264">
        <v>8186</v>
      </c>
      <c r="S264" t="s">
        <v>2548</v>
      </c>
      <c r="T264" t="s">
        <v>2552</v>
      </c>
      <c r="U264">
        <v>1980</v>
      </c>
      <c r="V264" t="s">
        <v>2553</v>
      </c>
      <c r="W264">
        <v>1.83</v>
      </c>
      <c r="X264" t="s">
        <v>76</v>
      </c>
      <c r="Y264" t="s">
        <v>123</v>
      </c>
      <c r="Z264" t="s">
        <v>87</v>
      </c>
      <c r="AA264" t="s">
        <v>2554</v>
      </c>
      <c r="AB264" t="s">
        <v>2555</v>
      </c>
      <c r="AC264" t="s">
        <v>108</v>
      </c>
      <c r="AD264" t="s">
        <v>89</v>
      </c>
      <c r="AE264">
        <v>36560</v>
      </c>
      <c r="AF264">
        <v>19</v>
      </c>
      <c r="AG264" t="s">
        <v>91</v>
      </c>
      <c r="AH264" t="s">
        <v>2556</v>
      </c>
      <c r="AI264">
        <v>23</v>
      </c>
      <c r="AJ264" t="s">
        <v>110</v>
      </c>
      <c r="AK264">
        <v>19</v>
      </c>
      <c r="AL264">
        <v>2</v>
      </c>
      <c r="AM264">
        <v>104</v>
      </c>
      <c r="AN264">
        <v>14</v>
      </c>
      <c r="AO264">
        <v>2</v>
      </c>
      <c r="AP264" t="s">
        <v>93</v>
      </c>
      <c r="AQ264" t="s">
        <v>89</v>
      </c>
      <c r="AR264" t="s">
        <v>89</v>
      </c>
      <c r="AS264" t="s">
        <v>93</v>
      </c>
      <c r="AT264" t="s">
        <v>89</v>
      </c>
      <c r="AU264" t="s">
        <v>89</v>
      </c>
      <c r="AV264" t="s">
        <v>89</v>
      </c>
      <c r="AW264">
        <v>26</v>
      </c>
      <c r="AX264" t="s">
        <v>89</v>
      </c>
      <c r="AY264" t="s">
        <v>111</v>
      </c>
      <c r="AZ264">
        <v>4</v>
      </c>
      <c r="BA264">
        <v>12</v>
      </c>
      <c r="BB264">
        <v>404</v>
      </c>
      <c r="BC264">
        <v>4</v>
      </c>
      <c r="BD264">
        <v>320</v>
      </c>
      <c r="BE264">
        <v>22376</v>
      </c>
      <c r="BF264">
        <v>120</v>
      </c>
      <c r="BG264" t="s">
        <v>89</v>
      </c>
      <c r="BH264">
        <v>332</v>
      </c>
      <c r="BI264">
        <v>22780</v>
      </c>
      <c r="BJ264">
        <v>124</v>
      </c>
      <c r="BK264">
        <f t="shared" si="38"/>
        <v>332</v>
      </c>
      <c r="BL264">
        <f t="shared" si="39"/>
        <v>22780</v>
      </c>
      <c r="BM264">
        <f t="shared" si="40"/>
        <v>124</v>
      </c>
      <c r="BN264">
        <f t="shared" si="41"/>
        <v>0</v>
      </c>
      <c r="BO264">
        <f t="shared" si="42"/>
        <v>0</v>
      </c>
      <c r="BP264">
        <f t="shared" si="43"/>
        <v>0</v>
      </c>
      <c r="BQ264" t="s">
        <v>123</v>
      </c>
      <c r="BR264" t="s">
        <v>112</v>
      </c>
      <c r="BS264" s="1">
        <v>29450</v>
      </c>
      <c r="BT264">
        <v>45</v>
      </c>
      <c r="BU264" t="s">
        <v>89</v>
      </c>
      <c r="BV264" t="s">
        <v>89</v>
      </c>
      <c r="BW264">
        <v>26</v>
      </c>
      <c r="BX264">
        <v>1980</v>
      </c>
      <c r="BY264">
        <v>25</v>
      </c>
      <c r="BZ264">
        <f t="shared" si="44"/>
        <v>0</v>
      </c>
      <c r="CA264">
        <f t="shared" si="45"/>
        <v>1</v>
      </c>
      <c r="CB264" t="b">
        <f t="shared" si="46"/>
        <v>1</v>
      </c>
    </row>
    <row r="265" spans="1:80" x14ac:dyDescent="0.3">
      <c r="A265" t="s">
        <v>2557</v>
      </c>
      <c r="B265" t="s">
        <v>71</v>
      </c>
      <c r="C265" t="s">
        <v>2558</v>
      </c>
      <c r="D265">
        <v>35</v>
      </c>
      <c r="E265" t="s">
        <v>2559</v>
      </c>
      <c r="F265" t="s">
        <v>2560</v>
      </c>
      <c r="G265" t="s">
        <v>115</v>
      </c>
      <c r="H265" t="s">
        <v>89</v>
      </c>
      <c r="I265" t="s">
        <v>288</v>
      </c>
      <c r="J265" t="s">
        <v>78</v>
      </c>
      <c r="K265" t="s">
        <v>204</v>
      </c>
      <c r="L265" t="s">
        <v>324</v>
      </c>
      <c r="M265">
        <v>23</v>
      </c>
      <c r="N265" t="s">
        <v>1181</v>
      </c>
      <c r="O265">
        <v>2013</v>
      </c>
      <c r="P265" t="s">
        <v>2561</v>
      </c>
      <c r="Q265" t="s">
        <v>2562</v>
      </c>
      <c r="R265">
        <v>178425</v>
      </c>
      <c r="S265" t="s">
        <v>2557</v>
      </c>
      <c r="T265" t="s">
        <v>2563</v>
      </c>
      <c r="U265">
        <v>1990</v>
      </c>
      <c r="V265" t="s">
        <v>2564</v>
      </c>
      <c r="W265">
        <v>1.8</v>
      </c>
      <c r="X265" t="s">
        <v>76</v>
      </c>
      <c r="Y265" t="s">
        <v>259</v>
      </c>
      <c r="Z265" t="s">
        <v>87</v>
      </c>
      <c r="AA265" t="s">
        <v>204</v>
      </c>
      <c r="AB265" s="1">
        <v>45419</v>
      </c>
      <c r="AC265" t="s">
        <v>170</v>
      </c>
      <c r="AD265" t="s">
        <v>442</v>
      </c>
      <c r="AE265" t="s">
        <v>1729</v>
      </c>
      <c r="AF265">
        <v>24</v>
      </c>
      <c r="AG265" t="s">
        <v>91</v>
      </c>
      <c r="AH265" t="s">
        <v>331</v>
      </c>
      <c r="AI265">
        <v>23</v>
      </c>
      <c r="AJ265" t="s">
        <v>110</v>
      </c>
      <c r="AK265">
        <v>23</v>
      </c>
      <c r="AL265">
        <v>11</v>
      </c>
      <c r="AM265">
        <v>289</v>
      </c>
      <c r="AN265">
        <v>34</v>
      </c>
      <c r="AO265">
        <v>6</v>
      </c>
      <c r="AP265" t="s">
        <v>93</v>
      </c>
      <c r="AQ265" t="s">
        <v>89</v>
      </c>
      <c r="AR265" t="s">
        <v>89</v>
      </c>
      <c r="AS265" t="s">
        <v>93</v>
      </c>
      <c r="AT265" t="s">
        <v>89</v>
      </c>
      <c r="AU265" t="s">
        <v>89</v>
      </c>
      <c r="AV265" t="s">
        <v>89</v>
      </c>
      <c r="AW265">
        <v>12</v>
      </c>
      <c r="AX265">
        <v>14</v>
      </c>
      <c r="AY265" t="s">
        <v>93</v>
      </c>
      <c r="AZ265">
        <v>0</v>
      </c>
      <c r="BA265">
        <v>0</v>
      </c>
      <c r="BB265">
        <v>0</v>
      </c>
      <c r="BC265">
        <v>0</v>
      </c>
      <c r="BD265">
        <v>414</v>
      </c>
      <c r="BE265">
        <v>31469</v>
      </c>
      <c r="BF265">
        <v>3</v>
      </c>
      <c r="BG265" t="s">
        <v>89</v>
      </c>
      <c r="BH265">
        <v>414</v>
      </c>
      <c r="BI265">
        <v>31469</v>
      </c>
      <c r="BJ265">
        <v>3</v>
      </c>
      <c r="BK265">
        <f t="shared" si="38"/>
        <v>414</v>
      </c>
      <c r="BL265">
        <f t="shared" si="39"/>
        <v>31469</v>
      </c>
      <c r="BM265">
        <f t="shared" si="40"/>
        <v>3</v>
      </c>
      <c r="BN265">
        <f t="shared" si="41"/>
        <v>0</v>
      </c>
      <c r="BO265">
        <f t="shared" si="42"/>
        <v>0</v>
      </c>
      <c r="BP265">
        <f t="shared" si="43"/>
        <v>0</v>
      </c>
      <c r="BQ265" t="s">
        <v>259</v>
      </c>
      <c r="BR265" t="s">
        <v>94</v>
      </c>
      <c r="BS265" t="s">
        <v>89</v>
      </c>
      <c r="BT265">
        <v>36</v>
      </c>
      <c r="BU265" t="s">
        <v>89</v>
      </c>
      <c r="BV265" t="s">
        <v>89</v>
      </c>
      <c r="BW265">
        <v>13</v>
      </c>
      <c r="BX265">
        <v>1990</v>
      </c>
      <c r="BY265">
        <v>12</v>
      </c>
      <c r="BZ265">
        <f t="shared" si="44"/>
        <v>-1</v>
      </c>
      <c r="CA265">
        <f t="shared" si="45"/>
        <v>1</v>
      </c>
      <c r="CB265" t="b">
        <f t="shared" si="46"/>
        <v>0</v>
      </c>
    </row>
    <row r="266" spans="1:80" x14ac:dyDescent="0.3">
      <c r="A266" t="s">
        <v>2565</v>
      </c>
      <c r="B266" t="s">
        <v>71</v>
      </c>
      <c r="C266" t="s">
        <v>2566</v>
      </c>
      <c r="D266">
        <v>42</v>
      </c>
      <c r="E266" s="1">
        <v>30527</v>
      </c>
      <c r="F266" t="s">
        <v>89</v>
      </c>
      <c r="G266" t="s">
        <v>400</v>
      </c>
      <c r="H266" t="s">
        <v>89</v>
      </c>
      <c r="I266" t="s">
        <v>178</v>
      </c>
      <c r="J266" t="s">
        <v>78</v>
      </c>
      <c r="K266" t="s">
        <v>89</v>
      </c>
      <c r="L266" t="s">
        <v>254</v>
      </c>
      <c r="M266">
        <v>26</v>
      </c>
      <c r="N266" t="s">
        <v>162</v>
      </c>
      <c r="O266">
        <v>2009</v>
      </c>
      <c r="P266" t="s">
        <v>2567</v>
      </c>
      <c r="Q266" t="s">
        <v>2568</v>
      </c>
      <c r="R266">
        <v>71801</v>
      </c>
      <c r="S266" t="s">
        <v>2565</v>
      </c>
      <c r="T266" t="s">
        <v>2569</v>
      </c>
      <c r="U266">
        <v>1983</v>
      </c>
      <c r="V266" t="s">
        <v>1727</v>
      </c>
      <c r="W266">
        <v>1.85</v>
      </c>
      <c r="X266" t="s">
        <v>76</v>
      </c>
      <c r="Y266" t="s">
        <v>186</v>
      </c>
      <c r="Z266" t="s">
        <v>87</v>
      </c>
      <c r="AA266" t="s">
        <v>2570</v>
      </c>
      <c r="AB266" s="1">
        <v>44203</v>
      </c>
      <c r="AC266" t="s">
        <v>108</v>
      </c>
      <c r="AD266" t="s">
        <v>2571</v>
      </c>
      <c r="AE266" t="s">
        <v>654</v>
      </c>
      <c r="AF266">
        <v>28</v>
      </c>
      <c r="AG266" t="s">
        <v>91</v>
      </c>
      <c r="AH266" t="s">
        <v>2572</v>
      </c>
      <c r="AI266">
        <v>26</v>
      </c>
      <c r="AJ266" t="s">
        <v>110</v>
      </c>
      <c r="AK266">
        <v>26</v>
      </c>
      <c r="AL266">
        <v>2</v>
      </c>
      <c r="AM266">
        <v>60</v>
      </c>
      <c r="AN266">
        <v>9</v>
      </c>
      <c r="AO266">
        <v>1</v>
      </c>
      <c r="AP266" t="s">
        <v>93</v>
      </c>
      <c r="AQ266" t="s">
        <v>89</v>
      </c>
      <c r="AR266" t="s">
        <v>89</v>
      </c>
      <c r="AS266" t="s">
        <v>111</v>
      </c>
      <c r="AT266" s="1">
        <v>44203</v>
      </c>
      <c r="AU266">
        <v>2021</v>
      </c>
      <c r="AV266">
        <v>12</v>
      </c>
      <c r="AW266">
        <v>12</v>
      </c>
      <c r="AX266" t="s">
        <v>89</v>
      </c>
      <c r="AY266" t="s">
        <v>93</v>
      </c>
      <c r="AZ266">
        <v>0</v>
      </c>
      <c r="BA266">
        <v>0</v>
      </c>
      <c r="BB266">
        <v>0</v>
      </c>
      <c r="BC266">
        <v>0</v>
      </c>
      <c r="BD266">
        <v>191</v>
      </c>
      <c r="BE266">
        <v>17000</v>
      </c>
      <c r="BF266">
        <v>0</v>
      </c>
      <c r="BG266">
        <v>38</v>
      </c>
      <c r="BH266">
        <v>191</v>
      </c>
      <c r="BI266">
        <v>17000</v>
      </c>
      <c r="BJ266">
        <v>0</v>
      </c>
      <c r="BK266">
        <f t="shared" si="38"/>
        <v>191</v>
      </c>
      <c r="BL266">
        <f t="shared" si="39"/>
        <v>17000</v>
      </c>
      <c r="BM266">
        <f t="shared" si="40"/>
        <v>0</v>
      </c>
      <c r="BN266">
        <f t="shared" si="41"/>
        <v>0</v>
      </c>
      <c r="BO266">
        <f t="shared" si="42"/>
        <v>0</v>
      </c>
      <c r="BP266">
        <f t="shared" si="43"/>
        <v>0</v>
      </c>
      <c r="BQ266" t="s">
        <v>186</v>
      </c>
      <c r="BR266" t="s">
        <v>186</v>
      </c>
      <c r="BS266" s="1">
        <v>30527</v>
      </c>
      <c r="BT266">
        <v>42</v>
      </c>
      <c r="BU266" s="1">
        <v>44203</v>
      </c>
      <c r="BV266" s="1">
        <v>44378</v>
      </c>
      <c r="BW266">
        <v>12</v>
      </c>
      <c r="BX266">
        <v>1983</v>
      </c>
      <c r="BY266">
        <v>12</v>
      </c>
      <c r="BZ266">
        <f t="shared" si="44"/>
        <v>0</v>
      </c>
      <c r="CA266">
        <f t="shared" si="45"/>
        <v>0</v>
      </c>
      <c r="CB266" t="b">
        <f t="shared" si="46"/>
        <v>1</v>
      </c>
    </row>
    <row r="267" spans="1:80" x14ac:dyDescent="0.3">
      <c r="A267" t="s">
        <v>2573</v>
      </c>
      <c r="B267" t="s">
        <v>1305</v>
      </c>
      <c r="C267" t="s">
        <v>2574</v>
      </c>
      <c r="D267">
        <v>39</v>
      </c>
      <c r="E267" s="1">
        <v>31341</v>
      </c>
      <c r="F267" t="s">
        <v>89</v>
      </c>
      <c r="G267" t="s">
        <v>605</v>
      </c>
      <c r="H267" t="s">
        <v>1307</v>
      </c>
      <c r="I267" t="s">
        <v>178</v>
      </c>
      <c r="J267" t="s">
        <v>78</v>
      </c>
      <c r="K267" t="s">
        <v>89</v>
      </c>
      <c r="L267" t="s">
        <v>278</v>
      </c>
      <c r="M267">
        <v>25</v>
      </c>
      <c r="N267" t="s">
        <v>100</v>
      </c>
      <c r="O267">
        <v>2011</v>
      </c>
      <c r="P267" t="s">
        <v>2575</v>
      </c>
      <c r="Q267" t="s">
        <v>2576</v>
      </c>
      <c r="R267">
        <v>88528</v>
      </c>
      <c r="S267" t="s">
        <v>2573</v>
      </c>
      <c r="T267" t="s">
        <v>2577</v>
      </c>
      <c r="U267">
        <v>1985</v>
      </c>
      <c r="V267" t="s">
        <v>1312</v>
      </c>
      <c r="W267">
        <v>1.96</v>
      </c>
      <c r="X267" t="s">
        <v>1313</v>
      </c>
      <c r="Y267" t="s">
        <v>186</v>
      </c>
      <c r="Z267" t="s">
        <v>87</v>
      </c>
      <c r="AA267" t="s">
        <v>726</v>
      </c>
      <c r="AB267" t="s">
        <v>2578</v>
      </c>
      <c r="AC267" t="s">
        <v>108</v>
      </c>
      <c r="AD267" t="s">
        <v>89</v>
      </c>
      <c r="AE267" t="s">
        <v>2579</v>
      </c>
      <c r="AF267">
        <v>26</v>
      </c>
      <c r="AG267" t="s">
        <v>91</v>
      </c>
      <c r="AH267" t="s">
        <v>2580</v>
      </c>
      <c r="AI267">
        <v>26</v>
      </c>
      <c r="AJ267" t="s">
        <v>110</v>
      </c>
      <c r="AK267">
        <v>26</v>
      </c>
      <c r="AL267">
        <v>3</v>
      </c>
      <c r="AM267">
        <v>125</v>
      </c>
      <c r="AN267">
        <v>6</v>
      </c>
      <c r="AO267">
        <v>3</v>
      </c>
      <c r="AP267" t="s">
        <v>93</v>
      </c>
      <c r="AQ267" t="s">
        <v>89</v>
      </c>
      <c r="AR267" t="s">
        <v>89</v>
      </c>
      <c r="AS267" t="s">
        <v>111</v>
      </c>
      <c r="AT267" t="s">
        <v>2578</v>
      </c>
      <c r="AU267">
        <v>2023</v>
      </c>
      <c r="AV267">
        <v>12</v>
      </c>
      <c r="AW267">
        <v>12</v>
      </c>
      <c r="AX267" t="s">
        <v>89</v>
      </c>
      <c r="AY267" t="s">
        <v>111</v>
      </c>
      <c r="AZ267">
        <v>5</v>
      </c>
      <c r="BA267">
        <v>13</v>
      </c>
      <c r="BB267">
        <v>1170</v>
      </c>
      <c r="BC267">
        <v>0</v>
      </c>
      <c r="BD267">
        <v>260</v>
      </c>
      <c r="BE267">
        <v>23259</v>
      </c>
      <c r="BF267">
        <v>0</v>
      </c>
      <c r="BG267">
        <v>38</v>
      </c>
      <c r="BH267">
        <v>273</v>
      </c>
      <c r="BI267">
        <v>24429</v>
      </c>
      <c r="BJ267">
        <v>0</v>
      </c>
      <c r="BK267">
        <f t="shared" si="38"/>
        <v>273</v>
      </c>
      <c r="BL267">
        <f t="shared" si="39"/>
        <v>24429</v>
      </c>
      <c r="BM267">
        <f t="shared" si="40"/>
        <v>0</v>
      </c>
      <c r="BN267">
        <f t="shared" si="41"/>
        <v>0</v>
      </c>
      <c r="BO267">
        <f t="shared" si="42"/>
        <v>0</v>
      </c>
      <c r="BP267">
        <f t="shared" si="43"/>
        <v>0</v>
      </c>
      <c r="BQ267" t="s">
        <v>186</v>
      </c>
      <c r="BR267" t="s">
        <v>186</v>
      </c>
      <c r="BS267" s="1">
        <v>31341</v>
      </c>
      <c r="BT267">
        <v>40</v>
      </c>
      <c r="BU267" t="s">
        <v>2578</v>
      </c>
      <c r="BV267" s="1">
        <v>44957</v>
      </c>
      <c r="BW267">
        <v>12</v>
      </c>
      <c r="BX267">
        <v>1985</v>
      </c>
      <c r="BY267">
        <v>12</v>
      </c>
      <c r="BZ267">
        <f t="shared" si="44"/>
        <v>0</v>
      </c>
      <c r="CA267">
        <f t="shared" si="45"/>
        <v>0</v>
      </c>
      <c r="CB267" t="b">
        <f t="shared" si="46"/>
        <v>1</v>
      </c>
    </row>
    <row r="268" spans="1:80" x14ac:dyDescent="0.3">
      <c r="A268" t="s">
        <v>2581</v>
      </c>
      <c r="B268" t="s">
        <v>71</v>
      </c>
      <c r="C268" t="s">
        <v>2582</v>
      </c>
      <c r="D268">
        <v>34</v>
      </c>
      <c r="E268">
        <v>33362</v>
      </c>
      <c r="F268" t="s">
        <v>89</v>
      </c>
      <c r="G268" t="s">
        <v>687</v>
      </c>
      <c r="H268" t="s">
        <v>76</v>
      </c>
      <c r="I268" t="s">
        <v>865</v>
      </c>
      <c r="J268" t="s">
        <v>300</v>
      </c>
      <c r="K268" t="s">
        <v>89</v>
      </c>
      <c r="L268" t="s">
        <v>278</v>
      </c>
      <c r="M268">
        <v>20</v>
      </c>
      <c r="N268" t="s">
        <v>323</v>
      </c>
      <c r="O268">
        <v>2011</v>
      </c>
      <c r="P268" t="s">
        <v>2583</v>
      </c>
      <c r="Q268" t="s">
        <v>2584</v>
      </c>
      <c r="R268">
        <v>67544</v>
      </c>
      <c r="S268" t="s">
        <v>2581</v>
      </c>
      <c r="T268">
        <v>33333</v>
      </c>
      <c r="U268">
        <v>1991</v>
      </c>
      <c r="V268" t="s">
        <v>2585</v>
      </c>
      <c r="W268">
        <v>1.74</v>
      </c>
      <c r="X268" t="s">
        <v>76</v>
      </c>
      <c r="Y268" t="s">
        <v>494</v>
      </c>
      <c r="Z268" t="s">
        <v>152</v>
      </c>
      <c r="AA268" t="s">
        <v>2586</v>
      </c>
      <c r="AB268" t="s">
        <v>1203</v>
      </c>
      <c r="AC268" t="s">
        <v>170</v>
      </c>
      <c r="AD268" t="s">
        <v>89</v>
      </c>
      <c r="AE268" t="s">
        <v>1758</v>
      </c>
      <c r="AF268">
        <v>23</v>
      </c>
      <c r="AG268" t="s">
        <v>91</v>
      </c>
      <c r="AH268" t="s">
        <v>2587</v>
      </c>
      <c r="AI268">
        <v>20</v>
      </c>
      <c r="AJ268" t="s">
        <v>110</v>
      </c>
      <c r="AK268">
        <v>20</v>
      </c>
      <c r="AL268">
        <v>2</v>
      </c>
      <c r="AM268">
        <v>21</v>
      </c>
      <c r="AN268">
        <v>4</v>
      </c>
      <c r="AO268">
        <v>1</v>
      </c>
      <c r="AP268" t="s">
        <v>93</v>
      </c>
      <c r="AQ268" t="s">
        <v>89</v>
      </c>
      <c r="AR268" t="s">
        <v>89</v>
      </c>
      <c r="AS268" t="s">
        <v>93</v>
      </c>
      <c r="AT268" t="s">
        <v>89</v>
      </c>
      <c r="AU268" t="s">
        <v>89</v>
      </c>
      <c r="AV268" t="s">
        <v>89</v>
      </c>
      <c r="AW268">
        <v>14</v>
      </c>
      <c r="AX268">
        <v>21</v>
      </c>
      <c r="AY268" t="s">
        <v>93</v>
      </c>
      <c r="AZ268">
        <v>0</v>
      </c>
      <c r="BA268">
        <v>0</v>
      </c>
      <c r="BB268">
        <v>0</v>
      </c>
      <c r="BC268">
        <v>0</v>
      </c>
      <c r="BD268">
        <v>202</v>
      </c>
      <c r="BE268">
        <v>9108</v>
      </c>
      <c r="BF268">
        <v>27</v>
      </c>
      <c r="BG268" t="s">
        <v>89</v>
      </c>
      <c r="BH268">
        <v>202</v>
      </c>
      <c r="BI268">
        <v>9108</v>
      </c>
      <c r="BJ268">
        <v>27</v>
      </c>
      <c r="BK268">
        <f t="shared" si="38"/>
        <v>202</v>
      </c>
      <c r="BL268">
        <f t="shared" si="39"/>
        <v>9108</v>
      </c>
      <c r="BM268">
        <f t="shared" si="40"/>
        <v>27</v>
      </c>
      <c r="BN268">
        <f t="shared" si="41"/>
        <v>0</v>
      </c>
      <c r="BO268">
        <f t="shared" si="42"/>
        <v>0</v>
      </c>
      <c r="BP268">
        <f t="shared" si="43"/>
        <v>0</v>
      </c>
      <c r="BQ268" t="s">
        <v>494</v>
      </c>
      <c r="BR268" t="s">
        <v>112</v>
      </c>
      <c r="BS268" t="s">
        <v>89</v>
      </c>
      <c r="BT268">
        <v>35</v>
      </c>
      <c r="BU268" t="s">
        <v>89</v>
      </c>
      <c r="BV268" t="s">
        <v>89</v>
      </c>
      <c r="BW268">
        <v>15</v>
      </c>
      <c r="BX268">
        <v>1991</v>
      </c>
      <c r="BY268">
        <v>14</v>
      </c>
      <c r="BZ268">
        <f t="shared" si="44"/>
        <v>-1</v>
      </c>
      <c r="CA268">
        <f t="shared" si="45"/>
        <v>1</v>
      </c>
      <c r="CB268" t="b">
        <f t="shared" si="46"/>
        <v>0</v>
      </c>
    </row>
    <row r="269" spans="1:80" x14ac:dyDescent="0.3">
      <c r="A269" t="s">
        <v>2588</v>
      </c>
      <c r="B269" t="s">
        <v>1008</v>
      </c>
      <c r="C269" t="s">
        <v>2589</v>
      </c>
      <c r="D269">
        <v>39</v>
      </c>
      <c r="E269" s="1">
        <v>31424</v>
      </c>
      <c r="F269" t="s">
        <v>89</v>
      </c>
      <c r="G269" t="s">
        <v>400</v>
      </c>
      <c r="H269" t="s">
        <v>2590</v>
      </c>
      <c r="I269" t="s">
        <v>437</v>
      </c>
      <c r="J269" t="s">
        <v>78</v>
      </c>
      <c r="K269" t="s">
        <v>89</v>
      </c>
      <c r="L269" t="s">
        <v>117</v>
      </c>
      <c r="M269">
        <v>19</v>
      </c>
      <c r="N269" t="s">
        <v>601</v>
      </c>
      <c r="O269">
        <v>2005</v>
      </c>
      <c r="P269" t="s">
        <v>2591</v>
      </c>
      <c r="Q269" t="s">
        <v>2592</v>
      </c>
      <c r="R269">
        <v>37389</v>
      </c>
      <c r="S269" t="s">
        <v>2593</v>
      </c>
      <c r="T269" s="1">
        <v>31747</v>
      </c>
      <c r="U269">
        <v>1986</v>
      </c>
      <c r="V269" t="s">
        <v>2208</v>
      </c>
      <c r="W269">
        <v>1.82</v>
      </c>
      <c r="X269" t="s">
        <v>2594</v>
      </c>
      <c r="Y269" t="s">
        <v>123</v>
      </c>
      <c r="Z269" t="s">
        <v>87</v>
      </c>
      <c r="AA269" t="s">
        <v>2595</v>
      </c>
      <c r="AB269" s="1">
        <v>43837</v>
      </c>
      <c r="AC269" t="s">
        <v>108</v>
      </c>
      <c r="AD269" t="s">
        <v>89</v>
      </c>
      <c r="AE269" t="s">
        <v>2596</v>
      </c>
      <c r="AF269">
        <v>21</v>
      </c>
      <c r="AG269" t="s">
        <v>573</v>
      </c>
      <c r="AH269" s="1">
        <v>38933</v>
      </c>
      <c r="AI269">
        <v>20</v>
      </c>
      <c r="AJ269" t="s">
        <v>575</v>
      </c>
      <c r="AK269">
        <v>20</v>
      </c>
      <c r="AL269">
        <v>9</v>
      </c>
      <c r="AM269">
        <v>261</v>
      </c>
      <c r="AN269">
        <v>47</v>
      </c>
      <c r="AO269">
        <v>6</v>
      </c>
      <c r="AP269" t="s">
        <v>93</v>
      </c>
      <c r="AQ269" t="s">
        <v>89</v>
      </c>
      <c r="AR269" t="s">
        <v>89</v>
      </c>
      <c r="AS269" t="s">
        <v>111</v>
      </c>
      <c r="AT269" s="1">
        <v>43837</v>
      </c>
      <c r="AU269">
        <v>2020</v>
      </c>
      <c r="AV269">
        <v>15</v>
      </c>
      <c r="AW269">
        <v>15</v>
      </c>
      <c r="AX269" t="s">
        <v>89</v>
      </c>
      <c r="AY269" t="s">
        <v>111</v>
      </c>
      <c r="AZ269">
        <v>3</v>
      </c>
      <c r="BA269">
        <v>9</v>
      </c>
      <c r="BB269">
        <v>584</v>
      </c>
      <c r="BC269">
        <v>4</v>
      </c>
      <c r="BD269">
        <v>269</v>
      </c>
      <c r="BE269">
        <v>16101</v>
      </c>
      <c r="BF269">
        <v>83</v>
      </c>
      <c r="BG269">
        <v>34</v>
      </c>
      <c r="BH269">
        <v>278</v>
      </c>
      <c r="BI269">
        <v>16685</v>
      </c>
      <c r="BJ269">
        <v>87</v>
      </c>
      <c r="BK269">
        <f t="shared" si="38"/>
        <v>278</v>
      </c>
      <c r="BL269">
        <f t="shared" si="39"/>
        <v>16685</v>
      </c>
      <c r="BM269">
        <f t="shared" si="40"/>
        <v>87</v>
      </c>
      <c r="BN269">
        <f t="shared" si="41"/>
        <v>0</v>
      </c>
      <c r="BO269">
        <f t="shared" si="42"/>
        <v>0</v>
      </c>
      <c r="BP269">
        <f t="shared" si="43"/>
        <v>0</v>
      </c>
      <c r="BQ269" t="s">
        <v>123</v>
      </c>
      <c r="BR269" t="s">
        <v>112</v>
      </c>
      <c r="BS269" s="1">
        <v>31424</v>
      </c>
      <c r="BT269">
        <v>40</v>
      </c>
      <c r="BU269" s="1">
        <v>43837</v>
      </c>
      <c r="BV269" s="1">
        <v>44013</v>
      </c>
      <c r="BW269">
        <v>14</v>
      </c>
      <c r="BX269">
        <v>1986</v>
      </c>
      <c r="BY269">
        <v>14</v>
      </c>
      <c r="BZ269">
        <f t="shared" si="44"/>
        <v>1</v>
      </c>
      <c r="CA269">
        <f t="shared" si="45"/>
        <v>0</v>
      </c>
      <c r="CB269" t="b">
        <f t="shared" si="46"/>
        <v>0</v>
      </c>
    </row>
    <row r="270" spans="1:80" x14ac:dyDescent="0.3">
      <c r="A270" t="s">
        <v>2597</v>
      </c>
      <c r="B270" t="s">
        <v>71</v>
      </c>
      <c r="C270" t="s">
        <v>2598</v>
      </c>
      <c r="D270">
        <v>29</v>
      </c>
      <c r="E270" s="1">
        <v>34934</v>
      </c>
      <c r="F270" t="s">
        <v>89</v>
      </c>
      <c r="G270" t="s">
        <v>1289</v>
      </c>
      <c r="H270" t="s">
        <v>89</v>
      </c>
      <c r="I270" t="s">
        <v>437</v>
      </c>
      <c r="J270" t="s">
        <v>78</v>
      </c>
      <c r="K270" t="s">
        <v>89</v>
      </c>
      <c r="L270" t="s">
        <v>324</v>
      </c>
      <c r="M270">
        <v>17</v>
      </c>
      <c r="N270" t="s">
        <v>527</v>
      </c>
      <c r="O270">
        <v>2013</v>
      </c>
      <c r="P270" t="s">
        <v>2599</v>
      </c>
      <c r="Q270" t="s">
        <v>2600</v>
      </c>
      <c r="R270">
        <v>271451</v>
      </c>
      <c r="S270" t="s">
        <v>2597</v>
      </c>
      <c r="T270" t="s">
        <v>2601</v>
      </c>
      <c r="U270">
        <v>1995</v>
      </c>
      <c r="V270" t="s">
        <v>527</v>
      </c>
      <c r="W270">
        <v>1.72</v>
      </c>
      <c r="X270" t="s">
        <v>76</v>
      </c>
      <c r="Y270" t="s">
        <v>123</v>
      </c>
      <c r="Z270" t="s">
        <v>87</v>
      </c>
      <c r="AA270" t="s">
        <v>2602</v>
      </c>
      <c r="AB270" t="s">
        <v>1776</v>
      </c>
      <c r="AC270" t="s">
        <v>170</v>
      </c>
      <c r="AD270" t="s">
        <v>89</v>
      </c>
      <c r="AE270" t="s">
        <v>2603</v>
      </c>
      <c r="AF270">
        <v>18</v>
      </c>
      <c r="AG270" t="s">
        <v>91</v>
      </c>
      <c r="AH270" t="s">
        <v>1730</v>
      </c>
      <c r="AI270">
        <v>22</v>
      </c>
      <c r="AJ270" t="s">
        <v>110</v>
      </c>
      <c r="AK270">
        <v>18</v>
      </c>
      <c r="AL270">
        <v>5</v>
      </c>
      <c r="AM270">
        <v>252</v>
      </c>
      <c r="AN270">
        <v>20</v>
      </c>
      <c r="AO270">
        <v>4</v>
      </c>
      <c r="AP270" t="s">
        <v>93</v>
      </c>
      <c r="AQ270" t="s">
        <v>89</v>
      </c>
      <c r="AR270" t="s">
        <v>89</v>
      </c>
      <c r="AS270" t="s">
        <v>93</v>
      </c>
      <c r="AT270" t="s">
        <v>89</v>
      </c>
      <c r="AU270" t="s">
        <v>89</v>
      </c>
      <c r="AV270" t="s">
        <v>89</v>
      </c>
      <c r="AW270">
        <v>12</v>
      </c>
      <c r="AX270">
        <v>23</v>
      </c>
      <c r="AY270" t="s">
        <v>93</v>
      </c>
      <c r="AZ270">
        <v>0</v>
      </c>
      <c r="BA270">
        <v>0</v>
      </c>
      <c r="BB270">
        <v>0</v>
      </c>
      <c r="BC270">
        <v>0</v>
      </c>
      <c r="BD270">
        <v>123</v>
      </c>
      <c r="BE270">
        <v>5257</v>
      </c>
      <c r="BF270">
        <v>15</v>
      </c>
      <c r="BG270" t="s">
        <v>89</v>
      </c>
      <c r="BH270">
        <v>123</v>
      </c>
      <c r="BI270">
        <v>5257</v>
      </c>
      <c r="BJ270">
        <v>15</v>
      </c>
      <c r="BK270">
        <f t="shared" si="38"/>
        <v>123</v>
      </c>
      <c r="BL270">
        <f t="shared" si="39"/>
        <v>5257</v>
      </c>
      <c r="BM270">
        <f t="shared" si="40"/>
        <v>15</v>
      </c>
      <c r="BN270">
        <f t="shared" si="41"/>
        <v>0</v>
      </c>
      <c r="BO270">
        <f t="shared" si="42"/>
        <v>0</v>
      </c>
      <c r="BP270">
        <f t="shared" si="43"/>
        <v>0</v>
      </c>
      <c r="BQ270" t="s">
        <v>123</v>
      </c>
      <c r="BR270" t="s">
        <v>112</v>
      </c>
      <c r="BS270" s="1">
        <v>34934</v>
      </c>
      <c r="BT270">
        <v>30</v>
      </c>
      <c r="BU270" t="s">
        <v>89</v>
      </c>
      <c r="BV270" t="s">
        <v>89</v>
      </c>
      <c r="BW270">
        <v>12</v>
      </c>
      <c r="BX270">
        <v>1995</v>
      </c>
      <c r="BY270">
        <v>11</v>
      </c>
      <c r="BZ270">
        <f t="shared" si="44"/>
        <v>0</v>
      </c>
      <c r="CA270">
        <f t="shared" si="45"/>
        <v>1</v>
      </c>
      <c r="CB270" t="b">
        <f t="shared" si="46"/>
        <v>1</v>
      </c>
    </row>
    <row r="271" spans="1:80" x14ac:dyDescent="0.3">
      <c r="A271" t="s">
        <v>2604</v>
      </c>
      <c r="B271" t="s">
        <v>71</v>
      </c>
      <c r="C271" t="s">
        <v>2605</v>
      </c>
      <c r="D271">
        <v>45</v>
      </c>
      <c r="E271">
        <v>29116</v>
      </c>
      <c r="F271" t="s">
        <v>89</v>
      </c>
      <c r="G271" t="s">
        <v>193</v>
      </c>
      <c r="H271" t="s">
        <v>76</v>
      </c>
      <c r="I271" t="s">
        <v>178</v>
      </c>
      <c r="J271" t="s">
        <v>89</v>
      </c>
      <c r="K271" t="s">
        <v>89</v>
      </c>
      <c r="L271" t="s">
        <v>196</v>
      </c>
      <c r="M271">
        <v>20</v>
      </c>
      <c r="N271" t="s">
        <v>137</v>
      </c>
      <c r="O271">
        <v>2000</v>
      </c>
      <c r="P271" t="s">
        <v>2606</v>
      </c>
      <c r="Q271" t="s">
        <v>2607</v>
      </c>
      <c r="R271">
        <v>7612</v>
      </c>
      <c r="S271" t="s">
        <v>2604</v>
      </c>
      <c r="T271" t="s">
        <v>2608</v>
      </c>
      <c r="U271">
        <v>1979</v>
      </c>
      <c r="V271" t="s">
        <v>234</v>
      </c>
      <c r="W271">
        <v>1.84</v>
      </c>
      <c r="X271" t="s">
        <v>76</v>
      </c>
      <c r="Y271" t="s">
        <v>186</v>
      </c>
      <c r="Z271" t="s">
        <v>87</v>
      </c>
      <c r="AA271" t="s">
        <v>1370</v>
      </c>
      <c r="AB271">
        <v>41646</v>
      </c>
      <c r="AC271" t="s">
        <v>108</v>
      </c>
      <c r="AD271" t="s">
        <v>89</v>
      </c>
      <c r="AE271">
        <v>2001</v>
      </c>
      <c r="AF271">
        <v>21</v>
      </c>
      <c r="AG271" t="s">
        <v>91</v>
      </c>
      <c r="AH271">
        <v>2011</v>
      </c>
      <c r="AI271">
        <v>31</v>
      </c>
      <c r="AJ271">
        <v>0</v>
      </c>
      <c r="AK271">
        <v>21</v>
      </c>
      <c r="AL271">
        <v>1</v>
      </c>
      <c r="AM271">
        <v>10</v>
      </c>
      <c r="AN271">
        <v>0</v>
      </c>
      <c r="AO271">
        <v>1</v>
      </c>
      <c r="AP271" t="s">
        <v>93</v>
      </c>
      <c r="AQ271" t="s">
        <v>89</v>
      </c>
      <c r="AR271" t="s">
        <v>89</v>
      </c>
      <c r="AS271" t="s">
        <v>111</v>
      </c>
      <c r="AT271">
        <v>41646</v>
      </c>
      <c r="AU271">
        <v>2014</v>
      </c>
      <c r="AV271">
        <v>14</v>
      </c>
      <c r="AW271">
        <v>14</v>
      </c>
      <c r="AX271" t="s">
        <v>89</v>
      </c>
      <c r="AY271" t="s">
        <v>93</v>
      </c>
      <c r="AZ271">
        <v>0</v>
      </c>
      <c r="BA271">
        <v>0</v>
      </c>
      <c r="BB271">
        <v>0</v>
      </c>
      <c r="BC271">
        <v>0</v>
      </c>
      <c r="BD271">
        <v>354</v>
      </c>
      <c r="BE271">
        <v>31600</v>
      </c>
      <c r="BF271">
        <v>0</v>
      </c>
      <c r="BG271">
        <v>35</v>
      </c>
      <c r="BH271">
        <v>354</v>
      </c>
      <c r="BI271">
        <v>31600</v>
      </c>
      <c r="BJ271">
        <v>0</v>
      </c>
      <c r="BK271">
        <f t="shared" si="38"/>
        <v>354</v>
      </c>
      <c r="BL271">
        <f t="shared" si="39"/>
        <v>31600</v>
      </c>
      <c r="BM271">
        <f t="shared" si="40"/>
        <v>0</v>
      </c>
      <c r="BN271">
        <f t="shared" si="41"/>
        <v>0</v>
      </c>
      <c r="BO271">
        <f t="shared" si="42"/>
        <v>0</v>
      </c>
      <c r="BP271">
        <f t="shared" si="43"/>
        <v>0</v>
      </c>
      <c r="BQ271" t="s">
        <v>186</v>
      </c>
      <c r="BR271" t="s">
        <v>186</v>
      </c>
      <c r="BS271" s="1">
        <v>29116</v>
      </c>
      <c r="BT271">
        <v>46</v>
      </c>
      <c r="BU271">
        <v>41646</v>
      </c>
      <c r="BV271" t="s">
        <v>89</v>
      </c>
      <c r="BW271">
        <v>14</v>
      </c>
      <c r="BX271">
        <v>1979</v>
      </c>
      <c r="BY271">
        <v>14</v>
      </c>
      <c r="BZ271">
        <f t="shared" si="44"/>
        <v>0</v>
      </c>
      <c r="CA271">
        <f t="shared" si="45"/>
        <v>0</v>
      </c>
      <c r="CB271" t="b">
        <f t="shared" si="46"/>
        <v>1</v>
      </c>
    </row>
    <row r="272" spans="1:80" x14ac:dyDescent="0.3">
      <c r="A272" t="s">
        <v>2609</v>
      </c>
      <c r="B272" t="s">
        <v>1231</v>
      </c>
      <c r="C272" t="s">
        <v>2610</v>
      </c>
      <c r="D272">
        <v>37</v>
      </c>
      <c r="E272" t="s">
        <v>2611</v>
      </c>
      <c r="F272" t="s">
        <v>2612</v>
      </c>
      <c r="G272" t="s">
        <v>115</v>
      </c>
      <c r="H272" t="s">
        <v>1234</v>
      </c>
      <c r="I272" t="s">
        <v>668</v>
      </c>
      <c r="J272" t="s">
        <v>78</v>
      </c>
      <c r="K272" t="s">
        <v>2613</v>
      </c>
      <c r="L272" t="s">
        <v>130</v>
      </c>
      <c r="M272">
        <v>20</v>
      </c>
      <c r="N272" t="s">
        <v>2614</v>
      </c>
      <c r="O272">
        <v>2008</v>
      </c>
      <c r="P272" t="s">
        <v>2615</v>
      </c>
      <c r="Q272" t="s">
        <v>2616</v>
      </c>
      <c r="R272">
        <v>56046</v>
      </c>
      <c r="S272" t="s">
        <v>2609</v>
      </c>
      <c r="T272" t="s">
        <v>2617</v>
      </c>
      <c r="U272">
        <v>1988</v>
      </c>
      <c r="V272" t="s">
        <v>2618</v>
      </c>
      <c r="W272">
        <v>1.77</v>
      </c>
      <c r="X272" t="s">
        <v>1234</v>
      </c>
      <c r="Y272" t="s">
        <v>494</v>
      </c>
      <c r="Z272" t="s">
        <v>87</v>
      </c>
      <c r="AA272" t="s">
        <v>2619</v>
      </c>
      <c r="AB272" s="1">
        <v>45667</v>
      </c>
      <c r="AC272" t="s">
        <v>170</v>
      </c>
      <c r="AD272" t="s">
        <v>89</v>
      </c>
      <c r="AE272" t="s">
        <v>961</v>
      </c>
      <c r="AF272">
        <v>20</v>
      </c>
      <c r="AG272" t="s">
        <v>613</v>
      </c>
      <c r="AH272" t="s">
        <v>2620</v>
      </c>
      <c r="AI272">
        <v>19</v>
      </c>
      <c r="AJ272" t="s">
        <v>615</v>
      </c>
      <c r="AK272">
        <v>19</v>
      </c>
      <c r="AL272">
        <v>5</v>
      </c>
      <c r="AM272">
        <v>67</v>
      </c>
      <c r="AN272">
        <v>14</v>
      </c>
      <c r="AO272">
        <v>3</v>
      </c>
      <c r="AP272" t="s">
        <v>93</v>
      </c>
      <c r="AQ272" t="s">
        <v>89</v>
      </c>
      <c r="AR272" t="s">
        <v>89</v>
      </c>
      <c r="AS272" t="s">
        <v>93</v>
      </c>
      <c r="AT272" t="s">
        <v>89</v>
      </c>
      <c r="AU272" t="s">
        <v>89</v>
      </c>
      <c r="AV272" t="s">
        <v>89</v>
      </c>
      <c r="AW272">
        <v>17</v>
      </c>
      <c r="AX272">
        <v>21</v>
      </c>
      <c r="AY272" t="s">
        <v>93</v>
      </c>
      <c r="AZ272">
        <v>0</v>
      </c>
      <c r="BA272">
        <v>0</v>
      </c>
      <c r="BB272">
        <v>0</v>
      </c>
      <c r="BC272">
        <v>0</v>
      </c>
      <c r="BD272">
        <v>434</v>
      </c>
      <c r="BE272">
        <v>30012</v>
      </c>
      <c r="BF272">
        <v>48</v>
      </c>
      <c r="BG272" t="s">
        <v>89</v>
      </c>
      <c r="BH272">
        <v>434</v>
      </c>
      <c r="BI272">
        <v>30012</v>
      </c>
      <c r="BJ272">
        <v>48</v>
      </c>
      <c r="BK272">
        <f t="shared" si="38"/>
        <v>434</v>
      </c>
      <c r="BL272">
        <f t="shared" si="39"/>
        <v>30012</v>
      </c>
      <c r="BM272">
        <f t="shared" si="40"/>
        <v>48</v>
      </c>
      <c r="BN272">
        <f t="shared" si="41"/>
        <v>0</v>
      </c>
      <c r="BO272">
        <f t="shared" si="42"/>
        <v>0</v>
      </c>
      <c r="BP272">
        <f t="shared" si="43"/>
        <v>0</v>
      </c>
      <c r="BQ272" t="s">
        <v>494</v>
      </c>
      <c r="BR272" t="s">
        <v>112</v>
      </c>
      <c r="BS272" s="1">
        <v>32198</v>
      </c>
      <c r="BT272">
        <v>37</v>
      </c>
      <c r="BU272" t="s">
        <v>89</v>
      </c>
      <c r="BV272" t="s">
        <v>89</v>
      </c>
      <c r="BW272">
        <v>18</v>
      </c>
      <c r="BX272">
        <v>1988</v>
      </c>
      <c r="BY272">
        <v>18</v>
      </c>
      <c r="BZ272">
        <f t="shared" si="44"/>
        <v>-1</v>
      </c>
      <c r="CA272">
        <f t="shared" si="45"/>
        <v>0</v>
      </c>
      <c r="CB272" t="b">
        <f t="shared" si="46"/>
        <v>0</v>
      </c>
    </row>
    <row r="273" spans="1:80" x14ac:dyDescent="0.3">
      <c r="A273" t="s">
        <v>2621</v>
      </c>
      <c r="B273" t="s">
        <v>1231</v>
      </c>
      <c r="C273" t="s">
        <v>2622</v>
      </c>
      <c r="D273">
        <v>36</v>
      </c>
      <c r="E273">
        <v>32359</v>
      </c>
      <c r="F273" t="s">
        <v>89</v>
      </c>
      <c r="G273" t="s">
        <v>400</v>
      </c>
      <c r="H273" t="s">
        <v>1234</v>
      </c>
      <c r="I273" t="s">
        <v>243</v>
      </c>
      <c r="J273" t="s">
        <v>78</v>
      </c>
      <c r="K273" t="s">
        <v>89</v>
      </c>
      <c r="L273" t="s">
        <v>130</v>
      </c>
      <c r="M273">
        <v>19</v>
      </c>
      <c r="N273" t="s">
        <v>2031</v>
      </c>
      <c r="O273">
        <v>2008</v>
      </c>
      <c r="P273" t="s">
        <v>2623</v>
      </c>
      <c r="Q273" t="s">
        <v>2624</v>
      </c>
      <c r="R273">
        <v>37712</v>
      </c>
      <c r="S273" t="s">
        <v>2621</v>
      </c>
      <c r="T273" t="s">
        <v>2625</v>
      </c>
      <c r="U273">
        <v>1988</v>
      </c>
      <c r="V273" t="s">
        <v>2626</v>
      </c>
      <c r="W273">
        <v>1.83</v>
      </c>
      <c r="X273" t="s">
        <v>1234</v>
      </c>
      <c r="Y273" t="s">
        <v>235</v>
      </c>
      <c r="Z273" t="s">
        <v>87</v>
      </c>
      <c r="AA273" t="s">
        <v>531</v>
      </c>
      <c r="AB273" t="s">
        <v>2627</v>
      </c>
      <c r="AC273" t="s">
        <v>108</v>
      </c>
      <c r="AD273" t="s">
        <v>89</v>
      </c>
      <c r="AE273" s="1">
        <v>2008</v>
      </c>
      <c r="AF273">
        <v>19</v>
      </c>
      <c r="AG273" t="s">
        <v>2628</v>
      </c>
      <c r="AH273">
        <v>2007</v>
      </c>
      <c r="AI273">
        <v>19</v>
      </c>
      <c r="AJ273">
        <v>0</v>
      </c>
      <c r="AK273">
        <v>19</v>
      </c>
      <c r="AL273">
        <v>30</v>
      </c>
      <c r="AM273">
        <v>989</v>
      </c>
      <c r="AN273">
        <v>177</v>
      </c>
      <c r="AO273">
        <v>12</v>
      </c>
      <c r="AP273" t="s">
        <v>93</v>
      </c>
      <c r="AQ273" t="s">
        <v>89</v>
      </c>
      <c r="AR273" t="s">
        <v>89</v>
      </c>
      <c r="AS273" t="s">
        <v>111</v>
      </c>
      <c r="AT273" t="s">
        <v>2627</v>
      </c>
      <c r="AU273">
        <v>2023</v>
      </c>
      <c r="AV273">
        <v>15</v>
      </c>
      <c r="AW273">
        <v>15</v>
      </c>
      <c r="AX273" t="s">
        <v>89</v>
      </c>
      <c r="AY273" t="s">
        <v>111</v>
      </c>
      <c r="AZ273">
        <v>3</v>
      </c>
      <c r="BA273">
        <v>1</v>
      </c>
      <c r="BB273">
        <v>32</v>
      </c>
      <c r="BC273">
        <v>0</v>
      </c>
      <c r="BD273">
        <v>303</v>
      </c>
      <c r="BE273">
        <v>24398</v>
      </c>
      <c r="BF273">
        <v>11</v>
      </c>
      <c r="BG273">
        <v>35</v>
      </c>
      <c r="BH273">
        <v>304</v>
      </c>
      <c r="BI273">
        <v>24430</v>
      </c>
      <c r="BJ273">
        <v>11</v>
      </c>
      <c r="BK273">
        <f t="shared" si="38"/>
        <v>304</v>
      </c>
      <c r="BL273">
        <f t="shared" si="39"/>
        <v>24430</v>
      </c>
      <c r="BM273">
        <f t="shared" si="40"/>
        <v>11</v>
      </c>
      <c r="BN273">
        <f t="shared" si="41"/>
        <v>0</v>
      </c>
      <c r="BO273">
        <f t="shared" si="42"/>
        <v>0</v>
      </c>
      <c r="BP273">
        <f t="shared" si="43"/>
        <v>0</v>
      </c>
      <c r="BQ273" t="s">
        <v>235</v>
      </c>
      <c r="BR273" t="s">
        <v>140</v>
      </c>
      <c r="BS273" t="s">
        <v>89</v>
      </c>
      <c r="BT273">
        <v>38</v>
      </c>
      <c r="BU273" t="s">
        <v>2627</v>
      </c>
      <c r="BV273" s="1">
        <v>45030</v>
      </c>
      <c r="BW273">
        <v>16</v>
      </c>
      <c r="BX273">
        <v>1988</v>
      </c>
      <c r="BY273">
        <v>16</v>
      </c>
      <c r="BZ273">
        <f t="shared" si="44"/>
        <v>-1</v>
      </c>
      <c r="CA273">
        <f t="shared" si="45"/>
        <v>0</v>
      </c>
      <c r="CB273" t="b">
        <f t="shared" si="46"/>
        <v>0</v>
      </c>
    </row>
    <row r="274" spans="1:80" x14ac:dyDescent="0.3">
      <c r="A274" t="s">
        <v>2629</v>
      </c>
      <c r="B274" t="s">
        <v>2630</v>
      </c>
      <c r="C274" t="s">
        <v>2631</v>
      </c>
      <c r="D274">
        <v>38</v>
      </c>
      <c r="E274">
        <v>31802</v>
      </c>
      <c r="F274" t="s">
        <v>89</v>
      </c>
      <c r="G274" t="s">
        <v>298</v>
      </c>
      <c r="H274" t="s">
        <v>2632</v>
      </c>
      <c r="I274" t="s">
        <v>116</v>
      </c>
      <c r="J274" t="s">
        <v>78</v>
      </c>
      <c r="K274" t="s">
        <v>89</v>
      </c>
      <c r="L274">
        <v>2005</v>
      </c>
      <c r="M274">
        <v>18</v>
      </c>
      <c r="N274" t="s">
        <v>2633</v>
      </c>
      <c r="O274">
        <v>2005</v>
      </c>
      <c r="P274" t="s">
        <v>2634</v>
      </c>
      <c r="Q274" t="s">
        <v>2635</v>
      </c>
      <c r="R274">
        <v>27292</v>
      </c>
      <c r="S274" t="s">
        <v>2629</v>
      </c>
      <c r="T274" t="s">
        <v>2636</v>
      </c>
      <c r="U274">
        <v>1987</v>
      </c>
      <c r="V274" t="s">
        <v>2637</v>
      </c>
      <c r="W274">
        <v>1.75</v>
      </c>
      <c r="X274" t="s">
        <v>2632</v>
      </c>
      <c r="Y274" t="s">
        <v>391</v>
      </c>
      <c r="Z274" t="s">
        <v>87</v>
      </c>
      <c r="AA274" t="s">
        <v>2638</v>
      </c>
      <c r="AB274">
        <v>44927</v>
      </c>
      <c r="AC274" t="s">
        <v>108</v>
      </c>
      <c r="AD274" t="s">
        <v>89</v>
      </c>
      <c r="AE274">
        <v>38964</v>
      </c>
      <c r="AF274">
        <v>19</v>
      </c>
      <c r="AG274" t="s">
        <v>2639</v>
      </c>
      <c r="AH274" t="s">
        <v>2640</v>
      </c>
      <c r="AI274">
        <v>20</v>
      </c>
      <c r="AJ274" t="s">
        <v>2641</v>
      </c>
      <c r="AK274">
        <v>19</v>
      </c>
      <c r="AL274">
        <v>6</v>
      </c>
      <c r="AM274">
        <v>178</v>
      </c>
      <c r="AN274">
        <v>26</v>
      </c>
      <c r="AO274">
        <v>6</v>
      </c>
      <c r="AP274" t="s">
        <v>93</v>
      </c>
      <c r="AQ274" t="s">
        <v>89</v>
      </c>
      <c r="AR274" t="s">
        <v>89</v>
      </c>
      <c r="AS274" t="s">
        <v>111</v>
      </c>
      <c r="AT274">
        <v>44927</v>
      </c>
      <c r="AU274">
        <v>2023</v>
      </c>
      <c r="AV274">
        <v>18</v>
      </c>
      <c r="AW274">
        <v>20</v>
      </c>
      <c r="AX274" t="s">
        <v>89</v>
      </c>
      <c r="AY274" t="s">
        <v>93</v>
      </c>
      <c r="AZ274">
        <v>0</v>
      </c>
      <c r="BA274">
        <v>0</v>
      </c>
      <c r="BB274">
        <v>0</v>
      </c>
      <c r="BC274">
        <v>0</v>
      </c>
      <c r="BD274">
        <v>394</v>
      </c>
      <c r="BE274">
        <v>27322</v>
      </c>
      <c r="BF274">
        <v>69</v>
      </c>
      <c r="BG274">
        <v>36</v>
      </c>
      <c r="BH274">
        <v>394</v>
      </c>
      <c r="BI274">
        <v>27322</v>
      </c>
      <c r="BJ274">
        <v>69</v>
      </c>
      <c r="BK274">
        <f t="shared" si="38"/>
        <v>394</v>
      </c>
      <c r="BL274">
        <f t="shared" si="39"/>
        <v>27322</v>
      </c>
      <c r="BM274">
        <f t="shared" si="40"/>
        <v>69</v>
      </c>
      <c r="BN274">
        <f t="shared" si="41"/>
        <v>0</v>
      </c>
      <c r="BO274">
        <f t="shared" si="42"/>
        <v>0</v>
      </c>
      <c r="BP274">
        <f t="shared" si="43"/>
        <v>0</v>
      </c>
      <c r="BQ274" t="s">
        <v>391</v>
      </c>
      <c r="BR274" t="s">
        <v>112</v>
      </c>
      <c r="BS274" s="1">
        <v>31802</v>
      </c>
      <c r="BT274">
        <v>39</v>
      </c>
      <c r="BU274">
        <v>44927</v>
      </c>
      <c r="BV274" t="s">
        <v>89</v>
      </c>
      <c r="BW274">
        <v>17</v>
      </c>
      <c r="BX274">
        <v>1987</v>
      </c>
      <c r="BY274">
        <v>17</v>
      </c>
      <c r="BZ274">
        <f t="shared" si="44"/>
        <v>3</v>
      </c>
      <c r="CA274">
        <f t="shared" si="45"/>
        <v>0</v>
      </c>
      <c r="CB274" t="b">
        <f t="shared" si="46"/>
        <v>0</v>
      </c>
    </row>
    <row r="275" spans="1:80" x14ac:dyDescent="0.3">
      <c r="A275" t="s">
        <v>2642</v>
      </c>
      <c r="B275" t="s">
        <v>71</v>
      </c>
      <c r="C275" t="s">
        <v>2643</v>
      </c>
      <c r="D275">
        <v>34</v>
      </c>
      <c r="E275" t="s">
        <v>2644</v>
      </c>
      <c r="F275" t="s">
        <v>2645</v>
      </c>
      <c r="G275" t="s">
        <v>385</v>
      </c>
      <c r="H275" t="s">
        <v>76</v>
      </c>
      <c r="I275" t="s">
        <v>116</v>
      </c>
      <c r="J275" t="s">
        <v>89</v>
      </c>
      <c r="K275" t="s">
        <v>2646</v>
      </c>
      <c r="L275" t="s">
        <v>254</v>
      </c>
      <c r="M275">
        <v>18</v>
      </c>
      <c r="N275" t="s">
        <v>2647</v>
      </c>
      <c r="O275">
        <v>2009</v>
      </c>
      <c r="P275" t="s">
        <v>2648</v>
      </c>
      <c r="Q275" t="s">
        <v>2649</v>
      </c>
      <c r="R275">
        <v>28285</v>
      </c>
      <c r="S275" t="s">
        <v>2650</v>
      </c>
      <c r="T275" s="1">
        <v>33359</v>
      </c>
      <c r="U275">
        <v>1991</v>
      </c>
      <c r="V275" t="s">
        <v>1047</v>
      </c>
      <c r="W275">
        <v>1.68</v>
      </c>
      <c r="X275" t="s">
        <v>76</v>
      </c>
      <c r="Y275" t="s">
        <v>86</v>
      </c>
      <c r="Z275" t="s">
        <v>392</v>
      </c>
      <c r="AA275" t="s">
        <v>2651</v>
      </c>
      <c r="AB275" t="s">
        <v>2652</v>
      </c>
      <c r="AC275" t="s">
        <v>170</v>
      </c>
      <c r="AD275" t="s">
        <v>89</v>
      </c>
      <c r="AE275" s="1">
        <v>2009</v>
      </c>
      <c r="AF275">
        <v>18</v>
      </c>
      <c r="AG275" t="s">
        <v>1653</v>
      </c>
      <c r="AH275">
        <v>2011</v>
      </c>
      <c r="AI275">
        <v>20</v>
      </c>
      <c r="AJ275">
        <v>0</v>
      </c>
      <c r="AK275">
        <v>18</v>
      </c>
      <c r="AL275">
        <v>6</v>
      </c>
      <c r="AM275">
        <v>234</v>
      </c>
      <c r="AN275">
        <v>32</v>
      </c>
      <c r="AO275">
        <v>3</v>
      </c>
      <c r="AP275" t="s">
        <v>93</v>
      </c>
      <c r="AQ275" t="s">
        <v>89</v>
      </c>
      <c r="AR275" t="s">
        <v>89</v>
      </c>
      <c r="AS275" t="s">
        <v>93</v>
      </c>
      <c r="AT275" t="s">
        <v>89</v>
      </c>
      <c r="AU275" t="s">
        <v>89</v>
      </c>
      <c r="AV275" t="s">
        <v>89</v>
      </c>
      <c r="AW275">
        <v>16</v>
      </c>
      <c r="AX275">
        <v>8</v>
      </c>
      <c r="AY275" t="s">
        <v>93</v>
      </c>
      <c r="AZ275">
        <v>0</v>
      </c>
      <c r="BA275">
        <v>0</v>
      </c>
      <c r="BB275">
        <v>0</v>
      </c>
      <c r="BC275">
        <v>0</v>
      </c>
      <c r="BD275">
        <v>314</v>
      </c>
      <c r="BE275">
        <v>18579</v>
      </c>
      <c r="BF275">
        <v>25</v>
      </c>
      <c r="BG275" t="s">
        <v>89</v>
      </c>
      <c r="BH275">
        <v>314</v>
      </c>
      <c r="BI275">
        <v>18579</v>
      </c>
      <c r="BJ275">
        <v>25</v>
      </c>
      <c r="BK275">
        <f t="shared" si="38"/>
        <v>314</v>
      </c>
      <c r="BL275">
        <f t="shared" si="39"/>
        <v>18579</v>
      </c>
      <c r="BM275">
        <f t="shared" si="40"/>
        <v>25</v>
      </c>
      <c r="BN275">
        <f t="shared" si="41"/>
        <v>0</v>
      </c>
      <c r="BO275">
        <f t="shared" si="42"/>
        <v>0</v>
      </c>
      <c r="BP275">
        <f t="shared" si="43"/>
        <v>0</v>
      </c>
      <c r="BQ275" t="s">
        <v>86</v>
      </c>
      <c r="BR275" t="s">
        <v>94</v>
      </c>
      <c r="BS275" s="1">
        <v>33243</v>
      </c>
      <c r="BT275">
        <v>35</v>
      </c>
      <c r="BU275" t="s">
        <v>89</v>
      </c>
      <c r="BV275" t="s">
        <v>89</v>
      </c>
      <c r="BW275">
        <v>17</v>
      </c>
      <c r="BX275">
        <v>1991</v>
      </c>
      <c r="BY275">
        <v>16</v>
      </c>
      <c r="BZ275">
        <f t="shared" si="44"/>
        <v>-1</v>
      </c>
      <c r="CA275">
        <f t="shared" si="45"/>
        <v>1</v>
      </c>
      <c r="CB275" t="b">
        <f t="shared" si="46"/>
        <v>0</v>
      </c>
    </row>
    <row r="276" spans="1:80" x14ac:dyDescent="0.3">
      <c r="A276" t="s">
        <v>2653</v>
      </c>
      <c r="B276" t="s">
        <v>71</v>
      </c>
      <c r="C276" t="s">
        <v>2654</v>
      </c>
      <c r="D276">
        <v>36</v>
      </c>
      <c r="E276" t="s">
        <v>2655</v>
      </c>
      <c r="F276" t="s">
        <v>265</v>
      </c>
      <c r="G276" t="s">
        <v>115</v>
      </c>
      <c r="H276" t="s">
        <v>76</v>
      </c>
      <c r="I276" t="s">
        <v>1235</v>
      </c>
      <c r="J276" t="s">
        <v>78</v>
      </c>
      <c r="K276" t="s">
        <v>763</v>
      </c>
      <c r="L276" t="s">
        <v>163</v>
      </c>
      <c r="M276">
        <v>17</v>
      </c>
      <c r="N276" t="s">
        <v>118</v>
      </c>
      <c r="O276">
        <v>2006</v>
      </c>
      <c r="P276" t="s">
        <v>2656</v>
      </c>
      <c r="Q276" t="s">
        <v>2657</v>
      </c>
      <c r="R276">
        <v>59561</v>
      </c>
      <c r="S276" t="s">
        <v>2658</v>
      </c>
      <c r="T276" t="s">
        <v>2659</v>
      </c>
      <c r="U276">
        <v>1989</v>
      </c>
      <c r="V276" t="s">
        <v>2660</v>
      </c>
      <c r="W276">
        <v>1.82</v>
      </c>
      <c r="X276" t="s">
        <v>76</v>
      </c>
      <c r="Y276" t="s">
        <v>86</v>
      </c>
      <c r="Z276" t="s">
        <v>87</v>
      </c>
      <c r="AA276" t="s">
        <v>763</v>
      </c>
      <c r="AB276">
        <v>44173</v>
      </c>
      <c r="AC276" t="s">
        <v>170</v>
      </c>
      <c r="AD276" t="s">
        <v>89</v>
      </c>
      <c r="AE276" t="s">
        <v>2661</v>
      </c>
      <c r="AF276">
        <v>19</v>
      </c>
      <c r="AG276" t="s">
        <v>91</v>
      </c>
      <c r="AH276" t="s">
        <v>626</v>
      </c>
      <c r="AI276">
        <v>17</v>
      </c>
      <c r="AJ276" t="s">
        <v>110</v>
      </c>
      <c r="AK276">
        <v>17</v>
      </c>
      <c r="AL276">
        <v>6</v>
      </c>
      <c r="AM276">
        <v>109</v>
      </c>
      <c r="AN276">
        <v>24</v>
      </c>
      <c r="AO276">
        <v>6</v>
      </c>
      <c r="AP276" t="s">
        <v>93</v>
      </c>
      <c r="AQ276" t="s">
        <v>89</v>
      </c>
      <c r="AR276" t="s">
        <v>89</v>
      </c>
      <c r="AS276" t="s">
        <v>93</v>
      </c>
      <c r="AT276" t="s">
        <v>89</v>
      </c>
      <c r="AU276" t="s">
        <v>89</v>
      </c>
      <c r="AV276" t="s">
        <v>89</v>
      </c>
      <c r="AW276">
        <v>19</v>
      </c>
      <c r="AX276">
        <v>10</v>
      </c>
      <c r="AY276" t="s">
        <v>111</v>
      </c>
      <c r="AZ276">
        <v>2</v>
      </c>
      <c r="BA276">
        <v>4</v>
      </c>
      <c r="BB276">
        <v>265</v>
      </c>
      <c r="BC276">
        <v>0</v>
      </c>
      <c r="BD276">
        <v>696</v>
      </c>
      <c r="BE276">
        <v>52860</v>
      </c>
      <c r="BF276">
        <v>88</v>
      </c>
      <c r="BG276" t="s">
        <v>89</v>
      </c>
      <c r="BH276">
        <v>700</v>
      </c>
      <c r="BI276">
        <v>53125</v>
      </c>
      <c r="BJ276">
        <v>88</v>
      </c>
      <c r="BK276">
        <f t="shared" si="38"/>
        <v>700</v>
      </c>
      <c r="BL276">
        <f t="shared" si="39"/>
        <v>53125</v>
      </c>
      <c r="BM276">
        <f t="shared" si="40"/>
        <v>88</v>
      </c>
      <c r="BN276">
        <f t="shared" si="41"/>
        <v>0</v>
      </c>
      <c r="BO276">
        <f t="shared" si="42"/>
        <v>0</v>
      </c>
      <c r="BP276">
        <f t="shared" si="43"/>
        <v>0</v>
      </c>
      <c r="BQ276" t="s">
        <v>86</v>
      </c>
      <c r="BR276" t="s">
        <v>94</v>
      </c>
      <c r="BS276" s="1">
        <v>32614</v>
      </c>
      <c r="BT276">
        <v>36</v>
      </c>
      <c r="BU276" t="s">
        <v>89</v>
      </c>
      <c r="BV276" t="s">
        <v>89</v>
      </c>
      <c r="BW276">
        <v>19</v>
      </c>
      <c r="BX276">
        <v>1989</v>
      </c>
      <c r="BY276">
        <v>19</v>
      </c>
      <c r="BZ276">
        <f t="shared" si="44"/>
        <v>0</v>
      </c>
      <c r="CA276">
        <f t="shared" si="45"/>
        <v>0</v>
      </c>
      <c r="CB276" t="b">
        <f t="shared" si="46"/>
        <v>1</v>
      </c>
    </row>
    <row r="277" spans="1:80" x14ac:dyDescent="0.3">
      <c r="A277" t="s">
        <v>2662</v>
      </c>
      <c r="B277" t="s">
        <v>71</v>
      </c>
      <c r="C277" t="s">
        <v>2663</v>
      </c>
      <c r="D277">
        <v>32</v>
      </c>
      <c r="E277">
        <v>33899</v>
      </c>
      <c r="F277" t="s">
        <v>89</v>
      </c>
      <c r="G277" t="s">
        <v>413</v>
      </c>
      <c r="H277" t="s">
        <v>89</v>
      </c>
      <c r="I277" t="s">
        <v>195</v>
      </c>
      <c r="J277" t="s">
        <v>300</v>
      </c>
      <c r="K277" t="s">
        <v>89</v>
      </c>
      <c r="L277" t="s">
        <v>324</v>
      </c>
      <c r="M277">
        <v>20</v>
      </c>
      <c r="N277" t="s">
        <v>1858</v>
      </c>
      <c r="O277">
        <v>2013</v>
      </c>
      <c r="P277" t="s">
        <v>2664</v>
      </c>
      <c r="Q277" t="s">
        <v>2665</v>
      </c>
      <c r="R277">
        <v>240039</v>
      </c>
      <c r="S277" t="s">
        <v>2666</v>
      </c>
      <c r="T277" t="s">
        <v>2667</v>
      </c>
      <c r="U277">
        <v>1992</v>
      </c>
      <c r="V277" t="s">
        <v>234</v>
      </c>
      <c r="W277">
        <v>1.83</v>
      </c>
      <c r="X277" t="s">
        <v>76</v>
      </c>
      <c r="Y277" t="s">
        <v>203</v>
      </c>
      <c r="Z277" t="s">
        <v>152</v>
      </c>
      <c r="AA277" t="s">
        <v>476</v>
      </c>
      <c r="AB277" s="1">
        <v>45298</v>
      </c>
      <c r="AC277" t="s">
        <v>108</v>
      </c>
      <c r="AD277" t="s">
        <v>89</v>
      </c>
      <c r="AE277" t="s">
        <v>1506</v>
      </c>
      <c r="AF277">
        <v>21</v>
      </c>
      <c r="AG277" t="s">
        <v>91</v>
      </c>
      <c r="AH277">
        <v>41673</v>
      </c>
      <c r="AI277">
        <v>21</v>
      </c>
      <c r="AJ277" t="s">
        <v>110</v>
      </c>
      <c r="AK277">
        <v>21</v>
      </c>
      <c r="AL277">
        <v>1</v>
      </c>
      <c r="AM277">
        <v>387</v>
      </c>
      <c r="AN277">
        <v>56</v>
      </c>
      <c r="AO277">
        <v>1</v>
      </c>
      <c r="AP277" t="s">
        <v>93</v>
      </c>
      <c r="AQ277" t="s">
        <v>89</v>
      </c>
      <c r="AR277" t="s">
        <v>89</v>
      </c>
      <c r="AS277" t="s">
        <v>93</v>
      </c>
      <c r="AT277" t="s">
        <v>89</v>
      </c>
      <c r="AU277" t="s">
        <v>89</v>
      </c>
      <c r="AV277" t="s">
        <v>89</v>
      </c>
      <c r="AW277">
        <v>12</v>
      </c>
      <c r="AX277" t="s">
        <v>89</v>
      </c>
      <c r="AY277" t="s">
        <v>93</v>
      </c>
      <c r="AZ277">
        <v>0</v>
      </c>
      <c r="BA277">
        <v>0</v>
      </c>
      <c r="BB277">
        <v>0</v>
      </c>
      <c r="BC277">
        <v>0</v>
      </c>
      <c r="BD277">
        <v>129</v>
      </c>
      <c r="BE277">
        <v>10333</v>
      </c>
      <c r="BF277">
        <v>3</v>
      </c>
      <c r="BG277" t="s">
        <v>89</v>
      </c>
      <c r="BH277">
        <v>129</v>
      </c>
      <c r="BI277">
        <v>10333</v>
      </c>
      <c r="BJ277">
        <v>3</v>
      </c>
      <c r="BK277">
        <f t="shared" si="38"/>
        <v>129</v>
      </c>
      <c r="BL277">
        <f t="shared" si="39"/>
        <v>10333</v>
      </c>
      <c r="BM277">
        <f t="shared" si="40"/>
        <v>3</v>
      </c>
      <c r="BN277">
        <f t="shared" si="41"/>
        <v>0</v>
      </c>
      <c r="BO277">
        <f t="shared" si="42"/>
        <v>0</v>
      </c>
      <c r="BP277">
        <f t="shared" si="43"/>
        <v>0</v>
      </c>
      <c r="BQ277" t="s">
        <v>203</v>
      </c>
      <c r="BR277" t="s">
        <v>140</v>
      </c>
      <c r="BS277" s="1">
        <v>33899</v>
      </c>
      <c r="BT277">
        <v>33</v>
      </c>
      <c r="BU277" t="s">
        <v>89</v>
      </c>
      <c r="BV277" t="s">
        <v>89</v>
      </c>
      <c r="BW277">
        <v>12</v>
      </c>
      <c r="BX277">
        <v>1992</v>
      </c>
      <c r="BY277">
        <v>11</v>
      </c>
      <c r="BZ277">
        <f t="shared" si="44"/>
        <v>0</v>
      </c>
      <c r="CA277">
        <f t="shared" si="45"/>
        <v>1</v>
      </c>
      <c r="CB277" t="b">
        <f t="shared" si="46"/>
        <v>1</v>
      </c>
    </row>
    <row r="278" spans="1:80" x14ac:dyDescent="0.3">
      <c r="A278" t="s">
        <v>2668</v>
      </c>
      <c r="B278" t="s">
        <v>71</v>
      </c>
      <c r="C278" t="s">
        <v>2669</v>
      </c>
      <c r="D278">
        <v>32</v>
      </c>
      <c r="E278" s="1">
        <v>34110</v>
      </c>
      <c r="F278" t="s">
        <v>89</v>
      </c>
      <c r="G278" t="s">
        <v>193</v>
      </c>
      <c r="H278" t="s">
        <v>76</v>
      </c>
      <c r="I278" t="s">
        <v>178</v>
      </c>
      <c r="J278" t="s">
        <v>89</v>
      </c>
      <c r="K278" t="s">
        <v>89</v>
      </c>
      <c r="L278" t="s">
        <v>278</v>
      </c>
      <c r="M278">
        <v>18</v>
      </c>
      <c r="N278" t="s">
        <v>416</v>
      </c>
      <c r="O278">
        <v>2011</v>
      </c>
      <c r="P278" t="s">
        <v>2670</v>
      </c>
      <c r="Q278" t="s">
        <v>2671</v>
      </c>
      <c r="R278">
        <v>171170</v>
      </c>
      <c r="S278" t="s">
        <v>2672</v>
      </c>
      <c r="T278" t="s">
        <v>2673</v>
      </c>
      <c r="U278">
        <v>1993</v>
      </c>
      <c r="V278" t="s">
        <v>2674</v>
      </c>
      <c r="W278">
        <v>1.85</v>
      </c>
      <c r="X278" t="s">
        <v>76</v>
      </c>
      <c r="Y278" t="s">
        <v>186</v>
      </c>
      <c r="Z278" t="s">
        <v>87</v>
      </c>
      <c r="AA278" t="s">
        <v>2227</v>
      </c>
      <c r="AB278" s="1">
        <v>45664</v>
      </c>
      <c r="AC278" t="s">
        <v>170</v>
      </c>
      <c r="AD278" t="s">
        <v>89</v>
      </c>
      <c r="AE278">
        <v>41156</v>
      </c>
      <c r="AF278">
        <v>18</v>
      </c>
      <c r="AG278" t="s">
        <v>91</v>
      </c>
      <c r="AH278" t="s">
        <v>2675</v>
      </c>
      <c r="AI278">
        <v>19</v>
      </c>
      <c r="AJ278" t="s">
        <v>110</v>
      </c>
      <c r="AK278">
        <v>18</v>
      </c>
      <c r="AL278" t="s">
        <v>89</v>
      </c>
      <c r="AM278" t="s">
        <v>89</v>
      </c>
      <c r="AN278" t="s">
        <v>89</v>
      </c>
      <c r="AO278">
        <v>0</v>
      </c>
      <c r="AP278" t="s">
        <v>93</v>
      </c>
      <c r="AQ278" t="s">
        <v>89</v>
      </c>
      <c r="AR278" t="s">
        <v>89</v>
      </c>
      <c r="AS278" t="s">
        <v>93</v>
      </c>
      <c r="AT278" t="s">
        <v>89</v>
      </c>
      <c r="AU278" t="s">
        <v>89</v>
      </c>
      <c r="AV278" t="s">
        <v>89</v>
      </c>
      <c r="AW278">
        <v>14</v>
      </c>
      <c r="AX278" t="s">
        <v>89</v>
      </c>
      <c r="AY278" t="s">
        <v>93</v>
      </c>
      <c r="AZ278">
        <v>0</v>
      </c>
      <c r="BA278">
        <v>0</v>
      </c>
      <c r="BB278">
        <v>0</v>
      </c>
      <c r="BC278">
        <v>0</v>
      </c>
      <c r="BD278">
        <v>45</v>
      </c>
      <c r="BE278">
        <v>3961</v>
      </c>
      <c r="BF278">
        <v>0</v>
      </c>
      <c r="BG278" t="s">
        <v>89</v>
      </c>
      <c r="BH278">
        <v>45</v>
      </c>
      <c r="BI278">
        <v>3961</v>
      </c>
      <c r="BJ278">
        <v>0</v>
      </c>
      <c r="BK278">
        <f t="shared" si="38"/>
        <v>45</v>
      </c>
      <c r="BL278">
        <f t="shared" si="39"/>
        <v>3961</v>
      </c>
      <c r="BM278">
        <f t="shared" si="40"/>
        <v>0</v>
      </c>
      <c r="BN278">
        <f t="shared" si="41"/>
        <v>0</v>
      </c>
      <c r="BO278">
        <f t="shared" si="42"/>
        <v>0</v>
      </c>
      <c r="BP278">
        <f t="shared" si="43"/>
        <v>0</v>
      </c>
      <c r="BQ278" t="s">
        <v>186</v>
      </c>
      <c r="BR278" t="s">
        <v>186</v>
      </c>
      <c r="BS278" s="1">
        <v>34110</v>
      </c>
      <c r="BT278">
        <v>32</v>
      </c>
      <c r="BU278" t="s">
        <v>89</v>
      </c>
      <c r="BV278" t="s">
        <v>89</v>
      </c>
      <c r="BW278">
        <v>14</v>
      </c>
      <c r="BX278">
        <v>1993</v>
      </c>
      <c r="BY278">
        <v>14</v>
      </c>
      <c r="BZ278">
        <f t="shared" si="44"/>
        <v>0</v>
      </c>
      <c r="CA278">
        <f t="shared" si="45"/>
        <v>0</v>
      </c>
      <c r="CB278" t="b">
        <f t="shared" si="46"/>
        <v>1</v>
      </c>
    </row>
    <row r="279" spans="1:80" x14ac:dyDescent="0.3">
      <c r="A279" t="s">
        <v>2676</v>
      </c>
      <c r="B279" t="s">
        <v>2677</v>
      </c>
      <c r="C279" t="s">
        <v>2678</v>
      </c>
      <c r="D279">
        <v>43</v>
      </c>
      <c r="E279" s="1">
        <v>29922</v>
      </c>
      <c r="F279" t="s">
        <v>89</v>
      </c>
      <c r="G279" t="s">
        <v>518</v>
      </c>
      <c r="H279" t="s">
        <v>2679</v>
      </c>
      <c r="I279" t="s">
        <v>322</v>
      </c>
      <c r="J279" t="s">
        <v>300</v>
      </c>
      <c r="K279" t="s">
        <v>89</v>
      </c>
      <c r="L279" t="s">
        <v>117</v>
      </c>
      <c r="M279">
        <v>23</v>
      </c>
      <c r="N279" t="s">
        <v>2680</v>
      </c>
      <c r="O279">
        <v>2005</v>
      </c>
      <c r="P279" t="s">
        <v>2681</v>
      </c>
      <c r="Q279" t="s">
        <v>2682</v>
      </c>
      <c r="R279">
        <v>25617</v>
      </c>
      <c r="S279" t="s">
        <v>2683</v>
      </c>
      <c r="T279" t="s">
        <v>2684</v>
      </c>
      <c r="U279">
        <v>1981</v>
      </c>
      <c r="V279" t="s">
        <v>2685</v>
      </c>
      <c r="W279">
        <v>1.72</v>
      </c>
      <c r="X279" t="s">
        <v>2679</v>
      </c>
      <c r="Y279" t="s">
        <v>203</v>
      </c>
      <c r="Z279" t="s">
        <v>152</v>
      </c>
      <c r="AA279" t="s">
        <v>2686</v>
      </c>
      <c r="AB279">
        <v>44203</v>
      </c>
      <c r="AC279" t="s">
        <v>108</v>
      </c>
      <c r="AD279" t="s">
        <v>89</v>
      </c>
      <c r="AE279" t="s">
        <v>2687</v>
      </c>
      <c r="AF279">
        <v>22</v>
      </c>
      <c r="AG279" t="s">
        <v>2688</v>
      </c>
      <c r="AH279" t="s">
        <v>92</v>
      </c>
      <c r="AI279" t="s">
        <v>89</v>
      </c>
      <c r="AJ279" t="s">
        <v>92</v>
      </c>
      <c r="AK279">
        <v>22</v>
      </c>
      <c r="AL279">
        <v>9</v>
      </c>
      <c r="AM279">
        <v>151</v>
      </c>
      <c r="AN279">
        <v>22</v>
      </c>
      <c r="AO279">
        <v>5</v>
      </c>
      <c r="AP279" t="s">
        <v>93</v>
      </c>
      <c r="AQ279" t="s">
        <v>89</v>
      </c>
      <c r="AR279" t="s">
        <v>89</v>
      </c>
      <c r="AS279" t="s">
        <v>111</v>
      </c>
      <c r="AT279">
        <v>44203</v>
      </c>
      <c r="AU279">
        <v>2021</v>
      </c>
      <c r="AV279">
        <v>16</v>
      </c>
      <c r="AW279">
        <v>16</v>
      </c>
      <c r="AX279" t="s">
        <v>89</v>
      </c>
      <c r="AY279" t="s">
        <v>111</v>
      </c>
      <c r="AZ279">
        <v>11</v>
      </c>
      <c r="BA279">
        <v>38</v>
      </c>
      <c r="BB279">
        <v>2857</v>
      </c>
      <c r="BC279">
        <v>1</v>
      </c>
      <c r="BD279">
        <v>335</v>
      </c>
      <c r="BE279">
        <v>25951</v>
      </c>
      <c r="BF279">
        <v>45</v>
      </c>
      <c r="BG279">
        <v>40</v>
      </c>
      <c r="BH279">
        <v>373</v>
      </c>
      <c r="BI279">
        <v>28808</v>
      </c>
      <c r="BJ279">
        <v>46</v>
      </c>
      <c r="BK279">
        <f t="shared" si="38"/>
        <v>373</v>
      </c>
      <c r="BL279">
        <f t="shared" si="39"/>
        <v>28808</v>
      </c>
      <c r="BM279">
        <f t="shared" si="40"/>
        <v>46</v>
      </c>
      <c r="BN279">
        <f t="shared" si="41"/>
        <v>0</v>
      </c>
      <c r="BO279">
        <f t="shared" si="42"/>
        <v>0</v>
      </c>
      <c r="BP279">
        <f t="shared" si="43"/>
        <v>0</v>
      </c>
      <c r="BQ279" t="s">
        <v>203</v>
      </c>
      <c r="BR279" t="s">
        <v>140</v>
      </c>
      <c r="BS279" t="s">
        <v>89</v>
      </c>
      <c r="BT279">
        <v>45</v>
      </c>
      <c r="BU279">
        <v>44203</v>
      </c>
      <c r="BV279" t="s">
        <v>89</v>
      </c>
      <c r="BW279">
        <v>18</v>
      </c>
      <c r="BX279">
        <v>1981</v>
      </c>
      <c r="BY279">
        <v>18</v>
      </c>
      <c r="BZ279">
        <f t="shared" si="44"/>
        <v>-2</v>
      </c>
      <c r="CA279">
        <f t="shared" si="45"/>
        <v>0</v>
      </c>
      <c r="CB279" t="b">
        <f t="shared" si="46"/>
        <v>0</v>
      </c>
    </row>
    <row r="280" spans="1:80" x14ac:dyDescent="0.3">
      <c r="A280" t="s">
        <v>2689</v>
      </c>
      <c r="B280" t="s">
        <v>1618</v>
      </c>
      <c r="C280" t="s">
        <v>2690</v>
      </c>
      <c r="D280">
        <v>41</v>
      </c>
      <c r="E280" s="1">
        <v>30659</v>
      </c>
      <c r="F280" t="s">
        <v>89</v>
      </c>
      <c r="G280" t="s">
        <v>413</v>
      </c>
      <c r="H280" t="s">
        <v>1622</v>
      </c>
      <c r="I280" t="s">
        <v>2691</v>
      </c>
      <c r="J280" t="s">
        <v>78</v>
      </c>
      <c r="K280" t="s">
        <v>89</v>
      </c>
      <c r="L280" t="s">
        <v>845</v>
      </c>
      <c r="M280">
        <v>18</v>
      </c>
      <c r="N280" t="s">
        <v>2692</v>
      </c>
      <c r="O280">
        <v>2002</v>
      </c>
      <c r="P280" t="s">
        <v>2693</v>
      </c>
      <c r="Q280" t="s">
        <v>2694</v>
      </c>
      <c r="R280">
        <v>24502</v>
      </c>
      <c r="S280" t="s">
        <v>2689</v>
      </c>
      <c r="T280">
        <v>30571</v>
      </c>
      <c r="U280">
        <v>1983</v>
      </c>
      <c r="V280" t="s">
        <v>2695</v>
      </c>
      <c r="W280">
        <v>1.84</v>
      </c>
      <c r="X280" t="s">
        <v>1622</v>
      </c>
      <c r="Y280" t="s">
        <v>259</v>
      </c>
      <c r="Z280" t="s">
        <v>87</v>
      </c>
      <c r="AA280" t="s">
        <v>2696</v>
      </c>
      <c r="AB280" s="1">
        <v>43472</v>
      </c>
      <c r="AC280" t="s">
        <v>108</v>
      </c>
      <c r="AD280" t="s">
        <v>442</v>
      </c>
      <c r="AE280" t="s">
        <v>2697</v>
      </c>
      <c r="AF280">
        <v>16</v>
      </c>
      <c r="AG280" t="s">
        <v>2698</v>
      </c>
      <c r="AH280" t="s">
        <v>675</v>
      </c>
      <c r="AI280">
        <v>29</v>
      </c>
      <c r="AJ280" t="s">
        <v>855</v>
      </c>
      <c r="AK280">
        <v>16</v>
      </c>
      <c r="AL280">
        <v>4</v>
      </c>
      <c r="AM280">
        <v>162</v>
      </c>
      <c r="AN280">
        <v>27</v>
      </c>
      <c r="AO280">
        <v>3</v>
      </c>
      <c r="AP280" t="s">
        <v>93</v>
      </c>
      <c r="AQ280" t="s">
        <v>89</v>
      </c>
      <c r="AR280" t="s">
        <v>89</v>
      </c>
      <c r="AS280" t="s">
        <v>111</v>
      </c>
      <c r="AT280">
        <v>43472</v>
      </c>
      <c r="AU280">
        <v>2019</v>
      </c>
      <c r="AV280">
        <v>17</v>
      </c>
      <c r="AW280">
        <v>17</v>
      </c>
      <c r="AX280" t="s">
        <v>89</v>
      </c>
      <c r="AY280" t="s">
        <v>111</v>
      </c>
      <c r="AZ280">
        <v>5</v>
      </c>
      <c r="BA280">
        <v>20</v>
      </c>
      <c r="BB280">
        <v>1688</v>
      </c>
      <c r="BC280">
        <v>1</v>
      </c>
      <c r="BD280">
        <v>323</v>
      </c>
      <c r="BE280">
        <v>26632</v>
      </c>
      <c r="BF280">
        <v>11</v>
      </c>
      <c r="BG280">
        <v>36</v>
      </c>
      <c r="BH280">
        <v>343</v>
      </c>
      <c r="BI280">
        <v>28320</v>
      </c>
      <c r="BJ280">
        <v>12</v>
      </c>
      <c r="BK280">
        <f t="shared" si="38"/>
        <v>343</v>
      </c>
      <c r="BL280">
        <f t="shared" si="39"/>
        <v>28320</v>
      </c>
      <c r="BM280">
        <f t="shared" si="40"/>
        <v>12</v>
      </c>
      <c r="BN280">
        <f t="shared" si="41"/>
        <v>0</v>
      </c>
      <c r="BO280">
        <f t="shared" si="42"/>
        <v>0</v>
      </c>
      <c r="BP280">
        <f t="shared" si="43"/>
        <v>0</v>
      </c>
      <c r="BQ280" t="s">
        <v>259</v>
      </c>
      <c r="BR280" t="s">
        <v>94</v>
      </c>
      <c r="BS280" t="s">
        <v>89</v>
      </c>
      <c r="BT280">
        <v>43</v>
      </c>
      <c r="BU280">
        <v>43472</v>
      </c>
      <c r="BV280" t="s">
        <v>89</v>
      </c>
      <c r="BW280">
        <v>20</v>
      </c>
      <c r="BX280">
        <v>1983</v>
      </c>
      <c r="BY280">
        <v>20</v>
      </c>
      <c r="BZ280">
        <f t="shared" si="44"/>
        <v>-3</v>
      </c>
      <c r="CA280">
        <f t="shared" si="45"/>
        <v>0</v>
      </c>
      <c r="CB280" t="b">
        <f t="shared" si="46"/>
        <v>0</v>
      </c>
    </row>
    <row r="281" spans="1:80" x14ac:dyDescent="0.3">
      <c r="A281" t="s">
        <v>2699</v>
      </c>
      <c r="B281" t="s">
        <v>1305</v>
      </c>
      <c r="C281" t="s">
        <v>2700</v>
      </c>
      <c r="D281">
        <v>32</v>
      </c>
      <c r="E281" t="s">
        <v>2701</v>
      </c>
      <c r="F281" t="s">
        <v>2702</v>
      </c>
      <c r="G281" t="s">
        <v>211</v>
      </c>
      <c r="H281" t="s">
        <v>1307</v>
      </c>
      <c r="I281" t="s">
        <v>386</v>
      </c>
      <c r="J281" t="s">
        <v>78</v>
      </c>
      <c r="K281" t="s">
        <v>2703</v>
      </c>
      <c r="L281" t="s">
        <v>80</v>
      </c>
      <c r="M281">
        <v>19</v>
      </c>
      <c r="N281" t="s">
        <v>229</v>
      </c>
      <c r="O281">
        <v>2012</v>
      </c>
      <c r="P281" t="s">
        <v>2704</v>
      </c>
      <c r="Q281" t="s">
        <v>2705</v>
      </c>
      <c r="R281">
        <v>211251</v>
      </c>
      <c r="S281" t="s">
        <v>2699</v>
      </c>
      <c r="T281" s="1">
        <v>34152</v>
      </c>
      <c r="U281">
        <v>1993</v>
      </c>
      <c r="V281" t="s">
        <v>2706</v>
      </c>
      <c r="W281">
        <v>1.71</v>
      </c>
      <c r="X281" t="s">
        <v>1313</v>
      </c>
      <c r="Y281" t="s">
        <v>391</v>
      </c>
      <c r="Z281" t="s">
        <v>87</v>
      </c>
      <c r="AA281" t="s">
        <v>2707</v>
      </c>
      <c r="AB281">
        <v>45846</v>
      </c>
      <c r="AC281" t="s">
        <v>222</v>
      </c>
      <c r="AD281" t="s">
        <v>89</v>
      </c>
      <c r="AE281" t="s">
        <v>2708</v>
      </c>
      <c r="AF281">
        <v>18</v>
      </c>
      <c r="AG281">
        <v>0</v>
      </c>
      <c r="AH281">
        <v>41549</v>
      </c>
      <c r="AI281">
        <v>20</v>
      </c>
      <c r="AJ281" t="s">
        <v>615</v>
      </c>
      <c r="AK281">
        <v>18</v>
      </c>
      <c r="AL281">
        <v>4</v>
      </c>
      <c r="AM281">
        <v>142</v>
      </c>
      <c r="AN281">
        <v>22</v>
      </c>
      <c r="AO281">
        <v>4</v>
      </c>
      <c r="AP281" t="s">
        <v>93</v>
      </c>
      <c r="AQ281" t="s">
        <v>89</v>
      </c>
      <c r="AR281" t="s">
        <v>89</v>
      </c>
      <c r="AS281" t="s">
        <v>93</v>
      </c>
      <c r="AT281" t="s">
        <v>89</v>
      </c>
      <c r="AU281" t="s">
        <v>89</v>
      </c>
      <c r="AV281" t="s">
        <v>89</v>
      </c>
      <c r="AW281">
        <v>13</v>
      </c>
      <c r="AX281">
        <v>11</v>
      </c>
      <c r="AY281" t="s">
        <v>111</v>
      </c>
      <c r="AZ281">
        <v>9</v>
      </c>
      <c r="BA281">
        <v>43</v>
      </c>
      <c r="BB281">
        <v>2648</v>
      </c>
      <c r="BC281">
        <v>9</v>
      </c>
      <c r="BD281">
        <v>322</v>
      </c>
      <c r="BE281">
        <v>18906</v>
      </c>
      <c r="BF281">
        <v>61</v>
      </c>
      <c r="BG281" t="s">
        <v>89</v>
      </c>
      <c r="BH281">
        <v>365</v>
      </c>
      <c r="BI281">
        <v>21554</v>
      </c>
      <c r="BJ281">
        <v>70</v>
      </c>
      <c r="BK281">
        <f t="shared" si="38"/>
        <v>365</v>
      </c>
      <c r="BL281">
        <f t="shared" si="39"/>
        <v>21554</v>
      </c>
      <c r="BM281">
        <f t="shared" si="40"/>
        <v>70</v>
      </c>
      <c r="BN281">
        <f t="shared" si="41"/>
        <v>0</v>
      </c>
      <c r="BO281">
        <f t="shared" si="42"/>
        <v>0</v>
      </c>
      <c r="BP281">
        <f t="shared" si="43"/>
        <v>0</v>
      </c>
      <c r="BQ281" t="s">
        <v>391</v>
      </c>
      <c r="BR281" t="s">
        <v>112</v>
      </c>
      <c r="BS281" s="1">
        <v>34007</v>
      </c>
      <c r="BT281">
        <v>33</v>
      </c>
      <c r="BU281" t="s">
        <v>89</v>
      </c>
      <c r="BV281" t="s">
        <v>89</v>
      </c>
      <c r="BW281">
        <v>15</v>
      </c>
      <c r="BX281">
        <v>1993</v>
      </c>
      <c r="BY281">
        <v>14</v>
      </c>
      <c r="BZ281">
        <f t="shared" si="44"/>
        <v>-2</v>
      </c>
      <c r="CA281">
        <f t="shared" si="45"/>
        <v>1</v>
      </c>
      <c r="CB281" t="b">
        <f t="shared" si="46"/>
        <v>0</v>
      </c>
    </row>
    <row r="282" spans="1:80" x14ac:dyDescent="0.3">
      <c r="A282" t="s">
        <v>2709</v>
      </c>
      <c r="B282" t="s">
        <v>156</v>
      </c>
      <c r="C282" t="s">
        <v>2710</v>
      </c>
      <c r="D282">
        <v>39</v>
      </c>
      <c r="E282" s="1">
        <v>31608</v>
      </c>
      <c r="F282" t="s">
        <v>89</v>
      </c>
      <c r="G282" t="s">
        <v>277</v>
      </c>
      <c r="H282" t="s">
        <v>177</v>
      </c>
      <c r="I282" t="s">
        <v>414</v>
      </c>
      <c r="J282" t="s">
        <v>78</v>
      </c>
      <c r="K282" t="s">
        <v>89</v>
      </c>
      <c r="L282" t="s">
        <v>180</v>
      </c>
      <c r="M282">
        <v>21</v>
      </c>
      <c r="N282" t="s">
        <v>1831</v>
      </c>
      <c r="O282">
        <v>2007</v>
      </c>
      <c r="P282" t="s">
        <v>2711</v>
      </c>
      <c r="Q282" t="s">
        <v>2712</v>
      </c>
      <c r="R282">
        <v>58178</v>
      </c>
      <c r="S282" t="s">
        <v>2709</v>
      </c>
      <c r="T282" t="s">
        <v>2713</v>
      </c>
      <c r="U282">
        <v>1986</v>
      </c>
      <c r="V282" t="s">
        <v>2714</v>
      </c>
      <c r="W282" t="s">
        <v>89</v>
      </c>
      <c r="X282" t="s">
        <v>169</v>
      </c>
      <c r="Y282" t="s">
        <v>235</v>
      </c>
      <c r="Z282" t="s">
        <v>89</v>
      </c>
      <c r="AA282" t="s">
        <v>2715</v>
      </c>
      <c r="AB282" s="1">
        <v>44562</v>
      </c>
      <c r="AC282" t="s">
        <v>108</v>
      </c>
      <c r="AD282" t="s">
        <v>442</v>
      </c>
      <c r="AE282" t="s">
        <v>2716</v>
      </c>
      <c r="AF282">
        <v>17</v>
      </c>
      <c r="AG282" t="s">
        <v>171</v>
      </c>
      <c r="AH282" t="s">
        <v>449</v>
      </c>
      <c r="AI282">
        <v>21</v>
      </c>
      <c r="AJ282" t="s">
        <v>110</v>
      </c>
      <c r="AK282">
        <v>17</v>
      </c>
      <c r="AL282">
        <v>34</v>
      </c>
      <c r="AM282">
        <v>502</v>
      </c>
      <c r="AN282">
        <v>62</v>
      </c>
      <c r="AO282">
        <v>12</v>
      </c>
      <c r="AP282" t="s">
        <v>93</v>
      </c>
      <c r="AQ282" t="s">
        <v>89</v>
      </c>
      <c r="AR282" t="s">
        <v>89</v>
      </c>
      <c r="AS282" t="s">
        <v>111</v>
      </c>
      <c r="AT282" s="1">
        <v>44562</v>
      </c>
      <c r="AU282">
        <v>2022</v>
      </c>
      <c r="AV282">
        <v>15</v>
      </c>
      <c r="AW282">
        <v>15</v>
      </c>
      <c r="AX282" t="s">
        <v>89</v>
      </c>
      <c r="AY282" t="s">
        <v>93</v>
      </c>
      <c r="AZ282">
        <v>0</v>
      </c>
      <c r="BA282">
        <v>0</v>
      </c>
      <c r="BB282">
        <v>0</v>
      </c>
      <c r="BC282">
        <v>0</v>
      </c>
      <c r="BD282">
        <v>395</v>
      </c>
      <c r="BE282">
        <v>33568</v>
      </c>
      <c r="BF282">
        <v>19</v>
      </c>
      <c r="BG282">
        <v>36</v>
      </c>
      <c r="BH282">
        <v>395</v>
      </c>
      <c r="BI282">
        <v>33568</v>
      </c>
      <c r="BJ282">
        <v>19</v>
      </c>
      <c r="BK282">
        <f t="shared" si="38"/>
        <v>395</v>
      </c>
      <c r="BL282">
        <f t="shared" si="39"/>
        <v>33568</v>
      </c>
      <c r="BM282">
        <f t="shared" si="40"/>
        <v>19</v>
      </c>
      <c r="BN282">
        <f t="shared" si="41"/>
        <v>0</v>
      </c>
      <c r="BO282">
        <f t="shared" si="42"/>
        <v>0</v>
      </c>
      <c r="BP282">
        <f t="shared" si="43"/>
        <v>0</v>
      </c>
      <c r="BQ282" t="s">
        <v>235</v>
      </c>
      <c r="BR282" t="s">
        <v>140</v>
      </c>
      <c r="BS282" s="1">
        <v>31608</v>
      </c>
      <c r="BT282">
        <v>39</v>
      </c>
      <c r="BU282" s="1">
        <v>44562</v>
      </c>
      <c r="BV282" s="1">
        <v>44562</v>
      </c>
      <c r="BW282">
        <v>19</v>
      </c>
      <c r="BX282">
        <v>1986</v>
      </c>
      <c r="BY282">
        <v>19</v>
      </c>
      <c r="BZ282">
        <f t="shared" si="44"/>
        <v>-4</v>
      </c>
      <c r="CA282">
        <f t="shared" si="45"/>
        <v>0</v>
      </c>
      <c r="CB282" t="b">
        <f t="shared" si="46"/>
        <v>0</v>
      </c>
    </row>
    <row r="283" spans="1:80" x14ac:dyDescent="0.3">
      <c r="A283" t="s">
        <v>2717</v>
      </c>
      <c r="B283" t="s">
        <v>71</v>
      </c>
      <c r="C283" t="s">
        <v>2718</v>
      </c>
      <c r="D283">
        <v>47</v>
      </c>
      <c r="E283" s="1">
        <v>28369</v>
      </c>
      <c r="F283" t="s">
        <v>89</v>
      </c>
      <c r="G283" t="s">
        <v>97</v>
      </c>
      <c r="H283" t="s">
        <v>76</v>
      </c>
      <c r="I283" t="s">
        <v>2719</v>
      </c>
      <c r="J283" t="s">
        <v>89</v>
      </c>
      <c r="K283" t="s">
        <v>89</v>
      </c>
      <c r="L283" t="s">
        <v>1919</v>
      </c>
      <c r="M283">
        <v>19</v>
      </c>
      <c r="N283" t="s">
        <v>214</v>
      </c>
      <c r="O283">
        <v>1997</v>
      </c>
      <c r="P283" t="s">
        <v>2720</v>
      </c>
      <c r="Q283" t="s">
        <v>2721</v>
      </c>
      <c r="R283">
        <v>7575</v>
      </c>
      <c r="S283" t="s">
        <v>2717</v>
      </c>
      <c r="T283">
        <v>28134</v>
      </c>
      <c r="U283">
        <v>1977</v>
      </c>
      <c r="V283" t="s">
        <v>2722</v>
      </c>
      <c r="W283">
        <v>1.82</v>
      </c>
      <c r="X283" t="s">
        <v>76</v>
      </c>
      <c r="Y283" t="s">
        <v>259</v>
      </c>
      <c r="Z283" t="s">
        <v>87</v>
      </c>
      <c r="AA283" t="s">
        <v>214</v>
      </c>
      <c r="AB283">
        <v>41463</v>
      </c>
      <c r="AC283" t="s">
        <v>108</v>
      </c>
      <c r="AD283" t="s">
        <v>89</v>
      </c>
      <c r="AE283" t="s">
        <v>2723</v>
      </c>
      <c r="AF283">
        <v>20</v>
      </c>
      <c r="AG283" t="s">
        <v>91</v>
      </c>
      <c r="AH283" t="s">
        <v>2724</v>
      </c>
      <c r="AI283">
        <v>19</v>
      </c>
      <c r="AJ283" t="s">
        <v>110</v>
      </c>
      <c r="AK283">
        <v>19</v>
      </c>
      <c r="AL283">
        <v>4</v>
      </c>
      <c r="AM283">
        <v>105</v>
      </c>
      <c r="AN283">
        <v>19</v>
      </c>
      <c r="AO283">
        <v>4</v>
      </c>
      <c r="AP283" t="s">
        <v>93</v>
      </c>
      <c r="AQ283" t="s">
        <v>89</v>
      </c>
      <c r="AR283" t="s">
        <v>89</v>
      </c>
      <c r="AS283" t="s">
        <v>111</v>
      </c>
      <c r="AT283">
        <v>41463</v>
      </c>
      <c r="AU283">
        <v>2013</v>
      </c>
      <c r="AV283">
        <v>16</v>
      </c>
      <c r="AW283">
        <v>16</v>
      </c>
      <c r="AX283" t="s">
        <v>89</v>
      </c>
      <c r="AY283" t="s">
        <v>111</v>
      </c>
      <c r="AZ283">
        <v>5</v>
      </c>
      <c r="BA283">
        <v>26</v>
      </c>
      <c r="BB283">
        <v>1925</v>
      </c>
      <c r="BC283">
        <v>0</v>
      </c>
      <c r="BD283">
        <v>474</v>
      </c>
      <c r="BE283">
        <v>36464</v>
      </c>
      <c r="BF283">
        <v>11</v>
      </c>
      <c r="BG283">
        <v>36</v>
      </c>
      <c r="BH283">
        <v>500</v>
      </c>
      <c r="BI283">
        <v>38389</v>
      </c>
      <c r="BJ283">
        <v>11</v>
      </c>
      <c r="BK283">
        <f t="shared" si="38"/>
        <v>500</v>
      </c>
      <c r="BL283">
        <f t="shared" si="39"/>
        <v>38389</v>
      </c>
      <c r="BM283">
        <f t="shared" si="40"/>
        <v>11</v>
      </c>
      <c r="BN283">
        <f t="shared" si="41"/>
        <v>0</v>
      </c>
      <c r="BO283">
        <f t="shared" si="42"/>
        <v>0</v>
      </c>
      <c r="BP283">
        <f t="shared" si="43"/>
        <v>0</v>
      </c>
      <c r="BQ283" t="s">
        <v>259</v>
      </c>
      <c r="BR283" t="s">
        <v>94</v>
      </c>
      <c r="BS283" t="s">
        <v>89</v>
      </c>
      <c r="BT283">
        <v>49</v>
      </c>
      <c r="BU283">
        <v>41463</v>
      </c>
      <c r="BV283" t="s">
        <v>89</v>
      </c>
      <c r="BW283">
        <v>17</v>
      </c>
      <c r="BX283">
        <v>1977</v>
      </c>
      <c r="BY283">
        <v>17</v>
      </c>
      <c r="BZ283">
        <f t="shared" si="44"/>
        <v>-1</v>
      </c>
      <c r="CA283">
        <f t="shared" si="45"/>
        <v>0</v>
      </c>
      <c r="CB283" t="b">
        <f t="shared" si="46"/>
        <v>0</v>
      </c>
    </row>
    <row r="284" spans="1:80" x14ac:dyDescent="0.3">
      <c r="A284" t="s">
        <v>2725</v>
      </c>
      <c r="B284" t="s">
        <v>71</v>
      </c>
      <c r="C284" t="s">
        <v>2726</v>
      </c>
      <c r="D284">
        <v>42</v>
      </c>
      <c r="E284" s="1">
        <v>30446</v>
      </c>
      <c r="F284" t="s">
        <v>89</v>
      </c>
      <c r="G284" t="s">
        <v>413</v>
      </c>
      <c r="H284" t="s">
        <v>89</v>
      </c>
      <c r="I284" t="s">
        <v>437</v>
      </c>
      <c r="J284" t="s">
        <v>78</v>
      </c>
      <c r="K284" t="s">
        <v>89</v>
      </c>
      <c r="L284" t="s">
        <v>117</v>
      </c>
      <c r="M284">
        <v>22</v>
      </c>
      <c r="N284" t="s">
        <v>118</v>
      </c>
      <c r="O284">
        <v>2005</v>
      </c>
      <c r="P284" t="s">
        <v>2727</v>
      </c>
      <c r="Q284" t="s">
        <v>2728</v>
      </c>
      <c r="R284">
        <v>20346</v>
      </c>
      <c r="S284" t="s">
        <v>2725</v>
      </c>
      <c r="T284">
        <v>30594</v>
      </c>
      <c r="U284">
        <v>1983</v>
      </c>
      <c r="V284" t="s">
        <v>344</v>
      </c>
      <c r="W284">
        <v>1.8</v>
      </c>
      <c r="X284" t="s">
        <v>76</v>
      </c>
      <c r="Y284" t="s">
        <v>123</v>
      </c>
      <c r="Z284" t="s">
        <v>87</v>
      </c>
      <c r="AA284" t="s">
        <v>2729</v>
      </c>
      <c r="AB284" s="1">
        <v>44568</v>
      </c>
      <c r="AC284" t="s">
        <v>108</v>
      </c>
      <c r="AD284" t="s">
        <v>89</v>
      </c>
      <c r="AE284" t="s">
        <v>719</v>
      </c>
      <c r="AF284">
        <v>25</v>
      </c>
      <c r="AG284" t="s">
        <v>91</v>
      </c>
      <c r="AH284" t="s">
        <v>354</v>
      </c>
      <c r="AI284">
        <v>22</v>
      </c>
      <c r="AJ284" t="s">
        <v>110</v>
      </c>
      <c r="AK284">
        <v>22</v>
      </c>
      <c r="AL284">
        <v>9</v>
      </c>
      <c r="AM284">
        <v>181</v>
      </c>
      <c r="AN284">
        <v>26</v>
      </c>
      <c r="AO284">
        <v>4</v>
      </c>
      <c r="AP284" t="s">
        <v>93</v>
      </c>
      <c r="AQ284" t="s">
        <v>89</v>
      </c>
      <c r="AR284" t="s">
        <v>89</v>
      </c>
      <c r="AS284" t="s">
        <v>111</v>
      </c>
      <c r="AT284" s="1">
        <v>44568</v>
      </c>
      <c r="AU284">
        <v>2022</v>
      </c>
      <c r="AV284">
        <v>17</v>
      </c>
      <c r="AW284">
        <v>17</v>
      </c>
      <c r="AX284" t="s">
        <v>89</v>
      </c>
      <c r="AY284" t="s">
        <v>93</v>
      </c>
      <c r="AZ284">
        <v>0</v>
      </c>
      <c r="BA284">
        <v>0</v>
      </c>
      <c r="BB284">
        <v>0</v>
      </c>
      <c r="BC284">
        <v>0</v>
      </c>
      <c r="BD284">
        <v>413</v>
      </c>
      <c r="BE284">
        <v>25219</v>
      </c>
      <c r="BF284">
        <v>94</v>
      </c>
      <c r="BG284">
        <v>39</v>
      </c>
      <c r="BH284">
        <v>413</v>
      </c>
      <c r="BI284">
        <v>25219</v>
      </c>
      <c r="BJ284">
        <v>94</v>
      </c>
      <c r="BK284">
        <f t="shared" si="38"/>
        <v>413</v>
      </c>
      <c r="BL284">
        <f t="shared" si="39"/>
        <v>25219</v>
      </c>
      <c r="BM284">
        <f t="shared" si="40"/>
        <v>94</v>
      </c>
      <c r="BN284">
        <f t="shared" si="41"/>
        <v>0</v>
      </c>
      <c r="BO284">
        <f t="shared" si="42"/>
        <v>0</v>
      </c>
      <c r="BP284">
        <f t="shared" si="43"/>
        <v>0</v>
      </c>
      <c r="BQ284" t="s">
        <v>123</v>
      </c>
      <c r="BR284" t="s">
        <v>112</v>
      </c>
      <c r="BS284" t="s">
        <v>89</v>
      </c>
      <c r="BT284">
        <v>43</v>
      </c>
      <c r="BU284" s="1">
        <v>44568</v>
      </c>
      <c r="BV284" s="1">
        <v>44743</v>
      </c>
      <c r="BW284">
        <v>17</v>
      </c>
      <c r="BX284">
        <v>1983</v>
      </c>
      <c r="BY284">
        <v>17</v>
      </c>
      <c r="BZ284">
        <f t="shared" si="44"/>
        <v>0</v>
      </c>
      <c r="CA284">
        <f t="shared" si="45"/>
        <v>0</v>
      </c>
      <c r="CB284" t="b">
        <f t="shared" si="46"/>
        <v>1</v>
      </c>
    </row>
    <row r="285" spans="1:80" x14ac:dyDescent="0.3">
      <c r="A285" t="s">
        <v>2730</v>
      </c>
      <c r="B285" t="s">
        <v>71</v>
      </c>
      <c r="C285" t="s">
        <v>2731</v>
      </c>
      <c r="D285">
        <v>42</v>
      </c>
      <c r="E285">
        <v>30471</v>
      </c>
      <c r="F285" t="s">
        <v>89</v>
      </c>
      <c r="G285" t="s">
        <v>160</v>
      </c>
      <c r="H285" t="s">
        <v>89</v>
      </c>
      <c r="I285" t="s">
        <v>2732</v>
      </c>
      <c r="J285" t="s">
        <v>89</v>
      </c>
      <c r="K285" t="s">
        <v>89</v>
      </c>
      <c r="L285" t="s">
        <v>163</v>
      </c>
      <c r="M285">
        <v>23</v>
      </c>
      <c r="N285" t="s">
        <v>214</v>
      </c>
      <c r="O285">
        <v>2006</v>
      </c>
      <c r="P285" t="s">
        <v>2733</v>
      </c>
      <c r="Q285" t="s">
        <v>2734</v>
      </c>
      <c r="R285">
        <v>25041</v>
      </c>
      <c r="S285" t="s">
        <v>2735</v>
      </c>
      <c r="T285">
        <v>30414</v>
      </c>
      <c r="U285">
        <v>1983</v>
      </c>
      <c r="V285" t="s">
        <v>214</v>
      </c>
      <c r="W285">
        <v>1.77</v>
      </c>
      <c r="X285" t="s">
        <v>76</v>
      </c>
      <c r="Y285" t="s">
        <v>136</v>
      </c>
      <c r="Z285" t="s">
        <v>87</v>
      </c>
      <c r="AA285" t="s">
        <v>2736</v>
      </c>
      <c r="AB285" t="s">
        <v>2737</v>
      </c>
      <c r="AC285" t="s">
        <v>108</v>
      </c>
      <c r="AD285" t="s">
        <v>89</v>
      </c>
      <c r="AE285">
        <v>38848</v>
      </c>
      <c r="AF285">
        <v>23</v>
      </c>
      <c r="AG285" t="s">
        <v>91</v>
      </c>
      <c r="AH285" t="s">
        <v>449</v>
      </c>
      <c r="AI285">
        <v>24</v>
      </c>
      <c r="AJ285" t="s">
        <v>110</v>
      </c>
      <c r="AK285">
        <v>23</v>
      </c>
      <c r="AL285" t="s">
        <v>89</v>
      </c>
      <c r="AM285" t="s">
        <v>89</v>
      </c>
      <c r="AN285" t="s">
        <v>89</v>
      </c>
      <c r="AO285">
        <v>0</v>
      </c>
      <c r="AP285" t="s">
        <v>93</v>
      </c>
      <c r="AQ285" t="s">
        <v>89</v>
      </c>
      <c r="AR285" t="s">
        <v>89</v>
      </c>
      <c r="AS285" t="s">
        <v>111</v>
      </c>
      <c r="AT285" t="s">
        <v>2737</v>
      </c>
      <c r="AU285">
        <v>2016</v>
      </c>
      <c r="AV285">
        <v>10</v>
      </c>
      <c r="AW285">
        <v>10</v>
      </c>
      <c r="AX285" t="s">
        <v>89</v>
      </c>
      <c r="AY285" t="s">
        <v>93</v>
      </c>
      <c r="AZ285">
        <v>0</v>
      </c>
      <c r="BA285">
        <v>0</v>
      </c>
      <c r="BB285">
        <v>0</v>
      </c>
      <c r="BC285">
        <v>0</v>
      </c>
      <c r="BD285">
        <v>108</v>
      </c>
      <c r="BE285">
        <v>8359</v>
      </c>
      <c r="BF285">
        <v>0</v>
      </c>
      <c r="BG285">
        <v>33</v>
      </c>
      <c r="BH285">
        <v>108</v>
      </c>
      <c r="BI285">
        <v>8359</v>
      </c>
      <c r="BJ285">
        <v>0</v>
      </c>
      <c r="BK285">
        <f t="shared" si="38"/>
        <v>108</v>
      </c>
      <c r="BL285">
        <f t="shared" si="39"/>
        <v>8359</v>
      </c>
      <c r="BM285">
        <f t="shared" si="40"/>
        <v>0</v>
      </c>
      <c r="BN285">
        <f t="shared" si="41"/>
        <v>0</v>
      </c>
      <c r="BO285">
        <f t="shared" si="42"/>
        <v>0</v>
      </c>
      <c r="BP285">
        <f t="shared" si="43"/>
        <v>0</v>
      </c>
      <c r="BQ285" t="s">
        <v>136</v>
      </c>
      <c r="BR285" t="s">
        <v>140</v>
      </c>
      <c r="BS285" t="s">
        <v>89</v>
      </c>
      <c r="BT285">
        <v>43</v>
      </c>
      <c r="BU285" t="s">
        <v>2737</v>
      </c>
      <c r="BV285" s="1">
        <v>42479</v>
      </c>
      <c r="BW285">
        <v>10</v>
      </c>
      <c r="BX285">
        <v>1983</v>
      </c>
      <c r="BY285">
        <v>10</v>
      </c>
      <c r="BZ285">
        <f t="shared" si="44"/>
        <v>0</v>
      </c>
      <c r="CA285">
        <f t="shared" si="45"/>
        <v>0</v>
      </c>
      <c r="CB285" t="b">
        <f t="shared" si="46"/>
        <v>1</v>
      </c>
    </row>
    <row r="286" spans="1:80" x14ac:dyDescent="0.3">
      <c r="A286" t="s">
        <v>2738</v>
      </c>
      <c r="B286" t="s">
        <v>71</v>
      </c>
      <c r="C286" t="s">
        <v>2739</v>
      </c>
      <c r="D286">
        <v>43</v>
      </c>
      <c r="E286" s="1">
        <v>30047</v>
      </c>
      <c r="F286" t="s">
        <v>89</v>
      </c>
      <c r="G286" t="s">
        <v>374</v>
      </c>
      <c r="H286" t="s">
        <v>89</v>
      </c>
      <c r="I286" t="s">
        <v>178</v>
      </c>
      <c r="J286" t="s">
        <v>78</v>
      </c>
      <c r="K286" t="s">
        <v>89</v>
      </c>
      <c r="L286" t="s">
        <v>117</v>
      </c>
      <c r="M286">
        <v>23</v>
      </c>
      <c r="N286" t="s">
        <v>118</v>
      </c>
      <c r="O286">
        <v>2005</v>
      </c>
      <c r="P286" t="s">
        <v>2740</v>
      </c>
      <c r="Q286" t="s">
        <v>2741</v>
      </c>
      <c r="R286">
        <v>37906</v>
      </c>
      <c r="S286" t="s">
        <v>2738</v>
      </c>
      <c r="T286">
        <v>30106</v>
      </c>
      <c r="U286">
        <v>1982</v>
      </c>
      <c r="V286" t="s">
        <v>304</v>
      </c>
      <c r="W286">
        <v>1.88</v>
      </c>
      <c r="X286" t="s">
        <v>76</v>
      </c>
      <c r="Y286" t="s">
        <v>186</v>
      </c>
      <c r="Z286" t="s">
        <v>89</v>
      </c>
      <c r="AA286" t="s">
        <v>162</v>
      </c>
      <c r="AB286">
        <v>42376</v>
      </c>
      <c r="AC286" t="s">
        <v>108</v>
      </c>
      <c r="AD286" t="s">
        <v>89</v>
      </c>
      <c r="AE286" t="s">
        <v>2742</v>
      </c>
      <c r="AF286">
        <v>24</v>
      </c>
      <c r="AG286" t="s">
        <v>91</v>
      </c>
      <c r="AH286" t="s">
        <v>354</v>
      </c>
      <c r="AI286">
        <v>23</v>
      </c>
      <c r="AJ286" t="s">
        <v>110</v>
      </c>
      <c r="AK286">
        <v>23</v>
      </c>
      <c r="AL286">
        <v>3</v>
      </c>
      <c r="AM286">
        <v>375</v>
      </c>
      <c r="AN286">
        <v>52</v>
      </c>
      <c r="AO286">
        <v>2</v>
      </c>
      <c r="AP286" t="s">
        <v>93</v>
      </c>
      <c r="AQ286" t="s">
        <v>89</v>
      </c>
      <c r="AR286" t="s">
        <v>89</v>
      </c>
      <c r="AS286" t="s">
        <v>111</v>
      </c>
      <c r="AT286">
        <v>42376</v>
      </c>
      <c r="AU286">
        <v>2016</v>
      </c>
      <c r="AV286">
        <v>11</v>
      </c>
      <c r="AW286">
        <v>11</v>
      </c>
      <c r="AX286" t="s">
        <v>89</v>
      </c>
      <c r="AY286" t="s">
        <v>93</v>
      </c>
      <c r="AZ286">
        <v>0</v>
      </c>
      <c r="BA286">
        <v>0</v>
      </c>
      <c r="BB286">
        <v>0</v>
      </c>
      <c r="BC286">
        <v>0</v>
      </c>
      <c r="BD286">
        <v>186</v>
      </c>
      <c r="BE286">
        <v>16472</v>
      </c>
      <c r="BF286">
        <v>0</v>
      </c>
      <c r="BG286">
        <v>34</v>
      </c>
      <c r="BH286">
        <v>186</v>
      </c>
      <c r="BI286">
        <v>16472</v>
      </c>
      <c r="BJ286">
        <v>0</v>
      </c>
      <c r="BK286">
        <f t="shared" si="38"/>
        <v>186</v>
      </c>
      <c r="BL286">
        <f t="shared" si="39"/>
        <v>16472</v>
      </c>
      <c r="BM286">
        <f t="shared" si="40"/>
        <v>0</v>
      </c>
      <c r="BN286">
        <f t="shared" si="41"/>
        <v>0</v>
      </c>
      <c r="BO286">
        <f t="shared" si="42"/>
        <v>0</v>
      </c>
      <c r="BP286">
        <f t="shared" si="43"/>
        <v>0</v>
      </c>
      <c r="BQ286" t="s">
        <v>186</v>
      </c>
      <c r="BR286" t="s">
        <v>186</v>
      </c>
      <c r="BS286" t="s">
        <v>89</v>
      </c>
      <c r="BT286">
        <v>44</v>
      </c>
      <c r="BU286">
        <v>42376</v>
      </c>
      <c r="BV286" t="s">
        <v>89</v>
      </c>
      <c r="BW286">
        <v>11</v>
      </c>
      <c r="BX286">
        <v>1982</v>
      </c>
      <c r="BY286">
        <v>11</v>
      </c>
      <c r="BZ286">
        <f t="shared" si="44"/>
        <v>0</v>
      </c>
      <c r="CA286">
        <f t="shared" si="45"/>
        <v>0</v>
      </c>
      <c r="CB286" t="b">
        <f t="shared" si="46"/>
        <v>1</v>
      </c>
    </row>
    <row r="287" spans="1:80" x14ac:dyDescent="0.3">
      <c r="A287" t="s">
        <v>2743</v>
      </c>
      <c r="B287" t="s">
        <v>71</v>
      </c>
      <c r="C287" t="s">
        <v>2744</v>
      </c>
      <c r="D287">
        <v>45</v>
      </c>
      <c r="E287" s="1">
        <v>29096</v>
      </c>
      <c r="F287" t="s">
        <v>89</v>
      </c>
      <c r="G287" t="s">
        <v>75</v>
      </c>
      <c r="H287" t="s">
        <v>89</v>
      </c>
      <c r="I287" t="s">
        <v>348</v>
      </c>
      <c r="J287" t="s">
        <v>89</v>
      </c>
      <c r="K287" t="s">
        <v>89</v>
      </c>
      <c r="L287" t="s">
        <v>866</v>
      </c>
      <c r="M287">
        <v>18</v>
      </c>
      <c r="N287" t="s">
        <v>2106</v>
      </c>
      <c r="O287">
        <v>1998</v>
      </c>
      <c r="P287" t="s">
        <v>2745</v>
      </c>
      <c r="Q287" t="s">
        <v>2746</v>
      </c>
      <c r="R287">
        <v>7671</v>
      </c>
      <c r="S287" t="s">
        <v>2743</v>
      </c>
      <c r="T287" t="s">
        <v>2747</v>
      </c>
      <c r="U287">
        <v>1979</v>
      </c>
      <c r="V287" t="s">
        <v>2748</v>
      </c>
      <c r="W287">
        <v>1.78</v>
      </c>
      <c r="X287" t="s">
        <v>76</v>
      </c>
      <c r="Y287" t="s">
        <v>136</v>
      </c>
      <c r="Z287" t="s">
        <v>87</v>
      </c>
      <c r="AA287" t="s">
        <v>2749</v>
      </c>
      <c r="AB287" t="s">
        <v>2750</v>
      </c>
      <c r="AC287" t="s">
        <v>108</v>
      </c>
      <c r="AD287" t="s">
        <v>89</v>
      </c>
      <c r="AE287" t="s">
        <v>2751</v>
      </c>
      <c r="AF287">
        <v>23</v>
      </c>
      <c r="AG287" t="s">
        <v>91</v>
      </c>
      <c r="AH287">
        <v>36352</v>
      </c>
      <c r="AI287">
        <v>20</v>
      </c>
      <c r="AJ287" t="s">
        <v>459</v>
      </c>
      <c r="AK287">
        <v>20</v>
      </c>
      <c r="AL287" t="s">
        <v>89</v>
      </c>
      <c r="AM287" t="s">
        <v>89</v>
      </c>
      <c r="AN287" t="s">
        <v>89</v>
      </c>
      <c r="AO287">
        <v>0</v>
      </c>
      <c r="AP287" t="s">
        <v>93</v>
      </c>
      <c r="AQ287" t="s">
        <v>89</v>
      </c>
      <c r="AR287" t="s">
        <v>89</v>
      </c>
      <c r="AS287" t="s">
        <v>111</v>
      </c>
      <c r="AT287" t="s">
        <v>2750</v>
      </c>
      <c r="AU287">
        <v>2015</v>
      </c>
      <c r="AV287">
        <v>17</v>
      </c>
      <c r="AW287">
        <v>17</v>
      </c>
      <c r="AX287" t="s">
        <v>89</v>
      </c>
      <c r="AY287" t="s">
        <v>93</v>
      </c>
      <c r="AZ287">
        <v>0</v>
      </c>
      <c r="BA287">
        <v>0</v>
      </c>
      <c r="BB287">
        <v>0</v>
      </c>
      <c r="BC287">
        <v>0</v>
      </c>
      <c r="BD287">
        <v>365</v>
      </c>
      <c r="BE287">
        <v>30248</v>
      </c>
      <c r="BF287">
        <v>1</v>
      </c>
      <c r="BG287">
        <v>36</v>
      </c>
      <c r="BH287">
        <v>365</v>
      </c>
      <c r="BI287">
        <v>30248</v>
      </c>
      <c r="BJ287">
        <v>1</v>
      </c>
      <c r="BK287">
        <f t="shared" si="38"/>
        <v>365</v>
      </c>
      <c r="BL287">
        <f t="shared" si="39"/>
        <v>30248</v>
      </c>
      <c r="BM287">
        <f t="shared" si="40"/>
        <v>1</v>
      </c>
      <c r="BN287">
        <f t="shared" si="41"/>
        <v>0</v>
      </c>
      <c r="BO287">
        <f t="shared" si="42"/>
        <v>0</v>
      </c>
      <c r="BP287">
        <f t="shared" si="43"/>
        <v>0</v>
      </c>
      <c r="BQ287" t="s">
        <v>136</v>
      </c>
      <c r="BR287" t="s">
        <v>140</v>
      </c>
      <c r="BS287" s="1">
        <v>29096</v>
      </c>
      <c r="BT287">
        <v>46</v>
      </c>
      <c r="BU287" t="s">
        <v>2750</v>
      </c>
      <c r="BV287" s="1">
        <v>42185</v>
      </c>
      <c r="BW287">
        <v>16</v>
      </c>
      <c r="BX287">
        <v>1979</v>
      </c>
      <c r="BY287">
        <v>16</v>
      </c>
      <c r="BZ287">
        <f t="shared" si="44"/>
        <v>1</v>
      </c>
      <c r="CA287">
        <f t="shared" si="45"/>
        <v>0</v>
      </c>
      <c r="CB287" t="b">
        <f t="shared" si="46"/>
        <v>0</v>
      </c>
    </row>
    <row r="288" spans="1:80" x14ac:dyDescent="0.3">
      <c r="A288" t="s">
        <v>2752</v>
      </c>
      <c r="B288" t="s">
        <v>71</v>
      </c>
      <c r="C288" t="s">
        <v>2753</v>
      </c>
      <c r="D288">
        <v>30</v>
      </c>
      <c r="E288" t="s">
        <v>2754</v>
      </c>
      <c r="F288" t="s">
        <v>1722</v>
      </c>
      <c r="G288" t="s">
        <v>176</v>
      </c>
      <c r="H288" t="s">
        <v>76</v>
      </c>
      <c r="I288" t="s">
        <v>227</v>
      </c>
      <c r="J288" t="s">
        <v>78</v>
      </c>
      <c r="K288" t="s">
        <v>716</v>
      </c>
      <c r="L288" t="s">
        <v>324</v>
      </c>
      <c r="M288">
        <v>18</v>
      </c>
      <c r="N288" t="s">
        <v>289</v>
      </c>
      <c r="O288">
        <v>2013</v>
      </c>
      <c r="P288" t="s">
        <v>2755</v>
      </c>
      <c r="Q288" t="s">
        <v>2756</v>
      </c>
      <c r="R288">
        <v>276111</v>
      </c>
      <c r="S288" t="s">
        <v>2752</v>
      </c>
      <c r="T288" t="s">
        <v>2757</v>
      </c>
      <c r="U288">
        <v>1995</v>
      </c>
      <c r="V288" t="s">
        <v>1727</v>
      </c>
      <c r="W288">
        <v>1.84</v>
      </c>
      <c r="X288" t="s">
        <v>76</v>
      </c>
      <c r="Y288" t="s">
        <v>235</v>
      </c>
      <c r="Z288" t="s">
        <v>87</v>
      </c>
      <c r="AA288" t="s">
        <v>2758</v>
      </c>
      <c r="AB288">
        <v>44537</v>
      </c>
      <c r="AC288" t="s">
        <v>170</v>
      </c>
      <c r="AD288" t="s">
        <v>89</v>
      </c>
      <c r="AE288" t="s">
        <v>2284</v>
      </c>
      <c r="AF288">
        <v>18</v>
      </c>
      <c r="AG288" t="s">
        <v>91</v>
      </c>
      <c r="AH288" t="s">
        <v>2759</v>
      </c>
      <c r="AI288">
        <v>20</v>
      </c>
      <c r="AJ288" t="s">
        <v>110</v>
      </c>
      <c r="AK288">
        <v>18</v>
      </c>
      <c r="AL288">
        <v>5</v>
      </c>
      <c r="AM288">
        <v>197</v>
      </c>
      <c r="AN288">
        <v>28</v>
      </c>
      <c r="AO288">
        <v>5</v>
      </c>
      <c r="AP288" t="s">
        <v>93</v>
      </c>
      <c r="AQ288" t="s">
        <v>89</v>
      </c>
      <c r="AR288" t="s">
        <v>89</v>
      </c>
      <c r="AS288" t="s">
        <v>93</v>
      </c>
      <c r="AT288" t="s">
        <v>89</v>
      </c>
      <c r="AU288" t="s">
        <v>89</v>
      </c>
      <c r="AV288" t="s">
        <v>89</v>
      </c>
      <c r="AW288">
        <v>12</v>
      </c>
      <c r="AX288">
        <v>4</v>
      </c>
      <c r="AY288" t="s">
        <v>93</v>
      </c>
      <c r="AZ288">
        <v>0</v>
      </c>
      <c r="BA288">
        <v>0</v>
      </c>
      <c r="BB288">
        <v>0</v>
      </c>
      <c r="BC288">
        <v>0</v>
      </c>
      <c r="BD288">
        <v>258</v>
      </c>
      <c r="BE288">
        <v>21660</v>
      </c>
      <c r="BF288">
        <v>6</v>
      </c>
      <c r="BG288" t="s">
        <v>89</v>
      </c>
      <c r="BH288">
        <v>258</v>
      </c>
      <c r="BI288">
        <v>21660</v>
      </c>
      <c r="BJ288">
        <v>6</v>
      </c>
      <c r="BK288">
        <f t="shared" si="38"/>
        <v>258</v>
      </c>
      <c r="BL288">
        <f t="shared" si="39"/>
        <v>21660</v>
      </c>
      <c r="BM288">
        <f t="shared" si="40"/>
        <v>6</v>
      </c>
      <c r="BN288">
        <f t="shared" si="41"/>
        <v>0</v>
      </c>
      <c r="BO288">
        <f t="shared" si="42"/>
        <v>0</v>
      </c>
      <c r="BP288">
        <f t="shared" si="43"/>
        <v>0</v>
      </c>
      <c r="BQ288" t="s">
        <v>235</v>
      </c>
      <c r="BR288" t="s">
        <v>140</v>
      </c>
      <c r="BS288" s="1">
        <v>34784</v>
      </c>
      <c r="BT288">
        <v>30</v>
      </c>
      <c r="BU288" t="s">
        <v>89</v>
      </c>
      <c r="BV288" t="s">
        <v>89</v>
      </c>
      <c r="BW288">
        <v>12</v>
      </c>
      <c r="BX288">
        <v>1995</v>
      </c>
      <c r="BY288">
        <v>12</v>
      </c>
      <c r="BZ288">
        <f t="shared" si="44"/>
        <v>0</v>
      </c>
      <c r="CA288">
        <f t="shared" si="45"/>
        <v>0</v>
      </c>
      <c r="CB288" t="b">
        <f t="shared" si="46"/>
        <v>1</v>
      </c>
    </row>
    <row r="289" spans="1:80" x14ac:dyDescent="0.3">
      <c r="A289" t="s">
        <v>2760</v>
      </c>
      <c r="B289" t="s">
        <v>71</v>
      </c>
      <c r="C289" t="s">
        <v>2761</v>
      </c>
      <c r="D289">
        <v>34</v>
      </c>
      <c r="E289" t="s">
        <v>2762</v>
      </c>
      <c r="F289" t="s">
        <v>265</v>
      </c>
      <c r="G289" t="s">
        <v>1381</v>
      </c>
      <c r="H289" t="s">
        <v>76</v>
      </c>
      <c r="I289" t="s">
        <v>178</v>
      </c>
      <c r="J289" t="s">
        <v>78</v>
      </c>
      <c r="K289" t="s">
        <v>2763</v>
      </c>
      <c r="L289" t="s">
        <v>254</v>
      </c>
      <c r="M289">
        <v>18</v>
      </c>
      <c r="N289" t="s">
        <v>81</v>
      </c>
      <c r="O289">
        <v>2009</v>
      </c>
      <c r="P289" t="s">
        <v>2764</v>
      </c>
      <c r="Q289" t="s">
        <v>2765</v>
      </c>
      <c r="R289">
        <v>59377</v>
      </c>
      <c r="S289" t="s">
        <v>2760</v>
      </c>
      <c r="T289">
        <v>33065</v>
      </c>
      <c r="U289">
        <v>1990</v>
      </c>
      <c r="V289" t="s">
        <v>122</v>
      </c>
      <c r="W289">
        <v>1.92</v>
      </c>
      <c r="X289" t="s">
        <v>76</v>
      </c>
      <c r="Y289" t="s">
        <v>186</v>
      </c>
      <c r="Z289" t="s">
        <v>87</v>
      </c>
      <c r="AA289" t="s">
        <v>2763</v>
      </c>
      <c r="AB289" s="1">
        <v>45543</v>
      </c>
      <c r="AC289" t="s">
        <v>394</v>
      </c>
      <c r="AD289" t="s">
        <v>442</v>
      </c>
      <c r="AE289">
        <v>2009</v>
      </c>
      <c r="AF289">
        <v>18</v>
      </c>
      <c r="AG289" t="s">
        <v>91</v>
      </c>
      <c r="AH289" t="s">
        <v>89</v>
      </c>
      <c r="AI289" t="s">
        <v>89</v>
      </c>
      <c r="AJ289" t="s">
        <v>89</v>
      </c>
      <c r="AK289">
        <v>18</v>
      </c>
      <c r="AL289">
        <v>6</v>
      </c>
      <c r="AM289">
        <v>48</v>
      </c>
      <c r="AN289">
        <v>6</v>
      </c>
      <c r="AO289">
        <v>5</v>
      </c>
      <c r="AP289" t="s">
        <v>93</v>
      </c>
      <c r="AQ289" t="s">
        <v>89</v>
      </c>
      <c r="AR289" t="s">
        <v>89</v>
      </c>
      <c r="AS289" t="s">
        <v>93</v>
      </c>
      <c r="AT289" t="s">
        <v>89</v>
      </c>
      <c r="AU289" t="s">
        <v>89</v>
      </c>
      <c r="AV289" t="s">
        <v>89</v>
      </c>
      <c r="AW289">
        <v>16</v>
      </c>
      <c r="AX289">
        <v>43</v>
      </c>
      <c r="AY289" t="s">
        <v>111</v>
      </c>
      <c r="AZ289">
        <v>18</v>
      </c>
      <c r="BA289">
        <v>45</v>
      </c>
      <c r="BB289">
        <v>3922</v>
      </c>
      <c r="BC289">
        <v>0</v>
      </c>
      <c r="BD289">
        <v>653</v>
      </c>
      <c r="BE289">
        <v>58843</v>
      </c>
      <c r="BF289">
        <v>0</v>
      </c>
      <c r="BG289" t="s">
        <v>89</v>
      </c>
      <c r="BH289">
        <v>698</v>
      </c>
      <c r="BI289">
        <v>62765</v>
      </c>
      <c r="BJ289">
        <v>0</v>
      </c>
      <c r="BK289">
        <f t="shared" si="38"/>
        <v>698</v>
      </c>
      <c r="BL289">
        <f t="shared" si="39"/>
        <v>62765</v>
      </c>
      <c r="BM289">
        <f t="shared" si="40"/>
        <v>0</v>
      </c>
      <c r="BN289">
        <f t="shared" si="41"/>
        <v>0</v>
      </c>
      <c r="BO289">
        <f t="shared" si="42"/>
        <v>0</v>
      </c>
      <c r="BP289">
        <f t="shared" si="43"/>
        <v>0</v>
      </c>
      <c r="BQ289" t="s">
        <v>186</v>
      </c>
      <c r="BR289" t="s">
        <v>186</v>
      </c>
      <c r="BS289" t="s">
        <v>89</v>
      </c>
      <c r="BT289">
        <v>36</v>
      </c>
      <c r="BU289" t="s">
        <v>89</v>
      </c>
      <c r="BV289" t="s">
        <v>89</v>
      </c>
      <c r="BW289">
        <v>18</v>
      </c>
      <c r="BX289">
        <v>1990</v>
      </c>
      <c r="BY289">
        <v>16</v>
      </c>
      <c r="BZ289">
        <f t="shared" si="44"/>
        <v>-2</v>
      </c>
      <c r="CA289">
        <f t="shared" si="45"/>
        <v>2</v>
      </c>
      <c r="CB289" t="b">
        <f t="shared" si="46"/>
        <v>0</v>
      </c>
    </row>
    <row r="290" spans="1:80" x14ac:dyDescent="0.3">
      <c r="A290" t="s">
        <v>2766</v>
      </c>
      <c r="B290" t="s">
        <v>71</v>
      </c>
      <c r="C290" t="s">
        <v>2767</v>
      </c>
      <c r="D290">
        <v>44</v>
      </c>
      <c r="E290" s="1">
        <v>29602</v>
      </c>
      <c r="F290" t="s">
        <v>89</v>
      </c>
      <c r="G290" t="s">
        <v>298</v>
      </c>
      <c r="H290" t="s">
        <v>76</v>
      </c>
      <c r="I290" t="s">
        <v>195</v>
      </c>
      <c r="J290" t="s">
        <v>89</v>
      </c>
      <c r="K290" t="s">
        <v>89</v>
      </c>
      <c r="L290" t="s">
        <v>2014</v>
      </c>
      <c r="M290">
        <v>18</v>
      </c>
      <c r="N290" t="s">
        <v>146</v>
      </c>
      <c r="O290">
        <v>1999</v>
      </c>
      <c r="P290" t="s">
        <v>2768</v>
      </c>
      <c r="Q290" t="s">
        <v>2769</v>
      </c>
      <c r="R290">
        <v>7878</v>
      </c>
      <c r="S290" t="s">
        <v>2766</v>
      </c>
      <c r="T290" t="s">
        <v>2770</v>
      </c>
      <c r="U290">
        <v>1981</v>
      </c>
      <c r="V290" t="s">
        <v>2771</v>
      </c>
      <c r="W290">
        <v>1.78</v>
      </c>
      <c r="X290" t="s">
        <v>76</v>
      </c>
      <c r="Y290" t="s">
        <v>203</v>
      </c>
      <c r="Z290" t="s">
        <v>152</v>
      </c>
      <c r="AA290" t="s">
        <v>323</v>
      </c>
      <c r="AB290" s="1">
        <v>42011</v>
      </c>
      <c r="AC290" t="s">
        <v>108</v>
      </c>
      <c r="AD290" t="s">
        <v>89</v>
      </c>
      <c r="AE290">
        <v>36739</v>
      </c>
      <c r="AF290">
        <v>18</v>
      </c>
      <c r="AG290" t="s">
        <v>91</v>
      </c>
      <c r="AH290" s="1">
        <v>40611</v>
      </c>
      <c r="AI290">
        <v>30</v>
      </c>
      <c r="AJ290" t="s">
        <v>110</v>
      </c>
      <c r="AK290">
        <v>18</v>
      </c>
      <c r="AL290">
        <v>3</v>
      </c>
      <c r="AM290">
        <v>130</v>
      </c>
      <c r="AN290">
        <v>20</v>
      </c>
      <c r="AO290">
        <v>3</v>
      </c>
      <c r="AP290" t="s">
        <v>93</v>
      </c>
      <c r="AQ290" t="s">
        <v>89</v>
      </c>
      <c r="AR290" t="s">
        <v>89</v>
      </c>
      <c r="AS290" t="s">
        <v>111</v>
      </c>
      <c r="AT290">
        <v>42011</v>
      </c>
      <c r="AU290">
        <v>2015</v>
      </c>
      <c r="AV290">
        <v>16</v>
      </c>
      <c r="AW290">
        <v>16</v>
      </c>
      <c r="AX290" t="s">
        <v>89</v>
      </c>
      <c r="AY290" t="s">
        <v>93</v>
      </c>
      <c r="AZ290">
        <v>0</v>
      </c>
      <c r="BA290">
        <v>0</v>
      </c>
      <c r="BB290">
        <v>0</v>
      </c>
      <c r="BC290">
        <v>0</v>
      </c>
      <c r="BD290">
        <v>328</v>
      </c>
      <c r="BE290">
        <v>26479</v>
      </c>
      <c r="BF290">
        <v>2</v>
      </c>
      <c r="BG290">
        <v>34</v>
      </c>
      <c r="BH290">
        <v>328</v>
      </c>
      <c r="BI290">
        <v>26479</v>
      </c>
      <c r="BJ290">
        <v>2</v>
      </c>
      <c r="BK290">
        <f t="shared" si="38"/>
        <v>328</v>
      </c>
      <c r="BL290">
        <f t="shared" si="39"/>
        <v>26479</v>
      </c>
      <c r="BM290">
        <f t="shared" si="40"/>
        <v>2</v>
      </c>
      <c r="BN290">
        <f t="shared" si="41"/>
        <v>0</v>
      </c>
      <c r="BO290">
        <f t="shared" si="42"/>
        <v>0</v>
      </c>
      <c r="BP290">
        <f t="shared" si="43"/>
        <v>0</v>
      </c>
      <c r="BQ290" t="s">
        <v>203</v>
      </c>
      <c r="BR290" t="s">
        <v>140</v>
      </c>
      <c r="BS290" t="s">
        <v>89</v>
      </c>
      <c r="BT290">
        <v>45</v>
      </c>
      <c r="BU290">
        <v>42011</v>
      </c>
      <c r="BV290" t="s">
        <v>89</v>
      </c>
      <c r="BW290">
        <v>16</v>
      </c>
      <c r="BX290">
        <v>1981</v>
      </c>
      <c r="BY290">
        <v>16</v>
      </c>
      <c r="BZ290">
        <f t="shared" si="44"/>
        <v>0</v>
      </c>
      <c r="CA290">
        <f t="shared" si="45"/>
        <v>0</v>
      </c>
      <c r="CB290" t="b">
        <f t="shared" si="46"/>
        <v>1</v>
      </c>
    </row>
    <row r="291" spans="1:80" x14ac:dyDescent="0.3">
      <c r="A291" t="s">
        <v>2772</v>
      </c>
      <c r="B291" t="s">
        <v>71</v>
      </c>
      <c r="C291" t="s">
        <v>2773</v>
      </c>
      <c r="D291">
        <v>42</v>
      </c>
      <c r="E291" s="1">
        <v>30174</v>
      </c>
      <c r="F291" t="s">
        <v>89</v>
      </c>
      <c r="G291" t="s">
        <v>115</v>
      </c>
      <c r="H291" t="s">
        <v>89</v>
      </c>
      <c r="I291" t="s">
        <v>555</v>
      </c>
      <c r="J291" t="s">
        <v>89</v>
      </c>
      <c r="K291" t="s">
        <v>89</v>
      </c>
      <c r="L291" t="s">
        <v>845</v>
      </c>
      <c r="M291">
        <v>19</v>
      </c>
      <c r="N291" t="s">
        <v>508</v>
      </c>
      <c r="O291">
        <v>2002</v>
      </c>
      <c r="P291" t="s">
        <v>2774</v>
      </c>
      <c r="Q291" t="s">
        <v>2775</v>
      </c>
      <c r="R291">
        <v>7985</v>
      </c>
      <c r="S291" t="s">
        <v>2772</v>
      </c>
      <c r="T291">
        <v>30263</v>
      </c>
      <c r="U291">
        <v>1982</v>
      </c>
      <c r="V291" t="s">
        <v>2776</v>
      </c>
      <c r="W291">
        <v>1.81</v>
      </c>
      <c r="X291" t="s">
        <v>76</v>
      </c>
      <c r="Y291" t="s">
        <v>86</v>
      </c>
      <c r="Z291" t="s">
        <v>87</v>
      </c>
      <c r="AA291" t="s">
        <v>2758</v>
      </c>
      <c r="AB291" t="s">
        <v>2777</v>
      </c>
      <c r="AC291" t="s">
        <v>108</v>
      </c>
      <c r="AD291" t="s">
        <v>89</v>
      </c>
      <c r="AE291" t="s">
        <v>2778</v>
      </c>
      <c r="AF291">
        <v>21</v>
      </c>
      <c r="AG291" t="s">
        <v>91</v>
      </c>
      <c r="AH291">
        <v>37265</v>
      </c>
      <c r="AI291">
        <v>20</v>
      </c>
      <c r="AJ291" t="s">
        <v>110</v>
      </c>
      <c r="AK291">
        <v>20</v>
      </c>
      <c r="AL291">
        <v>1</v>
      </c>
      <c r="AM291">
        <v>184</v>
      </c>
      <c r="AN291">
        <v>20</v>
      </c>
      <c r="AO291">
        <v>1</v>
      </c>
      <c r="AP291" t="s">
        <v>93</v>
      </c>
      <c r="AQ291" t="s">
        <v>89</v>
      </c>
      <c r="AR291" t="s">
        <v>89</v>
      </c>
      <c r="AS291" t="s">
        <v>111</v>
      </c>
      <c r="AT291" t="s">
        <v>2777</v>
      </c>
      <c r="AU291">
        <v>2015</v>
      </c>
      <c r="AV291">
        <v>13</v>
      </c>
      <c r="AW291">
        <v>13</v>
      </c>
      <c r="AX291" t="s">
        <v>89</v>
      </c>
      <c r="AY291" t="s">
        <v>93</v>
      </c>
      <c r="AZ291">
        <v>0</v>
      </c>
      <c r="BA291">
        <v>0</v>
      </c>
      <c r="BB291">
        <v>0</v>
      </c>
      <c r="BC291">
        <v>0</v>
      </c>
      <c r="BD291">
        <v>256</v>
      </c>
      <c r="BE291">
        <v>15430</v>
      </c>
      <c r="BF291">
        <v>13</v>
      </c>
      <c r="BG291">
        <v>33</v>
      </c>
      <c r="BH291">
        <v>256</v>
      </c>
      <c r="BI291">
        <v>15430</v>
      </c>
      <c r="BJ291">
        <v>13</v>
      </c>
      <c r="BK291">
        <f t="shared" si="38"/>
        <v>256</v>
      </c>
      <c r="BL291">
        <f t="shared" si="39"/>
        <v>15430</v>
      </c>
      <c r="BM291">
        <f t="shared" si="40"/>
        <v>13</v>
      </c>
      <c r="BN291">
        <f t="shared" si="41"/>
        <v>0</v>
      </c>
      <c r="BO291">
        <f t="shared" si="42"/>
        <v>0</v>
      </c>
      <c r="BP291">
        <f t="shared" si="43"/>
        <v>0</v>
      </c>
      <c r="BQ291" t="s">
        <v>86</v>
      </c>
      <c r="BR291" t="s">
        <v>94</v>
      </c>
      <c r="BS291" t="s">
        <v>89</v>
      </c>
      <c r="BT291">
        <v>44</v>
      </c>
      <c r="BU291" t="s">
        <v>2777</v>
      </c>
      <c r="BV291" s="1">
        <v>42353</v>
      </c>
      <c r="BW291">
        <v>13</v>
      </c>
      <c r="BX291">
        <v>1982</v>
      </c>
      <c r="BY291">
        <v>13</v>
      </c>
      <c r="BZ291">
        <f t="shared" si="44"/>
        <v>0</v>
      </c>
      <c r="CA291">
        <f t="shared" si="45"/>
        <v>0</v>
      </c>
      <c r="CB291" t="b">
        <f t="shared" si="46"/>
        <v>1</v>
      </c>
    </row>
    <row r="292" spans="1:80" x14ac:dyDescent="0.3">
      <c r="A292" t="s">
        <v>2779</v>
      </c>
      <c r="B292" t="s">
        <v>71</v>
      </c>
      <c r="C292" t="s">
        <v>2780</v>
      </c>
      <c r="D292">
        <v>30</v>
      </c>
      <c r="E292" t="s">
        <v>2781</v>
      </c>
      <c r="F292" t="s">
        <v>2782</v>
      </c>
      <c r="G292" t="s">
        <v>115</v>
      </c>
      <c r="H292" t="s">
        <v>89</v>
      </c>
      <c r="I292" t="s">
        <v>227</v>
      </c>
      <c r="J292" t="s">
        <v>78</v>
      </c>
      <c r="K292" t="s">
        <v>2783</v>
      </c>
      <c r="L292" t="s">
        <v>324</v>
      </c>
      <c r="M292">
        <v>18</v>
      </c>
      <c r="N292" t="s">
        <v>289</v>
      </c>
      <c r="O292">
        <v>2013</v>
      </c>
      <c r="P292" t="s">
        <v>2784</v>
      </c>
      <c r="Q292" t="s">
        <v>2785</v>
      </c>
      <c r="R292">
        <v>278357</v>
      </c>
      <c r="S292" t="s">
        <v>2779</v>
      </c>
      <c r="T292" t="s">
        <v>2786</v>
      </c>
      <c r="U292">
        <v>1994</v>
      </c>
      <c r="V292" t="s">
        <v>2787</v>
      </c>
      <c r="W292">
        <v>1.84</v>
      </c>
      <c r="X292" t="s">
        <v>76</v>
      </c>
      <c r="Y292" t="s">
        <v>235</v>
      </c>
      <c r="Z292" t="s">
        <v>87</v>
      </c>
      <c r="AA292" t="s">
        <v>2788</v>
      </c>
      <c r="AB292" t="s">
        <v>2789</v>
      </c>
      <c r="AC292" t="s">
        <v>1811</v>
      </c>
      <c r="AD292" t="s">
        <v>89</v>
      </c>
      <c r="AE292">
        <v>41703</v>
      </c>
      <c r="AF292">
        <v>19</v>
      </c>
      <c r="AG292" t="s">
        <v>91</v>
      </c>
      <c r="AH292" t="s">
        <v>2790</v>
      </c>
      <c r="AI292">
        <v>26</v>
      </c>
      <c r="AJ292" t="s">
        <v>110</v>
      </c>
      <c r="AK292">
        <v>19</v>
      </c>
      <c r="AL292">
        <v>1</v>
      </c>
      <c r="AM292">
        <v>5</v>
      </c>
      <c r="AN292">
        <v>1</v>
      </c>
      <c r="AO292">
        <v>1</v>
      </c>
      <c r="AP292" t="s">
        <v>93</v>
      </c>
      <c r="AQ292" t="s">
        <v>89</v>
      </c>
      <c r="AR292" t="s">
        <v>89</v>
      </c>
      <c r="AS292" t="s">
        <v>93</v>
      </c>
      <c r="AT292" t="s">
        <v>89</v>
      </c>
      <c r="AU292" t="s">
        <v>89</v>
      </c>
      <c r="AV292" t="s">
        <v>89</v>
      </c>
      <c r="AW292">
        <v>12</v>
      </c>
      <c r="AX292">
        <v>5</v>
      </c>
      <c r="AY292" t="s">
        <v>93</v>
      </c>
      <c r="AZ292">
        <v>0</v>
      </c>
      <c r="BA292">
        <v>0</v>
      </c>
      <c r="BB292">
        <v>0</v>
      </c>
      <c r="BC292">
        <v>0</v>
      </c>
      <c r="BD292">
        <v>88</v>
      </c>
      <c r="BE292">
        <v>7334</v>
      </c>
      <c r="BF292">
        <v>8</v>
      </c>
      <c r="BG292" t="s">
        <v>89</v>
      </c>
      <c r="BH292">
        <v>88</v>
      </c>
      <c r="BI292">
        <v>7334</v>
      </c>
      <c r="BJ292">
        <v>8</v>
      </c>
      <c r="BK292">
        <f t="shared" si="38"/>
        <v>88</v>
      </c>
      <c r="BL292">
        <f t="shared" si="39"/>
        <v>7334</v>
      </c>
      <c r="BM292">
        <f t="shared" si="40"/>
        <v>8</v>
      </c>
      <c r="BN292">
        <f t="shared" si="41"/>
        <v>0</v>
      </c>
      <c r="BO292">
        <f t="shared" si="42"/>
        <v>0</v>
      </c>
      <c r="BP292">
        <f t="shared" si="43"/>
        <v>0</v>
      </c>
      <c r="BQ292" t="s">
        <v>235</v>
      </c>
      <c r="BR292" t="s">
        <v>140</v>
      </c>
      <c r="BS292" s="1">
        <v>34592</v>
      </c>
      <c r="BT292">
        <v>31</v>
      </c>
      <c r="BU292" t="s">
        <v>89</v>
      </c>
      <c r="BV292" t="s">
        <v>89</v>
      </c>
      <c r="BW292">
        <v>12</v>
      </c>
      <c r="BX292">
        <v>1994</v>
      </c>
      <c r="BY292">
        <v>11</v>
      </c>
      <c r="BZ292">
        <f t="shared" si="44"/>
        <v>0</v>
      </c>
      <c r="CA292">
        <f t="shared" si="45"/>
        <v>1</v>
      </c>
      <c r="CB292" t="b">
        <f t="shared" si="46"/>
        <v>1</v>
      </c>
    </row>
    <row r="293" spans="1:80" x14ac:dyDescent="0.3">
      <c r="A293" t="s">
        <v>2791</v>
      </c>
      <c r="B293" t="s">
        <v>71</v>
      </c>
      <c r="C293" t="s">
        <v>2792</v>
      </c>
      <c r="D293">
        <v>42</v>
      </c>
      <c r="E293" s="1">
        <v>30204</v>
      </c>
      <c r="F293" t="s">
        <v>89</v>
      </c>
      <c r="G293" t="s">
        <v>97</v>
      </c>
      <c r="H293" t="s">
        <v>89</v>
      </c>
      <c r="I293" t="s">
        <v>98</v>
      </c>
      <c r="J293" t="s">
        <v>89</v>
      </c>
      <c r="K293" t="s">
        <v>89</v>
      </c>
      <c r="L293" t="s">
        <v>145</v>
      </c>
      <c r="M293">
        <v>21</v>
      </c>
      <c r="N293" t="s">
        <v>820</v>
      </c>
      <c r="O293">
        <v>2004</v>
      </c>
      <c r="P293" t="s">
        <v>2793</v>
      </c>
      <c r="Q293" t="s">
        <v>2794</v>
      </c>
      <c r="R293">
        <v>25462</v>
      </c>
      <c r="S293" t="s">
        <v>2791</v>
      </c>
      <c r="T293" t="s">
        <v>2795</v>
      </c>
      <c r="U293">
        <v>1982</v>
      </c>
      <c r="V293" t="s">
        <v>2796</v>
      </c>
      <c r="W293">
        <v>1.81</v>
      </c>
      <c r="X293" t="s">
        <v>76</v>
      </c>
      <c r="Y293" t="s">
        <v>86</v>
      </c>
      <c r="Z293" t="s">
        <v>87</v>
      </c>
      <c r="AA293" t="s">
        <v>2797</v>
      </c>
      <c r="AB293" s="1">
        <v>44933</v>
      </c>
      <c r="AC293" t="s">
        <v>108</v>
      </c>
      <c r="AD293" t="s">
        <v>89</v>
      </c>
      <c r="AE293" t="s">
        <v>2798</v>
      </c>
      <c r="AF293">
        <v>22</v>
      </c>
      <c r="AG293" t="s">
        <v>91</v>
      </c>
      <c r="AH293" t="s">
        <v>2799</v>
      </c>
      <c r="AI293">
        <v>30</v>
      </c>
      <c r="AJ293" t="s">
        <v>855</v>
      </c>
      <c r="AK293">
        <v>22</v>
      </c>
      <c r="AL293">
        <v>4</v>
      </c>
      <c r="AM293">
        <v>61</v>
      </c>
      <c r="AN293">
        <v>11</v>
      </c>
      <c r="AO293">
        <v>3</v>
      </c>
      <c r="AP293" t="s">
        <v>93</v>
      </c>
      <c r="AQ293" t="s">
        <v>89</v>
      </c>
      <c r="AR293" t="s">
        <v>89</v>
      </c>
      <c r="AS293" t="s">
        <v>111</v>
      </c>
      <c r="AT293" s="1">
        <v>44933</v>
      </c>
      <c r="AU293">
        <v>2023</v>
      </c>
      <c r="AV293">
        <v>19</v>
      </c>
      <c r="AW293">
        <v>19</v>
      </c>
      <c r="AX293" t="s">
        <v>89</v>
      </c>
      <c r="AY293" t="s">
        <v>93</v>
      </c>
      <c r="AZ293">
        <v>0</v>
      </c>
      <c r="BA293">
        <v>0</v>
      </c>
      <c r="BB293">
        <v>0</v>
      </c>
      <c r="BC293">
        <v>0</v>
      </c>
      <c r="BD293">
        <v>372</v>
      </c>
      <c r="BE293">
        <v>22603</v>
      </c>
      <c r="BF293">
        <v>44</v>
      </c>
      <c r="BG293">
        <v>41</v>
      </c>
      <c r="BH293">
        <v>372</v>
      </c>
      <c r="BI293">
        <v>22603</v>
      </c>
      <c r="BJ293">
        <v>44</v>
      </c>
      <c r="BK293">
        <f t="shared" si="38"/>
        <v>372</v>
      </c>
      <c r="BL293">
        <f t="shared" si="39"/>
        <v>22603</v>
      </c>
      <c r="BM293">
        <f t="shared" si="40"/>
        <v>44</v>
      </c>
      <c r="BN293">
        <f t="shared" si="41"/>
        <v>0</v>
      </c>
      <c r="BO293">
        <f t="shared" si="42"/>
        <v>0</v>
      </c>
      <c r="BP293">
        <f t="shared" si="43"/>
        <v>0</v>
      </c>
      <c r="BQ293" t="s">
        <v>86</v>
      </c>
      <c r="BR293" t="s">
        <v>94</v>
      </c>
      <c r="BS293" t="s">
        <v>89</v>
      </c>
      <c r="BT293">
        <v>44</v>
      </c>
      <c r="BU293" s="1">
        <v>44933</v>
      </c>
      <c r="BV293" s="1">
        <v>45108</v>
      </c>
      <c r="BW293">
        <v>19</v>
      </c>
      <c r="BX293">
        <v>1982</v>
      </c>
      <c r="BY293">
        <v>19</v>
      </c>
      <c r="BZ293">
        <f t="shared" si="44"/>
        <v>0</v>
      </c>
      <c r="CA293">
        <f t="shared" si="45"/>
        <v>0</v>
      </c>
      <c r="CB293" t="b">
        <f t="shared" si="46"/>
        <v>1</v>
      </c>
    </row>
    <row r="294" spans="1:80" x14ac:dyDescent="0.3">
      <c r="A294" t="s">
        <v>2791</v>
      </c>
      <c r="B294" t="s">
        <v>89</v>
      </c>
      <c r="C294" t="s">
        <v>2800</v>
      </c>
      <c r="D294">
        <v>35</v>
      </c>
      <c r="E294" t="s">
        <v>2801</v>
      </c>
      <c r="F294" t="s">
        <v>2802</v>
      </c>
      <c r="G294" t="s">
        <v>226</v>
      </c>
      <c r="H294" t="s">
        <v>89</v>
      </c>
      <c r="I294" t="s">
        <v>243</v>
      </c>
      <c r="J294" t="s">
        <v>78</v>
      </c>
      <c r="K294" t="s">
        <v>323</v>
      </c>
      <c r="L294" t="s">
        <v>228</v>
      </c>
      <c r="M294">
        <v>20</v>
      </c>
      <c r="N294" t="s">
        <v>146</v>
      </c>
      <c r="O294">
        <v>2010</v>
      </c>
      <c r="P294" t="s">
        <v>2803</v>
      </c>
      <c r="Q294" t="s">
        <v>2794</v>
      </c>
      <c r="R294">
        <v>129444</v>
      </c>
      <c r="S294" t="s">
        <v>2791</v>
      </c>
      <c r="T294" t="s">
        <v>2804</v>
      </c>
      <c r="U294">
        <v>1989</v>
      </c>
      <c r="V294" t="s">
        <v>644</v>
      </c>
      <c r="W294">
        <v>1.85</v>
      </c>
      <c r="X294" t="s">
        <v>76</v>
      </c>
      <c r="Y294" t="s">
        <v>235</v>
      </c>
      <c r="Z294" t="s">
        <v>87</v>
      </c>
      <c r="AA294" t="s">
        <v>323</v>
      </c>
      <c r="AB294" t="s">
        <v>2805</v>
      </c>
      <c r="AC294" t="s">
        <v>170</v>
      </c>
      <c r="AD294" t="s">
        <v>89</v>
      </c>
      <c r="AE294" t="s">
        <v>2806</v>
      </c>
      <c r="AF294">
        <v>20</v>
      </c>
      <c r="AG294" t="s">
        <v>91</v>
      </c>
      <c r="AH294" t="s">
        <v>274</v>
      </c>
      <c r="AI294">
        <v>22</v>
      </c>
      <c r="AJ294" t="s">
        <v>110</v>
      </c>
      <c r="AK294">
        <v>20</v>
      </c>
      <c r="AL294">
        <v>8</v>
      </c>
      <c r="AM294">
        <v>354</v>
      </c>
      <c r="AN294">
        <v>50</v>
      </c>
      <c r="AO294">
        <v>5</v>
      </c>
      <c r="AP294" t="s">
        <v>93</v>
      </c>
      <c r="AQ294" t="s">
        <v>89</v>
      </c>
      <c r="AR294" t="s">
        <v>89</v>
      </c>
      <c r="AS294" t="s">
        <v>93</v>
      </c>
      <c r="AT294" t="s">
        <v>89</v>
      </c>
      <c r="AU294" t="s">
        <v>89</v>
      </c>
      <c r="AV294" t="s">
        <v>89</v>
      </c>
      <c r="AW294">
        <v>15</v>
      </c>
      <c r="AX294">
        <v>5</v>
      </c>
      <c r="AY294" t="s">
        <v>93</v>
      </c>
      <c r="AZ294">
        <v>0</v>
      </c>
      <c r="BA294">
        <v>0</v>
      </c>
      <c r="BB294">
        <v>0</v>
      </c>
      <c r="BC294">
        <v>0</v>
      </c>
      <c r="BD294">
        <v>431</v>
      </c>
      <c r="BE294">
        <v>33682</v>
      </c>
      <c r="BF294">
        <v>25</v>
      </c>
      <c r="BG294" t="s">
        <v>89</v>
      </c>
      <c r="BH294">
        <v>431</v>
      </c>
      <c r="BI294">
        <v>33682</v>
      </c>
      <c r="BJ294">
        <v>25</v>
      </c>
      <c r="BK294">
        <f t="shared" si="38"/>
        <v>431</v>
      </c>
      <c r="BL294">
        <f t="shared" si="39"/>
        <v>33682</v>
      </c>
      <c r="BM294">
        <f t="shared" si="40"/>
        <v>25</v>
      </c>
      <c r="BN294">
        <f t="shared" si="41"/>
        <v>0</v>
      </c>
      <c r="BO294">
        <f t="shared" si="42"/>
        <v>0</v>
      </c>
      <c r="BP294">
        <f t="shared" si="43"/>
        <v>0</v>
      </c>
      <c r="BQ294" t="s">
        <v>235</v>
      </c>
      <c r="BR294" t="s">
        <v>140</v>
      </c>
      <c r="BS294" t="s">
        <v>89</v>
      </c>
      <c r="BT294">
        <v>37</v>
      </c>
      <c r="BU294" t="s">
        <v>89</v>
      </c>
      <c r="BV294" t="s">
        <v>89</v>
      </c>
      <c r="BW294">
        <v>17</v>
      </c>
      <c r="BX294">
        <v>1989</v>
      </c>
      <c r="BY294">
        <v>15</v>
      </c>
      <c r="BZ294">
        <f t="shared" si="44"/>
        <v>-2</v>
      </c>
      <c r="CA294">
        <f t="shared" si="45"/>
        <v>2</v>
      </c>
      <c r="CB294" t="b">
        <f t="shared" si="46"/>
        <v>0</v>
      </c>
    </row>
    <row r="295" spans="1:80" x14ac:dyDescent="0.3">
      <c r="A295" t="s">
        <v>2807</v>
      </c>
      <c r="B295" t="s">
        <v>71</v>
      </c>
      <c r="C295" t="s">
        <v>2808</v>
      </c>
      <c r="D295">
        <v>38</v>
      </c>
      <c r="E295">
        <v>31933</v>
      </c>
      <c r="F295" t="s">
        <v>89</v>
      </c>
      <c r="G295" t="s">
        <v>277</v>
      </c>
      <c r="H295" t="s">
        <v>76</v>
      </c>
      <c r="I295" t="s">
        <v>227</v>
      </c>
      <c r="J295" t="s">
        <v>78</v>
      </c>
      <c r="K295" t="s">
        <v>89</v>
      </c>
      <c r="L295" t="s">
        <v>180</v>
      </c>
      <c r="M295">
        <v>20</v>
      </c>
      <c r="N295" t="s">
        <v>214</v>
      </c>
      <c r="O295">
        <v>2007</v>
      </c>
      <c r="P295" t="s">
        <v>2809</v>
      </c>
      <c r="Q295" t="s">
        <v>2810</v>
      </c>
      <c r="R295">
        <v>63723</v>
      </c>
      <c r="S295" t="s">
        <v>2807</v>
      </c>
      <c r="T295" s="1">
        <v>31903</v>
      </c>
      <c r="U295">
        <v>1987</v>
      </c>
      <c r="V295" t="s">
        <v>2811</v>
      </c>
      <c r="W295">
        <v>1.85</v>
      </c>
      <c r="X295" t="s">
        <v>76</v>
      </c>
      <c r="Y295" t="s">
        <v>235</v>
      </c>
      <c r="Z295" t="s">
        <v>87</v>
      </c>
      <c r="AA295" t="s">
        <v>745</v>
      </c>
      <c r="AB295" s="1">
        <v>44568</v>
      </c>
      <c r="AC295" t="s">
        <v>108</v>
      </c>
      <c r="AD295" t="s">
        <v>89</v>
      </c>
      <c r="AE295" t="s">
        <v>2812</v>
      </c>
      <c r="AF295">
        <v>20</v>
      </c>
      <c r="AG295" t="s">
        <v>91</v>
      </c>
      <c r="AH295" s="1">
        <v>39913</v>
      </c>
      <c r="AI295">
        <v>22</v>
      </c>
      <c r="AJ295" t="s">
        <v>110</v>
      </c>
      <c r="AK295">
        <v>20</v>
      </c>
      <c r="AL295">
        <v>4</v>
      </c>
      <c r="AM295">
        <v>301</v>
      </c>
      <c r="AN295">
        <v>41</v>
      </c>
      <c r="AO295">
        <v>4</v>
      </c>
      <c r="AP295" t="s">
        <v>93</v>
      </c>
      <c r="AQ295" t="s">
        <v>89</v>
      </c>
      <c r="AR295" t="s">
        <v>89</v>
      </c>
      <c r="AS295" t="s">
        <v>111</v>
      </c>
      <c r="AT295">
        <v>44568</v>
      </c>
      <c r="AU295">
        <v>2022</v>
      </c>
      <c r="AV295">
        <v>15</v>
      </c>
      <c r="AW295">
        <v>15</v>
      </c>
      <c r="AX295" t="s">
        <v>89</v>
      </c>
      <c r="AY295" t="s">
        <v>93</v>
      </c>
      <c r="AZ295">
        <v>0</v>
      </c>
      <c r="BA295">
        <v>0</v>
      </c>
      <c r="BB295">
        <v>0</v>
      </c>
      <c r="BC295">
        <v>0</v>
      </c>
      <c r="BD295">
        <v>354</v>
      </c>
      <c r="BE295">
        <v>29338</v>
      </c>
      <c r="BF295">
        <v>21</v>
      </c>
      <c r="BG295">
        <v>35</v>
      </c>
      <c r="BH295">
        <v>354</v>
      </c>
      <c r="BI295">
        <v>29338</v>
      </c>
      <c r="BJ295">
        <v>21</v>
      </c>
      <c r="BK295">
        <f t="shared" si="38"/>
        <v>354</v>
      </c>
      <c r="BL295">
        <f t="shared" si="39"/>
        <v>29338</v>
      </c>
      <c r="BM295">
        <f t="shared" si="40"/>
        <v>21</v>
      </c>
      <c r="BN295">
        <f t="shared" si="41"/>
        <v>0</v>
      </c>
      <c r="BO295">
        <f t="shared" si="42"/>
        <v>0</v>
      </c>
      <c r="BP295">
        <f t="shared" si="43"/>
        <v>0</v>
      </c>
      <c r="BQ295" t="s">
        <v>235</v>
      </c>
      <c r="BR295" t="s">
        <v>140</v>
      </c>
      <c r="BS295" s="1">
        <v>31933</v>
      </c>
      <c r="BT295">
        <v>38</v>
      </c>
      <c r="BU295">
        <v>44568</v>
      </c>
      <c r="BV295" t="s">
        <v>89</v>
      </c>
      <c r="BW295">
        <v>15</v>
      </c>
      <c r="BX295">
        <v>1987</v>
      </c>
      <c r="BY295">
        <v>15</v>
      </c>
      <c r="BZ295">
        <f t="shared" si="44"/>
        <v>0</v>
      </c>
      <c r="CA295">
        <f t="shared" si="45"/>
        <v>0</v>
      </c>
      <c r="CB295" t="b">
        <f t="shared" si="46"/>
        <v>1</v>
      </c>
    </row>
    <row r="296" spans="1:80" x14ac:dyDescent="0.3">
      <c r="A296" t="s">
        <v>2813</v>
      </c>
      <c r="B296" t="s">
        <v>71</v>
      </c>
      <c r="C296" t="s">
        <v>2814</v>
      </c>
      <c r="D296">
        <v>38</v>
      </c>
      <c r="E296" s="1">
        <v>31889</v>
      </c>
      <c r="F296" t="s">
        <v>89</v>
      </c>
      <c r="G296" t="s">
        <v>241</v>
      </c>
      <c r="H296" t="s">
        <v>76</v>
      </c>
      <c r="I296" t="s">
        <v>227</v>
      </c>
      <c r="J296" t="s">
        <v>78</v>
      </c>
      <c r="K296" t="s">
        <v>89</v>
      </c>
      <c r="L296" t="s">
        <v>228</v>
      </c>
      <c r="M296">
        <v>23</v>
      </c>
      <c r="N296" t="s">
        <v>2815</v>
      </c>
      <c r="O296">
        <v>2010</v>
      </c>
      <c r="P296" t="s">
        <v>2816</v>
      </c>
      <c r="Q296" t="s">
        <v>2817</v>
      </c>
      <c r="R296">
        <v>45304</v>
      </c>
      <c r="S296" t="s">
        <v>2813</v>
      </c>
      <c r="T296" t="s">
        <v>2818</v>
      </c>
      <c r="U296">
        <v>1987</v>
      </c>
      <c r="V296" t="s">
        <v>122</v>
      </c>
      <c r="W296">
        <v>1.91</v>
      </c>
      <c r="X296" t="s">
        <v>76</v>
      </c>
      <c r="Y296" t="s">
        <v>235</v>
      </c>
      <c r="Z296" t="s">
        <v>87</v>
      </c>
      <c r="AA296" t="s">
        <v>2819</v>
      </c>
      <c r="AB296" t="s">
        <v>2820</v>
      </c>
      <c r="AC296" t="s">
        <v>108</v>
      </c>
      <c r="AD296" t="s">
        <v>89</v>
      </c>
      <c r="AE296">
        <v>40856</v>
      </c>
      <c r="AF296">
        <v>24</v>
      </c>
      <c r="AG296" t="s">
        <v>91</v>
      </c>
      <c r="AH296" t="s">
        <v>274</v>
      </c>
      <c r="AI296">
        <v>25</v>
      </c>
      <c r="AJ296" t="s">
        <v>110</v>
      </c>
      <c r="AK296">
        <v>24</v>
      </c>
      <c r="AL296">
        <v>5</v>
      </c>
      <c r="AM296">
        <v>134</v>
      </c>
      <c r="AN296">
        <v>19</v>
      </c>
      <c r="AO296">
        <v>3</v>
      </c>
      <c r="AP296" t="s">
        <v>93</v>
      </c>
      <c r="AQ296" t="s">
        <v>89</v>
      </c>
      <c r="AR296" t="s">
        <v>89</v>
      </c>
      <c r="AS296" t="s">
        <v>93</v>
      </c>
      <c r="AT296" t="s">
        <v>89</v>
      </c>
      <c r="AU296" t="s">
        <v>89</v>
      </c>
      <c r="AV296" t="s">
        <v>89</v>
      </c>
      <c r="AW296">
        <v>15</v>
      </c>
      <c r="AX296">
        <v>44</v>
      </c>
      <c r="AY296" t="s">
        <v>93</v>
      </c>
      <c r="AZ296">
        <v>0</v>
      </c>
      <c r="BA296">
        <v>0</v>
      </c>
      <c r="BB296">
        <v>0</v>
      </c>
      <c r="BC296">
        <v>0</v>
      </c>
      <c r="BD296">
        <v>139</v>
      </c>
      <c r="BE296">
        <v>11323</v>
      </c>
      <c r="BF296">
        <v>8</v>
      </c>
      <c r="BG296" t="s">
        <v>89</v>
      </c>
      <c r="BH296">
        <v>139</v>
      </c>
      <c r="BI296">
        <v>11323</v>
      </c>
      <c r="BJ296">
        <v>8</v>
      </c>
      <c r="BK296">
        <f t="shared" si="38"/>
        <v>139</v>
      </c>
      <c r="BL296">
        <f t="shared" si="39"/>
        <v>11323</v>
      </c>
      <c r="BM296">
        <f t="shared" si="40"/>
        <v>8</v>
      </c>
      <c r="BN296">
        <f t="shared" si="41"/>
        <v>0</v>
      </c>
      <c r="BO296">
        <f t="shared" si="42"/>
        <v>0</v>
      </c>
      <c r="BP296">
        <f t="shared" si="43"/>
        <v>0</v>
      </c>
      <c r="BQ296" t="s">
        <v>235</v>
      </c>
      <c r="BR296" t="s">
        <v>140</v>
      </c>
      <c r="BS296" s="1">
        <v>31889</v>
      </c>
      <c r="BT296">
        <v>38</v>
      </c>
      <c r="BU296" t="s">
        <v>89</v>
      </c>
      <c r="BV296" t="s">
        <v>89</v>
      </c>
      <c r="BW296">
        <v>14</v>
      </c>
      <c r="BX296">
        <v>1987</v>
      </c>
      <c r="BY296">
        <v>14</v>
      </c>
      <c r="BZ296">
        <f t="shared" si="44"/>
        <v>1</v>
      </c>
      <c r="CA296">
        <f t="shared" si="45"/>
        <v>0</v>
      </c>
      <c r="CB296" t="b">
        <f t="shared" si="46"/>
        <v>0</v>
      </c>
    </row>
    <row r="297" spans="1:80" x14ac:dyDescent="0.3">
      <c r="A297" t="s">
        <v>2821</v>
      </c>
      <c r="B297" t="s">
        <v>71</v>
      </c>
      <c r="C297" t="s">
        <v>2822</v>
      </c>
      <c r="D297">
        <v>45</v>
      </c>
      <c r="E297" s="1">
        <v>29366</v>
      </c>
      <c r="F297" t="s">
        <v>89</v>
      </c>
      <c r="G297" t="s">
        <v>277</v>
      </c>
      <c r="H297" t="s">
        <v>89</v>
      </c>
      <c r="I297" t="s">
        <v>227</v>
      </c>
      <c r="J297" t="s">
        <v>78</v>
      </c>
      <c r="K297" t="s">
        <v>89</v>
      </c>
      <c r="L297" t="s">
        <v>99</v>
      </c>
      <c r="M297">
        <v>21</v>
      </c>
      <c r="N297" t="s">
        <v>214</v>
      </c>
      <c r="O297">
        <v>2001</v>
      </c>
      <c r="P297" t="s">
        <v>2823</v>
      </c>
      <c r="Q297" t="s">
        <v>2824</v>
      </c>
      <c r="R297">
        <v>7568</v>
      </c>
      <c r="S297" t="s">
        <v>2821</v>
      </c>
      <c r="T297" t="s">
        <v>2825</v>
      </c>
      <c r="U297">
        <v>1980</v>
      </c>
      <c r="V297" t="s">
        <v>2826</v>
      </c>
      <c r="W297">
        <v>1.88</v>
      </c>
      <c r="X297" t="s">
        <v>76</v>
      </c>
      <c r="Y297" t="s">
        <v>235</v>
      </c>
      <c r="Z297" t="s">
        <v>87</v>
      </c>
      <c r="AA297" t="s">
        <v>1950</v>
      </c>
      <c r="AB297" s="1">
        <v>43101</v>
      </c>
      <c r="AC297" t="s">
        <v>108</v>
      </c>
      <c r="AD297" t="s">
        <v>89</v>
      </c>
      <c r="AE297">
        <v>36991</v>
      </c>
      <c r="AF297">
        <v>21</v>
      </c>
      <c r="AG297" t="s">
        <v>91</v>
      </c>
      <c r="AH297" t="s">
        <v>2827</v>
      </c>
      <c r="AI297">
        <v>36</v>
      </c>
      <c r="AJ297" t="s">
        <v>110</v>
      </c>
      <c r="AK297">
        <v>21</v>
      </c>
      <c r="AL297">
        <v>4</v>
      </c>
      <c r="AM297">
        <v>82</v>
      </c>
      <c r="AN297">
        <v>13</v>
      </c>
      <c r="AO297">
        <v>3</v>
      </c>
      <c r="AP297" t="s">
        <v>93</v>
      </c>
      <c r="AQ297" t="s">
        <v>89</v>
      </c>
      <c r="AR297" t="s">
        <v>89</v>
      </c>
      <c r="AS297" t="s">
        <v>111</v>
      </c>
      <c r="AT297" s="1">
        <v>43101</v>
      </c>
      <c r="AU297">
        <v>2018</v>
      </c>
      <c r="AV297">
        <v>17</v>
      </c>
      <c r="AW297">
        <v>17</v>
      </c>
      <c r="AX297" t="s">
        <v>89</v>
      </c>
      <c r="AY297" t="s">
        <v>93</v>
      </c>
      <c r="AZ297">
        <v>0</v>
      </c>
      <c r="BA297">
        <v>0</v>
      </c>
      <c r="BB297">
        <v>0</v>
      </c>
      <c r="BC297">
        <v>0</v>
      </c>
      <c r="BD297">
        <v>348</v>
      </c>
      <c r="BE297">
        <v>29136</v>
      </c>
      <c r="BF297">
        <v>15</v>
      </c>
      <c r="BG297">
        <v>38</v>
      </c>
      <c r="BH297">
        <v>348</v>
      </c>
      <c r="BI297">
        <v>29136</v>
      </c>
      <c r="BJ297">
        <v>15</v>
      </c>
      <c r="BK297">
        <f t="shared" si="38"/>
        <v>348</v>
      </c>
      <c r="BL297">
        <f t="shared" si="39"/>
        <v>29136</v>
      </c>
      <c r="BM297">
        <f t="shared" si="40"/>
        <v>15</v>
      </c>
      <c r="BN297">
        <f t="shared" si="41"/>
        <v>0</v>
      </c>
      <c r="BO297">
        <f t="shared" si="42"/>
        <v>0</v>
      </c>
      <c r="BP297">
        <f t="shared" si="43"/>
        <v>0</v>
      </c>
      <c r="BQ297" t="s">
        <v>235</v>
      </c>
      <c r="BR297" t="s">
        <v>140</v>
      </c>
      <c r="BS297" s="1">
        <v>29366</v>
      </c>
      <c r="BT297">
        <v>45</v>
      </c>
      <c r="BU297" s="1">
        <v>43101</v>
      </c>
      <c r="BV297" s="1">
        <v>43101</v>
      </c>
      <c r="BW297">
        <v>17</v>
      </c>
      <c r="BX297">
        <v>1980</v>
      </c>
      <c r="BY297">
        <v>17</v>
      </c>
      <c r="BZ297">
        <f t="shared" si="44"/>
        <v>0</v>
      </c>
      <c r="CA297">
        <f t="shared" si="45"/>
        <v>0</v>
      </c>
      <c r="CB297" t="b">
        <f t="shared" si="46"/>
        <v>1</v>
      </c>
    </row>
    <row r="298" spans="1:80" x14ac:dyDescent="0.3">
      <c r="A298" t="s">
        <v>2828</v>
      </c>
      <c r="B298" t="s">
        <v>71</v>
      </c>
      <c r="C298" t="s">
        <v>2829</v>
      </c>
      <c r="D298">
        <v>35</v>
      </c>
      <c r="E298" s="1">
        <v>32923</v>
      </c>
      <c r="F298" t="s">
        <v>89</v>
      </c>
      <c r="G298" t="s">
        <v>89</v>
      </c>
      <c r="H298" t="s">
        <v>76</v>
      </c>
      <c r="I298" t="s">
        <v>227</v>
      </c>
      <c r="J298" t="s">
        <v>89</v>
      </c>
      <c r="K298" t="s">
        <v>89</v>
      </c>
      <c r="L298" t="s">
        <v>254</v>
      </c>
      <c r="M298">
        <v>19</v>
      </c>
      <c r="N298" t="s">
        <v>741</v>
      </c>
      <c r="O298">
        <v>2009</v>
      </c>
      <c r="P298" t="s">
        <v>2830</v>
      </c>
      <c r="Q298" t="s">
        <v>2831</v>
      </c>
      <c r="R298">
        <v>58904</v>
      </c>
      <c r="S298" t="s">
        <v>2828</v>
      </c>
      <c r="T298" t="s">
        <v>2832</v>
      </c>
      <c r="U298">
        <v>1990</v>
      </c>
      <c r="V298" t="s">
        <v>2833</v>
      </c>
      <c r="W298">
        <v>1.85</v>
      </c>
      <c r="X298" t="s">
        <v>76</v>
      </c>
      <c r="Y298" t="s">
        <v>235</v>
      </c>
      <c r="Z298" t="s">
        <v>87</v>
      </c>
      <c r="AA298" t="s">
        <v>2834</v>
      </c>
      <c r="AB298" s="1">
        <v>44932</v>
      </c>
      <c r="AC298" t="s">
        <v>108</v>
      </c>
      <c r="AD298" t="s">
        <v>442</v>
      </c>
      <c r="AE298">
        <v>2010</v>
      </c>
      <c r="AF298">
        <v>20</v>
      </c>
      <c r="AG298" t="s">
        <v>91</v>
      </c>
      <c r="AH298">
        <v>2011</v>
      </c>
      <c r="AI298">
        <v>21</v>
      </c>
      <c r="AJ298">
        <v>0</v>
      </c>
      <c r="AK298">
        <v>20</v>
      </c>
      <c r="AL298">
        <v>1</v>
      </c>
      <c r="AM298">
        <v>93</v>
      </c>
      <c r="AN298">
        <v>14</v>
      </c>
      <c r="AO298">
        <v>1</v>
      </c>
      <c r="AP298" t="s">
        <v>93</v>
      </c>
      <c r="AQ298" t="s">
        <v>89</v>
      </c>
      <c r="AR298" t="s">
        <v>89</v>
      </c>
      <c r="AS298" t="s">
        <v>111</v>
      </c>
      <c r="AT298" s="1">
        <v>44932</v>
      </c>
      <c r="AU298">
        <v>2023</v>
      </c>
      <c r="AV298">
        <v>14</v>
      </c>
      <c r="AW298">
        <v>14</v>
      </c>
      <c r="AX298" t="s">
        <v>89</v>
      </c>
      <c r="AY298" t="s">
        <v>93</v>
      </c>
      <c r="AZ298">
        <v>0</v>
      </c>
      <c r="BA298">
        <v>0</v>
      </c>
      <c r="BB298">
        <v>0</v>
      </c>
      <c r="BC298">
        <v>0</v>
      </c>
      <c r="BD298">
        <v>21</v>
      </c>
      <c r="BE298">
        <v>1640</v>
      </c>
      <c r="BF298">
        <v>0</v>
      </c>
      <c r="BG298">
        <v>33</v>
      </c>
      <c r="BH298">
        <v>21</v>
      </c>
      <c r="BI298">
        <v>1640</v>
      </c>
      <c r="BJ298">
        <v>0</v>
      </c>
      <c r="BK298">
        <f t="shared" si="38"/>
        <v>21</v>
      </c>
      <c r="BL298">
        <f t="shared" si="39"/>
        <v>1640</v>
      </c>
      <c r="BM298">
        <f t="shared" si="40"/>
        <v>0</v>
      </c>
      <c r="BN298">
        <f t="shared" si="41"/>
        <v>0</v>
      </c>
      <c r="BO298">
        <f t="shared" si="42"/>
        <v>0</v>
      </c>
      <c r="BP298">
        <f t="shared" si="43"/>
        <v>0</v>
      </c>
      <c r="BQ298" t="s">
        <v>235</v>
      </c>
      <c r="BR298" t="s">
        <v>140</v>
      </c>
      <c r="BS298" s="1">
        <v>32923</v>
      </c>
      <c r="BT298">
        <v>35</v>
      </c>
      <c r="BU298" s="1">
        <v>44932</v>
      </c>
      <c r="BV298" s="1">
        <v>45078</v>
      </c>
      <c r="BW298">
        <v>13</v>
      </c>
      <c r="BX298">
        <v>1990</v>
      </c>
      <c r="BY298">
        <v>13</v>
      </c>
      <c r="BZ298">
        <f t="shared" si="44"/>
        <v>1</v>
      </c>
      <c r="CA298">
        <f t="shared" si="45"/>
        <v>0</v>
      </c>
      <c r="CB298" t="b">
        <f t="shared" si="46"/>
        <v>0</v>
      </c>
    </row>
    <row r="299" spans="1:80" x14ac:dyDescent="0.3">
      <c r="A299" t="s">
        <v>2835</v>
      </c>
      <c r="B299" t="s">
        <v>71</v>
      </c>
      <c r="C299" t="s">
        <v>2836</v>
      </c>
      <c r="D299">
        <v>39</v>
      </c>
      <c r="E299" s="1">
        <v>31457</v>
      </c>
      <c r="F299" t="s">
        <v>89</v>
      </c>
      <c r="G299" t="s">
        <v>277</v>
      </c>
      <c r="H299" t="s">
        <v>76</v>
      </c>
      <c r="I299" t="s">
        <v>437</v>
      </c>
      <c r="J299" t="s">
        <v>78</v>
      </c>
      <c r="K299" t="s">
        <v>89</v>
      </c>
      <c r="L299" t="s">
        <v>117</v>
      </c>
      <c r="M299">
        <v>19</v>
      </c>
      <c r="N299" t="s">
        <v>2837</v>
      </c>
      <c r="O299">
        <v>2005</v>
      </c>
      <c r="P299" t="s">
        <v>2838</v>
      </c>
      <c r="Q299" t="s">
        <v>2839</v>
      </c>
      <c r="R299">
        <v>57950</v>
      </c>
      <c r="S299" t="s">
        <v>2835</v>
      </c>
      <c r="T299" t="s">
        <v>2840</v>
      </c>
      <c r="U299">
        <v>1986</v>
      </c>
      <c r="V299" t="s">
        <v>2342</v>
      </c>
      <c r="W299">
        <v>1.79</v>
      </c>
      <c r="X299" t="s">
        <v>76</v>
      </c>
      <c r="Y299" t="s">
        <v>123</v>
      </c>
      <c r="Z299" t="s">
        <v>87</v>
      </c>
      <c r="AA299" t="s">
        <v>2841</v>
      </c>
      <c r="AB299">
        <v>45298</v>
      </c>
      <c r="AC299" t="s">
        <v>108</v>
      </c>
      <c r="AD299" t="s">
        <v>89</v>
      </c>
      <c r="AE299" t="s">
        <v>138</v>
      </c>
      <c r="AF299">
        <v>23</v>
      </c>
      <c r="AG299" t="s">
        <v>91</v>
      </c>
      <c r="AH299">
        <v>38605</v>
      </c>
      <c r="AI299">
        <v>19</v>
      </c>
      <c r="AJ299" t="s">
        <v>110</v>
      </c>
      <c r="AK299">
        <v>19</v>
      </c>
      <c r="AL299">
        <v>1</v>
      </c>
      <c r="AM299">
        <v>23</v>
      </c>
      <c r="AN299">
        <v>5</v>
      </c>
      <c r="AO299">
        <v>1</v>
      </c>
      <c r="AP299" t="s">
        <v>93</v>
      </c>
      <c r="AQ299" t="s">
        <v>89</v>
      </c>
      <c r="AR299" t="s">
        <v>89</v>
      </c>
      <c r="AS299" t="s">
        <v>111</v>
      </c>
      <c r="AT299">
        <v>45298</v>
      </c>
      <c r="AU299">
        <v>2024</v>
      </c>
      <c r="AV299">
        <v>19</v>
      </c>
      <c r="AW299">
        <v>19</v>
      </c>
      <c r="AX299" t="s">
        <v>89</v>
      </c>
      <c r="AY299" t="s">
        <v>93</v>
      </c>
      <c r="AZ299">
        <v>0</v>
      </c>
      <c r="BA299">
        <v>0</v>
      </c>
      <c r="BB299">
        <v>0</v>
      </c>
      <c r="BC299">
        <v>0</v>
      </c>
      <c r="BD299">
        <v>426</v>
      </c>
      <c r="BE299">
        <v>28802</v>
      </c>
      <c r="BF299">
        <v>128</v>
      </c>
      <c r="BG299">
        <v>38</v>
      </c>
      <c r="BH299">
        <v>426</v>
      </c>
      <c r="BI299">
        <v>28802</v>
      </c>
      <c r="BJ299">
        <v>128</v>
      </c>
      <c r="BK299">
        <f t="shared" si="38"/>
        <v>426</v>
      </c>
      <c r="BL299">
        <f t="shared" si="39"/>
        <v>28802</v>
      </c>
      <c r="BM299">
        <f t="shared" si="40"/>
        <v>128</v>
      </c>
      <c r="BN299">
        <f t="shared" si="41"/>
        <v>0</v>
      </c>
      <c r="BO299">
        <f t="shared" si="42"/>
        <v>0</v>
      </c>
      <c r="BP299">
        <f t="shared" si="43"/>
        <v>0</v>
      </c>
      <c r="BQ299" t="s">
        <v>123</v>
      </c>
      <c r="BR299" t="s">
        <v>112</v>
      </c>
      <c r="BS299" t="s">
        <v>89</v>
      </c>
      <c r="BT299">
        <v>40</v>
      </c>
      <c r="BU299">
        <v>45298</v>
      </c>
      <c r="BV299" t="s">
        <v>89</v>
      </c>
      <c r="BW299">
        <v>19</v>
      </c>
      <c r="BX299">
        <v>1986</v>
      </c>
      <c r="BY299">
        <v>19</v>
      </c>
      <c r="BZ299">
        <f t="shared" si="44"/>
        <v>0</v>
      </c>
      <c r="CA299">
        <f t="shared" si="45"/>
        <v>0</v>
      </c>
      <c r="CB299" t="b">
        <f t="shared" si="46"/>
        <v>1</v>
      </c>
    </row>
    <row r="300" spans="1:80" x14ac:dyDescent="0.3">
      <c r="A300" t="s">
        <v>2842</v>
      </c>
      <c r="B300" t="s">
        <v>71</v>
      </c>
      <c r="C300" t="s">
        <v>2843</v>
      </c>
      <c r="D300">
        <v>35</v>
      </c>
      <c r="E300" t="s">
        <v>2844</v>
      </c>
      <c r="F300" t="s">
        <v>2845</v>
      </c>
      <c r="G300" t="s">
        <v>226</v>
      </c>
      <c r="H300" t="s">
        <v>89</v>
      </c>
      <c r="I300" t="s">
        <v>266</v>
      </c>
      <c r="J300" t="s">
        <v>300</v>
      </c>
      <c r="K300" t="s">
        <v>717</v>
      </c>
      <c r="L300" t="s">
        <v>228</v>
      </c>
      <c r="M300">
        <v>20</v>
      </c>
      <c r="N300" t="s">
        <v>820</v>
      </c>
      <c r="O300">
        <v>2010</v>
      </c>
      <c r="P300" t="s">
        <v>2846</v>
      </c>
      <c r="Q300" t="s">
        <v>2847</v>
      </c>
      <c r="R300">
        <v>158795</v>
      </c>
      <c r="S300" t="s">
        <v>2842</v>
      </c>
      <c r="T300" t="s">
        <v>2848</v>
      </c>
      <c r="U300">
        <v>1989</v>
      </c>
      <c r="V300" t="s">
        <v>2849</v>
      </c>
      <c r="W300">
        <v>1.85</v>
      </c>
      <c r="X300" t="s">
        <v>76</v>
      </c>
      <c r="Y300" t="s">
        <v>259</v>
      </c>
      <c r="Z300" t="s">
        <v>152</v>
      </c>
      <c r="AA300" t="s">
        <v>717</v>
      </c>
      <c r="AB300" t="s">
        <v>1262</v>
      </c>
      <c r="AC300" t="s">
        <v>108</v>
      </c>
      <c r="AD300" t="s">
        <v>89</v>
      </c>
      <c r="AE300" t="s">
        <v>816</v>
      </c>
      <c r="AF300">
        <v>21</v>
      </c>
      <c r="AG300" t="s">
        <v>91</v>
      </c>
      <c r="AH300" t="s">
        <v>154</v>
      </c>
      <c r="AI300">
        <v>23</v>
      </c>
      <c r="AJ300" t="s">
        <v>110</v>
      </c>
      <c r="AK300">
        <v>21</v>
      </c>
      <c r="AL300">
        <v>3</v>
      </c>
      <c r="AM300">
        <v>156</v>
      </c>
      <c r="AN300">
        <v>20</v>
      </c>
      <c r="AO300">
        <v>3</v>
      </c>
      <c r="AP300" t="s">
        <v>93</v>
      </c>
      <c r="AQ300" t="s">
        <v>89</v>
      </c>
      <c r="AR300" t="s">
        <v>89</v>
      </c>
      <c r="AS300" t="s">
        <v>93</v>
      </c>
      <c r="AT300" t="s">
        <v>89</v>
      </c>
      <c r="AU300" t="s">
        <v>89</v>
      </c>
      <c r="AV300" t="s">
        <v>89</v>
      </c>
      <c r="AW300">
        <v>15</v>
      </c>
      <c r="AX300">
        <v>24</v>
      </c>
      <c r="AY300" t="s">
        <v>93</v>
      </c>
      <c r="AZ300">
        <v>0</v>
      </c>
      <c r="BA300">
        <v>0</v>
      </c>
      <c r="BB300">
        <v>0</v>
      </c>
      <c r="BC300">
        <v>0</v>
      </c>
      <c r="BD300">
        <v>424</v>
      </c>
      <c r="BE300">
        <v>28668</v>
      </c>
      <c r="BF300">
        <v>26</v>
      </c>
      <c r="BG300" t="s">
        <v>89</v>
      </c>
      <c r="BH300">
        <v>424</v>
      </c>
      <c r="BI300">
        <v>28668</v>
      </c>
      <c r="BJ300">
        <v>26</v>
      </c>
      <c r="BK300">
        <f t="shared" si="38"/>
        <v>424</v>
      </c>
      <c r="BL300">
        <f t="shared" si="39"/>
        <v>28668</v>
      </c>
      <c r="BM300">
        <f t="shared" si="40"/>
        <v>26</v>
      </c>
      <c r="BN300">
        <f t="shared" si="41"/>
        <v>0</v>
      </c>
      <c r="BO300">
        <f t="shared" si="42"/>
        <v>0</v>
      </c>
      <c r="BP300">
        <f t="shared" si="43"/>
        <v>0</v>
      </c>
      <c r="BQ300" t="s">
        <v>259</v>
      </c>
      <c r="BR300" t="s">
        <v>94</v>
      </c>
      <c r="BS300" s="1">
        <v>32798</v>
      </c>
      <c r="BT300">
        <v>36</v>
      </c>
      <c r="BU300" t="s">
        <v>89</v>
      </c>
      <c r="BV300" t="s">
        <v>89</v>
      </c>
      <c r="BW300">
        <v>15</v>
      </c>
      <c r="BX300">
        <v>1989</v>
      </c>
      <c r="BY300">
        <v>14</v>
      </c>
      <c r="BZ300">
        <f t="shared" si="44"/>
        <v>0</v>
      </c>
      <c r="CA300">
        <f t="shared" si="45"/>
        <v>1</v>
      </c>
      <c r="CB300" t="b">
        <f t="shared" si="46"/>
        <v>1</v>
      </c>
    </row>
    <row r="301" spans="1:80" x14ac:dyDescent="0.3">
      <c r="A301" t="s">
        <v>2850</v>
      </c>
      <c r="B301" t="s">
        <v>191</v>
      </c>
      <c r="C301" t="s">
        <v>2851</v>
      </c>
      <c r="D301">
        <v>47</v>
      </c>
      <c r="E301" s="1">
        <v>28413</v>
      </c>
      <c r="F301" t="s">
        <v>89</v>
      </c>
      <c r="G301" t="s">
        <v>241</v>
      </c>
      <c r="H301" t="s">
        <v>194</v>
      </c>
      <c r="I301" t="s">
        <v>437</v>
      </c>
      <c r="J301" t="s">
        <v>78</v>
      </c>
      <c r="K301" t="s">
        <v>89</v>
      </c>
      <c r="L301" t="s">
        <v>2852</v>
      </c>
      <c r="M301">
        <v>17</v>
      </c>
      <c r="N301" t="s">
        <v>197</v>
      </c>
      <c r="O301">
        <v>1995</v>
      </c>
      <c r="P301" t="s">
        <v>2853</v>
      </c>
      <c r="Q301" t="s">
        <v>2854</v>
      </c>
      <c r="R301">
        <v>4146</v>
      </c>
      <c r="S301" t="s">
        <v>2850</v>
      </c>
      <c r="T301" t="s">
        <v>2855</v>
      </c>
      <c r="U301">
        <v>1977</v>
      </c>
      <c r="V301" t="s">
        <v>2856</v>
      </c>
      <c r="W301">
        <v>1.9</v>
      </c>
      <c r="X301" t="s">
        <v>2857</v>
      </c>
      <c r="Y301" t="s">
        <v>123</v>
      </c>
      <c r="Z301" t="s">
        <v>392</v>
      </c>
      <c r="AA301" t="s">
        <v>2858</v>
      </c>
      <c r="AB301" t="s">
        <v>2859</v>
      </c>
      <c r="AC301" t="s">
        <v>108</v>
      </c>
      <c r="AD301" t="s">
        <v>89</v>
      </c>
      <c r="AE301">
        <v>35248</v>
      </c>
      <c r="AF301">
        <v>18</v>
      </c>
      <c r="AG301" t="s">
        <v>206</v>
      </c>
      <c r="AH301" t="s">
        <v>2860</v>
      </c>
      <c r="AI301">
        <v>28</v>
      </c>
      <c r="AJ301" t="s">
        <v>575</v>
      </c>
      <c r="AK301">
        <v>18</v>
      </c>
      <c r="AL301">
        <v>12</v>
      </c>
      <c r="AM301">
        <v>669</v>
      </c>
      <c r="AN301">
        <v>158</v>
      </c>
      <c r="AO301">
        <v>7</v>
      </c>
      <c r="AP301" t="s">
        <v>93</v>
      </c>
      <c r="AQ301" t="s">
        <v>89</v>
      </c>
      <c r="AR301" t="s">
        <v>89</v>
      </c>
      <c r="AS301" t="s">
        <v>111</v>
      </c>
      <c r="AT301" t="s">
        <v>2859</v>
      </c>
      <c r="AU301">
        <v>2015</v>
      </c>
      <c r="AV301">
        <v>20</v>
      </c>
      <c r="AW301">
        <v>20</v>
      </c>
      <c r="AX301" t="s">
        <v>89</v>
      </c>
      <c r="AY301" t="s">
        <v>111</v>
      </c>
      <c r="AZ301">
        <v>7</v>
      </c>
      <c r="BA301">
        <v>24</v>
      </c>
      <c r="BB301">
        <v>1524</v>
      </c>
      <c r="BC301">
        <v>7</v>
      </c>
      <c r="BD301">
        <v>443</v>
      </c>
      <c r="BE301">
        <v>32386</v>
      </c>
      <c r="BF301">
        <v>237</v>
      </c>
      <c r="BG301">
        <v>38</v>
      </c>
      <c r="BH301">
        <v>467</v>
      </c>
      <c r="BI301">
        <v>33910</v>
      </c>
      <c r="BJ301">
        <v>244</v>
      </c>
      <c r="BK301">
        <f t="shared" si="38"/>
        <v>467</v>
      </c>
      <c r="BL301">
        <f t="shared" si="39"/>
        <v>33910</v>
      </c>
      <c r="BM301">
        <f t="shared" si="40"/>
        <v>244</v>
      </c>
      <c r="BN301">
        <f t="shared" si="41"/>
        <v>0</v>
      </c>
      <c r="BO301">
        <f t="shared" si="42"/>
        <v>0</v>
      </c>
      <c r="BP301">
        <f t="shared" si="43"/>
        <v>0</v>
      </c>
      <c r="BQ301" t="s">
        <v>123</v>
      </c>
      <c r="BR301" t="s">
        <v>112</v>
      </c>
      <c r="BS301" s="1">
        <v>28413</v>
      </c>
      <c r="BT301">
        <v>48</v>
      </c>
      <c r="BU301" t="s">
        <v>2859</v>
      </c>
      <c r="BV301" s="1">
        <v>42024</v>
      </c>
      <c r="BW301">
        <v>20</v>
      </c>
      <c r="BX301">
        <v>1977</v>
      </c>
      <c r="BY301">
        <v>20</v>
      </c>
      <c r="BZ301">
        <f t="shared" si="44"/>
        <v>0</v>
      </c>
      <c r="CA301">
        <f t="shared" si="45"/>
        <v>0</v>
      </c>
      <c r="CB301" t="b">
        <f t="shared" si="46"/>
        <v>1</v>
      </c>
    </row>
    <row r="302" spans="1:80" x14ac:dyDescent="0.3">
      <c r="A302" t="s">
        <v>2861</v>
      </c>
      <c r="B302" t="s">
        <v>71</v>
      </c>
      <c r="C302" t="s">
        <v>2862</v>
      </c>
      <c r="D302">
        <v>43</v>
      </c>
      <c r="E302">
        <v>29923</v>
      </c>
      <c r="F302" t="s">
        <v>89</v>
      </c>
      <c r="G302" t="s">
        <v>143</v>
      </c>
      <c r="H302" t="s">
        <v>76</v>
      </c>
      <c r="I302" t="s">
        <v>340</v>
      </c>
      <c r="J302" t="s">
        <v>78</v>
      </c>
      <c r="K302" t="s">
        <v>89</v>
      </c>
      <c r="L302" t="s">
        <v>99</v>
      </c>
      <c r="M302">
        <v>19</v>
      </c>
      <c r="N302" t="s">
        <v>279</v>
      </c>
      <c r="O302">
        <v>2001</v>
      </c>
      <c r="P302" t="s">
        <v>2863</v>
      </c>
      <c r="Q302" t="s">
        <v>2864</v>
      </c>
      <c r="R302">
        <v>7980</v>
      </c>
      <c r="S302" t="s">
        <v>2861</v>
      </c>
      <c r="T302">
        <v>29657</v>
      </c>
      <c r="U302">
        <v>1981</v>
      </c>
      <c r="V302" t="s">
        <v>2865</v>
      </c>
      <c r="W302">
        <v>1.74</v>
      </c>
      <c r="X302" t="s">
        <v>76</v>
      </c>
      <c r="Y302" t="s">
        <v>123</v>
      </c>
      <c r="Z302" t="s">
        <v>392</v>
      </c>
      <c r="AA302" t="s">
        <v>1712</v>
      </c>
      <c r="AB302" s="1">
        <v>43832</v>
      </c>
      <c r="AC302" t="s">
        <v>108</v>
      </c>
      <c r="AD302" t="s">
        <v>442</v>
      </c>
      <c r="AE302">
        <v>2003</v>
      </c>
      <c r="AF302">
        <v>21</v>
      </c>
      <c r="AG302" t="s">
        <v>91</v>
      </c>
      <c r="AH302">
        <v>2001</v>
      </c>
      <c r="AI302">
        <v>19</v>
      </c>
      <c r="AJ302">
        <v>0</v>
      </c>
      <c r="AK302">
        <v>19</v>
      </c>
      <c r="AL302">
        <v>14</v>
      </c>
      <c r="AM302">
        <v>457</v>
      </c>
      <c r="AN302">
        <v>91</v>
      </c>
      <c r="AO302">
        <v>10</v>
      </c>
      <c r="AP302" t="s">
        <v>93</v>
      </c>
      <c r="AQ302" t="s">
        <v>89</v>
      </c>
      <c r="AR302" t="s">
        <v>89</v>
      </c>
      <c r="AS302" t="s">
        <v>111</v>
      </c>
      <c r="AT302">
        <v>43832</v>
      </c>
      <c r="AU302">
        <v>2020</v>
      </c>
      <c r="AV302">
        <v>19</v>
      </c>
      <c r="AW302">
        <v>19</v>
      </c>
      <c r="AX302" t="s">
        <v>89</v>
      </c>
      <c r="AY302" t="s">
        <v>111</v>
      </c>
      <c r="AZ302">
        <v>13</v>
      </c>
      <c r="BA302">
        <v>59</v>
      </c>
      <c r="BB302">
        <v>4055</v>
      </c>
      <c r="BC302">
        <v>43</v>
      </c>
      <c r="BD302">
        <v>652</v>
      </c>
      <c r="BE302">
        <v>50496</v>
      </c>
      <c r="BF302">
        <v>339</v>
      </c>
      <c r="BG302">
        <v>39</v>
      </c>
      <c r="BH302">
        <v>711</v>
      </c>
      <c r="BI302">
        <v>54551</v>
      </c>
      <c r="BJ302">
        <v>382</v>
      </c>
      <c r="BK302">
        <f t="shared" si="38"/>
        <v>711</v>
      </c>
      <c r="BL302">
        <f t="shared" si="39"/>
        <v>54551</v>
      </c>
      <c r="BM302">
        <f t="shared" si="40"/>
        <v>382</v>
      </c>
      <c r="BN302">
        <f t="shared" si="41"/>
        <v>0</v>
      </c>
      <c r="BO302">
        <f t="shared" si="42"/>
        <v>0</v>
      </c>
      <c r="BP302">
        <f t="shared" si="43"/>
        <v>0</v>
      </c>
      <c r="BQ302" t="s">
        <v>123</v>
      </c>
      <c r="BR302" t="s">
        <v>112</v>
      </c>
      <c r="BS302" t="s">
        <v>89</v>
      </c>
      <c r="BT302">
        <v>45</v>
      </c>
      <c r="BU302">
        <v>43832</v>
      </c>
      <c r="BV302" t="s">
        <v>89</v>
      </c>
      <c r="BW302">
        <v>20</v>
      </c>
      <c r="BX302">
        <v>1981</v>
      </c>
      <c r="BY302">
        <v>20</v>
      </c>
      <c r="BZ302">
        <f t="shared" si="44"/>
        <v>-1</v>
      </c>
      <c r="CA302">
        <f t="shared" si="45"/>
        <v>0</v>
      </c>
      <c r="CB302" t="b">
        <f t="shared" si="46"/>
        <v>0</v>
      </c>
    </row>
    <row r="303" spans="1:80" x14ac:dyDescent="0.3">
      <c r="A303" t="s">
        <v>2866</v>
      </c>
      <c r="B303" t="s">
        <v>71</v>
      </c>
      <c r="C303" t="s">
        <v>2867</v>
      </c>
      <c r="D303">
        <v>39</v>
      </c>
      <c r="E303">
        <v>31612</v>
      </c>
      <c r="F303" t="s">
        <v>89</v>
      </c>
      <c r="G303" t="s">
        <v>176</v>
      </c>
      <c r="H303" t="s">
        <v>89</v>
      </c>
      <c r="I303" t="s">
        <v>1290</v>
      </c>
      <c r="J303" t="s">
        <v>78</v>
      </c>
      <c r="K303" t="s">
        <v>89</v>
      </c>
      <c r="L303" t="s">
        <v>180</v>
      </c>
      <c r="M303">
        <v>21</v>
      </c>
      <c r="N303" t="s">
        <v>1181</v>
      </c>
      <c r="O303">
        <v>2007</v>
      </c>
      <c r="P303" t="s">
        <v>2868</v>
      </c>
      <c r="Q303" t="s">
        <v>2869</v>
      </c>
      <c r="R303">
        <v>59375</v>
      </c>
      <c r="S303" t="s">
        <v>2866</v>
      </c>
      <c r="T303" t="s">
        <v>2870</v>
      </c>
      <c r="U303">
        <v>1986</v>
      </c>
      <c r="V303" t="s">
        <v>2871</v>
      </c>
      <c r="W303">
        <v>1.86</v>
      </c>
      <c r="X303" t="s">
        <v>1563</v>
      </c>
      <c r="Y303" t="s">
        <v>86</v>
      </c>
      <c r="Z303" t="s">
        <v>87</v>
      </c>
      <c r="AA303" t="s">
        <v>1365</v>
      </c>
      <c r="AB303" t="s">
        <v>1209</v>
      </c>
      <c r="AC303" t="s">
        <v>108</v>
      </c>
      <c r="AD303" t="s">
        <v>89</v>
      </c>
      <c r="AE303" t="s">
        <v>237</v>
      </c>
      <c r="AF303">
        <v>24</v>
      </c>
      <c r="AG303" t="s">
        <v>91</v>
      </c>
      <c r="AH303">
        <v>39303</v>
      </c>
      <c r="AI303">
        <v>21</v>
      </c>
      <c r="AJ303" t="s">
        <v>110</v>
      </c>
      <c r="AK303">
        <v>21</v>
      </c>
      <c r="AL303">
        <v>16</v>
      </c>
      <c r="AM303">
        <v>652</v>
      </c>
      <c r="AN303">
        <v>90</v>
      </c>
      <c r="AO303">
        <v>6</v>
      </c>
      <c r="AP303" t="s">
        <v>93</v>
      </c>
      <c r="AQ303" t="s">
        <v>89</v>
      </c>
      <c r="AR303" t="s">
        <v>89</v>
      </c>
      <c r="AS303" t="s">
        <v>111</v>
      </c>
      <c r="AT303" t="s">
        <v>1209</v>
      </c>
      <c r="AU303">
        <v>2020</v>
      </c>
      <c r="AV303">
        <v>13</v>
      </c>
      <c r="AW303">
        <v>13</v>
      </c>
      <c r="AX303" t="s">
        <v>89</v>
      </c>
      <c r="AY303" t="s">
        <v>93</v>
      </c>
      <c r="AZ303">
        <v>0</v>
      </c>
      <c r="BA303">
        <v>0</v>
      </c>
      <c r="BB303">
        <v>0</v>
      </c>
      <c r="BC303">
        <v>0</v>
      </c>
      <c r="BD303">
        <v>311</v>
      </c>
      <c r="BE303">
        <v>20664</v>
      </c>
      <c r="BF303">
        <v>23</v>
      </c>
      <c r="BG303">
        <v>34</v>
      </c>
      <c r="BH303">
        <v>311</v>
      </c>
      <c r="BI303">
        <v>20664</v>
      </c>
      <c r="BJ303">
        <v>23</v>
      </c>
      <c r="BK303">
        <f t="shared" si="38"/>
        <v>311</v>
      </c>
      <c r="BL303">
        <f t="shared" si="39"/>
        <v>20664</v>
      </c>
      <c r="BM303">
        <f t="shared" si="40"/>
        <v>23</v>
      </c>
      <c r="BN303">
        <f t="shared" si="41"/>
        <v>0</v>
      </c>
      <c r="BO303">
        <f t="shared" si="42"/>
        <v>0</v>
      </c>
      <c r="BP303">
        <f t="shared" si="43"/>
        <v>0</v>
      </c>
      <c r="BQ303" t="s">
        <v>86</v>
      </c>
      <c r="BR303" t="s">
        <v>94</v>
      </c>
      <c r="BS303" s="1">
        <v>31612</v>
      </c>
      <c r="BT303">
        <v>39</v>
      </c>
      <c r="BU303" t="s">
        <v>1209</v>
      </c>
      <c r="BV303" s="1">
        <v>44032</v>
      </c>
      <c r="BW303">
        <v>13</v>
      </c>
      <c r="BX303">
        <v>1986</v>
      </c>
      <c r="BY303">
        <v>13</v>
      </c>
      <c r="BZ303">
        <f t="shared" si="44"/>
        <v>0</v>
      </c>
      <c r="CA303">
        <f t="shared" si="45"/>
        <v>0</v>
      </c>
      <c r="CB303" t="b">
        <f t="shared" si="46"/>
        <v>1</v>
      </c>
    </row>
    <row r="304" spans="1:80" x14ac:dyDescent="0.3">
      <c r="A304" t="s">
        <v>2872</v>
      </c>
      <c r="B304" t="s">
        <v>71</v>
      </c>
      <c r="C304" t="s">
        <v>2873</v>
      </c>
      <c r="D304">
        <v>36</v>
      </c>
      <c r="E304" s="1">
        <v>32535</v>
      </c>
      <c r="F304" t="s">
        <v>89</v>
      </c>
      <c r="G304" t="s">
        <v>277</v>
      </c>
      <c r="H304" t="s">
        <v>89</v>
      </c>
      <c r="I304" t="s">
        <v>2874</v>
      </c>
      <c r="J304" t="s">
        <v>78</v>
      </c>
      <c r="K304" t="s">
        <v>89</v>
      </c>
      <c r="L304" t="s">
        <v>278</v>
      </c>
      <c r="M304">
        <v>22</v>
      </c>
      <c r="N304" t="s">
        <v>304</v>
      </c>
      <c r="O304">
        <v>2011</v>
      </c>
      <c r="P304" t="s">
        <v>2875</v>
      </c>
      <c r="Q304" t="s">
        <v>2876</v>
      </c>
      <c r="R304">
        <v>93330</v>
      </c>
      <c r="S304" t="s">
        <v>2872</v>
      </c>
      <c r="T304" t="s">
        <v>2877</v>
      </c>
      <c r="U304">
        <v>1989</v>
      </c>
      <c r="V304" t="s">
        <v>502</v>
      </c>
      <c r="W304">
        <v>1.88</v>
      </c>
      <c r="X304" t="s">
        <v>76</v>
      </c>
      <c r="Y304" t="s">
        <v>235</v>
      </c>
      <c r="Z304" t="s">
        <v>87</v>
      </c>
      <c r="AA304" t="s">
        <v>2878</v>
      </c>
      <c r="AB304" s="1">
        <v>44568</v>
      </c>
      <c r="AC304" t="s">
        <v>108</v>
      </c>
      <c r="AD304" t="s">
        <v>89</v>
      </c>
      <c r="AE304" s="1">
        <v>40943</v>
      </c>
      <c r="AF304">
        <v>23</v>
      </c>
      <c r="AG304" t="s">
        <v>91</v>
      </c>
      <c r="AH304" t="s">
        <v>90</v>
      </c>
      <c r="AI304">
        <v>23</v>
      </c>
      <c r="AJ304" t="s">
        <v>110</v>
      </c>
      <c r="AK304">
        <v>23</v>
      </c>
      <c r="AL304">
        <v>2</v>
      </c>
      <c r="AM304">
        <v>303</v>
      </c>
      <c r="AN304">
        <v>46</v>
      </c>
      <c r="AO304">
        <v>2</v>
      </c>
      <c r="AP304" t="s">
        <v>93</v>
      </c>
      <c r="AQ304" t="s">
        <v>89</v>
      </c>
      <c r="AR304" t="s">
        <v>89</v>
      </c>
      <c r="AS304" t="s">
        <v>111</v>
      </c>
      <c r="AT304" s="1">
        <v>44568</v>
      </c>
      <c r="AU304">
        <v>2022</v>
      </c>
      <c r="AV304">
        <v>11</v>
      </c>
      <c r="AW304">
        <v>11</v>
      </c>
      <c r="AX304" t="s">
        <v>89</v>
      </c>
      <c r="AY304" t="s">
        <v>93</v>
      </c>
      <c r="AZ304">
        <v>0</v>
      </c>
      <c r="BA304">
        <v>0</v>
      </c>
      <c r="BB304">
        <v>0</v>
      </c>
      <c r="BC304">
        <v>0</v>
      </c>
      <c r="BD304">
        <v>195</v>
      </c>
      <c r="BE304">
        <v>16433</v>
      </c>
      <c r="BF304">
        <v>1</v>
      </c>
      <c r="BG304">
        <v>33</v>
      </c>
      <c r="BH304">
        <v>195</v>
      </c>
      <c r="BI304">
        <v>16433</v>
      </c>
      <c r="BJ304">
        <v>1</v>
      </c>
      <c r="BK304">
        <f t="shared" si="38"/>
        <v>195</v>
      </c>
      <c r="BL304">
        <f t="shared" si="39"/>
        <v>16433</v>
      </c>
      <c r="BM304">
        <f t="shared" si="40"/>
        <v>1</v>
      </c>
      <c r="BN304">
        <f t="shared" si="41"/>
        <v>0</v>
      </c>
      <c r="BO304">
        <f t="shared" si="42"/>
        <v>0</v>
      </c>
      <c r="BP304">
        <f t="shared" si="43"/>
        <v>0</v>
      </c>
      <c r="BQ304" t="s">
        <v>235</v>
      </c>
      <c r="BR304" t="s">
        <v>140</v>
      </c>
      <c r="BS304" t="s">
        <v>89</v>
      </c>
      <c r="BT304">
        <v>37</v>
      </c>
      <c r="BU304" s="1">
        <v>44568</v>
      </c>
      <c r="BV304" s="1">
        <v>44743</v>
      </c>
      <c r="BW304">
        <v>10</v>
      </c>
      <c r="BX304">
        <v>1989</v>
      </c>
      <c r="BY304">
        <v>10</v>
      </c>
      <c r="BZ304">
        <f t="shared" si="44"/>
        <v>1</v>
      </c>
      <c r="CA304">
        <f t="shared" si="45"/>
        <v>0</v>
      </c>
      <c r="CB304" t="b">
        <f t="shared" si="46"/>
        <v>0</v>
      </c>
    </row>
    <row r="305" spans="1:80" x14ac:dyDescent="0.3">
      <c r="A305" t="s">
        <v>2879</v>
      </c>
      <c r="B305" t="s">
        <v>997</v>
      </c>
      <c r="C305" t="s">
        <v>2880</v>
      </c>
      <c r="D305">
        <v>40</v>
      </c>
      <c r="E305" s="1">
        <v>31205</v>
      </c>
      <c r="F305" t="s">
        <v>89</v>
      </c>
      <c r="G305" t="s">
        <v>2881</v>
      </c>
      <c r="H305" t="s">
        <v>999</v>
      </c>
      <c r="I305" t="s">
        <v>437</v>
      </c>
      <c r="J305" t="s">
        <v>639</v>
      </c>
      <c r="K305" t="s">
        <v>89</v>
      </c>
      <c r="L305" t="s">
        <v>254</v>
      </c>
      <c r="M305">
        <v>24</v>
      </c>
      <c r="N305" t="s">
        <v>2882</v>
      </c>
      <c r="O305">
        <v>2009</v>
      </c>
      <c r="P305" t="s">
        <v>2883</v>
      </c>
      <c r="Q305" t="s">
        <v>2884</v>
      </c>
      <c r="R305">
        <v>49795</v>
      </c>
      <c r="S305" t="s">
        <v>2885</v>
      </c>
      <c r="T305" t="s">
        <v>2886</v>
      </c>
      <c r="U305">
        <v>1985</v>
      </c>
      <c r="V305" t="s">
        <v>2887</v>
      </c>
      <c r="W305">
        <v>1.93</v>
      </c>
      <c r="X305" t="s">
        <v>999</v>
      </c>
      <c r="Y305" t="s">
        <v>123</v>
      </c>
      <c r="Z305" t="s">
        <v>392</v>
      </c>
      <c r="AA305" t="s">
        <v>124</v>
      </c>
      <c r="AB305">
        <v>44203</v>
      </c>
      <c r="AC305" t="s">
        <v>108</v>
      </c>
      <c r="AD305" t="s">
        <v>89</v>
      </c>
      <c r="AE305" t="s">
        <v>2888</v>
      </c>
      <c r="AF305">
        <v>24</v>
      </c>
      <c r="AG305" t="s">
        <v>1006</v>
      </c>
      <c r="AH305" t="s">
        <v>1681</v>
      </c>
      <c r="AI305">
        <v>22</v>
      </c>
      <c r="AJ305" t="s">
        <v>2889</v>
      </c>
      <c r="AK305">
        <v>22</v>
      </c>
      <c r="AL305">
        <v>3</v>
      </c>
      <c r="AM305">
        <v>75</v>
      </c>
      <c r="AN305">
        <v>14</v>
      </c>
      <c r="AO305">
        <v>3</v>
      </c>
      <c r="AP305" t="s">
        <v>93</v>
      </c>
      <c r="AQ305" t="s">
        <v>89</v>
      </c>
      <c r="AR305" t="s">
        <v>89</v>
      </c>
      <c r="AS305" t="s">
        <v>93</v>
      </c>
      <c r="AT305" t="s">
        <v>89</v>
      </c>
      <c r="AU305" t="s">
        <v>89</v>
      </c>
      <c r="AV305" t="s">
        <v>89</v>
      </c>
      <c r="AW305">
        <v>16</v>
      </c>
      <c r="AX305" t="s">
        <v>89</v>
      </c>
      <c r="AY305" t="s">
        <v>111</v>
      </c>
      <c r="AZ305">
        <v>1</v>
      </c>
      <c r="BA305">
        <v>4</v>
      </c>
      <c r="BB305">
        <v>59</v>
      </c>
      <c r="BC305">
        <v>0</v>
      </c>
      <c r="BD305">
        <v>262</v>
      </c>
      <c r="BE305">
        <v>12800</v>
      </c>
      <c r="BF305">
        <v>59</v>
      </c>
      <c r="BG305" t="s">
        <v>89</v>
      </c>
      <c r="BH305">
        <v>266</v>
      </c>
      <c r="BI305">
        <v>12859</v>
      </c>
      <c r="BJ305">
        <v>59</v>
      </c>
      <c r="BK305">
        <f t="shared" si="38"/>
        <v>266</v>
      </c>
      <c r="BL305">
        <f t="shared" si="39"/>
        <v>12859</v>
      </c>
      <c r="BM305">
        <f t="shared" si="40"/>
        <v>59</v>
      </c>
      <c r="BN305">
        <f t="shared" si="41"/>
        <v>0</v>
      </c>
      <c r="BO305">
        <f t="shared" si="42"/>
        <v>0</v>
      </c>
      <c r="BP305">
        <f t="shared" si="43"/>
        <v>0</v>
      </c>
      <c r="BQ305" t="s">
        <v>123</v>
      </c>
      <c r="BR305" t="s">
        <v>112</v>
      </c>
      <c r="BS305" t="s">
        <v>89</v>
      </c>
      <c r="BT305">
        <v>41</v>
      </c>
      <c r="BU305" t="s">
        <v>89</v>
      </c>
      <c r="BV305" t="s">
        <v>89</v>
      </c>
      <c r="BW305">
        <v>19</v>
      </c>
      <c r="BX305">
        <v>1985</v>
      </c>
      <c r="BY305">
        <v>18</v>
      </c>
      <c r="BZ305">
        <f t="shared" si="44"/>
        <v>-3</v>
      </c>
      <c r="CA305">
        <f t="shared" si="45"/>
        <v>1</v>
      </c>
      <c r="CB305" t="b">
        <f t="shared" si="46"/>
        <v>0</v>
      </c>
    </row>
    <row r="306" spans="1:80" x14ac:dyDescent="0.3">
      <c r="A306" t="s">
        <v>2890</v>
      </c>
      <c r="B306" t="s">
        <v>2891</v>
      </c>
      <c r="C306" t="s">
        <v>2892</v>
      </c>
      <c r="D306">
        <v>34</v>
      </c>
      <c r="E306" t="s">
        <v>2893</v>
      </c>
      <c r="F306" t="s">
        <v>2894</v>
      </c>
      <c r="G306" t="s">
        <v>321</v>
      </c>
      <c r="H306" t="s">
        <v>2895</v>
      </c>
      <c r="I306" t="s">
        <v>865</v>
      </c>
      <c r="J306" t="s">
        <v>300</v>
      </c>
      <c r="K306" t="s">
        <v>1072</v>
      </c>
      <c r="L306" t="s">
        <v>80</v>
      </c>
      <c r="M306">
        <v>21</v>
      </c>
      <c r="N306" t="s">
        <v>118</v>
      </c>
      <c r="O306">
        <v>2012</v>
      </c>
      <c r="P306" t="s">
        <v>2896</v>
      </c>
      <c r="Q306" t="s">
        <v>2897</v>
      </c>
      <c r="R306">
        <v>98322</v>
      </c>
      <c r="S306" t="s">
        <v>2890</v>
      </c>
      <c r="T306" t="s">
        <v>2898</v>
      </c>
      <c r="U306">
        <v>1990</v>
      </c>
      <c r="V306" t="s">
        <v>2899</v>
      </c>
      <c r="W306">
        <v>1.79</v>
      </c>
      <c r="X306" t="s">
        <v>2900</v>
      </c>
      <c r="Y306" t="s">
        <v>391</v>
      </c>
      <c r="Z306" t="s">
        <v>152</v>
      </c>
      <c r="AA306" t="s">
        <v>476</v>
      </c>
      <c r="AB306">
        <v>45664</v>
      </c>
      <c r="AC306" t="s">
        <v>108</v>
      </c>
      <c r="AD306" t="s">
        <v>89</v>
      </c>
      <c r="AE306" t="s">
        <v>2901</v>
      </c>
      <c r="AF306">
        <v>22</v>
      </c>
      <c r="AG306" t="s">
        <v>91</v>
      </c>
      <c r="AH306" t="s">
        <v>274</v>
      </c>
      <c r="AI306">
        <v>21</v>
      </c>
      <c r="AJ306" t="s">
        <v>110</v>
      </c>
      <c r="AK306">
        <v>21</v>
      </c>
      <c r="AL306">
        <v>22</v>
      </c>
      <c r="AM306">
        <v>1092</v>
      </c>
      <c r="AN306">
        <v>177</v>
      </c>
      <c r="AO306">
        <v>10</v>
      </c>
      <c r="AP306" t="s">
        <v>93</v>
      </c>
      <c r="AQ306" t="s">
        <v>89</v>
      </c>
      <c r="AR306" t="s">
        <v>89</v>
      </c>
      <c r="AS306" t="s">
        <v>93</v>
      </c>
      <c r="AT306" t="s">
        <v>89</v>
      </c>
      <c r="AU306" t="s">
        <v>89</v>
      </c>
      <c r="AV306" t="s">
        <v>89</v>
      </c>
      <c r="AW306">
        <v>13</v>
      </c>
      <c r="AX306" t="s">
        <v>89</v>
      </c>
      <c r="AY306" t="s">
        <v>111</v>
      </c>
      <c r="AZ306">
        <v>13</v>
      </c>
      <c r="BA306">
        <v>32</v>
      </c>
      <c r="BB306">
        <v>1616</v>
      </c>
      <c r="BC306">
        <v>12</v>
      </c>
      <c r="BD306">
        <v>289</v>
      </c>
      <c r="BE306">
        <v>14115</v>
      </c>
      <c r="BF306">
        <v>38</v>
      </c>
      <c r="BG306" t="s">
        <v>89</v>
      </c>
      <c r="BH306">
        <v>321</v>
      </c>
      <c r="BI306">
        <v>15731</v>
      </c>
      <c r="BJ306">
        <v>50</v>
      </c>
      <c r="BK306">
        <f t="shared" si="38"/>
        <v>321</v>
      </c>
      <c r="BL306">
        <f t="shared" si="39"/>
        <v>15731</v>
      </c>
      <c r="BM306">
        <f t="shared" si="40"/>
        <v>50</v>
      </c>
      <c r="BN306">
        <f t="shared" si="41"/>
        <v>0</v>
      </c>
      <c r="BO306">
        <f t="shared" si="42"/>
        <v>0</v>
      </c>
      <c r="BP306">
        <f t="shared" si="43"/>
        <v>0</v>
      </c>
      <c r="BQ306" t="s">
        <v>391</v>
      </c>
      <c r="BR306" t="s">
        <v>112</v>
      </c>
      <c r="BS306" s="1">
        <v>33233</v>
      </c>
      <c r="BT306">
        <v>35</v>
      </c>
      <c r="BU306" t="s">
        <v>89</v>
      </c>
      <c r="BV306" t="s">
        <v>89</v>
      </c>
      <c r="BW306">
        <v>14</v>
      </c>
      <c r="BX306">
        <v>1990</v>
      </c>
      <c r="BY306">
        <v>13</v>
      </c>
      <c r="BZ306">
        <f t="shared" si="44"/>
        <v>-1</v>
      </c>
      <c r="CA306">
        <f t="shared" si="45"/>
        <v>1</v>
      </c>
      <c r="CB306" t="b">
        <f t="shared" si="46"/>
        <v>0</v>
      </c>
    </row>
    <row r="307" spans="1:80" x14ac:dyDescent="0.3">
      <c r="A307" t="s">
        <v>2902</v>
      </c>
      <c r="B307" t="s">
        <v>71</v>
      </c>
      <c r="C307" t="s">
        <v>2903</v>
      </c>
      <c r="D307">
        <v>31</v>
      </c>
      <c r="E307" t="s">
        <v>2904</v>
      </c>
      <c r="F307" t="s">
        <v>2905</v>
      </c>
      <c r="G307" t="s">
        <v>97</v>
      </c>
      <c r="H307" t="s">
        <v>76</v>
      </c>
      <c r="I307" t="s">
        <v>2906</v>
      </c>
      <c r="J307" t="s">
        <v>78</v>
      </c>
      <c r="K307" t="s">
        <v>131</v>
      </c>
      <c r="L307" t="s">
        <v>324</v>
      </c>
      <c r="M307">
        <v>19</v>
      </c>
      <c r="N307" t="s">
        <v>649</v>
      </c>
      <c r="O307">
        <v>2013</v>
      </c>
      <c r="P307" t="s">
        <v>2907</v>
      </c>
      <c r="Q307" t="s">
        <v>2908</v>
      </c>
      <c r="R307">
        <v>165007</v>
      </c>
      <c r="S307" t="s">
        <v>2902</v>
      </c>
      <c r="T307">
        <v>34486</v>
      </c>
      <c r="U307">
        <v>1994</v>
      </c>
      <c r="V307" t="s">
        <v>2909</v>
      </c>
      <c r="W307">
        <v>1.76</v>
      </c>
      <c r="X307" t="s">
        <v>76</v>
      </c>
      <c r="Y307" t="s">
        <v>106</v>
      </c>
      <c r="Z307" t="s">
        <v>87</v>
      </c>
      <c r="AA307" t="s">
        <v>131</v>
      </c>
      <c r="AB307" t="s">
        <v>2910</v>
      </c>
      <c r="AC307" t="s">
        <v>88</v>
      </c>
      <c r="AD307" t="s">
        <v>223</v>
      </c>
      <c r="AE307">
        <v>43526</v>
      </c>
      <c r="AF307">
        <v>25</v>
      </c>
      <c r="AG307" t="s">
        <v>1653</v>
      </c>
      <c r="AH307">
        <v>41495</v>
      </c>
      <c r="AI307">
        <v>19</v>
      </c>
      <c r="AJ307" t="s">
        <v>110</v>
      </c>
      <c r="AK307">
        <v>19</v>
      </c>
      <c r="AL307">
        <v>15</v>
      </c>
      <c r="AM307">
        <v>682</v>
      </c>
      <c r="AN307">
        <v>107</v>
      </c>
      <c r="AO307">
        <v>8</v>
      </c>
      <c r="AP307" t="s">
        <v>93</v>
      </c>
      <c r="AQ307" t="s">
        <v>89</v>
      </c>
      <c r="AR307" t="s">
        <v>89</v>
      </c>
      <c r="AS307" t="s">
        <v>93</v>
      </c>
      <c r="AT307" t="s">
        <v>89</v>
      </c>
      <c r="AU307" t="s">
        <v>89</v>
      </c>
      <c r="AV307" t="s">
        <v>89</v>
      </c>
      <c r="AW307">
        <v>12</v>
      </c>
      <c r="AX307">
        <v>4</v>
      </c>
      <c r="AY307" t="s">
        <v>111</v>
      </c>
      <c r="AZ307">
        <v>1</v>
      </c>
      <c r="BA307">
        <v>1</v>
      </c>
      <c r="BB307">
        <v>45</v>
      </c>
      <c r="BC307">
        <v>0</v>
      </c>
      <c r="BD307">
        <v>364</v>
      </c>
      <c r="BE307">
        <v>21870</v>
      </c>
      <c r="BF307">
        <v>32</v>
      </c>
      <c r="BG307" t="s">
        <v>89</v>
      </c>
      <c r="BH307">
        <v>365</v>
      </c>
      <c r="BI307">
        <v>21915</v>
      </c>
      <c r="BJ307">
        <v>32</v>
      </c>
      <c r="BK307">
        <f t="shared" si="38"/>
        <v>365</v>
      </c>
      <c r="BL307">
        <f t="shared" si="39"/>
        <v>21915</v>
      </c>
      <c r="BM307">
        <f t="shared" si="40"/>
        <v>32</v>
      </c>
      <c r="BN307">
        <f t="shared" si="41"/>
        <v>0</v>
      </c>
      <c r="BO307">
        <f t="shared" si="42"/>
        <v>0</v>
      </c>
      <c r="BP307">
        <f t="shared" si="43"/>
        <v>0</v>
      </c>
      <c r="BQ307" t="s">
        <v>106</v>
      </c>
      <c r="BR307" t="s">
        <v>112</v>
      </c>
      <c r="BS307" t="s">
        <v>89</v>
      </c>
      <c r="BT307">
        <v>32</v>
      </c>
      <c r="BU307" t="s">
        <v>89</v>
      </c>
      <c r="BV307" t="s">
        <v>89</v>
      </c>
      <c r="BW307">
        <v>13</v>
      </c>
      <c r="BX307">
        <v>1994</v>
      </c>
      <c r="BY307">
        <v>12</v>
      </c>
      <c r="BZ307">
        <f t="shared" si="44"/>
        <v>-1</v>
      </c>
      <c r="CA307">
        <f t="shared" si="45"/>
        <v>1</v>
      </c>
      <c r="CB307" t="b">
        <f t="shared" si="46"/>
        <v>0</v>
      </c>
    </row>
    <row r="308" spans="1:80" x14ac:dyDescent="0.3">
      <c r="A308" t="s">
        <v>2911</v>
      </c>
      <c r="B308" t="s">
        <v>1351</v>
      </c>
      <c r="C308" t="s">
        <v>2912</v>
      </c>
      <c r="D308">
        <v>42</v>
      </c>
      <c r="E308">
        <v>30438</v>
      </c>
      <c r="F308" t="s">
        <v>89</v>
      </c>
      <c r="G308" t="s">
        <v>413</v>
      </c>
      <c r="H308" t="s">
        <v>1353</v>
      </c>
      <c r="I308" t="s">
        <v>253</v>
      </c>
      <c r="J308" t="s">
        <v>78</v>
      </c>
      <c r="K308" t="s">
        <v>89</v>
      </c>
      <c r="L308" t="s">
        <v>196</v>
      </c>
      <c r="M308">
        <v>17</v>
      </c>
      <c r="N308" t="s">
        <v>2913</v>
      </c>
      <c r="O308">
        <v>2000</v>
      </c>
      <c r="P308" t="s">
        <v>2914</v>
      </c>
      <c r="Q308" t="s">
        <v>2915</v>
      </c>
      <c r="R308">
        <v>18091</v>
      </c>
      <c r="S308" t="s">
        <v>2911</v>
      </c>
      <c r="T308">
        <v>30352</v>
      </c>
      <c r="U308">
        <v>1983</v>
      </c>
      <c r="V308" t="s">
        <v>1358</v>
      </c>
      <c r="W308" t="s">
        <v>89</v>
      </c>
      <c r="X308" t="s">
        <v>1353</v>
      </c>
      <c r="Y308" t="s">
        <v>259</v>
      </c>
      <c r="Z308" t="s">
        <v>89</v>
      </c>
      <c r="AA308" t="s">
        <v>2916</v>
      </c>
      <c r="AB308">
        <v>42742</v>
      </c>
      <c r="AC308" t="s">
        <v>108</v>
      </c>
      <c r="AD308" t="s">
        <v>89</v>
      </c>
      <c r="AE308" t="s">
        <v>2917</v>
      </c>
      <c r="AF308">
        <v>16</v>
      </c>
      <c r="AG308" t="s">
        <v>1078</v>
      </c>
      <c r="AH308">
        <v>42433</v>
      </c>
      <c r="AI308">
        <v>32</v>
      </c>
      <c r="AJ308" t="s">
        <v>2918</v>
      </c>
      <c r="AK308">
        <v>16</v>
      </c>
      <c r="AL308">
        <v>3</v>
      </c>
      <c r="AM308">
        <v>48</v>
      </c>
      <c r="AN308">
        <v>5</v>
      </c>
      <c r="AO308">
        <v>2</v>
      </c>
      <c r="AP308" t="s">
        <v>93</v>
      </c>
      <c r="AQ308" t="s">
        <v>89</v>
      </c>
      <c r="AR308" t="s">
        <v>89</v>
      </c>
      <c r="AS308" t="s">
        <v>111</v>
      </c>
      <c r="AT308">
        <v>42742</v>
      </c>
      <c r="AU308">
        <v>2017</v>
      </c>
      <c r="AV308">
        <v>17</v>
      </c>
      <c r="AW308">
        <v>17</v>
      </c>
      <c r="AX308" t="s">
        <v>89</v>
      </c>
      <c r="AY308" t="s">
        <v>111</v>
      </c>
      <c r="AZ308">
        <v>5</v>
      </c>
      <c r="BA308">
        <v>13</v>
      </c>
      <c r="BB308">
        <v>529</v>
      </c>
      <c r="BC308">
        <v>0</v>
      </c>
      <c r="BD308">
        <v>229</v>
      </c>
      <c r="BE308">
        <v>16194</v>
      </c>
      <c r="BF308">
        <v>16</v>
      </c>
      <c r="BG308">
        <v>34</v>
      </c>
      <c r="BH308">
        <v>242</v>
      </c>
      <c r="BI308">
        <v>16723</v>
      </c>
      <c r="BJ308">
        <v>16</v>
      </c>
      <c r="BK308">
        <f t="shared" si="38"/>
        <v>242</v>
      </c>
      <c r="BL308">
        <f t="shared" si="39"/>
        <v>16723</v>
      </c>
      <c r="BM308">
        <f t="shared" si="40"/>
        <v>16</v>
      </c>
      <c r="BN308">
        <f t="shared" si="41"/>
        <v>0</v>
      </c>
      <c r="BO308">
        <f t="shared" si="42"/>
        <v>0</v>
      </c>
      <c r="BP308">
        <f t="shared" si="43"/>
        <v>0</v>
      </c>
      <c r="BQ308" t="s">
        <v>259</v>
      </c>
      <c r="BR308" t="s">
        <v>94</v>
      </c>
      <c r="BS308" t="s">
        <v>89</v>
      </c>
      <c r="BT308">
        <v>43</v>
      </c>
      <c r="BU308">
        <v>42742</v>
      </c>
      <c r="BV308" t="s">
        <v>89</v>
      </c>
      <c r="BW308">
        <v>18</v>
      </c>
      <c r="BX308">
        <v>1983</v>
      </c>
      <c r="BY308">
        <v>18</v>
      </c>
      <c r="BZ308">
        <f t="shared" si="44"/>
        <v>-1</v>
      </c>
      <c r="CA308">
        <f t="shared" si="45"/>
        <v>0</v>
      </c>
      <c r="CB308" t="b">
        <f t="shared" si="46"/>
        <v>0</v>
      </c>
    </row>
    <row r="309" spans="1:80" x14ac:dyDescent="0.3">
      <c r="A309" t="s">
        <v>2919</v>
      </c>
      <c r="B309" t="s">
        <v>1508</v>
      </c>
      <c r="C309" t="s">
        <v>2920</v>
      </c>
      <c r="D309">
        <v>44</v>
      </c>
      <c r="E309" s="1">
        <v>29569</v>
      </c>
      <c r="F309" t="s">
        <v>89</v>
      </c>
      <c r="G309" t="s">
        <v>321</v>
      </c>
      <c r="H309" t="s">
        <v>1510</v>
      </c>
      <c r="I309" t="s">
        <v>253</v>
      </c>
      <c r="J309" t="s">
        <v>78</v>
      </c>
      <c r="K309" t="s">
        <v>89</v>
      </c>
      <c r="L309" t="s">
        <v>657</v>
      </c>
      <c r="M309">
        <v>22</v>
      </c>
      <c r="N309" t="s">
        <v>2921</v>
      </c>
      <c r="O309">
        <v>2003</v>
      </c>
      <c r="P309" t="s">
        <v>2922</v>
      </c>
      <c r="Q309" t="s">
        <v>2923</v>
      </c>
      <c r="R309">
        <v>13389</v>
      </c>
      <c r="S309" t="s">
        <v>2919</v>
      </c>
      <c r="T309" t="s">
        <v>2924</v>
      </c>
      <c r="U309">
        <v>1980</v>
      </c>
      <c r="V309" t="s">
        <v>1523</v>
      </c>
      <c r="W309">
        <v>1.8</v>
      </c>
      <c r="X309" t="s">
        <v>1515</v>
      </c>
      <c r="Y309" t="s">
        <v>259</v>
      </c>
      <c r="Z309" t="s">
        <v>87</v>
      </c>
      <c r="AA309" t="s">
        <v>2925</v>
      </c>
      <c r="AB309" s="1">
        <v>42833</v>
      </c>
      <c r="AC309" t="s">
        <v>108</v>
      </c>
      <c r="AD309" t="s">
        <v>89</v>
      </c>
      <c r="AE309">
        <v>36868</v>
      </c>
      <c r="AF309">
        <v>19</v>
      </c>
      <c r="AG309" t="s">
        <v>1161</v>
      </c>
      <c r="AH309" t="s">
        <v>92</v>
      </c>
      <c r="AI309" t="s">
        <v>89</v>
      </c>
      <c r="AJ309" t="s">
        <v>92</v>
      </c>
      <c r="AK309">
        <v>19</v>
      </c>
      <c r="AL309">
        <v>2</v>
      </c>
      <c r="AM309">
        <v>31</v>
      </c>
      <c r="AN309">
        <v>5</v>
      </c>
      <c r="AO309">
        <v>2</v>
      </c>
      <c r="AP309" t="s">
        <v>93</v>
      </c>
      <c r="AQ309" t="s">
        <v>89</v>
      </c>
      <c r="AR309" t="s">
        <v>89</v>
      </c>
      <c r="AS309" t="s">
        <v>111</v>
      </c>
      <c r="AT309" s="1">
        <v>42833</v>
      </c>
      <c r="AU309">
        <v>2017</v>
      </c>
      <c r="AV309">
        <v>14</v>
      </c>
      <c r="AW309">
        <v>14</v>
      </c>
      <c r="AX309" t="s">
        <v>89</v>
      </c>
      <c r="AY309" t="s">
        <v>111</v>
      </c>
      <c r="AZ309">
        <v>8</v>
      </c>
      <c r="BA309">
        <v>25</v>
      </c>
      <c r="BB309">
        <v>2136</v>
      </c>
      <c r="BC309">
        <v>1</v>
      </c>
      <c r="BD309">
        <v>424</v>
      </c>
      <c r="BE309">
        <v>34508</v>
      </c>
      <c r="BF309">
        <v>2</v>
      </c>
      <c r="BG309">
        <v>37</v>
      </c>
      <c r="BH309">
        <v>449</v>
      </c>
      <c r="BI309">
        <v>36644</v>
      </c>
      <c r="BJ309">
        <v>3</v>
      </c>
      <c r="BK309">
        <f t="shared" si="38"/>
        <v>449</v>
      </c>
      <c r="BL309">
        <f t="shared" si="39"/>
        <v>36644</v>
      </c>
      <c r="BM309">
        <f t="shared" si="40"/>
        <v>3</v>
      </c>
      <c r="BN309">
        <f t="shared" si="41"/>
        <v>0</v>
      </c>
      <c r="BO309">
        <f t="shared" si="42"/>
        <v>0</v>
      </c>
      <c r="BP309">
        <f t="shared" si="43"/>
        <v>0</v>
      </c>
      <c r="BQ309" t="s">
        <v>259</v>
      </c>
      <c r="BR309" t="s">
        <v>94</v>
      </c>
      <c r="BS309" s="1">
        <v>29569</v>
      </c>
      <c r="BT309">
        <v>45</v>
      </c>
      <c r="BU309" s="1">
        <v>42833</v>
      </c>
      <c r="BV309" s="1">
        <v>42951</v>
      </c>
      <c r="BW309">
        <v>18</v>
      </c>
      <c r="BX309">
        <v>1980</v>
      </c>
      <c r="BY309">
        <v>18</v>
      </c>
      <c r="BZ309">
        <f t="shared" si="44"/>
        <v>-4</v>
      </c>
      <c r="CA309">
        <f t="shared" si="45"/>
        <v>0</v>
      </c>
      <c r="CB309" t="b">
        <f t="shared" si="46"/>
        <v>0</v>
      </c>
    </row>
    <row r="310" spans="1:80" x14ac:dyDescent="0.3">
      <c r="A310" t="s">
        <v>2926</v>
      </c>
      <c r="B310" t="s">
        <v>776</v>
      </c>
      <c r="C310" t="s">
        <v>2927</v>
      </c>
      <c r="D310">
        <v>40</v>
      </c>
      <c r="E310" s="1">
        <v>31106</v>
      </c>
      <c r="F310" t="s">
        <v>89</v>
      </c>
      <c r="G310" t="s">
        <v>687</v>
      </c>
      <c r="H310" t="s">
        <v>778</v>
      </c>
      <c r="I310" t="s">
        <v>722</v>
      </c>
      <c r="J310" t="s">
        <v>78</v>
      </c>
      <c r="K310" t="s">
        <v>89</v>
      </c>
      <c r="L310" t="s">
        <v>145</v>
      </c>
      <c r="M310">
        <v>19</v>
      </c>
      <c r="N310" t="s">
        <v>1236</v>
      </c>
      <c r="O310">
        <v>2004</v>
      </c>
      <c r="P310" t="s">
        <v>2928</v>
      </c>
      <c r="Q310" t="s">
        <v>2929</v>
      </c>
      <c r="R310">
        <v>4248</v>
      </c>
      <c r="S310" t="s">
        <v>2926</v>
      </c>
      <c r="T310" t="s">
        <v>2930</v>
      </c>
      <c r="U310">
        <v>1985</v>
      </c>
      <c r="V310" t="s">
        <v>2931</v>
      </c>
      <c r="W310">
        <v>1.73</v>
      </c>
      <c r="X310" t="s">
        <v>2292</v>
      </c>
      <c r="Y310" t="s">
        <v>106</v>
      </c>
      <c r="Z310" t="s">
        <v>87</v>
      </c>
      <c r="AA310" t="s">
        <v>2932</v>
      </c>
      <c r="AB310">
        <v>44927</v>
      </c>
      <c r="AC310" t="s">
        <v>108</v>
      </c>
      <c r="AD310" t="s">
        <v>442</v>
      </c>
      <c r="AE310" s="1">
        <v>37537</v>
      </c>
      <c r="AF310">
        <v>17</v>
      </c>
      <c r="AG310" t="s">
        <v>786</v>
      </c>
      <c r="AH310" t="s">
        <v>92</v>
      </c>
      <c r="AI310" t="s">
        <v>89</v>
      </c>
      <c r="AJ310" t="s">
        <v>92</v>
      </c>
      <c r="AK310">
        <v>17</v>
      </c>
      <c r="AL310">
        <v>17</v>
      </c>
      <c r="AM310">
        <v>285</v>
      </c>
      <c r="AN310">
        <v>58</v>
      </c>
      <c r="AO310">
        <v>8</v>
      </c>
      <c r="AP310" t="s">
        <v>93</v>
      </c>
      <c r="AQ310" t="s">
        <v>89</v>
      </c>
      <c r="AR310" t="s">
        <v>89</v>
      </c>
      <c r="AS310" t="s">
        <v>111</v>
      </c>
      <c r="AT310">
        <v>44927</v>
      </c>
      <c r="AU310">
        <v>2023</v>
      </c>
      <c r="AV310">
        <v>19</v>
      </c>
      <c r="AW310">
        <v>19</v>
      </c>
      <c r="AX310" t="s">
        <v>89</v>
      </c>
      <c r="AY310" t="s">
        <v>111</v>
      </c>
      <c r="AZ310">
        <v>2</v>
      </c>
      <c r="BA310">
        <v>1</v>
      </c>
      <c r="BB310">
        <v>45</v>
      </c>
      <c r="BC310">
        <v>0</v>
      </c>
      <c r="BD310">
        <v>615</v>
      </c>
      <c r="BE310">
        <v>45263</v>
      </c>
      <c r="BF310">
        <v>121</v>
      </c>
      <c r="BG310">
        <v>38</v>
      </c>
      <c r="BH310">
        <v>616</v>
      </c>
      <c r="BI310">
        <v>45308</v>
      </c>
      <c r="BJ310">
        <v>121</v>
      </c>
      <c r="BK310">
        <f t="shared" si="38"/>
        <v>616</v>
      </c>
      <c r="BL310">
        <f t="shared" si="39"/>
        <v>45308</v>
      </c>
      <c r="BM310">
        <f t="shared" si="40"/>
        <v>121</v>
      </c>
      <c r="BN310">
        <f t="shared" si="41"/>
        <v>0</v>
      </c>
      <c r="BO310">
        <f t="shared" si="42"/>
        <v>0</v>
      </c>
      <c r="BP310">
        <f t="shared" si="43"/>
        <v>0</v>
      </c>
      <c r="BQ310" t="s">
        <v>106</v>
      </c>
      <c r="BR310" t="s">
        <v>112</v>
      </c>
      <c r="BS310" t="s">
        <v>89</v>
      </c>
      <c r="BT310">
        <v>41</v>
      </c>
      <c r="BU310">
        <v>44927</v>
      </c>
      <c r="BV310" t="s">
        <v>89</v>
      </c>
      <c r="BW310">
        <v>21</v>
      </c>
      <c r="BX310">
        <v>1985</v>
      </c>
      <c r="BY310">
        <v>21</v>
      </c>
      <c r="BZ310">
        <f t="shared" si="44"/>
        <v>-2</v>
      </c>
      <c r="CA310">
        <f t="shared" si="45"/>
        <v>0</v>
      </c>
      <c r="CB310" t="b">
        <f t="shared" si="46"/>
        <v>0</v>
      </c>
    </row>
    <row r="311" spans="1:80" x14ac:dyDescent="0.3">
      <c r="A311" t="s">
        <v>2933</v>
      </c>
      <c r="B311" t="s">
        <v>776</v>
      </c>
      <c r="C311" t="s">
        <v>2934</v>
      </c>
      <c r="D311">
        <v>40</v>
      </c>
      <c r="E311" s="1">
        <v>31222</v>
      </c>
      <c r="F311" t="s">
        <v>89</v>
      </c>
      <c r="G311" t="s">
        <v>277</v>
      </c>
      <c r="H311" t="s">
        <v>778</v>
      </c>
      <c r="I311" t="s">
        <v>178</v>
      </c>
      <c r="J311" t="s">
        <v>300</v>
      </c>
      <c r="K311" t="s">
        <v>89</v>
      </c>
      <c r="L311" t="s">
        <v>180</v>
      </c>
      <c r="M311">
        <v>22</v>
      </c>
      <c r="N311" t="s">
        <v>527</v>
      </c>
      <c r="O311">
        <v>2007</v>
      </c>
      <c r="P311" t="s">
        <v>2935</v>
      </c>
      <c r="Q311" t="s">
        <v>2936</v>
      </c>
      <c r="R311">
        <v>42373</v>
      </c>
      <c r="S311" t="s">
        <v>2933</v>
      </c>
      <c r="T311" t="s">
        <v>2937</v>
      </c>
      <c r="U311">
        <v>1985</v>
      </c>
      <c r="V311" t="s">
        <v>2938</v>
      </c>
      <c r="W311">
        <v>1.87</v>
      </c>
      <c r="X311" t="s">
        <v>2292</v>
      </c>
      <c r="Y311" t="s">
        <v>186</v>
      </c>
      <c r="Z311" t="s">
        <v>152</v>
      </c>
      <c r="AA311" t="s">
        <v>1768</v>
      </c>
      <c r="AB311" t="s">
        <v>2939</v>
      </c>
      <c r="AC311" t="s">
        <v>108</v>
      </c>
      <c r="AD311" t="s">
        <v>2940</v>
      </c>
      <c r="AE311" t="s">
        <v>2425</v>
      </c>
      <c r="AF311">
        <v>20</v>
      </c>
      <c r="AG311" t="s">
        <v>786</v>
      </c>
      <c r="AH311" t="s">
        <v>92</v>
      </c>
      <c r="AI311" t="s">
        <v>89</v>
      </c>
      <c r="AJ311" t="s">
        <v>92</v>
      </c>
      <c r="AK311">
        <v>20</v>
      </c>
      <c r="AL311">
        <v>6</v>
      </c>
      <c r="AM311">
        <v>451</v>
      </c>
      <c r="AN311">
        <v>72</v>
      </c>
      <c r="AO311">
        <v>6</v>
      </c>
      <c r="AP311" t="s">
        <v>93</v>
      </c>
      <c r="AQ311" t="s">
        <v>89</v>
      </c>
      <c r="AR311" t="s">
        <v>89</v>
      </c>
      <c r="AS311" t="s">
        <v>111</v>
      </c>
      <c r="AT311" t="s">
        <v>2939</v>
      </c>
      <c r="AU311">
        <v>2025</v>
      </c>
      <c r="AV311">
        <v>18</v>
      </c>
      <c r="AW311">
        <v>18</v>
      </c>
      <c r="AX311" t="s">
        <v>89</v>
      </c>
      <c r="AY311" t="s">
        <v>111</v>
      </c>
      <c r="AZ311">
        <v>5</v>
      </c>
      <c r="BA311">
        <v>3</v>
      </c>
      <c r="BB311">
        <v>270</v>
      </c>
      <c r="BC311">
        <v>0</v>
      </c>
      <c r="BD311">
        <v>447</v>
      </c>
      <c r="BE311">
        <v>39855</v>
      </c>
      <c r="BF311">
        <v>0</v>
      </c>
      <c r="BG311">
        <v>40</v>
      </c>
      <c r="BH311">
        <v>450</v>
      </c>
      <c r="BI311">
        <v>40125</v>
      </c>
      <c r="BJ311">
        <v>0</v>
      </c>
      <c r="BK311">
        <f t="shared" si="38"/>
        <v>450</v>
      </c>
      <c r="BL311">
        <f t="shared" si="39"/>
        <v>40125</v>
      </c>
      <c r="BM311">
        <f t="shared" si="40"/>
        <v>0</v>
      </c>
      <c r="BN311">
        <f t="shared" si="41"/>
        <v>0</v>
      </c>
      <c r="BO311">
        <f t="shared" si="42"/>
        <v>0</v>
      </c>
      <c r="BP311">
        <f t="shared" si="43"/>
        <v>0</v>
      </c>
      <c r="BQ311" t="s">
        <v>186</v>
      </c>
      <c r="BR311" t="s">
        <v>186</v>
      </c>
      <c r="BS311" s="1">
        <v>31222</v>
      </c>
      <c r="BT311">
        <v>40</v>
      </c>
      <c r="BU311" t="s">
        <v>2939</v>
      </c>
      <c r="BV311" s="1">
        <v>45678</v>
      </c>
      <c r="BW311">
        <v>20</v>
      </c>
      <c r="BX311">
        <v>1985</v>
      </c>
      <c r="BY311">
        <v>20</v>
      </c>
      <c r="BZ311">
        <f t="shared" si="44"/>
        <v>-2</v>
      </c>
      <c r="CA311">
        <f t="shared" si="45"/>
        <v>0</v>
      </c>
      <c r="CB311" t="b">
        <f t="shared" si="46"/>
        <v>0</v>
      </c>
    </row>
    <row r="312" spans="1:80" x14ac:dyDescent="0.3">
      <c r="A312" t="s">
        <v>2941</v>
      </c>
      <c r="B312" t="s">
        <v>71</v>
      </c>
      <c r="C312" t="s">
        <v>2942</v>
      </c>
      <c r="D312">
        <v>36</v>
      </c>
      <c r="E312" t="s">
        <v>2943</v>
      </c>
      <c r="F312" t="s">
        <v>2944</v>
      </c>
      <c r="G312" t="s">
        <v>75</v>
      </c>
      <c r="H312" t="s">
        <v>89</v>
      </c>
      <c r="I312" t="s">
        <v>750</v>
      </c>
      <c r="J312" t="s">
        <v>78</v>
      </c>
      <c r="K312" t="s">
        <v>2945</v>
      </c>
      <c r="L312" t="s">
        <v>228</v>
      </c>
      <c r="M312">
        <v>21</v>
      </c>
      <c r="N312" t="s">
        <v>162</v>
      </c>
      <c r="O312">
        <v>2010</v>
      </c>
      <c r="P312" t="s">
        <v>2946</v>
      </c>
      <c r="Q312" t="s">
        <v>2947</v>
      </c>
      <c r="R312">
        <v>139859</v>
      </c>
      <c r="S312" t="s">
        <v>2948</v>
      </c>
      <c r="T312" t="s">
        <v>2949</v>
      </c>
      <c r="U312">
        <v>1988</v>
      </c>
      <c r="V312" t="s">
        <v>122</v>
      </c>
      <c r="W312">
        <v>1.76</v>
      </c>
      <c r="X312" t="s">
        <v>76</v>
      </c>
      <c r="Y312" t="s">
        <v>86</v>
      </c>
      <c r="Z312" t="s">
        <v>87</v>
      </c>
      <c r="AA312" t="s">
        <v>476</v>
      </c>
      <c r="AB312" s="1">
        <v>45664</v>
      </c>
      <c r="AC312" t="s">
        <v>108</v>
      </c>
      <c r="AD312" t="s">
        <v>89</v>
      </c>
      <c r="AE312" s="1">
        <v>41245</v>
      </c>
      <c r="AF312">
        <v>23</v>
      </c>
      <c r="AG312" t="s">
        <v>91</v>
      </c>
      <c r="AH312" t="s">
        <v>2950</v>
      </c>
      <c r="AI312">
        <v>22</v>
      </c>
      <c r="AJ312" t="s">
        <v>110</v>
      </c>
      <c r="AK312">
        <v>22</v>
      </c>
      <c r="AL312" t="s">
        <v>89</v>
      </c>
      <c r="AM312" t="s">
        <v>89</v>
      </c>
      <c r="AN312" t="s">
        <v>89</v>
      </c>
      <c r="AO312">
        <v>0</v>
      </c>
      <c r="AP312" t="s">
        <v>93</v>
      </c>
      <c r="AQ312" t="s">
        <v>89</v>
      </c>
      <c r="AR312" t="s">
        <v>89</v>
      </c>
      <c r="AS312" t="s">
        <v>93</v>
      </c>
      <c r="AT312" t="s">
        <v>89</v>
      </c>
      <c r="AU312" t="s">
        <v>89</v>
      </c>
      <c r="AV312" t="s">
        <v>89</v>
      </c>
      <c r="AW312">
        <v>15</v>
      </c>
      <c r="AX312" t="s">
        <v>89</v>
      </c>
      <c r="AY312" t="s">
        <v>93</v>
      </c>
      <c r="AZ312">
        <v>0</v>
      </c>
      <c r="BA312">
        <v>0</v>
      </c>
      <c r="BB312">
        <v>0</v>
      </c>
      <c r="BC312">
        <v>0</v>
      </c>
      <c r="BD312">
        <v>56</v>
      </c>
      <c r="BE312">
        <v>3092</v>
      </c>
      <c r="BF312">
        <v>0</v>
      </c>
      <c r="BG312" t="s">
        <v>89</v>
      </c>
      <c r="BH312">
        <v>56</v>
      </c>
      <c r="BI312">
        <v>3092</v>
      </c>
      <c r="BJ312">
        <v>0</v>
      </c>
      <c r="BK312">
        <f t="shared" si="38"/>
        <v>56</v>
      </c>
      <c r="BL312">
        <f t="shared" si="39"/>
        <v>3092</v>
      </c>
      <c r="BM312">
        <f t="shared" si="40"/>
        <v>0</v>
      </c>
      <c r="BN312">
        <f t="shared" si="41"/>
        <v>0</v>
      </c>
      <c r="BO312">
        <f t="shared" si="42"/>
        <v>0</v>
      </c>
      <c r="BP312">
        <f t="shared" si="43"/>
        <v>0</v>
      </c>
      <c r="BQ312" t="s">
        <v>86</v>
      </c>
      <c r="BR312" t="s">
        <v>94</v>
      </c>
      <c r="BS312" s="1">
        <v>32380</v>
      </c>
      <c r="BT312">
        <v>37</v>
      </c>
      <c r="BU312" t="s">
        <v>89</v>
      </c>
      <c r="BV312" t="s">
        <v>89</v>
      </c>
      <c r="BW312">
        <v>15</v>
      </c>
      <c r="BX312">
        <v>1988</v>
      </c>
      <c r="BY312">
        <v>14</v>
      </c>
      <c r="BZ312">
        <f t="shared" si="44"/>
        <v>0</v>
      </c>
      <c r="CA312">
        <f t="shared" si="45"/>
        <v>1</v>
      </c>
      <c r="CB312" t="b">
        <f t="shared" si="46"/>
        <v>1</v>
      </c>
    </row>
    <row r="313" spans="1:80" x14ac:dyDescent="0.3">
      <c r="A313" t="s">
        <v>2951</v>
      </c>
      <c r="B313" t="s">
        <v>156</v>
      </c>
      <c r="C313" t="s">
        <v>2952</v>
      </c>
      <c r="D313">
        <v>37</v>
      </c>
      <c r="E313" t="s">
        <v>2953</v>
      </c>
      <c r="F313" t="s">
        <v>2954</v>
      </c>
      <c r="G313" t="s">
        <v>2955</v>
      </c>
      <c r="H313" t="s">
        <v>177</v>
      </c>
      <c r="I313" t="s">
        <v>116</v>
      </c>
      <c r="J313" t="s">
        <v>89</v>
      </c>
      <c r="K313" t="s">
        <v>2956</v>
      </c>
      <c r="L313" t="s">
        <v>278</v>
      </c>
      <c r="M313">
        <v>23</v>
      </c>
      <c r="N313" t="s">
        <v>1047</v>
      </c>
      <c r="O313">
        <v>2011</v>
      </c>
      <c r="P313" t="s">
        <v>2957</v>
      </c>
      <c r="Q313" t="s">
        <v>2958</v>
      </c>
      <c r="R313">
        <v>45646</v>
      </c>
      <c r="S313" t="s">
        <v>2951</v>
      </c>
      <c r="T313" t="s">
        <v>2959</v>
      </c>
      <c r="U313">
        <v>1988</v>
      </c>
      <c r="V313" t="s">
        <v>2960</v>
      </c>
      <c r="W313">
        <v>1.61</v>
      </c>
      <c r="X313" t="s">
        <v>1480</v>
      </c>
      <c r="Y313" t="s">
        <v>106</v>
      </c>
      <c r="Z313" t="s">
        <v>152</v>
      </c>
      <c r="AA313" t="s">
        <v>2961</v>
      </c>
      <c r="AB313" s="1">
        <v>45779</v>
      </c>
      <c r="AC313" t="s">
        <v>222</v>
      </c>
      <c r="AD313" t="s">
        <v>442</v>
      </c>
      <c r="AE313">
        <v>38964</v>
      </c>
      <c r="AF313">
        <v>17</v>
      </c>
      <c r="AG313" t="s">
        <v>171</v>
      </c>
      <c r="AH313" t="s">
        <v>2962</v>
      </c>
      <c r="AI313">
        <v>36</v>
      </c>
      <c r="AJ313" t="s">
        <v>2963</v>
      </c>
      <c r="AK313">
        <v>17</v>
      </c>
      <c r="AL313">
        <v>8</v>
      </c>
      <c r="AM313">
        <v>241</v>
      </c>
      <c r="AN313">
        <v>37</v>
      </c>
      <c r="AO313">
        <v>7</v>
      </c>
      <c r="AP313" t="s">
        <v>93</v>
      </c>
      <c r="AQ313" t="s">
        <v>89</v>
      </c>
      <c r="AR313" t="s">
        <v>89</v>
      </c>
      <c r="AS313" t="s">
        <v>93</v>
      </c>
      <c r="AT313" t="s">
        <v>89</v>
      </c>
      <c r="AU313" t="s">
        <v>89</v>
      </c>
      <c r="AV313" t="s">
        <v>89</v>
      </c>
      <c r="AW313">
        <v>14</v>
      </c>
      <c r="AX313">
        <v>30</v>
      </c>
      <c r="AY313" t="s">
        <v>93</v>
      </c>
      <c r="AZ313">
        <v>0</v>
      </c>
      <c r="BA313">
        <v>0</v>
      </c>
      <c r="BB313">
        <v>0</v>
      </c>
      <c r="BC313">
        <v>0</v>
      </c>
      <c r="BD313">
        <v>343</v>
      </c>
      <c r="BE313">
        <v>18025</v>
      </c>
      <c r="BF313">
        <v>47</v>
      </c>
      <c r="BG313" t="s">
        <v>89</v>
      </c>
      <c r="BH313">
        <v>343</v>
      </c>
      <c r="BI313">
        <v>18025</v>
      </c>
      <c r="BJ313">
        <v>47</v>
      </c>
      <c r="BK313">
        <f t="shared" si="38"/>
        <v>343</v>
      </c>
      <c r="BL313">
        <f t="shared" si="39"/>
        <v>18025</v>
      </c>
      <c r="BM313">
        <f t="shared" si="40"/>
        <v>47</v>
      </c>
      <c r="BN313">
        <f t="shared" si="41"/>
        <v>0</v>
      </c>
      <c r="BO313">
        <f t="shared" si="42"/>
        <v>0</v>
      </c>
      <c r="BP313">
        <f t="shared" si="43"/>
        <v>0</v>
      </c>
      <c r="BQ313" t="s">
        <v>106</v>
      </c>
      <c r="BR313" t="s">
        <v>112</v>
      </c>
      <c r="BS313" s="1">
        <v>32252</v>
      </c>
      <c r="BT313">
        <v>37</v>
      </c>
      <c r="BU313" t="s">
        <v>89</v>
      </c>
      <c r="BV313" t="s">
        <v>89</v>
      </c>
      <c r="BW313">
        <v>20</v>
      </c>
      <c r="BX313">
        <v>1988</v>
      </c>
      <c r="BY313">
        <v>20</v>
      </c>
      <c r="BZ313">
        <f t="shared" si="44"/>
        <v>-6</v>
      </c>
      <c r="CA313">
        <f t="shared" si="45"/>
        <v>0</v>
      </c>
      <c r="CB313" t="b">
        <f t="shared" si="46"/>
        <v>0</v>
      </c>
    </row>
    <row r="314" spans="1:80" x14ac:dyDescent="0.3">
      <c r="A314" t="s">
        <v>2964</v>
      </c>
      <c r="B314" t="s">
        <v>71</v>
      </c>
      <c r="C314" t="s">
        <v>2965</v>
      </c>
      <c r="D314">
        <v>37</v>
      </c>
      <c r="E314">
        <v>32189</v>
      </c>
      <c r="F314" t="s">
        <v>89</v>
      </c>
      <c r="G314" t="s">
        <v>687</v>
      </c>
      <c r="H314" t="s">
        <v>76</v>
      </c>
      <c r="I314" t="s">
        <v>2523</v>
      </c>
      <c r="J314" t="s">
        <v>300</v>
      </c>
      <c r="K314" t="s">
        <v>89</v>
      </c>
      <c r="L314" t="s">
        <v>145</v>
      </c>
      <c r="M314">
        <v>16</v>
      </c>
      <c r="N314" t="s">
        <v>304</v>
      </c>
      <c r="O314">
        <v>2004</v>
      </c>
      <c r="P314" t="s">
        <v>2966</v>
      </c>
      <c r="Q314" t="s">
        <v>2967</v>
      </c>
      <c r="R314">
        <v>27471</v>
      </c>
      <c r="S314" t="s">
        <v>2964</v>
      </c>
      <c r="T314" t="s">
        <v>2968</v>
      </c>
      <c r="U314">
        <v>1988</v>
      </c>
      <c r="V314" t="s">
        <v>2969</v>
      </c>
      <c r="W314">
        <v>1.73</v>
      </c>
      <c r="X314" t="s">
        <v>76</v>
      </c>
      <c r="Y314" t="s">
        <v>391</v>
      </c>
      <c r="Z314" t="s">
        <v>152</v>
      </c>
      <c r="AA314" t="s">
        <v>2970</v>
      </c>
      <c r="AB314" t="s">
        <v>2971</v>
      </c>
      <c r="AC314" t="s">
        <v>108</v>
      </c>
      <c r="AD314" t="s">
        <v>89</v>
      </c>
      <c r="AE314" t="s">
        <v>2972</v>
      </c>
      <c r="AF314">
        <v>16</v>
      </c>
      <c r="AG314" t="s">
        <v>91</v>
      </c>
      <c r="AH314" t="s">
        <v>2973</v>
      </c>
      <c r="AI314">
        <v>30</v>
      </c>
      <c r="AJ314" t="s">
        <v>110</v>
      </c>
      <c r="AK314">
        <v>16</v>
      </c>
      <c r="AL314">
        <v>7</v>
      </c>
      <c r="AM314">
        <v>158</v>
      </c>
      <c r="AN314">
        <v>51</v>
      </c>
      <c r="AO314">
        <v>7</v>
      </c>
      <c r="AP314" t="s">
        <v>93</v>
      </c>
      <c r="AQ314" t="s">
        <v>89</v>
      </c>
      <c r="AR314" t="s">
        <v>89</v>
      </c>
      <c r="AS314" t="s">
        <v>111</v>
      </c>
      <c r="AT314" t="s">
        <v>2971</v>
      </c>
      <c r="AU314">
        <v>2023</v>
      </c>
      <c r="AV314">
        <v>19</v>
      </c>
      <c r="AW314">
        <v>19</v>
      </c>
      <c r="AX314" t="s">
        <v>89</v>
      </c>
      <c r="AY314" t="s">
        <v>111</v>
      </c>
      <c r="AZ314">
        <v>1</v>
      </c>
      <c r="BA314">
        <v>1</v>
      </c>
      <c r="BB314">
        <v>71</v>
      </c>
      <c r="BC314">
        <v>0</v>
      </c>
      <c r="BD314">
        <v>324</v>
      </c>
      <c r="BE314">
        <v>17307</v>
      </c>
      <c r="BF314">
        <v>20</v>
      </c>
      <c r="BG314">
        <v>35</v>
      </c>
      <c r="BH314">
        <v>325</v>
      </c>
      <c r="BI314">
        <v>17378</v>
      </c>
      <c r="BJ314">
        <v>20</v>
      </c>
      <c r="BK314">
        <f t="shared" si="38"/>
        <v>325</v>
      </c>
      <c r="BL314">
        <f t="shared" si="39"/>
        <v>17378</v>
      </c>
      <c r="BM314">
        <f t="shared" si="40"/>
        <v>20</v>
      </c>
      <c r="BN314">
        <f t="shared" si="41"/>
        <v>0</v>
      </c>
      <c r="BO314">
        <f t="shared" si="42"/>
        <v>0</v>
      </c>
      <c r="BP314">
        <f t="shared" si="43"/>
        <v>0</v>
      </c>
      <c r="BQ314" t="s">
        <v>391</v>
      </c>
      <c r="BR314" t="s">
        <v>112</v>
      </c>
      <c r="BS314" s="1">
        <v>32189</v>
      </c>
      <c r="BT314">
        <v>38</v>
      </c>
      <c r="BU314" t="s">
        <v>2971</v>
      </c>
      <c r="BV314" s="1">
        <v>45223</v>
      </c>
      <c r="BW314">
        <v>19</v>
      </c>
      <c r="BX314">
        <v>1988</v>
      </c>
      <c r="BY314">
        <v>19</v>
      </c>
      <c r="BZ314">
        <f t="shared" si="44"/>
        <v>0</v>
      </c>
      <c r="CA314">
        <f t="shared" si="45"/>
        <v>0</v>
      </c>
      <c r="CB314" t="b">
        <f t="shared" si="46"/>
        <v>1</v>
      </c>
    </row>
    <row r="315" spans="1:80" x14ac:dyDescent="0.3">
      <c r="A315" t="s">
        <v>2974</v>
      </c>
      <c r="B315" t="s">
        <v>71</v>
      </c>
      <c r="C315" t="s">
        <v>2975</v>
      </c>
      <c r="D315">
        <v>43</v>
      </c>
      <c r="E315">
        <v>30134</v>
      </c>
      <c r="F315" t="s">
        <v>89</v>
      </c>
      <c r="G315" t="s">
        <v>211</v>
      </c>
      <c r="H315" t="s">
        <v>89</v>
      </c>
      <c r="I315" t="s">
        <v>340</v>
      </c>
      <c r="J315" t="s">
        <v>78</v>
      </c>
      <c r="K315" t="s">
        <v>89</v>
      </c>
      <c r="L315" t="s">
        <v>657</v>
      </c>
      <c r="M315">
        <v>21</v>
      </c>
      <c r="N315" t="s">
        <v>629</v>
      </c>
      <c r="O315">
        <v>2003</v>
      </c>
      <c r="P315" t="s">
        <v>2976</v>
      </c>
      <c r="Q315" t="s">
        <v>2977</v>
      </c>
      <c r="R315">
        <v>57791</v>
      </c>
      <c r="S315" t="s">
        <v>2974</v>
      </c>
      <c r="T315">
        <v>29989</v>
      </c>
      <c r="U315">
        <v>1982</v>
      </c>
      <c r="V315" t="s">
        <v>2168</v>
      </c>
      <c r="W315">
        <v>1.74</v>
      </c>
      <c r="X315" t="s">
        <v>76</v>
      </c>
      <c r="Y315" t="s">
        <v>391</v>
      </c>
      <c r="Z315" t="s">
        <v>87</v>
      </c>
      <c r="AA315" t="s">
        <v>2978</v>
      </c>
      <c r="AB315" t="s">
        <v>2979</v>
      </c>
      <c r="AC315" t="s">
        <v>108</v>
      </c>
      <c r="AD315" t="s">
        <v>89</v>
      </c>
      <c r="AE315">
        <v>38454</v>
      </c>
      <c r="AF315">
        <v>23</v>
      </c>
      <c r="AG315" t="s">
        <v>91</v>
      </c>
      <c r="AH315" t="s">
        <v>458</v>
      </c>
      <c r="AI315">
        <v>21</v>
      </c>
      <c r="AJ315" t="s">
        <v>110</v>
      </c>
      <c r="AK315">
        <v>21</v>
      </c>
      <c r="AL315" t="s">
        <v>89</v>
      </c>
      <c r="AM315" t="s">
        <v>89</v>
      </c>
      <c r="AN315" t="s">
        <v>89</v>
      </c>
      <c r="AO315">
        <v>0</v>
      </c>
      <c r="AP315" t="s">
        <v>93</v>
      </c>
      <c r="AQ315" t="s">
        <v>89</v>
      </c>
      <c r="AR315" t="s">
        <v>89</v>
      </c>
      <c r="AS315" t="s">
        <v>111</v>
      </c>
      <c r="AT315" t="s">
        <v>2979</v>
      </c>
      <c r="AU315">
        <v>2021</v>
      </c>
      <c r="AV315">
        <v>18</v>
      </c>
      <c r="AW315">
        <v>18</v>
      </c>
      <c r="AX315" t="s">
        <v>89</v>
      </c>
      <c r="AY315" t="s">
        <v>93</v>
      </c>
      <c r="AZ315">
        <v>0</v>
      </c>
      <c r="BA315">
        <v>0</v>
      </c>
      <c r="BB315">
        <v>0</v>
      </c>
      <c r="BC315">
        <v>0</v>
      </c>
      <c r="BD315">
        <v>526</v>
      </c>
      <c r="BE315">
        <v>39134</v>
      </c>
      <c r="BF315">
        <v>108</v>
      </c>
      <c r="BG315">
        <v>39</v>
      </c>
      <c r="BH315">
        <v>526</v>
      </c>
      <c r="BI315">
        <v>39134</v>
      </c>
      <c r="BJ315">
        <v>108</v>
      </c>
      <c r="BK315">
        <f t="shared" si="38"/>
        <v>526</v>
      </c>
      <c r="BL315">
        <f t="shared" si="39"/>
        <v>39134</v>
      </c>
      <c r="BM315">
        <f t="shared" si="40"/>
        <v>108</v>
      </c>
      <c r="BN315">
        <f t="shared" si="41"/>
        <v>0</v>
      </c>
      <c r="BO315">
        <f t="shared" si="42"/>
        <v>0</v>
      </c>
      <c r="BP315">
        <f t="shared" si="43"/>
        <v>0</v>
      </c>
      <c r="BQ315" t="s">
        <v>391</v>
      </c>
      <c r="BR315" t="s">
        <v>112</v>
      </c>
      <c r="BS315" t="s">
        <v>89</v>
      </c>
      <c r="BT315">
        <v>44</v>
      </c>
      <c r="BU315" t="s">
        <v>2979</v>
      </c>
      <c r="BV315" s="1">
        <v>44483</v>
      </c>
      <c r="BW315">
        <v>18</v>
      </c>
      <c r="BX315">
        <v>1982</v>
      </c>
      <c r="BY315">
        <v>18</v>
      </c>
      <c r="BZ315">
        <f t="shared" si="44"/>
        <v>0</v>
      </c>
      <c r="CA315">
        <f t="shared" si="45"/>
        <v>0</v>
      </c>
      <c r="CB315" t="b">
        <f t="shared" si="46"/>
        <v>1</v>
      </c>
    </row>
    <row r="316" spans="1:80" x14ac:dyDescent="0.3">
      <c r="A316" t="s">
        <v>2980</v>
      </c>
      <c r="B316" t="s">
        <v>156</v>
      </c>
      <c r="C316" t="s">
        <v>2981</v>
      </c>
      <c r="D316">
        <v>44</v>
      </c>
      <c r="E316" s="1">
        <v>29655</v>
      </c>
      <c r="F316" t="s">
        <v>89</v>
      </c>
      <c r="G316" t="s">
        <v>176</v>
      </c>
      <c r="H316" t="s">
        <v>177</v>
      </c>
      <c r="I316" t="s">
        <v>414</v>
      </c>
      <c r="J316" t="s">
        <v>78</v>
      </c>
      <c r="K316" t="s">
        <v>89</v>
      </c>
      <c r="L316" t="s">
        <v>145</v>
      </c>
      <c r="M316">
        <v>23</v>
      </c>
      <c r="N316" t="s">
        <v>2982</v>
      </c>
      <c r="O316">
        <v>2004</v>
      </c>
      <c r="P316" t="s">
        <v>2983</v>
      </c>
      <c r="Q316" t="s">
        <v>2984</v>
      </c>
      <c r="R316">
        <v>27453</v>
      </c>
      <c r="S316" t="s">
        <v>2980</v>
      </c>
      <c r="T316">
        <v>29862</v>
      </c>
      <c r="U316">
        <v>1981</v>
      </c>
      <c r="V316" t="s">
        <v>2985</v>
      </c>
      <c r="W316">
        <v>1.84</v>
      </c>
      <c r="X316" t="s">
        <v>169</v>
      </c>
      <c r="Y316" t="s">
        <v>235</v>
      </c>
      <c r="Z316" t="s">
        <v>87</v>
      </c>
      <c r="AA316" t="s">
        <v>2986</v>
      </c>
      <c r="AB316">
        <v>43107</v>
      </c>
      <c r="AC316" t="s">
        <v>108</v>
      </c>
      <c r="AD316" t="s">
        <v>89</v>
      </c>
      <c r="AE316" t="s">
        <v>2987</v>
      </c>
      <c r="AF316">
        <v>20</v>
      </c>
      <c r="AG316" t="s">
        <v>189</v>
      </c>
      <c r="AH316" t="s">
        <v>306</v>
      </c>
      <c r="AI316">
        <v>30</v>
      </c>
      <c r="AJ316" t="s">
        <v>110</v>
      </c>
      <c r="AK316">
        <v>20</v>
      </c>
      <c r="AL316">
        <v>1</v>
      </c>
      <c r="AM316">
        <v>62</v>
      </c>
      <c r="AN316">
        <v>6</v>
      </c>
      <c r="AO316">
        <v>1</v>
      </c>
      <c r="AP316" t="s">
        <v>93</v>
      </c>
      <c r="AQ316" t="s">
        <v>89</v>
      </c>
      <c r="AR316" t="s">
        <v>89</v>
      </c>
      <c r="AS316" t="s">
        <v>111</v>
      </c>
      <c r="AT316">
        <v>43107</v>
      </c>
      <c r="AU316">
        <v>2018</v>
      </c>
      <c r="AV316">
        <v>14</v>
      </c>
      <c r="AW316">
        <v>14</v>
      </c>
      <c r="AX316" t="s">
        <v>89</v>
      </c>
      <c r="AY316" t="s">
        <v>93</v>
      </c>
      <c r="AZ316">
        <v>0</v>
      </c>
      <c r="BA316">
        <v>0</v>
      </c>
      <c r="BB316">
        <v>0</v>
      </c>
      <c r="BC316">
        <v>0</v>
      </c>
      <c r="BD316">
        <v>348</v>
      </c>
      <c r="BE316">
        <v>30313</v>
      </c>
      <c r="BF316">
        <v>28</v>
      </c>
      <c r="BG316">
        <v>37</v>
      </c>
      <c r="BH316">
        <v>348</v>
      </c>
      <c r="BI316">
        <v>30313</v>
      </c>
      <c r="BJ316">
        <v>28</v>
      </c>
      <c r="BK316">
        <f t="shared" si="38"/>
        <v>348</v>
      </c>
      <c r="BL316">
        <f t="shared" si="39"/>
        <v>30313</v>
      </c>
      <c r="BM316">
        <f t="shared" si="40"/>
        <v>28</v>
      </c>
      <c r="BN316">
        <f t="shared" si="41"/>
        <v>0</v>
      </c>
      <c r="BO316">
        <f t="shared" si="42"/>
        <v>0</v>
      </c>
      <c r="BP316">
        <f t="shared" si="43"/>
        <v>0</v>
      </c>
      <c r="BQ316" t="s">
        <v>235</v>
      </c>
      <c r="BR316" t="s">
        <v>140</v>
      </c>
      <c r="BS316" t="s">
        <v>89</v>
      </c>
      <c r="BT316">
        <v>45</v>
      </c>
      <c r="BU316">
        <v>43107</v>
      </c>
      <c r="BV316" t="s">
        <v>89</v>
      </c>
      <c r="BW316">
        <v>17</v>
      </c>
      <c r="BX316">
        <v>1981</v>
      </c>
      <c r="BY316">
        <v>17</v>
      </c>
      <c r="BZ316">
        <f t="shared" si="44"/>
        <v>-3</v>
      </c>
      <c r="CA316">
        <f t="shared" si="45"/>
        <v>0</v>
      </c>
      <c r="CB316" t="b">
        <f t="shared" si="46"/>
        <v>0</v>
      </c>
    </row>
    <row r="317" spans="1:80" x14ac:dyDescent="0.3">
      <c r="A317" t="s">
        <v>2988</v>
      </c>
      <c r="B317" t="s">
        <v>71</v>
      </c>
      <c r="C317" t="s">
        <v>2989</v>
      </c>
      <c r="D317">
        <v>36</v>
      </c>
      <c r="E317" s="1">
        <v>32423</v>
      </c>
      <c r="F317" t="s">
        <v>89</v>
      </c>
      <c r="G317" t="s">
        <v>277</v>
      </c>
      <c r="H317" t="s">
        <v>2990</v>
      </c>
      <c r="I317" t="s">
        <v>437</v>
      </c>
      <c r="J317" t="s">
        <v>78</v>
      </c>
      <c r="K317" t="s">
        <v>89</v>
      </c>
      <c r="L317" t="s">
        <v>163</v>
      </c>
      <c r="M317">
        <v>17</v>
      </c>
      <c r="N317" t="s">
        <v>1842</v>
      </c>
      <c r="O317">
        <v>2006</v>
      </c>
      <c r="P317" t="s">
        <v>2991</v>
      </c>
      <c r="Q317" t="s">
        <v>2992</v>
      </c>
      <c r="R317">
        <v>44779</v>
      </c>
      <c r="S317" t="s">
        <v>2988</v>
      </c>
      <c r="T317" s="1">
        <v>32334</v>
      </c>
      <c r="U317">
        <v>1988</v>
      </c>
      <c r="V317" t="s">
        <v>2993</v>
      </c>
      <c r="W317">
        <v>1.86</v>
      </c>
      <c r="X317" t="s">
        <v>2994</v>
      </c>
      <c r="Y317" t="s">
        <v>123</v>
      </c>
      <c r="Z317" t="s">
        <v>87</v>
      </c>
      <c r="AA317" t="s">
        <v>476</v>
      </c>
      <c r="AB317" s="1">
        <v>45658</v>
      </c>
      <c r="AC317" t="s">
        <v>108</v>
      </c>
      <c r="AD317" t="s">
        <v>442</v>
      </c>
      <c r="AE317" s="1">
        <v>2007</v>
      </c>
      <c r="AF317">
        <v>18</v>
      </c>
      <c r="AG317" t="s">
        <v>613</v>
      </c>
      <c r="AH317" s="1">
        <v>2006</v>
      </c>
      <c r="AI317">
        <v>17</v>
      </c>
      <c r="AJ317">
        <v>0</v>
      </c>
      <c r="AK317">
        <v>17</v>
      </c>
      <c r="AL317">
        <v>30</v>
      </c>
      <c r="AM317">
        <v>769</v>
      </c>
      <c r="AN317">
        <v>143</v>
      </c>
      <c r="AO317">
        <v>11</v>
      </c>
      <c r="AP317" t="s">
        <v>93</v>
      </c>
      <c r="AQ317" t="s">
        <v>89</v>
      </c>
      <c r="AR317" t="s">
        <v>89</v>
      </c>
      <c r="AS317" t="s">
        <v>93</v>
      </c>
      <c r="AT317" t="s">
        <v>89</v>
      </c>
      <c r="AU317" t="s">
        <v>89</v>
      </c>
      <c r="AV317" t="s">
        <v>89</v>
      </c>
      <c r="AW317">
        <v>19</v>
      </c>
      <c r="AX317" t="s">
        <v>89</v>
      </c>
      <c r="AY317" t="s">
        <v>111</v>
      </c>
      <c r="AZ317">
        <v>9</v>
      </c>
      <c r="BA317">
        <v>24</v>
      </c>
      <c r="BB317">
        <v>1668</v>
      </c>
      <c r="BC317">
        <v>10</v>
      </c>
      <c r="BD317">
        <v>512</v>
      </c>
      <c r="BE317">
        <v>35439</v>
      </c>
      <c r="BF317">
        <v>176</v>
      </c>
      <c r="BG317" t="s">
        <v>89</v>
      </c>
      <c r="BH317">
        <v>536</v>
      </c>
      <c r="BI317">
        <v>37107</v>
      </c>
      <c r="BJ317">
        <v>186</v>
      </c>
      <c r="BK317">
        <f t="shared" si="38"/>
        <v>536</v>
      </c>
      <c r="BL317">
        <f t="shared" si="39"/>
        <v>37107</v>
      </c>
      <c r="BM317">
        <f t="shared" si="40"/>
        <v>186</v>
      </c>
      <c r="BN317">
        <f t="shared" si="41"/>
        <v>0</v>
      </c>
      <c r="BO317">
        <f t="shared" si="42"/>
        <v>0</v>
      </c>
      <c r="BP317">
        <f t="shared" si="43"/>
        <v>0</v>
      </c>
      <c r="BQ317" t="s">
        <v>123</v>
      </c>
      <c r="BR317" t="s">
        <v>112</v>
      </c>
      <c r="BS317" s="1">
        <v>32423</v>
      </c>
      <c r="BT317">
        <v>37</v>
      </c>
      <c r="BU317" t="s">
        <v>89</v>
      </c>
      <c r="BV317" t="s">
        <v>89</v>
      </c>
      <c r="BW317">
        <v>20</v>
      </c>
      <c r="BX317">
        <v>1988</v>
      </c>
      <c r="BY317">
        <v>19</v>
      </c>
      <c r="BZ317">
        <f t="shared" si="44"/>
        <v>-1</v>
      </c>
      <c r="CA317">
        <f t="shared" si="45"/>
        <v>1</v>
      </c>
      <c r="CB317" t="b">
        <f t="shared" si="46"/>
        <v>0</v>
      </c>
    </row>
    <row r="318" spans="1:80" x14ac:dyDescent="0.3">
      <c r="A318" t="s">
        <v>2995</v>
      </c>
      <c r="B318" t="s">
        <v>729</v>
      </c>
      <c r="C318" t="s">
        <v>2996</v>
      </c>
      <c r="D318">
        <v>46</v>
      </c>
      <c r="E318" s="1">
        <v>28994</v>
      </c>
      <c r="F318" t="s">
        <v>89</v>
      </c>
      <c r="G318" t="s">
        <v>115</v>
      </c>
      <c r="H318" t="s">
        <v>732</v>
      </c>
      <c r="I318" t="s">
        <v>161</v>
      </c>
      <c r="J318" t="s">
        <v>89</v>
      </c>
      <c r="K318" t="s">
        <v>89</v>
      </c>
      <c r="L318" t="s">
        <v>99</v>
      </c>
      <c r="M318">
        <v>22</v>
      </c>
      <c r="N318" t="s">
        <v>1646</v>
      </c>
      <c r="O318">
        <v>2001</v>
      </c>
      <c r="P318" t="s">
        <v>2997</v>
      </c>
      <c r="Q318" t="s">
        <v>2998</v>
      </c>
      <c r="R318">
        <v>3408</v>
      </c>
      <c r="S318" t="s">
        <v>2995</v>
      </c>
      <c r="T318" t="s">
        <v>2999</v>
      </c>
      <c r="U318">
        <v>1979</v>
      </c>
      <c r="V318" t="s">
        <v>736</v>
      </c>
      <c r="W318" t="s">
        <v>89</v>
      </c>
      <c r="X318" t="s">
        <v>2217</v>
      </c>
      <c r="Y318" t="s">
        <v>123</v>
      </c>
      <c r="Z318" t="s">
        <v>89</v>
      </c>
      <c r="AA318" t="s">
        <v>1536</v>
      </c>
      <c r="AB318">
        <v>43624</v>
      </c>
      <c r="AC318" t="s">
        <v>108</v>
      </c>
      <c r="AD318" t="s">
        <v>89</v>
      </c>
      <c r="AE318" t="s">
        <v>3000</v>
      </c>
      <c r="AF318">
        <v>20</v>
      </c>
      <c r="AG318" t="s">
        <v>171</v>
      </c>
      <c r="AH318" s="1">
        <v>42219</v>
      </c>
      <c r="AI318">
        <v>35</v>
      </c>
      <c r="AJ318" t="s">
        <v>840</v>
      </c>
      <c r="AK318">
        <v>20</v>
      </c>
      <c r="AL318">
        <v>8</v>
      </c>
      <c r="AM318">
        <v>177</v>
      </c>
      <c r="AN318">
        <v>39</v>
      </c>
      <c r="AO318">
        <v>5</v>
      </c>
      <c r="AP318" t="s">
        <v>93</v>
      </c>
      <c r="AQ318" t="s">
        <v>89</v>
      </c>
      <c r="AR318" t="s">
        <v>89</v>
      </c>
      <c r="AS318" t="s">
        <v>111</v>
      </c>
      <c r="AT318">
        <v>43624</v>
      </c>
      <c r="AU318">
        <v>2019</v>
      </c>
      <c r="AV318">
        <v>18</v>
      </c>
      <c r="AW318">
        <v>18</v>
      </c>
      <c r="AX318" t="s">
        <v>89</v>
      </c>
      <c r="AY318" t="s">
        <v>111</v>
      </c>
      <c r="AZ318">
        <v>6</v>
      </c>
      <c r="BA318">
        <v>21</v>
      </c>
      <c r="BB318">
        <v>1577</v>
      </c>
      <c r="BC318">
        <v>9</v>
      </c>
      <c r="BD318">
        <v>451</v>
      </c>
      <c r="BE318">
        <v>32208</v>
      </c>
      <c r="BF318">
        <v>177</v>
      </c>
      <c r="BG318">
        <v>40</v>
      </c>
      <c r="BH318">
        <v>472</v>
      </c>
      <c r="BI318">
        <v>33785</v>
      </c>
      <c r="BJ318">
        <v>186</v>
      </c>
      <c r="BK318">
        <f t="shared" si="38"/>
        <v>472</v>
      </c>
      <c r="BL318">
        <f t="shared" si="39"/>
        <v>33785</v>
      </c>
      <c r="BM318">
        <f t="shared" si="40"/>
        <v>186</v>
      </c>
      <c r="BN318">
        <f t="shared" si="41"/>
        <v>0</v>
      </c>
      <c r="BO318">
        <f t="shared" si="42"/>
        <v>0</v>
      </c>
      <c r="BP318">
        <f t="shared" si="43"/>
        <v>0</v>
      </c>
      <c r="BQ318" t="s">
        <v>123</v>
      </c>
      <c r="BR318" t="s">
        <v>112</v>
      </c>
      <c r="BS318" s="1">
        <v>28994</v>
      </c>
      <c r="BT318">
        <v>46</v>
      </c>
      <c r="BU318">
        <v>43624</v>
      </c>
      <c r="BV318" t="s">
        <v>89</v>
      </c>
      <c r="BW318">
        <v>20</v>
      </c>
      <c r="BX318">
        <v>1979</v>
      </c>
      <c r="BY318">
        <v>20</v>
      </c>
      <c r="BZ318">
        <f t="shared" si="44"/>
        <v>-2</v>
      </c>
      <c r="CA318">
        <f t="shared" si="45"/>
        <v>0</v>
      </c>
      <c r="CB318" t="b">
        <f t="shared" si="46"/>
        <v>0</v>
      </c>
    </row>
    <row r="319" spans="1:80" x14ac:dyDescent="0.3">
      <c r="A319" t="s">
        <v>3001</v>
      </c>
      <c r="B319" t="s">
        <v>729</v>
      </c>
      <c r="C319" t="s">
        <v>3002</v>
      </c>
      <c r="D319">
        <v>39</v>
      </c>
      <c r="E319" s="1">
        <v>31459</v>
      </c>
      <c r="F319" t="s">
        <v>89</v>
      </c>
      <c r="G319" t="s">
        <v>193</v>
      </c>
      <c r="H319" t="s">
        <v>732</v>
      </c>
      <c r="I319" t="s">
        <v>227</v>
      </c>
      <c r="J319" t="s">
        <v>78</v>
      </c>
      <c r="K319" t="s">
        <v>89</v>
      </c>
      <c r="L319" t="s">
        <v>180</v>
      </c>
      <c r="M319">
        <v>21</v>
      </c>
      <c r="N319" t="s">
        <v>763</v>
      </c>
      <c r="O319">
        <v>2007</v>
      </c>
      <c r="P319" t="s">
        <v>3003</v>
      </c>
      <c r="Q319" t="s">
        <v>3004</v>
      </c>
      <c r="R319">
        <v>54928</v>
      </c>
      <c r="S319" t="s">
        <v>3001</v>
      </c>
      <c r="T319" t="s">
        <v>3005</v>
      </c>
      <c r="U319">
        <v>1986</v>
      </c>
      <c r="V319" t="s">
        <v>218</v>
      </c>
      <c r="W319">
        <v>1.87</v>
      </c>
      <c r="X319" t="s">
        <v>2217</v>
      </c>
      <c r="Y319" t="s">
        <v>235</v>
      </c>
      <c r="Z319" t="s">
        <v>87</v>
      </c>
      <c r="AA319" t="s">
        <v>2218</v>
      </c>
      <c r="AB319" s="1">
        <v>45301</v>
      </c>
      <c r="AC319" t="s">
        <v>108</v>
      </c>
      <c r="AD319" t="s">
        <v>89</v>
      </c>
      <c r="AE319" t="s">
        <v>3006</v>
      </c>
      <c r="AF319">
        <v>21</v>
      </c>
      <c r="AG319">
        <v>0</v>
      </c>
      <c r="AH319" t="s">
        <v>92</v>
      </c>
      <c r="AI319" t="s">
        <v>89</v>
      </c>
      <c r="AJ319" t="s">
        <v>92</v>
      </c>
      <c r="AK319">
        <v>21</v>
      </c>
      <c r="AL319">
        <v>28</v>
      </c>
      <c r="AM319">
        <v>480</v>
      </c>
      <c r="AN319">
        <v>94</v>
      </c>
      <c r="AO319">
        <v>10</v>
      </c>
      <c r="AP319" t="s">
        <v>93</v>
      </c>
      <c r="AQ319" t="s">
        <v>89</v>
      </c>
      <c r="AR319" t="s">
        <v>89</v>
      </c>
      <c r="AS319" t="s">
        <v>111</v>
      </c>
      <c r="AT319" s="1">
        <v>45301</v>
      </c>
      <c r="AU319">
        <v>2024</v>
      </c>
      <c r="AV319">
        <v>17</v>
      </c>
      <c r="AW319">
        <v>17</v>
      </c>
      <c r="AX319" t="s">
        <v>89</v>
      </c>
      <c r="AY319" t="s">
        <v>111</v>
      </c>
      <c r="AZ319">
        <v>14</v>
      </c>
      <c r="BA319">
        <v>81</v>
      </c>
      <c r="BB319">
        <v>7190</v>
      </c>
      <c r="BC319">
        <v>4</v>
      </c>
      <c r="BD319">
        <v>580</v>
      </c>
      <c r="BE319">
        <v>50137</v>
      </c>
      <c r="BF319">
        <v>32</v>
      </c>
      <c r="BG319">
        <v>38</v>
      </c>
      <c r="BH319">
        <v>661</v>
      </c>
      <c r="BI319">
        <v>57327</v>
      </c>
      <c r="BJ319">
        <v>36</v>
      </c>
      <c r="BK319">
        <f t="shared" si="38"/>
        <v>661</v>
      </c>
      <c r="BL319">
        <f t="shared" si="39"/>
        <v>57327</v>
      </c>
      <c r="BM319">
        <f t="shared" si="40"/>
        <v>36</v>
      </c>
      <c r="BN319">
        <f t="shared" si="41"/>
        <v>0</v>
      </c>
      <c r="BO319">
        <f t="shared" si="42"/>
        <v>0</v>
      </c>
      <c r="BP319">
        <f t="shared" si="43"/>
        <v>0</v>
      </c>
      <c r="BQ319" t="s">
        <v>235</v>
      </c>
      <c r="BR319" t="s">
        <v>140</v>
      </c>
      <c r="BS319" s="1">
        <v>31459</v>
      </c>
      <c r="BT319">
        <v>40</v>
      </c>
      <c r="BU319" s="1">
        <v>45301</v>
      </c>
      <c r="BV319" s="1">
        <v>45566</v>
      </c>
      <c r="BW319">
        <v>17</v>
      </c>
      <c r="BX319">
        <v>1986</v>
      </c>
      <c r="BY319">
        <v>17</v>
      </c>
      <c r="BZ319">
        <f t="shared" si="44"/>
        <v>0</v>
      </c>
      <c r="CA319">
        <f t="shared" si="45"/>
        <v>0</v>
      </c>
      <c r="CB319" t="b">
        <f t="shared" si="46"/>
        <v>1</v>
      </c>
    </row>
    <row r="320" spans="1:80" x14ac:dyDescent="0.3">
      <c r="A320" t="s">
        <v>3007</v>
      </c>
      <c r="B320" t="s">
        <v>729</v>
      </c>
      <c r="C320" t="s">
        <v>3008</v>
      </c>
      <c r="D320">
        <v>38</v>
      </c>
      <c r="E320" s="1">
        <v>31936</v>
      </c>
      <c r="F320" t="s">
        <v>89</v>
      </c>
      <c r="G320" t="s">
        <v>687</v>
      </c>
      <c r="H320" t="s">
        <v>89</v>
      </c>
      <c r="I320" t="s">
        <v>437</v>
      </c>
      <c r="J320" t="s">
        <v>78</v>
      </c>
      <c r="K320" t="s">
        <v>89</v>
      </c>
      <c r="L320" t="s">
        <v>228</v>
      </c>
      <c r="M320">
        <v>23</v>
      </c>
      <c r="N320" t="s">
        <v>1365</v>
      </c>
      <c r="O320">
        <v>2010</v>
      </c>
      <c r="P320" t="s">
        <v>3009</v>
      </c>
      <c r="Q320" t="s">
        <v>3010</v>
      </c>
      <c r="R320">
        <v>76701</v>
      </c>
      <c r="S320" t="s">
        <v>3007</v>
      </c>
      <c r="T320">
        <v>31995</v>
      </c>
      <c r="U320">
        <v>1987</v>
      </c>
      <c r="V320" t="s">
        <v>736</v>
      </c>
      <c r="W320">
        <v>1.74</v>
      </c>
      <c r="X320" t="s">
        <v>732</v>
      </c>
      <c r="Y320" t="s">
        <v>123</v>
      </c>
      <c r="Z320" t="s">
        <v>87</v>
      </c>
      <c r="AA320" t="s">
        <v>3011</v>
      </c>
      <c r="AB320" s="1">
        <v>42924</v>
      </c>
      <c r="AC320" t="s">
        <v>108</v>
      </c>
      <c r="AD320" t="s">
        <v>89</v>
      </c>
      <c r="AE320" t="s">
        <v>1681</v>
      </c>
      <c r="AF320">
        <v>20</v>
      </c>
      <c r="AG320" t="s">
        <v>985</v>
      </c>
      <c r="AH320" t="s">
        <v>3012</v>
      </c>
      <c r="AI320">
        <v>26</v>
      </c>
      <c r="AJ320" t="s">
        <v>110</v>
      </c>
      <c r="AK320">
        <v>20</v>
      </c>
      <c r="AL320">
        <v>4</v>
      </c>
      <c r="AM320">
        <v>465</v>
      </c>
      <c r="AN320">
        <v>54</v>
      </c>
      <c r="AO320">
        <v>3</v>
      </c>
      <c r="AP320" t="s">
        <v>93</v>
      </c>
      <c r="AQ320" t="s">
        <v>89</v>
      </c>
      <c r="AR320" t="s">
        <v>89</v>
      </c>
      <c r="AS320" t="s">
        <v>111</v>
      </c>
      <c r="AT320">
        <v>42924</v>
      </c>
      <c r="AU320">
        <v>2017</v>
      </c>
      <c r="AV320">
        <v>7</v>
      </c>
      <c r="AW320">
        <v>7</v>
      </c>
      <c r="AX320" t="s">
        <v>89</v>
      </c>
      <c r="AY320" t="s">
        <v>93</v>
      </c>
      <c r="AZ320">
        <v>0</v>
      </c>
      <c r="BA320">
        <v>0</v>
      </c>
      <c r="BB320">
        <v>0</v>
      </c>
      <c r="BC320">
        <v>0</v>
      </c>
      <c r="BD320">
        <v>131</v>
      </c>
      <c r="BE320">
        <v>6835</v>
      </c>
      <c r="BF320">
        <v>32</v>
      </c>
      <c r="BG320">
        <v>30</v>
      </c>
      <c r="BH320">
        <v>131</v>
      </c>
      <c r="BI320">
        <v>6835</v>
      </c>
      <c r="BJ320">
        <v>32</v>
      </c>
      <c r="BK320">
        <f t="shared" si="38"/>
        <v>131</v>
      </c>
      <c r="BL320">
        <f t="shared" si="39"/>
        <v>6835</v>
      </c>
      <c r="BM320">
        <f t="shared" si="40"/>
        <v>32</v>
      </c>
      <c r="BN320">
        <f t="shared" si="41"/>
        <v>0</v>
      </c>
      <c r="BO320">
        <f t="shared" si="42"/>
        <v>0</v>
      </c>
      <c r="BP320">
        <f t="shared" si="43"/>
        <v>0</v>
      </c>
      <c r="BQ320" t="s">
        <v>123</v>
      </c>
      <c r="BR320" t="s">
        <v>112</v>
      </c>
      <c r="BS320" t="s">
        <v>89</v>
      </c>
      <c r="BT320">
        <v>39</v>
      </c>
      <c r="BU320">
        <v>42924</v>
      </c>
      <c r="BV320" t="s">
        <v>89</v>
      </c>
      <c r="BW320">
        <v>10</v>
      </c>
      <c r="BX320">
        <v>1987</v>
      </c>
      <c r="BY320">
        <v>10</v>
      </c>
      <c r="BZ320">
        <f t="shared" si="44"/>
        <v>-3</v>
      </c>
      <c r="CA320">
        <f t="shared" si="45"/>
        <v>0</v>
      </c>
      <c r="CB320" t="b">
        <f t="shared" si="46"/>
        <v>0</v>
      </c>
    </row>
    <row r="321" spans="1:80" x14ac:dyDescent="0.3">
      <c r="A321" t="s">
        <v>3013</v>
      </c>
      <c r="B321" t="s">
        <v>71</v>
      </c>
      <c r="C321" t="s">
        <v>3014</v>
      </c>
      <c r="D321">
        <v>43</v>
      </c>
      <c r="E321">
        <v>29893</v>
      </c>
      <c r="F321" t="s">
        <v>89</v>
      </c>
      <c r="G321" t="s">
        <v>3015</v>
      </c>
      <c r="H321" t="s">
        <v>76</v>
      </c>
      <c r="I321" t="s">
        <v>178</v>
      </c>
      <c r="J321" t="s">
        <v>78</v>
      </c>
      <c r="K321" t="s">
        <v>89</v>
      </c>
      <c r="L321" t="s">
        <v>117</v>
      </c>
      <c r="M321">
        <v>23</v>
      </c>
      <c r="N321" t="s">
        <v>268</v>
      </c>
      <c r="O321">
        <v>2005</v>
      </c>
      <c r="P321" t="s">
        <v>3016</v>
      </c>
      <c r="Q321" t="s">
        <v>3017</v>
      </c>
      <c r="R321">
        <v>34370</v>
      </c>
      <c r="S321" t="s">
        <v>3013</v>
      </c>
      <c r="T321">
        <v>29656</v>
      </c>
      <c r="U321">
        <v>1981</v>
      </c>
      <c r="V321" t="s">
        <v>3018</v>
      </c>
      <c r="W321">
        <v>1.96</v>
      </c>
      <c r="X321" t="s">
        <v>76</v>
      </c>
      <c r="Y321" t="s">
        <v>186</v>
      </c>
      <c r="Z321" t="s">
        <v>87</v>
      </c>
      <c r="AA321" t="s">
        <v>162</v>
      </c>
      <c r="AB321" t="s">
        <v>3019</v>
      </c>
      <c r="AC321" t="s">
        <v>108</v>
      </c>
      <c r="AD321" t="s">
        <v>89</v>
      </c>
      <c r="AE321" t="s">
        <v>972</v>
      </c>
      <c r="AF321">
        <v>24</v>
      </c>
      <c r="AG321" t="s">
        <v>91</v>
      </c>
      <c r="AH321">
        <v>44174</v>
      </c>
      <c r="AI321">
        <v>38</v>
      </c>
      <c r="AJ321" t="s">
        <v>110</v>
      </c>
      <c r="AK321">
        <v>24</v>
      </c>
      <c r="AL321">
        <v>7</v>
      </c>
      <c r="AM321">
        <v>276</v>
      </c>
      <c r="AN321">
        <v>41</v>
      </c>
      <c r="AO321">
        <v>5</v>
      </c>
      <c r="AP321" t="s">
        <v>93</v>
      </c>
      <c r="AQ321" t="s">
        <v>89</v>
      </c>
      <c r="AR321" t="s">
        <v>89</v>
      </c>
      <c r="AS321" t="s">
        <v>111</v>
      </c>
      <c r="AT321" t="s">
        <v>3019</v>
      </c>
      <c r="AU321">
        <v>2023</v>
      </c>
      <c r="AV321">
        <v>18</v>
      </c>
      <c r="AW321">
        <v>18</v>
      </c>
      <c r="AX321" t="s">
        <v>89</v>
      </c>
      <c r="AY321" t="s">
        <v>93</v>
      </c>
      <c r="AZ321">
        <v>0</v>
      </c>
      <c r="BA321">
        <v>0</v>
      </c>
      <c r="BB321">
        <v>0</v>
      </c>
      <c r="BC321">
        <v>0</v>
      </c>
      <c r="BD321">
        <v>528</v>
      </c>
      <c r="BE321">
        <v>47042</v>
      </c>
      <c r="BF321">
        <v>0</v>
      </c>
      <c r="BG321">
        <v>42</v>
      </c>
      <c r="BH321">
        <v>528</v>
      </c>
      <c r="BI321">
        <v>47042</v>
      </c>
      <c r="BJ321">
        <v>0</v>
      </c>
      <c r="BK321">
        <f t="shared" si="38"/>
        <v>528</v>
      </c>
      <c r="BL321">
        <f t="shared" si="39"/>
        <v>47042</v>
      </c>
      <c r="BM321">
        <f t="shared" si="40"/>
        <v>0</v>
      </c>
      <c r="BN321">
        <f t="shared" si="41"/>
        <v>0</v>
      </c>
      <c r="BO321">
        <f t="shared" si="42"/>
        <v>0</v>
      </c>
      <c r="BP321">
        <f t="shared" si="43"/>
        <v>0</v>
      </c>
      <c r="BQ321" t="s">
        <v>186</v>
      </c>
      <c r="BR321" t="s">
        <v>186</v>
      </c>
      <c r="BS321" t="s">
        <v>89</v>
      </c>
      <c r="BT321">
        <v>45</v>
      </c>
      <c r="BU321" t="s">
        <v>3019</v>
      </c>
      <c r="BV321" s="1">
        <v>45288</v>
      </c>
      <c r="BW321">
        <v>18</v>
      </c>
      <c r="BX321">
        <v>1981</v>
      </c>
      <c r="BY321">
        <v>18</v>
      </c>
      <c r="BZ321">
        <f t="shared" si="44"/>
        <v>0</v>
      </c>
      <c r="CA321">
        <f t="shared" si="45"/>
        <v>0</v>
      </c>
      <c r="CB321" t="b">
        <f t="shared" si="46"/>
        <v>1</v>
      </c>
    </row>
    <row r="322" spans="1:80" x14ac:dyDescent="0.3">
      <c r="A322" t="s">
        <v>3020</v>
      </c>
      <c r="B322" t="s">
        <v>71</v>
      </c>
      <c r="C322" t="s">
        <v>3021</v>
      </c>
      <c r="D322">
        <v>31</v>
      </c>
      <c r="E322" t="s">
        <v>3022</v>
      </c>
      <c r="F322" t="s">
        <v>265</v>
      </c>
      <c r="G322" t="s">
        <v>226</v>
      </c>
      <c r="H322" t="s">
        <v>76</v>
      </c>
      <c r="I322" t="s">
        <v>227</v>
      </c>
      <c r="J322" t="s">
        <v>78</v>
      </c>
      <c r="K322" t="s">
        <v>706</v>
      </c>
      <c r="L322" t="s">
        <v>80</v>
      </c>
      <c r="M322">
        <v>18</v>
      </c>
      <c r="N322" t="s">
        <v>268</v>
      </c>
      <c r="O322">
        <v>2012</v>
      </c>
      <c r="P322" t="s">
        <v>3023</v>
      </c>
      <c r="Q322" t="s">
        <v>3024</v>
      </c>
      <c r="R322">
        <v>246291</v>
      </c>
      <c r="S322" t="s">
        <v>3020</v>
      </c>
      <c r="T322" t="s">
        <v>3025</v>
      </c>
      <c r="U322">
        <v>1993</v>
      </c>
      <c r="V322" t="s">
        <v>122</v>
      </c>
      <c r="W322">
        <v>1.86</v>
      </c>
      <c r="X322" t="s">
        <v>76</v>
      </c>
      <c r="Y322" t="s">
        <v>235</v>
      </c>
      <c r="Z322" t="s">
        <v>87</v>
      </c>
      <c r="AA322" t="s">
        <v>706</v>
      </c>
      <c r="AB322">
        <v>45542</v>
      </c>
      <c r="AC322" t="s">
        <v>394</v>
      </c>
      <c r="AD322" t="s">
        <v>89</v>
      </c>
      <c r="AE322" s="1">
        <v>41280</v>
      </c>
      <c r="AF322">
        <v>19</v>
      </c>
      <c r="AG322" t="s">
        <v>91</v>
      </c>
      <c r="AH322" t="s">
        <v>3026</v>
      </c>
      <c r="AI322">
        <v>19</v>
      </c>
      <c r="AJ322" t="s">
        <v>110</v>
      </c>
      <c r="AK322">
        <v>19</v>
      </c>
      <c r="AL322">
        <v>18</v>
      </c>
      <c r="AM322">
        <v>505</v>
      </c>
      <c r="AN322">
        <v>95</v>
      </c>
      <c r="AO322">
        <v>9</v>
      </c>
      <c r="AP322" t="s">
        <v>93</v>
      </c>
      <c r="AQ322" t="s">
        <v>89</v>
      </c>
      <c r="AR322" t="s">
        <v>89</v>
      </c>
      <c r="AS322" t="s">
        <v>93</v>
      </c>
      <c r="AT322" t="s">
        <v>89</v>
      </c>
      <c r="AU322" t="s">
        <v>89</v>
      </c>
      <c r="AV322" t="s">
        <v>89</v>
      </c>
      <c r="AW322">
        <v>13</v>
      </c>
      <c r="AX322">
        <v>3</v>
      </c>
      <c r="AY322" t="s">
        <v>111</v>
      </c>
      <c r="AZ322">
        <v>10</v>
      </c>
      <c r="BA322">
        <v>10</v>
      </c>
      <c r="BB322">
        <v>574</v>
      </c>
      <c r="BC322">
        <v>0</v>
      </c>
      <c r="BD322">
        <v>341</v>
      </c>
      <c r="BE322">
        <v>27078</v>
      </c>
      <c r="BF322">
        <v>21</v>
      </c>
      <c r="BG322" t="s">
        <v>89</v>
      </c>
      <c r="BH322">
        <v>351</v>
      </c>
      <c r="BI322">
        <v>27652</v>
      </c>
      <c r="BJ322">
        <v>21</v>
      </c>
      <c r="BK322">
        <f t="shared" si="38"/>
        <v>351</v>
      </c>
      <c r="BL322">
        <f t="shared" si="39"/>
        <v>27652</v>
      </c>
      <c r="BM322">
        <f t="shared" si="40"/>
        <v>21</v>
      </c>
      <c r="BN322">
        <f t="shared" si="41"/>
        <v>0</v>
      </c>
      <c r="BO322">
        <f t="shared" si="42"/>
        <v>0</v>
      </c>
      <c r="BP322">
        <f t="shared" si="43"/>
        <v>0</v>
      </c>
      <c r="BQ322" t="s">
        <v>235</v>
      </c>
      <c r="BR322" t="s">
        <v>140</v>
      </c>
      <c r="BS322" s="1">
        <v>34197</v>
      </c>
      <c r="BT322">
        <v>32</v>
      </c>
      <c r="BU322" t="s">
        <v>89</v>
      </c>
      <c r="BV322" t="s">
        <v>89</v>
      </c>
      <c r="BW322">
        <v>13</v>
      </c>
      <c r="BX322">
        <v>1993</v>
      </c>
      <c r="BY322">
        <v>12</v>
      </c>
      <c r="BZ322">
        <f t="shared" si="44"/>
        <v>0</v>
      </c>
      <c r="CA322">
        <f t="shared" si="45"/>
        <v>1</v>
      </c>
      <c r="CB322" t="b">
        <f t="shared" si="46"/>
        <v>1</v>
      </c>
    </row>
    <row r="323" spans="1:80" x14ac:dyDescent="0.3">
      <c r="A323" t="s">
        <v>3027</v>
      </c>
      <c r="B323" t="s">
        <v>729</v>
      </c>
      <c r="C323" t="s">
        <v>3028</v>
      </c>
      <c r="D323">
        <v>44</v>
      </c>
      <c r="E323" s="1">
        <v>29527</v>
      </c>
      <c r="F323" t="s">
        <v>89</v>
      </c>
      <c r="G323" t="s">
        <v>277</v>
      </c>
      <c r="H323" t="s">
        <v>732</v>
      </c>
      <c r="I323" t="s">
        <v>227</v>
      </c>
      <c r="J323" t="s">
        <v>78</v>
      </c>
      <c r="K323" t="s">
        <v>89</v>
      </c>
      <c r="L323" t="s">
        <v>163</v>
      </c>
      <c r="M323">
        <v>25</v>
      </c>
      <c r="N323" t="s">
        <v>3029</v>
      </c>
      <c r="O323">
        <v>2006</v>
      </c>
      <c r="P323" t="s">
        <v>3030</v>
      </c>
      <c r="Q323" t="s">
        <v>3031</v>
      </c>
      <c r="R323">
        <v>13829</v>
      </c>
      <c r="S323" t="s">
        <v>3027</v>
      </c>
      <c r="T323" s="1">
        <v>29262</v>
      </c>
      <c r="U323">
        <v>1980</v>
      </c>
      <c r="V323" t="s">
        <v>3032</v>
      </c>
      <c r="W323">
        <v>1.88</v>
      </c>
      <c r="X323" t="s">
        <v>1971</v>
      </c>
      <c r="Y323" t="s">
        <v>235</v>
      </c>
      <c r="Z323" t="s">
        <v>87</v>
      </c>
      <c r="AA323" t="s">
        <v>3033</v>
      </c>
      <c r="AB323" t="s">
        <v>3034</v>
      </c>
      <c r="AC323" t="s">
        <v>108</v>
      </c>
      <c r="AD323" t="s">
        <v>89</v>
      </c>
      <c r="AE323">
        <v>37930</v>
      </c>
      <c r="AF323">
        <v>22</v>
      </c>
      <c r="AG323" t="s">
        <v>786</v>
      </c>
      <c r="AH323" t="s">
        <v>92</v>
      </c>
      <c r="AI323" t="s">
        <v>89</v>
      </c>
      <c r="AJ323" t="s">
        <v>92</v>
      </c>
      <c r="AK323">
        <v>22</v>
      </c>
      <c r="AL323">
        <v>12</v>
      </c>
      <c r="AM323">
        <v>170</v>
      </c>
      <c r="AN323">
        <v>31</v>
      </c>
      <c r="AO323">
        <v>6</v>
      </c>
      <c r="AP323" t="s">
        <v>93</v>
      </c>
      <c r="AQ323" t="s">
        <v>89</v>
      </c>
      <c r="AR323" t="s">
        <v>89</v>
      </c>
      <c r="AS323" t="s">
        <v>111</v>
      </c>
      <c r="AT323" t="s">
        <v>3034</v>
      </c>
      <c r="AU323">
        <v>2018</v>
      </c>
      <c r="AV323">
        <v>12</v>
      </c>
      <c r="AW323">
        <v>12</v>
      </c>
      <c r="AX323" t="s">
        <v>89</v>
      </c>
      <c r="AY323" t="s">
        <v>111</v>
      </c>
      <c r="AZ323">
        <v>5</v>
      </c>
      <c r="BA323">
        <v>20</v>
      </c>
      <c r="BB323">
        <v>1676</v>
      </c>
      <c r="BC323">
        <v>3</v>
      </c>
      <c r="BD323">
        <v>223</v>
      </c>
      <c r="BE323">
        <v>19291</v>
      </c>
      <c r="BF323">
        <v>27</v>
      </c>
      <c r="BG323">
        <v>38</v>
      </c>
      <c r="BH323">
        <v>243</v>
      </c>
      <c r="BI323">
        <v>20967</v>
      </c>
      <c r="BJ323">
        <v>30</v>
      </c>
      <c r="BK323">
        <f t="shared" ref="BK323:BK386" si="47">+BA323+BD323</f>
        <v>243</v>
      </c>
      <c r="BL323">
        <f t="shared" ref="BL323:BL386" si="48">+BB323+BE323</f>
        <v>20967</v>
      </c>
      <c r="BM323">
        <f t="shared" ref="BM323:BM386" si="49">+BC323+BF323</f>
        <v>30</v>
      </c>
      <c r="BN323">
        <f t="shared" ref="BN323:BN386" si="50">+BK323-BH323</f>
        <v>0</v>
      </c>
      <c r="BO323">
        <f t="shared" ref="BO323:BO386" si="51">+BL323-BI323</f>
        <v>0</v>
      </c>
      <c r="BP323">
        <f t="shared" ref="BP323:BP386" si="52">+BM323-BJ323</f>
        <v>0</v>
      </c>
      <c r="BQ323" t="s">
        <v>235</v>
      </c>
      <c r="BR323" t="s">
        <v>140</v>
      </c>
      <c r="BS323" s="1">
        <v>29527</v>
      </c>
      <c r="BT323">
        <v>45</v>
      </c>
      <c r="BU323" t="s">
        <v>3034</v>
      </c>
      <c r="BV323" s="1">
        <v>43130</v>
      </c>
      <c r="BW323">
        <v>16</v>
      </c>
      <c r="BX323">
        <v>1980</v>
      </c>
      <c r="BY323">
        <v>16</v>
      </c>
      <c r="BZ323">
        <f t="shared" ref="BZ323:BZ386" si="53">+AW323-BW323</f>
        <v>-4</v>
      </c>
      <c r="CA323">
        <f t="shared" ref="CA323:CA386" si="54">+BW323-BY323</f>
        <v>0</v>
      </c>
      <c r="CB323" t="b">
        <f t="shared" ref="CB323:CB386" si="55">+BW323=AW323</f>
        <v>0</v>
      </c>
    </row>
    <row r="324" spans="1:80" x14ac:dyDescent="0.3">
      <c r="A324" t="s">
        <v>3035</v>
      </c>
      <c r="B324" t="s">
        <v>71</v>
      </c>
      <c r="C324" t="s">
        <v>3036</v>
      </c>
      <c r="D324">
        <v>42</v>
      </c>
      <c r="E324" s="1">
        <v>30314</v>
      </c>
      <c r="F324" t="s">
        <v>89</v>
      </c>
      <c r="G324" t="s">
        <v>176</v>
      </c>
      <c r="H324" t="s">
        <v>76</v>
      </c>
      <c r="I324" t="s">
        <v>227</v>
      </c>
      <c r="J324" t="s">
        <v>639</v>
      </c>
      <c r="K324" t="s">
        <v>89</v>
      </c>
      <c r="L324" t="s">
        <v>99</v>
      </c>
      <c r="M324">
        <v>18</v>
      </c>
      <c r="N324" t="s">
        <v>162</v>
      </c>
      <c r="O324">
        <v>2001</v>
      </c>
      <c r="P324" t="s">
        <v>3037</v>
      </c>
      <c r="Q324" t="s">
        <v>3038</v>
      </c>
      <c r="R324">
        <v>58070</v>
      </c>
      <c r="S324" t="s">
        <v>3039</v>
      </c>
      <c r="T324" t="s">
        <v>3040</v>
      </c>
      <c r="U324">
        <v>1982</v>
      </c>
      <c r="V324" t="s">
        <v>122</v>
      </c>
      <c r="W324">
        <v>1.87</v>
      </c>
      <c r="X324" t="s">
        <v>76</v>
      </c>
      <c r="Y324" t="s">
        <v>235</v>
      </c>
      <c r="Z324" t="s">
        <v>392</v>
      </c>
      <c r="AA324" t="s">
        <v>3041</v>
      </c>
      <c r="AB324" s="1">
        <v>42376</v>
      </c>
      <c r="AC324" t="s">
        <v>108</v>
      </c>
      <c r="AD324" t="s">
        <v>89</v>
      </c>
      <c r="AE324" t="s">
        <v>3042</v>
      </c>
      <c r="AF324">
        <v>18</v>
      </c>
      <c r="AG324" t="s">
        <v>91</v>
      </c>
      <c r="AH324">
        <v>37875</v>
      </c>
      <c r="AI324">
        <v>20</v>
      </c>
      <c r="AJ324" t="s">
        <v>110</v>
      </c>
      <c r="AK324">
        <v>18</v>
      </c>
      <c r="AL324">
        <v>6</v>
      </c>
      <c r="AM324">
        <v>3705</v>
      </c>
      <c r="AN324">
        <v>35</v>
      </c>
      <c r="AO324">
        <v>4</v>
      </c>
      <c r="AP324" t="s">
        <v>93</v>
      </c>
      <c r="AQ324" t="s">
        <v>89</v>
      </c>
      <c r="AR324" t="s">
        <v>89</v>
      </c>
      <c r="AS324" t="s">
        <v>111</v>
      </c>
      <c r="AT324" s="1">
        <v>42376</v>
      </c>
      <c r="AU324">
        <v>2016</v>
      </c>
      <c r="AV324">
        <v>15</v>
      </c>
      <c r="AW324">
        <v>15</v>
      </c>
      <c r="AX324" t="s">
        <v>89</v>
      </c>
      <c r="AY324" t="s">
        <v>93</v>
      </c>
      <c r="AZ324">
        <v>0</v>
      </c>
      <c r="BA324">
        <v>0</v>
      </c>
      <c r="BB324">
        <v>0</v>
      </c>
      <c r="BC324">
        <v>0</v>
      </c>
      <c r="BD324">
        <v>230</v>
      </c>
      <c r="BE324">
        <v>19464</v>
      </c>
      <c r="BF324">
        <v>9</v>
      </c>
      <c r="BG324">
        <v>34</v>
      </c>
      <c r="BH324">
        <v>230</v>
      </c>
      <c r="BI324">
        <v>19464</v>
      </c>
      <c r="BJ324">
        <v>9</v>
      </c>
      <c r="BK324">
        <f t="shared" si="47"/>
        <v>230</v>
      </c>
      <c r="BL324">
        <f t="shared" si="48"/>
        <v>19464</v>
      </c>
      <c r="BM324">
        <f t="shared" si="49"/>
        <v>9</v>
      </c>
      <c r="BN324">
        <f t="shared" si="50"/>
        <v>0</v>
      </c>
      <c r="BO324">
        <f t="shared" si="51"/>
        <v>0</v>
      </c>
      <c r="BP324">
        <f t="shared" si="52"/>
        <v>0</v>
      </c>
      <c r="BQ324" t="s">
        <v>235</v>
      </c>
      <c r="BR324" t="s">
        <v>140</v>
      </c>
      <c r="BS324" s="1">
        <v>30314</v>
      </c>
      <c r="BT324">
        <v>43</v>
      </c>
      <c r="BU324" s="1">
        <v>42376</v>
      </c>
      <c r="BV324" s="1">
        <v>42552</v>
      </c>
      <c r="BW324">
        <v>16</v>
      </c>
      <c r="BX324">
        <v>1982</v>
      </c>
      <c r="BY324">
        <v>16</v>
      </c>
      <c r="BZ324">
        <f t="shared" si="53"/>
        <v>-1</v>
      </c>
      <c r="CA324">
        <f t="shared" si="54"/>
        <v>0</v>
      </c>
      <c r="CB324" t="b">
        <f t="shared" si="55"/>
        <v>0</v>
      </c>
    </row>
    <row r="325" spans="1:80" x14ac:dyDescent="0.3">
      <c r="A325" t="s">
        <v>3043</v>
      </c>
      <c r="B325" t="s">
        <v>71</v>
      </c>
      <c r="C325" t="s">
        <v>3044</v>
      </c>
      <c r="D325">
        <v>35</v>
      </c>
      <c r="E325" t="s">
        <v>3045</v>
      </c>
      <c r="F325" t="s">
        <v>1722</v>
      </c>
      <c r="G325" t="s">
        <v>226</v>
      </c>
      <c r="H325" t="s">
        <v>76</v>
      </c>
      <c r="I325" t="s">
        <v>178</v>
      </c>
      <c r="J325" t="s">
        <v>78</v>
      </c>
      <c r="K325" t="s">
        <v>361</v>
      </c>
      <c r="L325" t="s">
        <v>228</v>
      </c>
      <c r="M325">
        <v>20</v>
      </c>
      <c r="N325" t="s">
        <v>2060</v>
      </c>
      <c r="O325">
        <v>2010</v>
      </c>
      <c r="P325" t="s">
        <v>3046</v>
      </c>
      <c r="Q325" t="s">
        <v>3047</v>
      </c>
      <c r="R325">
        <v>59349</v>
      </c>
      <c r="S325" t="s">
        <v>3043</v>
      </c>
      <c r="T325" t="s">
        <v>3048</v>
      </c>
      <c r="U325">
        <v>1990</v>
      </c>
      <c r="V325" t="s">
        <v>1727</v>
      </c>
      <c r="W325">
        <v>1.85</v>
      </c>
      <c r="X325" t="s">
        <v>76</v>
      </c>
      <c r="Y325" t="s">
        <v>186</v>
      </c>
      <c r="Z325" t="s">
        <v>87</v>
      </c>
      <c r="AA325" t="s">
        <v>361</v>
      </c>
      <c r="AB325" s="1">
        <v>45845</v>
      </c>
      <c r="AC325" t="s">
        <v>88</v>
      </c>
      <c r="AD325" t="s">
        <v>89</v>
      </c>
      <c r="AE325" t="s">
        <v>421</v>
      </c>
      <c r="AF325">
        <v>23</v>
      </c>
      <c r="AG325" t="s">
        <v>91</v>
      </c>
      <c r="AH325" t="s">
        <v>3049</v>
      </c>
      <c r="AI325">
        <v>20</v>
      </c>
      <c r="AJ325" t="s">
        <v>110</v>
      </c>
      <c r="AK325">
        <v>20</v>
      </c>
      <c r="AL325">
        <v>3</v>
      </c>
      <c r="AM325">
        <v>75</v>
      </c>
      <c r="AN325">
        <v>9</v>
      </c>
      <c r="AO325">
        <v>3</v>
      </c>
      <c r="AP325" t="s">
        <v>93</v>
      </c>
      <c r="AQ325" t="s">
        <v>89</v>
      </c>
      <c r="AR325" t="s">
        <v>89</v>
      </c>
      <c r="AS325" t="s">
        <v>93</v>
      </c>
      <c r="AT325" t="s">
        <v>89</v>
      </c>
      <c r="AU325" t="s">
        <v>89</v>
      </c>
      <c r="AV325" t="s">
        <v>89</v>
      </c>
      <c r="AW325">
        <v>15</v>
      </c>
      <c r="AX325">
        <v>1</v>
      </c>
      <c r="AY325" t="s">
        <v>93</v>
      </c>
      <c r="AZ325">
        <v>0</v>
      </c>
      <c r="BA325">
        <v>0</v>
      </c>
      <c r="BB325">
        <v>0</v>
      </c>
      <c r="BC325">
        <v>0</v>
      </c>
      <c r="BD325">
        <v>417</v>
      </c>
      <c r="BE325">
        <v>37420</v>
      </c>
      <c r="BF325">
        <v>0</v>
      </c>
      <c r="BG325" t="s">
        <v>89</v>
      </c>
      <c r="BH325">
        <v>417</v>
      </c>
      <c r="BI325">
        <v>37420</v>
      </c>
      <c r="BJ325">
        <v>0</v>
      </c>
      <c r="BK325">
        <f t="shared" si="47"/>
        <v>417</v>
      </c>
      <c r="BL325">
        <f t="shared" si="48"/>
        <v>37420</v>
      </c>
      <c r="BM325">
        <f t="shared" si="49"/>
        <v>0</v>
      </c>
      <c r="BN325">
        <f t="shared" si="50"/>
        <v>0</v>
      </c>
      <c r="BO325">
        <f t="shared" si="51"/>
        <v>0</v>
      </c>
      <c r="BP325">
        <f t="shared" si="52"/>
        <v>0</v>
      </c>
      <c r="BQ325" t="s">
        <v>186</v>
      </c>
      <c r="BR325" t="s">
        <v>186</v>
      </c>
      <c r="BS325" t="s">
        <v>89</v>
      </c>
      <c r="BT325">
        <v>36</v>
      </c>
      <c r="BU325" t="s">
        <v>89</v>
      </c>
      <c r="BV325" t="s">
        <v>89</v>
      </c>
      <c r="BW325">
        <v>16</v>
      </c>
      <c r="BX325">
        <v>1990</v>
      </c>
      <c r="BY325">
        <v>15</v>
      </c>
      <c r="BZ325">
        <f t="shared" si="53"/>
        <v>-1</v>
      </c>
      <c r="CA325">
        <f t="shared" si="54"/>
        <v>1</v>
      </c>
      <c r="CB325" t="b">
        <f t="shared" si="55"/>
        <v>0</v>
      </c>
    </row>
    <row r="326" spans="1:80" x14ac:dyDescent="0.3">
      <c r="A326" t="s">
        <v>3050</v>
      </c>
      <c r="B326" t="s">
        <v>156</v>
      </c>
      <c r="C326" t="s">
        <v>3051</v>
      </c>
      <c r="D326">
        <v>37</v>
      </c>
      <c r="E326">
        <v>32350</v>
      </c>
      <c r="F326" t="s">
        <v>89</v>
      </c>
      <c r="G326" t="s">
        <v>321</v>
      </c>
      <c r="H326" t="s">
        <v>177</v>
      </c>
      <c r="I326" t="s">
        <v>386</v>
      </c>
      <c r="J326" t="s">
        <v>78</v>
      </c>
      <c r="K326" t="s">
        <v>89</v>
      </c>
      <c r="L326" t="s">
        <v>180</v>
      </c>
      <c r="M326">
        <v>19</v>
      </c>
      <c r="N326" t="s">
        <v>892</v>
      </c>
      <c r="O326">
        <v>2007</v>
      </c>
      <c r="P326" t="s">
        <v>3052</v>
      </c>
      <c r="Q326" t="s">
        <v>3053</v>
      </c>
      <c r="R326">
        <v>54984</v>
      </c>
      <c r="S326" t="s">
        <v>3050</v>
      </c>
      <c r="T326" t="s">
        <v>3054</v>
      </c>
      <c r="U326">
        <v>1988</v>
      </c>
      <c r="V326" t="s">
        <v>3055</v>
      </c>
      <c r="W326">
        <v>1.79</v>
      </c>
      <c r="X326" t="s">
        <v>219</v>
      </c>
      <c r="Y326" t="s">
        <v>391</v>
      </c>
      <c r="Z326" t="s">
        <v>87</v>
      </c>
      <c r="AA326" t="s">
        <v>3056</v>
      </c>
      <c r="AB326" t="s">
        <v>3057</v>
      </c>
      <c r="AC326" t="s">
        <v>108</v>
      </c>
      <c r="AD326" t="s">
        <v>89</v>
      </c>
      <c r="AE326" t="s">
        <v>2661</v>
      </c>
      <c r="AF326">
        <v>20</v>
      </c>
      <c r="AG326" t="s">
        <v>91</v>
      </c>
      <c r="AH326" t="s">
        <v>449</v>
      </c>
      <c r="AI326">
        <v>19</v>
      </c>
      <c r="AJ326" t="s">
        <v>110</v>
      </c>
      <c r="AK326">
        <v>19</v>
      </c>
      <c r="AL326">
        <v>38</v>
      </c>
      <c r="AM326">
        <v>1004</v>
      </c>
      <c r="AN326">
        <v>168</v>
      </c>
      <c r="AO326">
        <v>12</v>
      </c>
      <c r="AP326" t="s">
        <v>93</v>
      </c>
      <c r="AQ326" t="s">
        <v>89</v>
      </c>
      <c r="AR326" t="s">
        <v>89</v>
      </c>
      <c r="AS326" t="s">
        <v>93</v>
      </c>
      <c r="AT326" t="s">
        <v>89</v>
      </c>
      <c r="AU326" t="s">
        <v>89</v>
      </c>
      <c r="AV326" t="s">
        <v>89</v>
      </c>
      <c r="AW326">
        <v>18</v>
      </c>
      <c r="AX326" t="s">
        <v>89</v>
      </c>
      <c r="AY326" t="s">
        <v>111</v>
      </c>
      <c r="AZ326">
        <v>2</v>
      </c>
      <c r="BA326">
        <v>3</v>
      </c>
      <c r="BB326">
        <v>57</v>
      </c>
      <c r="BC326">
        <v>0</v>
      </c>
      <c r="BD326">
        <v>384</v>
      </c>
      <c r="BE326">
        <v>23797</v>
      </c>
      <c r="BF326">
        <v>54</v>
      </c>
      <c r="BG326" t="s">
        <v>89</v>
      </c>
      <c r="BH326">
        <v>387</v>
      </c>
      <c r="BI326">
        <v>23854</v>
      </c>
      <c r="BJ326">
        <v>54</v>
      </c>
      <c r="BK326">
        <f t="shared" si="47"/>
        <v>387</v>
      </c>
      <c r="BL326">
        <f t="shared" si="48"/>
        <v>23854</v>
      </c>
      <c r="BM326">
        <f t="shared" si="49"/>
        <v>54</v>
      </c>
      <c r="BN326">
        <f t="shared" si="50"/>
        <v>0</v>
      </c>
      <c r="BO326">
        <f t="shared" si="51"/>
        <v>0</v>
      </c>
      <c r="BP326">
        <f t="shared" si="52"/>
        <v>0</v>
      </c>
      <c r="BQ326" t="s">
        <v>391</v>
      </c>
      <c r="BR326" t="s">
        <v>112</v>
      </c>
      <c r="BS326" s="1">
        <v>32350</v>
      </c>
      <c r="BT326">
        <v>37</v>
      </c>
      <c r="BU326" t="s">
        <v>89</v>
      </c>
      <c r="BV326" t="s">
        <v>89</v>
      </c>
      <c r="BW326">
        <v>18</v>
      </c>
      <c r="BX326">
        <v>1988</v>
      </c>
      <c r="BY326">
        <v>18</v>
      </c>
      <c r="BZ326">
        <f t="shared" si="53"/>
        <v>0</v>
      </c>
      <c r="CA326">
        <f t="shared" si="54"/>
        <v>0</v>
      </c>
      <c r="CB326" t="b">
        <f t="shared" si="55"/>
        <v>1</v>
      </c>
    </row>
    <row r="327" spans="1:80" x14ac:dyDescent="0.3">
      <c r="A327" t="s">
        <v>3058</v>
      </c>
      <c r="B327" t="s">
        <v>71</v>
      </c>
      <c r="C327" t="s">
        <v>3059</v>
      </c>
      <c r="D327">
        <v>45</v>
      </c>
      <c r="E327" s="1">
        <v>29338</v>
      </c>
      <c r="F327" t="s">
        <v>89</v>
      </c>
      <c r="G327" t="s">
        <v>115</v>
      </c>
      <c r="H327" t="s">
        <v>89</v>
      </c>
      <c r="I327" t="s">
        <v>253</v>
      </c>
      <c r="J327" t="s">
        <v>89</v>
      </c>
      <c r="K327" t="s">
        <v>89</v>
      </c>
      <c r="L327" t="s">
        <v>845</v>
      </c>
      <c r="M327">
        <v>22</v>
      </c>
      <c r="N327" t="s">
        <v>181</v>
      </c>
      <c r="O327">
        <v>2002</v>
      </c>
      <c r="P327" t="s">
        <v>3060</v>
      </c>
      <c r="Q327" t="s">
        <v>3061</v>
      </c>
      <c r="R327">
        <v>9991</v>
      </c>
      <c r="S327" t="s">
        <v>3058</v>
      </c>
      <c r="T327" t="s">
        <v>3062</v>
      </c>
      <c r="U327">
        <v>1980</v>
      </c>
      <c r="V327" t="s">
        <v>3063</v>
      </c>
      <c r="W327">
        <v>1.8</v>
      </c>
      <c r="X327" t="s">
        <v>76</v>
      </c>
      <c r="Y327" t="s">
        <v>86</v>
      </c>
      <c r="Z327" t="s">
        <v>87</v>
      </c>
      <c r="AA327" t="s">
        <v>3063</v>
      </c>
      <c r="AB327">
        <v>43286</v>
      </c>
      <c r="AC327" t="s">
        <v>108</v>
      </c>
      <c r="AD327" t="s">
        <v>89</v>
      </c>
      <c r="AE327" t="s">
        <v>3064</v>
      </c>
      <c r="AF327">
        <v>23</v>
      </c>
      <c r="AG327" t="s">
        <v>91</v>
      </c>
      <c r="AH327" s="1">
        <v>36682</v>
      </c>
      <c r="AI327">
        <v>20</v>
      </c>
      <c r="AJ327" t="s">
        <v>459</v>
      </c>
      <c r="AK327">
        <v>20</v>
      </c>
      <c r="AL327" t="s">
        <v>89</v>
      </c>
      <c r="AM327" t="s">
        <v>89</v>
      </c>
      <c r="AN327" t="s">
        <v>89</v>
      </c>
      <c r="AO327">
        <v>0</v>
      </c>
      <c r="AP327" t="s">
        <v>93</v>
      </c>
      <c r="AQ327" t="s">
        <v>89</v>
      </c>
      <c r="AR327" t="s">
        <v>89</v>
      </c>
      <c r="AS327" t="s">
        <v>111</v>
      </c>
      <c r="AT327">
        <v>43286</v>
      </c>
      <c r="AU327">
        <v>2018</v>
      </c>
      <c r="AV327">
        <v>16</v>
      </c>
      <c r="AW327">
        <v>16</v>
      </c>
      <c r="AX327" t="s">
        <v>89</v>
      </c>
      <c r="AY327" t="s">
        <v>93</v>
      </c>
      <c r="AZ327">
        <v>0</v>
      </c>
      <c r="BA327">
        <v>0</v>
      </c>
      <c r="BB327">
        <v>0</v>
      </c>
      <c r="BC327">
        <v>0</v>
      </c>
      <c r="BD327">
        <v>342</v>
      </c>
      <c r="BE327">
        <v>25777</v>
      </c>
      <c r="BF327">
        <v>6</v>
      </c>
      <c r="BG327">
        <v>38</v>
      </c>
      <c r="BH327">
        <v>342</v>
      </c>
      <c r="BI327">
        <v>25777</v>
      </c>
      <c r="BJ327">
        <v>6</v>
      </c>
      <c r="BK327">
        <f t="shared" si="47"/>
        <v>342</v>
      </c>
      <c r="BL327">
        <f t="shared" si="48"/>
        <v>25777</v>
      </c>
      <c r="BM327">
        <f t="shared" si="49"/>
        <v>6</v>
      </c>
      <c r="BN327">
        <f t="shared" si="50"/>
        <v>0</v>
      </c>
      <c r="BO327">
        <f t="shared" si="51"/>
        <v>0</v>
      </c>
      <c r="BP327">
        <f t="shared" si="52"/>
        <v>0</v>
      </c>
      <c r="BQ327" t="s">
        <v>86</v>
      </c>
      <c r="BR327" t="s">
        <v>94</v>
      </c>
      <c r="BS327" s="1">
        <v>29338</v>
      </c>
      <c r="BT327">
        <v>45</v>
      </c>
      <c r="BU327">
        <v>43286</v>
      </c>
      <c r="BV327" t="s">
        <v>89</v>
      </c>
      <c r="BW327">
        <v>18</v>
      </c>
      <c r="BX327">
        <v>1980</v>
      </c>
      <c r="BY327">
        <v>18</v>
      </c>
      <c r="BZ327">
        <f t="shared" si="53"/>
        <v>-2</v>
      </c>
      <c r="CA327">
        <f t="shared" si="54"/>
        <v>0</v>
      </c>
      <c r="CB327" t="b">
        <f t="shared" si="55"/>
        <v>0</v>
      </c>
    </row>
    <row r="328" spans="1:80" x14ac:dyDescent="0.3">
      <c r="A328" t="s">
        <v>3065</v>
      </c>
      <c r="B328" t="s">
        <v>71</v>
      </c>
      <c r="C328" t="s">
        <v>3066</v>
      </c>
      <c r="D328">
        <v>37</v>
      </c>
      <c r="E328">
        <v>32259</v>
      </c>
      <c r="F328" t="s">
        <v>89</v>
      </c>
      <c r="G328" t="s">
        <v>97</v>
      </c>
      <c r="H328" t="s">
        <v>89</v>
      </c>
      <c r="I328" t="s">
        <v>348</v>
      </c>
      <c r="J328" t="s">
        <v>89</v>
      </c>
      <c r="K328" t="s">
        <v>89</v>
      </c>
      <c r="L328" t="s">
        <v>254</v>
      </c>
      <c r="M328">
        <v>21</v>
      </c>
      <c r="N328" t="s">
        <v>741</v>
      </c>
      <c r="O328">
        <v>2009</v>
      </c>
      <c r="P328" t="s">
        <v>3067</v>
      </c>
      <c r="Q328" t="s">
        <v>3068</v>
      </c>
      <c r="R328">
        <v>104916</v>
      </c>
      <c r="S328" t="s">
        <v>3065</v>
      </c>
      <c r="T328" t="s">
        <v>3069</v>
      </c>
      <c r="U328">
        <v>1988</v>
      </c>
      <c r="V328" t="s">
        <v>1734</v>
      </c>
      <c r="W328">
        <v>1.81</v>
      </c>
      <c r="X328" t="s">
        <v>76</v>
      </c>
      <c r="Y328" t="s">
        <v>136</v>
      </c>
      <c r="Z328" t="s">
        <v>87</v>
      </c>
      <c r="AA328" t="s">
        <v>2174</v>
      </c>
      <c r="AB328" s="1">
        <v>45209</v>
      </c>
      <c r="AC328" t="s">
        <v>108</v>
      </c>
      <c r="AD328" t="s">
        <v>89</v>
      </c>
      <c r="AE328" t="s">
        <v>3070</v>
      </c>
      <c r="AF328">
        <v>21</v>
      </c>
      <c r="AG328" t="s">
        <v>91</v>
      </c>
      <c r="AH328" t="s">
        <v>3071</v>
      </c>
      <c r="AI328">
        <v>23</v>
      </c>
      <c r="AJ328" t="s">
        <v>110</v>
      </c>
      <c r="AK328">
        <v>21</v>
      </c>
      <c r="AL328">
        <v>1</v>
      </c>
      <c r="AM328">
        <v>93</v>
      </c>
      <c r="AN328">
        <v>6</v>
      </c>
      <c r="AO328">
        <v>1</v>
      </c>
      <c r="AP328" t="s">
        <v>93</v>
      </c>
      <c r="AQ328" t="s">
        <v>89</v>
      </c>
      <c r="AR328" t="s">
        <v>89</v>
      </c>
      <c r="AS328" t="s">
        <v>111</v>
      </c>
      <c r="AT328">
        <v>45209</v>
      </c>
      <c r="AU328">
        <v>2023</v>
      </c>
      <c r="AV328">
        <v>14</v>
      </c>
      <c r="AW328">
        <v>14</v>
      </c>
      <c r="AX328" t="s">
        <v>89</v>
      </c>
      <c r="AY328" t="s">
        <v>93</v>
      </c>
      <c r="AZ328">
        <v>0</v>
      </c>
      <c r="BA328">
        <v>0</v>
      </c>
      <c r="BB328">
        <v>0</v>
      </c>
      <c r="BC328">
        <v>0</v>
      </c>
      <c r="BD328">
        <v>86</v>
      </c>
      <c r="BE328">
        <v>6928</v>
      </c>
      <c r="BF328">
        <v>0</v>
      </c>
      <c r="BG328">
        <v>35</v>
      </c>
      <c r="BH328">
        <v>86</v>
      </c>
      <c r="BI328">
        <v>6928</v>
      </c>
      <c r="BJ328">
        <v>0</v>
      </c>
      <c r="BK328">
        <f t="shared" si="47"/>
        <v>86</v>
      </c>
      <c r="BL328">
        <f t="shared" si="48"/>
        <v>6928</v>
      </c>
      <c r="BM328">
        <f t="shared" si="49"/>
        <v>0</v>
      </c>
      <c r="BN328">
        <f t="shared" si="50"/>
        <v>0</v>
      </c>
      <c r="BO328">
        <f t="shared" si="51"/>
        <v>0</v>
      </c>
      <c r="BP328">
        <f t="shared" si="52"/>
        <v>0</v>
      </c>
      <c r="BQ328" t="s">
        <v>136</v>
      </c>
      <c r="BR328" t="s">
        <v>140</v>
      </c>
      <c r="BS328" s="1">
        <v>32259</v>
      </c>
      <c r="BT328">
        <v>37</v>
      </c>
      <c r="BU328">
        <v>45209</v>
      </c>
      <c r="BV328" t="s">
        <v>89</v>
      </c>
      <c r="BW328">
        <v>14</v>
      </c>
      <c r="BX328">
        <v>1988</v>
      </c>
      <c r="BY328">
        <v>14</v>
      </c>
      <c r="BZ328">
        <f t="shared" si="53"/>
        <v>0</v>
      </c>
      <c r="CA328">
        <f t="shared" si="54"/>
        <v>0</v>
      </c>
      <c r="CB328" t="b">
        <f t="shared" si="55"/>
        <v>1</v>
      </c>
    </row>
    <row r="329" spans="1:80" x14ac:dyDescent="0.3">
      <c r="A329" t="s">
        <v>3072</v>
      </c>
      <c r="B329" t="s">
        <v>156</v>
      </c>
      <c r="C329" t="s">
        <v>3073</v>
      </c>
      <c r="D329">
        <v>39</v>
      </c>
      <c r="E329">
        <v>31533</v>
      </c>
      <c r="F329" t="s">
        <v>89</v>
      </c>
      <c r="G329" t="s">
        <v>75</v>
      </c>
      <c r="H329" t="s">
        <v>177</v>
      </c>
      <c r="I329" t="s">
        <v>161</v>
      </c>
      <c r="J329" t="s">
        <v>78</v>
      </c>
      <c r="K329" t="s">
        <v>89</v>
      </c>
      <c r="L329" t="s">
        <v>254</v>
      </c>
      <c r="M329">
        <v>23</v>
      </c>
      <c r="N329" t="s">
        <v>1236</v>
      </c>
      <c r="O329">
        <v>2009</v>
      </c>
      <c r="P329" t="s">
        <v>3074</v>
      </c>
      <c r="Q329" t="s">
        <v>3075</v>
      </c>
      <c r="R329">
        <v>54588</v>
      </c>
      <c r="S329" t="s">
        <v>3076</v>
      </c>
      <c r="T329">
        <v>31417</v>
      </c>
      <c r="U329">
        <v>1986</v>
      </c>
      <c r="V329" t="s">
        <v>2208</v>
      </c>
      <c r="W329">
        <v>1.78</v>
      </c>
      <c r="X329" t="s">
        <v>169</v>
      </c>
      <c r="Y329" t="s">
        <v>106</v>
      </c>
      <c r="Z329" t="s">
        <v>87</v>
      </c>
      <c r="AA329" t="s">
        <v>3077</v>
      </c>
      <c r="AB329" t="s">
        <v>1025</v>
      </c>
      <c r="AC329" t="s">
        <v>108</v>
      </c>
      <c r="AD329" t="s">
        <v>89</v>
      </c>
      <c r="AE329" t="s">
        <v>1973</v>
      </c>
      <c r="AF329">
        <v>18</v>
      </c>
      <c r="AG329" t="s">
        <v>171</v>
      </c>
      <c r="AH329" t="s">
        <v>92</v>
      </c>
      <c r="AI329" t="s">
        <v>89</v>
      </c>
      <c r="AJ329" t="s">
        <v>92</v>
      </c>
      <c r="AK329">
        <v>18</v>
      </c>
      <c r="AL329">
        <v>4</v>
      </c>
      <c r="AM329">
        <v>254</v>
      </c>
      <c r="AN329">
        <v>19</v>
      </c>
      <c r="AO329">
        <v>3</v>
      </c>
      <c r="AP329" t="s">
        <v>93</v>
      </c>
      <c r="AQ329" t="s">
        <v>89</v>
      </c>
      <c r="AR329" t="s">
        <v>89</v>
      </c>
      <c r="AS329" t="s">
        <v>111</v>
      </c>
      <c r="AT329" t="s">
        <v>1025</v>
      </c>
      <c r="AU329">
        <v>2022</v>
      </c>
      <c r="AV329">
        <v>13</v>
      </c>
      <c r="AW329">
        <v>13</v>
      </c>
      <c r="AX329" t="s">
        <v>89</v>
      </c>
      <c r="AY329" t="s">
        <v>93</v>
      </c>
      <c r="AZ329">
        <v>0</v>
      </c>
      <c r="BA329">
        <v>0</v>
      </c>
      <c r="BB329">
        <v>0</v>
      </c>
      <c r="BC329">
        <v>0</v>
      </c>
      <c r="BD329">
        <v>304</v>
      </c>
      <c r="BE329">
        <v>21921</v>
      </c>
      <c r="BF329">
        <v>89</v>
      </c>
      <c r="BG329">
        <v>36</v>
      </c>
      <c r="BH329">
        <v>304</v>
      </c>
      <c r="BI329">
        <v>21921</v>
      </c>
      <c r="BJ329">
        <v>89</v>
      </c>
      <c r="BK329">
        <f t="shared" si="47"/>
        <v>304</v>
      </c>
      <c r="BL329">
        <f t="shared" si="48"/>
        <v>21921</v>
      </c>
      <c r="BM329">
        <f t="shared" si="49"/>
        <v>89</v>
      </c>
      <c r="BN329">
        <f t="shared" si="50"/>
        <v>0</v>
      </c>
      <c r="BO329">
        <f t="shared" si="51"/>
        <v>0</v>
      </c>
      <c r="BP329">
        <f t="shared" si="52"/>
        <v>0</v>
      </c>
      <c r="BQ329" t="s">
        <v>106</v>
      </c>
      <c r="BR329" t="s">
        <v>112</v>
      </c>
      <c r="BS329" t="s">
        <v>89</v>
      </c>
      <c r="BT329">
        <v>40</v>
      </c>
      <c r="BU329" t="s">
        <v>1025</v>
      </c>
      <c r="BV329" s="1">
        <v>44757</v>
      </c>
      <c r="BW329">
        <v>18</v>
      </c>
      <c r="BX329">
        <v>1986</v>
      </c>
      <c r="BY329">
        <v>18</v>
      </c>
      <c r="BZ329">
        <f t="shared" si="53"/>
        <v>-5</v>
      </c>
      <c r="CA329">
        <f t="shared" si="54"/>
        <v>0</v>
      </c>
      <c r="CB329" t="b">
        <f t="shared" si="55"/>
        <v>0</v>
      </c>
    </row>
    <row r="330" spans="1:80" x14ac:dyDescent="0.3">
      <c r="A330" t="s">
        <v>3078</v>
      </c>
      <c r="B330" t="s">
        <v>191</v>
      </c>
      <c r="C330" t="s">
        <v>3079</v>
      </c>
      <c r="D330">
        <v>32</v>
      </c>
      <c r="E330" t="s">
        <v>3080</v>
      </c>
      <c r="F330" t="s">
        <v>3081</v>
      </c>
      <c r="G330" t="s">
        <v>413</v>
      </c>
      <c r="H330" t="s">
        <v>3082</v>
      </c>
      <c r="I330" t="s">
        <v>596</v>
      </c>
      <c r="J330" t="s">
        <v>78</v>
      </c>
      <c r="K330" t="s">
        <v>214</v>
      </c>
      <c r="L330" t="s">
        <v>278</v>
      </c>
      <c r="M330">
        <v>18</v>
      </c>
      <c r="N330" t="s">
        <v>3083</v>
      </c>
      <c r="O330">
        <v>2011</v>
      </c>
      <c r="P330" t="s">
        <v>3084</v>
      </c>
      <c r="Q330" t="s">
        <v>3085</v>
      </c>
      <c r="R330">
        <v>170472</v>
      </c>
      <c r="S330" t="s">
        <v>3078</v>
      </c>
      <c r="T330" t="s">
        <v>3086</v>
      </c>
      <c r="U330">
        <v>1993</v>
      </c>
      <c r="V330" t="s">
        <v>3087</v>
      </c>
      <c r="W330">
        <v>1.83</v>
      </c>
      <c r="X330" t="s">
        <v>3088</v>
      </c>
      <c r="Y330" t="s">
        <v>136</v>
      </c>
      <c r="Z330" t="s">
        <v>87</v>
      </c>
      <c r="AA330" t="s">
        <v>214</v>
      </c>
      <c r="AB330" t="s">
        <v>3089</v>
      </c>
      <c r="AC330" t="s">
        <v>88</v>
      </c>
      <c r="AD330" t="s">
        <v>89</v>
      </c>
      <c r="AE330">
        <v>40584</v>
      </c>
      <c r="AF330">
        <v>18</v>
      </c>
      <c r="AG330" t="s">
        <v>206</v>
      </c>
      <c r="AH330" t="s">
        <v>92</v>
      </c>
      <c r="AI330" t="s">
        <v>89</v>
      </c>
      <c r="AJ330" t="s">
        <v>92</v>
      </c>
      <c r="AK330">
        <v>18</v>
      </c>
      <c r="AL330">
        <v>10</v>
      </c>
      <c r="AM330">
        <v>323</v>
      </c>
      <c r="AN330">
        <v>36</v>
      </c>
      <c r="AO330">
        <v>6</v>
      </c>
      <c r="AP330" t="s">
        <v>93</v>
      </c>
      <c r="AQ330" t="s">
        <v>89</v>
      </c>
      <c r="AR330" t="s">
        <v>89</v>
      </c>
      <c r="AS330" t="s">
        <v>93</v>
      </c>
      <c r="AT330" t="s">
        <v>89</v>
      </c>
      <c r="AU330" t="s">
        <v>89</v>
      </c>
      <c r="AV330" t="s">
        <v>89</v>
      </c>
      <c r="AW330">
        <v>14</v>
      </c>
      <c r="AX330">
        <v>20</v>
      </c>
      <c r="AY330" t="s">
        <v>93</v>
      </c>
      <c r="AZ330">
        <v>0</v>
      </c>
      <c r="BA330">
        <v>0</v>
      </c>
      <c r="BB330">
        <v>0</v>
      </c>
      <c r="BC330">
        <v>0</v>
      </c>
      <c r="BD330">
        <v>382</v>
      </c>
      <c r="BE330">
        <v>26571</v>
      </c>
      <c r="BF330">
        <v>6</v>
      </c>
      <c r="BG330" t="s">
        <v>89</v>
      </c>
      <c r="BH330">
        <v>382</v>
      </c>
      <c r="BI330">
        <v>26571</v>
      </c>
      <c r="BJ330">
        <v>6</v>
      </c>
      <c r="BK330">
        <f t="shared" si="47"/>
        <v>382</v>
      </c>
      <c r="BL330">
        <f t="shared" si="48"/>
        <v>26571</v>
      </c>
      <c r="BM330">
        <f t="shared" si="49"/>
        <v>6</v>
      </c>
      <c r="BN330">
        <f t="shared" si="50"/>
        <v>0</v>
      </c>
      <c r="BO330">
        <f t="shared" si="51"/>
        <v>0</v>
      </c>
      <c r="BP330">
        <f t="shared" si="52"/>
        <v>0</v>
      </c>
      <c r="BQ330" t="s">
        <v>136</v>
      </c>
      <c r="BR330" t="s">
        <v>140</v>
      </c>
      <c r="BS330" s="1">
        <v>34051</v>
      </c>
      <c r="BT330">
        <v>32</v>
      </c>
      <c r="BU330" t="s">
        <v>89</v>
      </c>
      <c r="BV330" t="s">
        <v>89</v>
      </c>
      <c r="BW330">
        <v>14</v>
      </c>
      <c r="BX330">
        <v>1993</v>
      </c>
      <c r="BY330">
        <v>14</v>
      </c>
      <c r="BZ330">
        <f t="shared" si="53"/>
        <v>0</v>
      </c>
      <c r="CA330">
        <f t="shared" si="54"/>
        <v>0</v>
      </c>
      <c r="CB330" t="b">
        <f t="shared" si="55"/>
        <v>1</v>
      </c>
    </row>
    <row r="331" spans="1:80" x14ac:dyDescent="0.3">
      <c r="A331" t="s">
        <v>3090</v>
      </c>
      <c r="B331" t="s">
        <v>1231</v>
      </c>
      <c r="C331" t="s">
        <v>3091</v>
      </c>
      <c r="D331">
        <v>34</v>
      </c>
      <c r="E331" t="s">
        <v>3092</v>
      </c>
      <c r="F331" t="s">
        <v>3093</v>
      </c>
      <c r="G331" t="s">
        <v>1289</v>
      </c>
      <c r="H331" t="s">
        <v>1234</v>
      </c>
      <c r="I331" t="s">
        <v>596</v>
      </c>
      <c r="J331" t="s">
        <v>78</v>
      </c>
      <c r="K331" t="s">
        <v>3094</v>
      </c>
      <c r="L331" t="s">
        <v>278</v>
      </c>
      <c r="M331">
        <v>20</v>
      </c>
      <c r="N331" t="s">
        <v>3095</v>
      </c>
      <c r="O331">
        <v>2011</v>
      </c>
      <c r="P331" t="s">
        <v>3096</v>
      </c>
      <c r="Q331" t="s">
        <v>3097</v>
      </c>
      <c r="R331">
        <v>172181</v>
      </c>
      <c r="S331" t="s">
        <v>3090</v>
      </c>
      <c r="T331" s="1">
        <v>33245</v>
      </c>
      <c r="U331">
        <v>1991</v>
      </c>
      <c r="V331" t="s">
        <v>3098</v>
      </c>
      <c r="W331">
        <v>1.69</v>
      </c>
      <c r="X331" t="s">
        <v>1234</v>
      </c>
      <c r="Y331" t="s">
        <v>136</v>
      </c>
      <c r="Z331" t="s">
        <v>87</v>
      </c>
      <c r="AA331" t="s">
        <v>3099</v>
      </c>
      <c r="AB331">
        <v>45664</v>
      </c>
      <c r="AC331" t="s">
        <v>108</v>
      </c>
      <c r="AD331" t="s">
        <v>89</v>
      </c>
      <c r="AE331" t="s">
        <v>654</v>
      </c>
      <c r="AF331">
        <v>20</v>
      </c>
      <c r="AG331" t="s">
        <v>613</v>
      </c>
      <c r="AH331">
        <v>41154</v>
      </c>
      <c r="AI331">
        <v>20</v>
      </c>
      <c r="AJ331" t="s">
        <v>615</v>
      </c>
      <c r="AK331">
        <v>20</v>
      </c>
      <c r="AL331">
        <v>2</v>
      </c>
      <c r="AM331">
        <v>150</v>
      </c>
      <c r="AN331">
        <v>26</v>
      </c>
      <c r="AO331">
        <v>2</v>
      </c>
      <c r="AP331" t="s">
        <v>93</v>
      </c>
      <c r="AQ331" t="s">
        <v>89</v>
      </c>
      <c r="AR331" t="s">
        <v>89</v>
      </c>
      <c r="AS331" t="s">
        <v>93</v>
      </c>
      <c r="AT331" t="s">
        <v>89</v>
      </c>
      <c r="AU331" t="s">
        <v>89</v>
      </c>
      <c r="AV331" t="s">
        <v>89</v>
      </c>
      <c r="AW331">
        <v>14</v>
      </c>
      <c r="AX331">
        <v>21</v>
      </c>
      <c r="AY331" t="s">
        <v>93</v>
      </c>
      <c r="AZ331">
        <v>0</v>
      </c>
      <c r="BA331">
        <v>0</v>
      </c>
      <c r="BB331">
        <v>0</v>
      </c>
      <c r="BC331">
        <v>0</v>
      </c>
      <c r="BD331">
        <v>205</v>
      </c>
      <c r="BE331">
        <v>15986</v>
      </c>
      <c r="BF331">
        <v>6</v>
      </c>
      <c r="BG331" t="s">
        <v>89</v>
      </c>
      <c r="BH331">
        <v>205</v>
      </c>
      <c r="BI331">
        <v>15986</v>
      </c>
      <c r="BJ331">
        <v>6</v>
      </c>
      <c r="BK331">
        <f t="shared" si="47"/>
        <v>205</v>
      </c>
      <c r="BL331">
        <f t="shared" si="48"/>
        <v>15986</v>
      </c>
      <c r="BM331">
        <f t="shared" si="49"/>
        <v>6</v>
      </c>
      <c r="BN331">
        <f t="shared" si="50"/>
        <v>0</v>
      </c>
      <c r="BO331">
        <f t="shared" si="51"/>
        <v>0</v>
      </c>
      <c r="BP331">
        <f t="shared" si="52"/>
        <v>0</v>
      </c>
      <c r="BQ331" t="s">
        <v>136</v>
      </c>
      <c r="BR331" t="s">
        <v>140</v>
      </c>
      <c r="BS331" s="1">
        <v>33420</v>
      </c>
      <c r="BT331">
        <v>34</v>
      </c>
      <c r="BU331" t="s">
        <v>89</v>
      </c>
      <c r="BV331" t="s">
        <v>89</v>
      </c>
      <c r="BW331">
        <v>14</v>
      </c>
      <c r="BX331">
        <v>1991</v>
      </c>
      <c r="BY331">
        <v>14</v>
      </c>
      <c r="BZ331">
        <f t="shared" si="53"/>
        <v>0</v>
      </c>
      <c r="CA331">
        <f t="shared" si="54"/>
        <v>0</v>
      </c>
      <c r="CB331" t="b">
        <f t="shared" si="55"/>
        <v>1</v>
      </c>
    </row>
    <row r="332" spans="1:80" x14ac:dyDescent="0.3">
      <c r="A332" t="s">
        <v>3100</v>
      </c>
      <c r="B332" t="s">
        <v>1231</v>
      </c>
      <c r="C332" t="s">
        <v>3101</v>
      </c>
      <c r="D332">
        <v>36</v>
      </c>
      <c r="E332" s="1">
        <v>32400</v>
      </c>
      <c r="F332" t="s">
        <v>89</v>
      </c>
      <c r="G332" t="s">
        <v>298</v>
      </c>
      <c r="H332" t="s">
        <v>1234</v>
      </c>
      <c r="I332" t="s">
        <v>865</v>
      </c>
      <c r="J332" t="s">
        <v>300</v>
      </c>
      <c r="K332" t="s">
        <v>89</v>
      </c>
      <c r="L332" t="s">
        <v>228</v>
      </c>
      <c r="M332">
        <v>21</v>
      </c>
      <c r="N332" t="s">
        <v>2031</v>
      </c>
      <c r="O332">
        <v>2010</v>
      </c>
      <c r="P332" t="s">
        <v>3102</v>
      </c>
      <c r="Q332" t="s">
        <v>3103</v>
      </c>
      <c r="R332">
        <v>145918</v>
      </c>
      <c r="S332" t="s">
        <v>3100</v>
      </c>
      <c r="T332" t="s">
        <v>3104</v>
      </c>
      <c r="U332">
        <v>1988</v>
      </c>
      <c r="V332" t="s">
        <v>3105</v>
      </c>
      <c r="W332">
        <v>1.74</v>
      </c>
      <c r="X332" t="s">
        <v>3106</v>
      </c>
      <c r="Y332" t="s">
        <v>494</v>
      </c>
      <c r="Z332" t="s">
        <v>152</v>
      </c>
      <c r="AA332" t="s">
        <v>476</v>
      </c>
      <c r="AB332" s="1">
        <v>45298</v>
      </c>
      <c r="AC332" t="s">
        <v>108</v>
      </c>
      <c r="AD332" t="s">
        <v>89</v>
      </c>
      <c r="AE332" t="s">
        <v>2806</v>
      </c>
      <c r="AF332">
        <v>22</v>
      </c>
      <c r="AG332" t="s">
        <v>613</v>
      </c>
      <c r="AH332" t="s">
        <v>306</v>
      </c>
      <c r="AI332">
        <v>22</v>
      </c>
      <c r="AJ332" t="s">
        <v>110</v>
      </c>
      <c r="AK332">
        <v>22</v>
      </c>
      <c r="AL332">
        <v>5</v>
      </c>
      <c r="AM332">
        <v>405</v>
      </c>
      <c r="AN332">
        <v>35</v>
      </c>
      <c r="AO332">
        <v>3</v>
      </c>
      <c r="AP332" t="s">
        <v>93</v>
      </c>
      <c r="AQ332" t="s">
        <v>89</v>
      </c>
      <c r="AR332" t="s">
        <v>89</v>
      </c>
      <c r="AS332" t="s">
        <v>93</v>
      </c>
      <c r="AT332" t="s">
        <v>89</v>
      </c>
      <c r="AU332" t="s">
        <v>89</v>
      </c>
      <c r="AV332" t="s">
        <v>89</v>
      </c>
      <c r="AW332">
        <v>15</v>
      </c>
      <c r="AX332" t="s">
        <v>89</v>
      </c>
      <c r="AY332" t="s">
        <v>93</v>
      </c>
      <c r="AZ332">
        <v>0</v>
      </c>
      <c r="BA332">
        <v>0</v>
      </c>
      <c r="BB332">
        <v>0</v>
      </c>
      <c r="BC332">
        <v>0</v>
      </c>
      <c r="BD332">
        <v>209</v>
      </c>
      <c r="BE332">
        <v>11882</v>
      </c>
      <c r="BF332">
        <v>30</v>
      </c>
      <c r="BG332" t="s">
        <v>89</v>
      </c>
      <c r="BH332">
        <v>209</v>
      </c>
      <c r="BI332">
        <v>11882</v>
      </c>
      <c r="BJ332">
        <v>30</v>
      </c>
      <c r="BK332">
        <f t="shared" si="47"/>
        <v>209</v>
      </c>
      <c r="BL332">
        <f t="shared" si="48"/>
        <v>11882</v>
      </c>
      <c r="BM332">
        <f t="shared" si="49"/>
        <v>30</v>
      </c>
      <c r="BN332">
        <f t="shared" si="50"/>
        <v>0</v>
      </c>
      <c r="BO332">
        <f t="shared" si="51"/>
        <v>0</v>
      </c>
      <c r="BP332">
        <f t="shared" si="52"/>
        <v>0</v>
      </c>
      <c r="BQ332" t="s">
        <v>494</v>
      </c>
      <c r="BR332" t="s">
        <v>112</v>
      </c>
      <c r="BS332" s="1">
        <v>32400</v>
      </c>
      <c r="BT332">
        <v>37</v>
      </c>
      <c r="BU332" t="s">
        <v>89</v>
      </c>
      <c r="BV332" t="s">
        <v>89</v>
      </c>
      <c r="BW332">
        <v>15</v>
      </c>
      <c r="BX332">
        <v>1988</v>
      </c>
      <c r="BY332">
        <v>14</v>
      </c>
      <c r="BZ332">
        <f t="shared" si="53"/>
        <v>0</v>
      </c>
      <c r="CA332">
        <f t="shared" si="54"/>
        <v>1</v>
      </c>
      <c r="CB332" t="b">
        <f t="shared" si="55"/>
        <v>1</v>
      </c>
    </row>
    <row r="333" spans="1:80" x14ac:dyDescent="0.3">
      <c r="A333" t="s">
        <v>3107</v>
      </c>
      <c r="B333" t="s">
        <v>71</v>
      </c>
      <c r="C333" t="s">
        <v>3108</v>
      </c>
      <c r="D333">
        <v>35</v>
      </c>
      <c r="E333" t="s">
        <v>3109</v>
      </c>
      <c r="F333" t="s">
        <v>2645</v>
      </c>
      <c r="G333" t="s">
        <v>176</v>
      </c>
      <c r="H333" t="s">
        <v>89</v>
      </c>
      <c r="I333" t="s">
        <v>437</v>
      </c>
      <c r="J333" t="s">
        <v>89</v>
      </c>
      <c r="K333" t="s">
        <v>539</v>
      </c>
      <c r="L333" t="s">
        <v>228</v>
      </c>
      <c r="M333">
        <v>20</v>
      </c>
      <c r="N333" t="s">
        <v>741</v>
      </c>
      <c r="O333">
        <v>2010</v>
      </c>
      <c r="P333" t="s">
        <v>3110</v>
      </c>
      <c r="Q333" t="s">
        <v>3111</v>
      </c>
      <c r="R333">
        <v>164402</v>
      </c>
      <c r="S333" t="s">
        <v>3107</v>
      </c>
      <c r="T333" t="s">
        <v>3112</v>
      </c>
      <c r="U333">
        <v>1989</v>
      </c>
      <c r="V333" t="s">
        <v>1047</v>
      </c>
      <c r="W333">
        <v>1.84</v>
      </c>
      <c r="X333" t="s">
        <v>76</v>
      </c>
      <c r="Y333" t="s">
        <v>123</v>
      </c>
      <c r="Z333" t="s">
        <v>152</v>
      </c>
      <c r="AA333" t="s">
        <v>539</v>
      </c>
      <c r="AB333" s="1">
        <v>45664</v>
      </c>
      <c r="AC333" t="s">
        <v>170</v>
      </c>
      <c r="AD333" t="s">
        <v>89</v>
      </c>
      <c r="AE333" t="s">
        <v>3113</v>
      </c>
      <c r="AF333">
        <v>20</v>
      </c>
      <c r="AG333" t="s">
        <v>91</v>
      </c>
      <c r="AH333" t="s">
        <v>2284</v>
      </c>
      <c r="AI333">
        <v>23</v>
      </c>
      <c r="AJ333" t="s">
        <v>110</v>
      </c>
      <c r="AK333">
        <v>20</v>
      </c>
      <c r="AL333" t="s">
        <v>89</v>
      </c>
      <c r="AM333" t="s">
        <v>89</v>
      </c>
      <c r="AN333" t="s">
        <v>89</v>
      </c>
      <c r="AO333">
        <v>0</v>
      </c>
      <c r="AP333" t="s">
        <v>93</v>
      </c>
      <c r="AQ333" t="s">
        <v>89</v>
      </c>
      <c r="AR333" t="s">
        <v>89</v>
      </c>
      <c r="AS333" t="s">
        <v>93</v>
      </c>
      <c r="AT333" t="s">
        <v>89</v>
      </c>
      <c r="AU333" t="s">
        <v>89</v>
      </c>
      <c r="AV333" t="s">
        <v>89</v>
      </c>
      <c r="AW333">
        <v>15</v>
      </c>
      <c r="AX333">
        <v>9</v>
      </c>
      <c r="AY333" t="s">
        <v>93</v>
      </c>
      <c r="AZ333">
        <v>0</v>
      </c>
      <c r="BA333">
        <v>0</v>
      </c>
      <c r="BB333">
        <v>0</v>
      </c>
      <c r="BC333">
        <v>0</v>
      </c>
      <c r="BD333">
        <v>83</v>
      </c>
      <c r="BE333">
        <v>4126</v>
      </c>
      <c r="BF333">
        <v>12</v>
      </c>
      <c r="BG333" t="s">
        <v>89</v>
      </c>
      <c r="BH333">
        <v>83</v>
      </c>
      <c r="BI333">
        <v>4126</v>
      </c>
      <c r="BJ333">
        <v>12</v>
      </c>
      <c r="BK333">
        <f t="shared" si="47"/>
        <v>83</v>
      </c>
      <c r="BL333">
        <f t="shared" si="48"/>
        <v>4126</v>
      </c>
      <c r="BM333">
        <f t="shared" si="49"/>
        <v>12</v>
      </c>
      <c r="BN333">
        <f t="shared" si="50"/>
        <v>0</v>
      </c>
      <c r="BO333">
        <f t="shared" si="51"/>
        <v>0</v>
      </c>
      <c r="BP333">
        <f t="shared" si="52"/>
        <v>0</v>
      </c>
      <c r="BQ333" t="s">
        <v>123</v>
      </c>
      <c r="BR333" t="s">
        <v>112</v>
      </c>
      <c r="BS333" t="s">
        <v>89</v>
      </c>
      <c r="BT333">
        <v>37</v>
      </c>
      <c r="BU333" t="s">
        <v>89</v>
      </c>
      <c r="BV333" t="s">
        <v>89</v>
      </c>
      <c r="BW333">
        <v>17</v>
      </c>
      <c r="BX333">
        <v>1989</v>
      </c>
      <c r="BY333">
        <v>15</v>
      </c>
      <c r="BZ333">
        <f t="shared" si="53"/>
        <v>-2</v>
      </c>
      <c r="CA333">
        <f t="shared" si="54"/>
        <v>2</v>
      </c>
      <c r="CB333" t="b">
        <f t="shared" si="55"/>
        <v>0</v>
      </c>
    </row>
    <row r="334" spans="1:80" x14ac:dyDescent="0.3">
      <c r="A334" t="s">
        <v>3114</v>
      </c>
      <c r="B334" t="s">
        <v>71</v>
      </c>
      <c r="C334" t="s">
        <v>3115</v>
      </c>
      <c r="D334">
        <v>43</v>
      </c>
      <c r="E334" s="1">
        <v>29991</v>
      </c>
      <c r="F334" t="s">
        <v>89</v>
      </c>
      <c r="G334" t="s">
        <v>176</v>
      </c>
      <c r="H334" t="s">
        <v>89</v>
      </c>
      <c r="I334" t="s">
        <v>195</v>
      </c>
      <c r="J334" t="s">
        <v>300</v>
      </c>
      <c r="K334" t="s">
        <v>89</v>
      </c>
      <c r="L334" t="s">
        <v>117</v>
      </c>
      <c r="M334">
        <v>23</v>
      </c>
      <c r="N334" t="s">
        <v>527</v>
      </c>
      <c r="O334">
        <v>2005</v>
      </c>
      <c r="P334" t="s">
        <v>3116</v>
      </c>
      <c r="Q334" t="s">
        <v>3117</v>
      </c>
      <c r="R334">
        <v>51535</v>
      </c>
      <c r="S334" t="s">
        <v>3114</v>
      </c>
      <c r="T334">
        <v>30196</v>
      </c>
      <c r="U334">
        <v>1982</v>
      </c>
      <c r="V334" t="s">
        <v>304</v>
      </c>
      <c r="W334">
        <v>1.84</v>
      </c>
      <c r="X334" t="s">
        <v>76</v>
      </c>
      <c r="Y334" t="s">
        <v>203</v>
      </c>
      <c r="Z334" t="s">
        <v>152</v>
      </c>
      <c r="AA334" t="s">
        <v>3118</v>
      </c>
      <c r="AB334" t="s">
        <v>3119</v>
      </c>
      <c r="AC334" t="s">
        <v>108</v>
      </c>
      <c r="AD334" t="s">
        <v>89</v>
      </c>
      <c r="AE334" t="s">
        <v>3120</v>
      </c>
      <c r="AF334">
        <v>25</v>
      </c>
      <c r="AG334" t="s">
        <v>91</v>
      </c>
      <c r="AH334" t="s">
        <v>3121</v>
      </c>
      <c r="AI334">
        <v>23</v>
      </c>
      <c r="AJ334" t="s">
        <v>110</v>
      </c>
      <c r="AK334">
        <v>23</v>
      </c>
      <c r="AL334">
        <v>2</v>
      </c>
      <c r="AM334">
        <v>276</v>
      </c>
      <c r="AN334">
        <v>16</v>
      </c>
      <c r="AO334">
        <v>1</v>
      </c>
      <c r="AP334" t="s">
        <v>93</v>
      </c>
      <c r="AQ334" t="s">
        <v>89</v>
      </c>
      <c r="AR334" t="s">
        <v>89</v>
      </c>
      <c r="AS334" t="s">
        <v>111</v>
      </c>
      <c r="AT334" t="s">
        <v>3119</v>
      </c>
      <c r="AU334">
        <v>2017</v>
      </c>
      <c r="AV334">
        <v>12</v>
      </c>
      <c r="AW334">
        <v>12</v>
      </c>
      <c r="AX334" t="s">
        <v>89</v>
      </c>
      <c r="AY334" t="s">
        <v>93</v>
      </c>
      <c r="AZ334">
        <v>0</v>
      </c>
      <c r="BA334">
        <v>0</v>
      </c>
      <c r="BB334">
        <v>0</v>
      </c>
      <c r="BC334">
        <v>0</v>
      </c>
      <c r="BD334">
        <v>280</v>
      </c>
      <c r="BE334">
        <v>22889</v>
      </c>
      <c r="BF334">
        <v>7</v>
      </c>
      <c r="BG334">
        <v>35</v>
      </c>
      <c r="BH334">
        <v>280</v>
      </c>
      <c r="BI334">
        <v>22889</v>
      </c>
      <c r="BJ334">
        <v>7</v>
      </c>
      <c r="BK334">
        <f t="shared" si="47"/>
        <v>280</v>
      </c>
      <c r="BL334">
        <f t="shared" si="48"/>
        <v>22889</v>
      </c>
      <c r="BM334">
        <f t="shared" si="49"/>
        <v>7</v>
      </c>
      <c r="BN334">
        <f t="shared" si="50"/>
        <v>0</v>
      </c>
      <c r="BO334">
        <f t="shared" si="51"/>
        <v>0</v>
      </c>
      <c r="BP334">
        <f t="shared" si="52"/>
        <v>0</v>
      </c>
      <c r="BQ334" t="s">
        <v>203</v>
      </c>
      <c r="BR334" t="s">
        <v>140</v>
      </c>
      <c r="BS334" t="s">
        <v>89</v>
      </c>
      <c r="BT334">
        <v>44</v>
      </c>
      <c r="BU334" t="s">
        <v>3119</v>
      </c>
      <c r="BV334" s="1">
        <v>42934</v>
      </c>
      <c r="BW334">
        <v>12</v>
      </c>
      <c r="BX334">
        <v>1982</v>
      </c>
      <c r="BY334">
        <v>12</v>
      </c>
      <c r="BZ334">
        <f t="shared" si="53"/>
        <v>0</v>
      </c>
      <c r="CA334">
        <f t="shared" si="54"/>
        <v>0</v>
      </c>
      <c r="CB334" t="b">
        <f t="shared" si="55"/>
        <v>1</v>
      </c>
    </row>
    <row r="335" spans="1:80" x14ac:dyDescent="0.3">
      <c r="A335" t="s">
        <v>3122</v>
      </c>
      <c r="B335" t="s">
        <v>617</v>
      </c>
      <c r="C335" t="s">
        <v>3123</v>
      </c>
      <c r="D335">
        <v>37</v>
      </c>
      <c r="E335" t="s">
        <v>3124</v>
      </c>
      <c r="F335" t="s">
        <v>3125</v>
      </c>
      <c r="G335" t="s">
        <v>385</v>
      </c>
      <c r="H335" t="s">
        <v>619</v>
      </c>
      <c r="I335" t="s">
        <v>116</v>
      </c>
      <c r="J335" t="s">
        <v>78</v>
      </c>
      <c r="K335" t="s">
        <v>3126</v>
      </c>
      <c r="L335" t="s">
        <v>80</v>
      </c>
      <c r="M335">
        <v>24</v>
      </c>
      <c r="N335" t="s">
        <v>2383</v>
      </c>
      <c r="O335">
        <v>2012</v>
      </c>
      <c r="P335" t="s">
        <v>3127</v>
      </c>
      <c r="Q335" t="s">
        <v>3128</v>
      </c>
      <c r="R335">
        <v>74667</v>
      </c>
      <c r="S335" t="s">
        <v>3122</v>
      </c>
      <c r="T335" t="s">
        <v>3129</v>
      </c>
      <c r="U335">
        <v>1988</v>
      </c>
      <c r="V335" t="s">
        <v>3130</v>
      </c>
      <c r="W335">
        <v>1.68</v>
      </c>
      <c r="X335" t="s">
        <v>619</v>
      </c>
      <c r="Y335" t="s">
        <v>494</v>
      </c>
      <c r="Z335" t="s">
        <v>87</v>
      </c>
      <c r="AA335" t="s">
        <v>476</v>
      </c>
      <c r="AB335" s="1">
        <v>45664</v>
      </c>
      <c r="AC335" t="s">
        <v>108</v>
      </c>
      <c r="AD335" t="s">
        <v>89</v>
      </c>
      <c r="AE335" t="s">
        <v>3131</v>
      </c>
      <c r="AF335">
        <v>21</v>
      </c>
      <c r="AG335" t="s">
        <v>1943</v>
      </c>
      <c r="AH335" t="s">
        <v>92</v>
      </c>
      <c r="AI335" t="s">
        <v>89</v>
      </c>
      <c r="AJ335" t="s">
        <v>92</v>
      </c>
      <c r="AK335">
        <v>21</v>
      </c>
      <c r="AL335">
        <v>2</v>
      </c>
      <c r="AM335">
        <v>56</v>
      </c>
      <c r="AN335">
        <v>9</v>
      </c>
      <c r="AO335">
        <v>2</v>
      </c>
      <c r="AP335" t="s">
        <v>93</v>
      </c>
      <c r="AQ335" t="s">
        <v>89</v>
      </c>
      <c r="AR335" t="s">
        <v>89</v>
      </c>
      <c r="AS335" t="s">
        <v>93</v>
      </c>
      <c r="AT335" t="s">
        <v>89</v>
      </c>
      <c r="AU335" t="s">
        <v>89</v>
      </c>
      <c r="AV335" t="s">
        <v>89</v>
      </c>
      <c r="AW335">
        <v>13</v>
      </c>
      <c r="AX335" t="s">
        <v>89</v>
      </c>
      <c r="AY335" t="s">
        <v>111</v>
      </c>
      <c r="AZ335">
        <v>1</v>
      </c>
      <c r="BA335">
        <v>5</v>
      </c>
      <c r="BB335">
        <v>375</v>
      </c>
      <c r="BC335">
        <v>2</v>
      </c>
      <c r="BD335">
        <v>381</v>
      </c>
      <c r="BE335">
        <v>26572</v>
      </c>
      <c r="BF335">
        <v>104</v>
      </c>
      <c r="BG335" t="s">
        <v>89</v>
      </c>
      <c r="BH335">
        <v>386</v>
      </c>
      <c r="BI335">
        <v>26947</v>
      </c>
      <c r="BJ335">
        <v>106</v>
      </c>
      <c r="BK335">
        <f t="shared" si="47"/>
        <v>386</v>
      </c>
      <c r="BL335">
        <f t="shared" si="48"/>
        <v>26947</v>
      </c>
      <c r="BM335">
        <f t="shared" si="49"/>
        <v>106</v>
      </c>
      <c r="BN335">
        <f t="shared" si="50"/>
        <v>0</v>
      </c>
      <c r="BO335">
        <f t="shared" si="51"/>
        <v>0</v>
      </c>
      <c r="BP335">
        <f t="shared" si="52"/>
        <v>0</v>
      </c>
      <c r="BQ335" t="s">
        <v>494</v>
      </c>
      <c r="BR335" t="s">
        <v>112</v>
      </c>
      <c r="BS335" s="1">
        <v>32166</v>
      </c>
      <c r="BT335">
        <v>38</v>
      </c>
      <c r="BU335" t="s">
        <v>89</v>
      </c>
      <c r="BV335" t="s">
        <v>89</v>
      </c>
      <c r="BW335">
        <v>17</v>
      </c>
      <c r="BX335">
        <v>1988</v>
      </c>
      <c r="BY335">
        <v>16</v>
      </c>
      <c r="BZ335">
        <f t="shared" si="53"/>
        <v>-4</v>
      </c>
      <c r="CA335">
        <f t="shared" si="54"/>
        <v>1</v>
      </c>
      <c r="CB335" t="b">
        <f t="shared" si="55"/>
        <v>0</v>
      </c>
    </row>
    <row r="336" spans="1:80" x14ac:dyDescent="0.3">
      <c r="A336" t="s">
        <v>3132</v>
      </c>
      <c r="B336" t="s">
        <v>776</v>
      </c>
      <c r="C336" t="s">
        <v>3133</v>
      </c>
      <c r="D336">
        <v>34</v>
      </c>
      <c r="E336" s="1">
        <v>33091</v>
      </c>
      <c r="F336" t="s">
        <v>89</v>
      </c>
      <c r="G336" t="s">
        <v>1289</v>
      </c>
      <c r="H336" t="s">
        <v>778</v>
      </c>
      <c r="I336" t="s">
        <v>348</v>
      </c>
      <c r="J336" t="s">
        <v>78</v>
      </c>
      <c r="K336" t="s">
        <v>89</v>
      </c>
      <c r="L336">
        <v>2014</v>
      </c>
      <c r="M336">
        <v>23</v>
      </c>
      <c r="N336" t="s">
        <v>3033</v>
      </c>
      <c r="O336">
        <v>2014</v>
      </c>
      <c r="P336" t="s">
        <v>3134</v>
      </c>
      <c r="Q336" t="s">
        <v>3135</v>
      </c>
      <c r="R336">
        <v>58426</v>
      </c>
      <c r="S336" t="s">
        <v>3132</v>
      </c>
      <c r="T336" t="s">
        <v>3136</v>
      </c>
      <c r="U336">
        <v>1990</v>
      </c>
      <c r="V336" t="s">
        <v>3137</v>
      </c>
      <c r="W336">
        <v>1.71</v>
      </c>
      <c r="X336" t="s">
        <v>778</v>
      </c>
      <c r="Y336" t="s">
        <v>136</v>
      </c>
      <c r="Z336" t="s">
        <v>87</v>
      </c>
      <c r="AA336" t="s">
        <v>3138</v>
      </c>
      <c r="AB336" s="1">
        <v>44568</v>
      </c>
      <c r="AC336" t="s">
        <v>108</v>
      </c>
      <c r="AD336" t="s">
        <v>442</v>
      </c>
      <c r="AE336" t="s">
        <v>449</v>
      </c>
      <c r="AF336">
        <v>17</v>
      </c>
      <c r="AG336" t="s">
        <v>786</v>
      </c>
      <c r="AH336">
        <v>40550</v>
      </c>
      <c r="AI336">
        <v>20</v>
      </c>
      <c r="AJ336" t="s">
        <v>986</v>
      </c>
      <c r="AK336">
        <v>17</v>
      </c>
      <c r="AL336">
        <v>11</v>
      </c>
      <c r="AM336">
        <v>514</v>
      </c>
      <c r="AN336">
        <v>76</v>
      </c>
      <c r="AO336">
        <v>6</v>
      </c>
      <c r="AP336" t="s">
        <v>93</v>
      </c>
      <c r="AQ336" t="s">
        <v>89</v>
      </c>
      <c r="AR336" t="s">
        <v>89</v>
      </c>
      <c r="AS336" t="s">
        <v>111</v>
      </c>
      <c r="AT336" s="1">
        <v>44568</v>
      </c>
      <c r="AU336">
        <v>2022</v>
      </c>
      <c r="AV336">
        <v>8</v>
      </c>
      <c r="AW336">
        <v>11</v>
      </c>
      <c r="AX336" t="s">
        <v>89</v>
      </c>
      <c r="AY336" t="s">
        <v>93</v>
      </c>
      <c r="AZ336">
        <v>0</v>
      </c>
      <c r="BA336">
        <v>0</v>
      </c>
      <c r="BB336">
        <v>0</v>
      </c>
      <c r="BC336">
        <v>0</v>
      </c>
      <c r="BD336">
        <v>88</v>
      </c>
      <c r="BE336">
        <v>6908</v>
      </c>
      <c r="BF336">
        <v>7</v>
      </c>
      <c r="BG336">
        <v>32</v>
      </c>
      <c r="BH336">
        <v>88</v>
      </c>
      <c r="BI336">
        <v>6908</v>
      </c>
      <c r="BJ336">
        <v>7</v>
      </c>
      <c r="BK336">
        <f t="shared" si="47"/>
        <v>88</v>
      </c>
      <c r="BL336">
        <f t="shared" si="48"/>
        <v>6908</v>
      </c>
      <c r="BM336">
        <f t="shared" si="49"/>
        <v>7</v>
      </c>
      <c r="BN336">
        <f t="shared" si="50"/>
        <v>0</v>
      </c>
      <c r="BO336">
        <f t="shared" si="51"/>
        <v>0</v>
      </c>
      <c r="BP336">
        <f t="shared" si="52"/>
        <v>0</v>
      </c>
      <c r="BQ336" t="s">
        <v>136</v>
      </c>
      <c r="BR336" t="s">
        <v>140</v>
      </c>
      <c r="BS336" t="s">
        <v>89</v>
      </c>
      <c r="BT336">
        <v>36</v>
      </c>
      <c r="BU336" s="1">
        <v>44568</v>
      </c>
      <c r="BV336" s="1">
        <v>44743</v>
      </c>
      <c r="BW336">
        <v>15</v>
      </c>
      <c r="BX336">
        <v>1990</v>
      </c>
      <c r="BY336">
        <v>15</v>
      </c>
      <c r="BZ336">
        <f t="shared" si="53"/>
        <v>-4</v>
      </c>
      <c r="CA336">
        <f t="shared" si="54"/>
        <v>0</v>
      </c>
      <c r="CB336" t="b">
        <f t="shared" si="55"/>
        <v>0</v>
      </c>
    </row>
    <row r="337" spans="1:80" x14ac:dyDescent="0.3">
      <c r="A337" t="s">
        <v>3139</v>
      </c>
      <c r="B337" t="s">
        <v>997</v>
      </c>
      <c r="C337" t="s">
        <v>3140</v>
      </c>
      <c r="D337">
        <v>40</v>
      </c>
      <c r="E337" s="1">
        <v>31066</v>
      </c>
      <c r="F337" t="s">
        <v>89</v>
      </c>
      <c r="G337" t="s">
        <v>176</v>
      </c>
      <c r="H337" t="s">
        <v>999</v>
      </c>
      <c r="I337" t="s">
        <v>357</v>
      </c>
      <c r="J337" t="s">
        <v>300</v>
      </c>
      <c r="K337" t="s">
        <v>89</v>
      </c>
      <c r="L337" t="s">
        <v>117</v>
      </c>
      <c r="M337">
        <v>20</v>
      </c>
      <c r="N337" t="s">
        <v>1696</v>
      </c>
      <c r="O337">
        <v>2005</v>
      </c>
      <c r="P337" t="s">
        <v>3141</v>
      </c>
      <c r="Q337" t="s">
        <v>3142</v>
      </c>
      <c r="R337">
        <v>17184</v>
      </c>
      <c r="S337" t="s">
        <v>3143</v>
      </c>
      <c r="T337" t="s">
        <v>3144</v>
      </c>
      <c r="U337">
        <v>1985</v>
      </c>
      <c r="V337" t="s">
        <v>3145</v>
      </c>
      <c r="W337" t="s">
        <v>89</v>
      </c>
      <c r="X337" t="s">
        <v>999</v>
      </c>
      <c r="Y337" t="s">
        <v>235</v>
      </c>
      <c r="Z337" t="s">
        <v>89</v>
      </c>
      <c r="AA337" t="s">
        <v>3146</v>
      </c>
      <c r="AB337">
        <v>44203</v>
      </c>
      <c r="AC337" t="s">
        <v>108</v>
      </c>
      <c r="AD337" t="s">
        <v>89</v>
      </c>
      <c r="AE337" t="s">
        <v>3147</v>
      </c>
      <c r="AF337">
        <v>19</v>
      </c>
      <c r="AG337" t="s">
        <v>1006</v>
      </c>
      <c r="AH337" s="1">
        <v>40455</v>
      </c>
      <c r="AI337">
        <v>25</v>
      </c>
      <c r="AJ337" t="s">
        <v>855</v>
      </c>
      <c r="AK337">
        <v>19</v>
      </c>
      <c r="AL337">
        <v>12</v>
      </c>
      <c r="AM337">
        <v>166</v>
      </c>
      <c r="AN337">
        <v>32</v>
      </c>
      <c r="AO337">
        <v>6</v>
      </c>
      <c r="AP337" t="s">
        <v>93</v>
      </c>
      <c r="AQ337" t="s">
        <v>89</v>
      </c>
      <c r="AR337" t="s">
        <v>89</v>
      </c>
      <c r="AS337" t="s">
        <v>111</v>
      </c>
      <c r="AT337">
        <v>44203</v>
      </c>
      <c r="AU337">
        <v>2021</v>
      </c>
      <c r="AV337">
        <v>16</v>
      </c>
      <c r="AW337">
        <v>16</v>
      </c>
      <c r="AX337" t="s">
        <v>89</v>
      </c>
      <c r="AY337" t="s">
        <v>111</v>
      </c>
      <c r="AZ337">
        <v>11</v>
      </c>
      <c r="BA337">
        <v>22</v>
      </c>
      <c r="BB337">
        <v>1700</v>
      </c>
      <c r="BC337">
        <v>1</v>
      </c>
      <c r="BD337">
        <v>334</v>
      </c>
      <c r="BE337">
        <v>28491</v>
      </c>
      <c r="BF337">
        <v>16</v>
      </c>
      <c r="BG337">
        <v>36</v>
      </c>
      <c r="BH337">
        <v>356</v>
      </c>
      <c r="BI337">
        <v>30191</v>
      </c>
      <c r="BJ337">
        <v>17</v>
      </c>
      <c r="BK337">
        <f t="shared" si="47"/>
        <v>356</v>
      </c>
      <c r="BL337">
        <f t="shared" si="48"/>
        <v>30191</v>
      </c>
      <c r="BM337">
        <f t="shared" si="49"/>
        <v>17</v>
      </c>
      <c r="BN337">
        <f t="shared" si="50"/>
        <v>0</v>
      </c>
      <c r="BO337">
        <f t="shared" si="51"/>
        <v>0</v>
      </c>
      <c r="BP337">
        <f t="shared" si="52"/>
        <v>0</v>
      </c>
      <c r="BQ337" t="s">
        <v>235</v>
      </c>
      <c r="BR337" t="s">
        <v>140</v>
      </c>
      <c r="BS337" s="1">
        <v>31066</v>
      </c>
      <c r="BT337">
        <v>41</v>
      </c>
      <c r="BU337">
        <v>44203</v>
      </c>
      <c r="BV337" t="s">
        <v>89</v>
      </c>
      <c r="BW337">
        <v>17</v>
      </c>
      <c r="BX337">
        <v>1985</v>
      </c>
      <c r="BY337">
        <v>17</v>
      </c>
      <c r="BZ337">
        <f t="shared" si="53"/>
        <v>-1</v>
      </c>
      <c r="CA337">
        <f t="shared" si="54"/>
        <v>0</v>
      </c>
      <c r="CB337" t="b">
        <f t="shared" si="55"/>
        <v>0</v>
      </c>
    </row>
    <row r="338" spans="1:80" x14ac:dyDescent="0.3">
      <c r="A338" t="s">
        <v>3148</v>
      </c>
      <c r="B338" t="s">
        <v>1231</v>
      </c>
      <c r="C338" t="s">
        <v>3149</v>
      </c>
      <c r="D338">
        <v>45</v>
      </c>
      <c r="E338">
        <v>29399</v>
      </c>
      <c r="F338" t="s">
        <v>89</v>
      </c>
      <c r="G338" t="s">
        <v>143</v>
      </c>
      <c r="H338" t="s">
        <v>1234</v>
      </c>
      <c r="I338" t="s">
        <v>1104</v>
      </c>
      <c r="J338" t="s">
        <v>300</v>
      </c>
      <c r="K338" t="s">
        <v>89</v>
      </c>
      <c r="L338" t="s">
        <v>99</v>
      </c>
      <c r="M338">
        <v>21</v>
      </c>
      <c r="N338" t="s">
        <v>1047</v>
      </c>
      <c r="O338">
        <v>2001</v>
      </c>
      <c r="P338" t="s">
        <v>3150</v>
      </c>
      <c r="Q338" t="s">
        <v>3151</v>
      </c>
      <c r="R338">
        <v>7782</v>
      </c>
      <c r="S338" t="s">
        <v>3148</v>
      </c>
      <c r="T338" t="s">
        <v>3152</v>
      </c>
      <c r="U338">
        <v>1980</v>
      </c>
      <c r="V338" t="s">
        <v>1236</v>
      </c>
      <c r="W338">
        <v>1.75</v>
      </c>
      <c r="X338" t="s">
        <v>1234</v>
      </c>
      <c r="Y338" t="s">
        <v>151</v>
      </c>
      <c r="Z338" t="s">
        <v>152</v>
      </c>
      <c r="AA338" t="s">
        <v>745</v>
      </c>
      <c r="AB338" s="1">
        <v>42742</v>
      </c>
      <c r="AC338" t="s">
        <v>108</v>
      </c>
      <c r="AD338" t="s">
        <v>89</v>
      </c>
      <c r="AE338" t="s">
        <v>1838</v>
      </c>
      <c r="AF338">
        <v>21</v>
      </c>
      <c r="AG338" t="s">
        <v>91</v>
      </c>
      <c r="AH338" t="s">
        <v>1162</v>
      </c>
      <c r="AI338">
        <v>22</v>
      </c>
      <c r="AJ338" t="s">
        <v>110</v>
      </c>
      <c r="AK338">
        <v>21</v>
      </c>
      <c r="AL338">
        <v>8</v>
      </c>
      <c r="AM338">
        <v>207</v>
      </c>
      <c r="AN338">
        <v>32</v>
      </c>
      <c r="AO338">
        <v>5</v>
      </c>
      <c r="AP338" t="s">
        <v>93</v>
      </c>
      <c r="AQ338" t="s">
        <v>89</v>
      </c>
      <c r="AR338" t="s">
        <v>89</v>
      </c>
      <c r="AS338" t="s">
        <v>111</v>
      </c>
      <c r="AT338">
        <v>42742</v>
      </c>
      <c r="AU338">
        <v>2017</v>
      </c>
      <c r="AV338">
        <v>16</v>
      </c>
      <c r="AW338">
        <v>16</v>
      </c>
      <c r="AX338" t="s">
        <v>89</v>
      </c>
      <c r="AY338" t="s">
        <v>93</v>
      </c>
      <c r="AZ338">
        <v>0</v>
      </c>
      <c r="BA338">
        <v>0</v>
      </c>
      <c r="BB338">
        <v>0</v>
      </c>
      <c r="BC338">
        <v>0</v>
      </c>
      <c r="BD338">
        <v>382</v>
      </c>
      <c r="BE338">
        <v>22570</v>
      </c>
      <c r="BF338">
        <v>39</v>
      </c>
      <c r="BG338">
        <v>37</v>
      </c>
      <c r="BH338">
        <v>382</v>
      </c>
      <c r="BI338">
        <v>22570</v>
      </c>
      <c r="BJ338">
        <v>39</v>
      </c>
      <c r="BK338">
        <f t="shared" si="47"/>
        <v>382</v>
      </c>
      <c r="BL338">
        <f t="shared" si="48"/>
        <v>22570</v>
      </c>
      <c r="BM338">
        <f t="shared" si="49"/>
        <v>39</v>
      </c>
      <c r="BN338">
        <f t="shared" si="50"/>
        <v>0</v>
      </c>
      <c r="BO338">
        <f t="shared" si="51"/>
        <v>0</v>
      </c>
      <c r="BP338">
        <f t="shared" si="52"/>
        <v>0</v>
      </c>
      <c r="BQ338" t="s">
        <v>151</v>
      </c>
      <c r="BR338" t="s">
        <v>94</v>
      </c>
      <c r="BS338" s="1">
        <v>29399</v>
      </c>
      <c r="BT338">
        <v>45</v>
      </c>
      <c r="BU338">
        <v>42742</v>
      </c>
      <c r="BV338" t="s">
        <v>89</v>
      </c>
      <c r="BW338">
        <v>16</v>
      </c>
      <c r="BX338">
        <v>1980</v>
      </c>
      <c r="BY338">
        <v>16</v>
      </c>
      <c r="BZ338">
        <f t="shared" si="53"/>
        <v>0</v>
      </c>
      <c r="CA338">
        <f t="shared" si="54"/>
        <v>0</v>
      </c>
      <c r="CB338" t="b">
        <f t="shared" si="55"/>
        <v>1</v>
      </c>
    </row>
    <row r="339" spans="1:80" x14ac:dyDescent="0.3">
      <c r="A339" t="s">
        <v>3153</v>
      </c>
      <c r="B339" t="s">
        <v>3154</v>
      </c>
      <c r="C339" t="s">
        <v>3155</v>
      </c>
      <c r="D339">
        <v>47</v>
      </c>
      <c r="E339" s="1">
        <v>28415</v>
      </c>
      <c r="F339" t="s">
        <v>89</v>
      </c>
      <c r="G339" t="s">
        <v>277</v>
      </c>
      <c r="H339" t="s">
        <v>3156</v>
      </c>
      <c r="I339" t="s">
        <v>178</v>
      </c>
      <c r="J339" t="s">
        <v>89</v>
      </c>
      <c r="K339" t="s">
        <v>89</v>
      </c>
      <c r="L339" t="s">
        <v>657</v>
      </c>
      <c r="M339">
        <v>25</v>
      </c>
      <c r="N339" t="s">
        <v>416</v>
      </c>
      <c r="O339">
        <v>2003</v>
      </c>
      <c r="P339" t="s">
        <v>3157</v>
      </c>
      <c r="Q339" t="s">
        <v>3158</v>
      </c>
      <c r="R339">
        <v>3495</v>
      </c>
      <c r="S339" t="s">
        <v>3153</v>
      </c>
      <c r="T339" t="s">
        <v>3159</v>
      </c>
      <c r="U339">
        <v>1977</v>
      </c>
      <c r="V339" t="s">
        <v>3160</v>
      </c>
      <c r="W339">
        <v>1.88</v>
      </c>
      <c r="X339" t="s">
        <v>3161</v>
      </c>
      <c r="Y339" t="s">
        <v>186</v>
      </c>
      <c r="Z339" t="s">
        <v>89</v>
      </c>
      <c r="AA339" t="s">
        <v>548</v>
      </c>
      <c r="AB339">
        <v>41646</v>
      </c>
      <c r="AC339" t="s">
        <v>108</v>
      </c>
      <c r="AD339" t="s">
        <v>89</v>
      </c>
      <c r="AE339" t="s">
        <v>3162</v>
      </c>
      <c r="AF339">
        <v>19</v>
      </c>
      <c r="AG339">
        <v>0</v>
      </c>
      <c r="AH339" t="s">
        <v>331</v>
      </c>
      <c r="AI339">
        <v>35</v>
      </c>
      <c r="AJ339" t="s">
        <v>110</v>
      </c>
      <c r="AK339">
        <v>19</v>
      </c>
      <c r="AL339">
        <v>1</v>
      </c>
      <c r="AM339">
        <v>62</v>
      </c>
      <c r="AN339">
        <v>4</v>
      </c>
      <c r="AO339">
        <v>1</v>
      </c>
      <c r="AP339" t="s">
        <v>93</v>
      </c>
      <c r="AQ339" t="s">
        <v>89</v>
      </c>
      <c r="AR339" t="s">
        <v>89</v>
      </c>
      <c r="AS339" t="s">
        <v>111</v>
      </c>
      <c r="AT339">
        <v>41646</v>
      </c>
      <c r="AU339">
        <v>2014</v>
      </c>
      <c r="AV339">
        <v>11</v>
      </c>
      <c r="AW339">
        <v>11</v>
      </c>
      <c r="AX339" t="s">
        <v>89</v>
      </c>
      <c r="AY339" t="s">
        <v>111</v>
      </c>
      <c r="AZ339">
        <v>5</v>
      </c>
      <c r="BA339">
        <v>43</v>
      </c>
      <c r="BB339">
        <v>3780</v>
      </c>
      <c r="BC339">
        <v>0</v>
      </c>
      <c r="BD339">
        <v>322</v>
      </c>
      <c r="BE339">
        <v>28702</v>
      </c>
      <c r="BF339">
        <v>0</v>
      </c>
      <c r="BG339">
        <v>37</v>
      </c>
      <c r="BH339">
        <v>365</v>
      </c>
      <c r="BI339">
        <v>32482</v>
      </c>
      <c r="BJ339">
        <v>0</v>
      </c>
      <c r="BK339">
        <f t="shared" si="47"/>
        <v>365</v>
      </c>
      <c r="BL339">
        <f t="shared" si="48"/>
        <v>32482</v>
      </c>
      <c r="BM339">
        <f t="shared" si="49"/>
        <v>0</v>
      </c>
      <c r="BN339">
        <f t="shared" si="50"/>
        <v>0</v>
      </c>
      <c r="BO339">
        <f t="shared" si="51"/>
        <v>0</v>
      </c>
      <c r="BP339">
        <f t="shared" si="52"/>
        <v>0</v>
      </c>
      <c r="BQ339" t="s">
        <v>186</v>
      </c>
      <c r="BR339" t="s">
        <v>186</v>
      </c>
      <c r="BS339" s="1">
        <v>28415</v>
      </c>
      <c r="BT339">
        <v>48</v>
      </c>
      <c r="BU339">
        <v>41646</v>
      </c>
      <c r="BV339" t="s">
        <v>89</v>
      </c>
      <c r="BW339">
        <v>18</v>
      </c>
      <c r="BX339">
        <v>1977</v>
      </c>
      <c r="BY339">
        <v>18</v>
      </c>
      <c r="BZ339">
        <f t="shared" si="53"/>
        <v>-7</v>
      </c>
      <c r="CA339">
        <f t="shared" si="54"/>
        <v>0</v>
      </c>
      <c r="CB339" t="b">
        <f t="shared" si="55"/>
        <v>0</v>
      </c>
    </row>
    <row r="340" spans="1:80" x14ac:dyDescent="0.3">
      <c r="A340" t="s">
        <v>3163</v>
      </c>
      <c r="B340" t="s">
        <v>71</v>
      </c>
      <c r="C340" t="s">
        <v>3164</v>
      </c>
      <c r="D340">
        <v>41</v>
      </c>
      <c r="E340" s="1">
        <v>30738</v>
      </c>
      <c r="F340" t="s">
        <v>89</v>
      </c>
      <c r="G340" t="s">
        <v>226</v>
      </c>
      <c r="H340" t="s">
        <v>89</v>
      </c>
      <c r="I340" t="s">
        <v>178</v>
      </c>
      <c r="J340" t="s">
        <v>78</v>
      </c>
      <c r="K340" t="s">
        <v>89</v>
      </c>
      <c r="L340" t="s">
        <v>117</v>
      </c>
      <c r="M340">
        <v>21</v>
      </c>
      <c r="N340" t="s">
        <v>1181</v>
      </c>
      <c r="O340">
        <v>2005</v>
      </c>
      <c r="P340" t="s">
        <v>3165</v>
      </c>
      <c r="Q340" t="s">
        <v>3166</v>
      </c>
      <c r="R340">
        <v>76076</v>
      </c>
      <c r="S340" t="s">
        <v>3163</v>
      </c>
      <c r="T340" t="s">
        <v>3167</v>
      </c>
      <c r="U340">
        <v>1984</v>
      </c>
      <c r="V340" t="s">
        <v>3168</v>
      </c>
      <c r="W340">
        <v>1.85</v>
      </c>
      <c r="X340" t="s">
        <v>76</v>
      </c>
      <c r="Y340" t="s">
        <v>186</v>
      </c>
      <c r="Z340" t="s">
        <v>89</v>
      </c>
      <c r="AA340" t="s">
        <v>3169</v>
      </c>
      <c r="AB340" s="1">
        <v>44208</v>
      </c>
      <c r="AC340" t="s">
        <v>108</v>
      </c>
      <c r="AD340" t="s">
        <v>89</v>
      </c>
      <c r="AE340">
        <v>41186</v>
      </c>
      <c r="AF340">
        <v>28</v>
      </c>
      <c r="AG340" t="s">
        <v>91</v>
      </c>
      <c r="AH340" s="1">
        <v>39608</v>
      </c>
      <c r="AI340">
        <v>24</v>
      </c>
      <c r="AJ340" t="s">
        <v>110</v>
      </c>
      <c r="AK340">
        <v>24</v>
      </c>
      <c r="AL340" t="s">
        <v>89</v>
      </c>
      <c r="AM340" t="s">
        <v>89</v>
      </c>
      <c r="AN340" t="s">
        <v>89</v>
      </c>
      <c r="AO340">
        <v>0</v>
      </c>
      <c r="AP340" t="s">
        <v>93</v>
      </c>
      <c r="AQ340" t="s">
        <v>89</v>
      </c>
      <c r="AR340" t="s">
        <v>89</v>
      </c>
      <c r="AS340" t="s">
        <v>111</v>
      </c>
      <c r="AT340" s="1">
        <v>44208</v>
      </c>
      <c r="AU340">
        <v>2021</v>
      </c>
      <c r="AV340">
        <v>16</v>
      </c>
      <c r="AW340">
        <v>16</v>
      </c>
      <c r="AX340" t="s">
        <v>89</v>
      </c>
      <c r="AY340" t="s">
        <v>93</v>
      </c>
      <c r="AZ340">
        <v>0</v>
      </c>
      <c r="BA340">
        <v>0</v>
      </c>
      <c r="BB340">
        <v>0</v>
      </c>
      <c r="BC340">
        <v>0</v>
      </c>
      <c r="BD340">
        <v>54</v>
      </c>
      <c r="BE340">
        <v>4722</v>
      </c>
      <c r="BF340">
        <v>0</v>
      </c>
      <c r="BG340">
        <v>37</v>
      </c>
      <c r="BH340">
        <v>54</v>
      </c>
      <c r="BI340">
        <v>4722</v>
      </c>
      <c r="BJ340">
        <v>0</v>
      </c>
      <c r="BK340">
        <f t="shared" si="47"/>
        <v>54</v>
      </c>
      <c r="BL340">
        <f t="shared" si="48"/>
        <v>4722</v>
      </c>
      <c r="BM340">
        <f t="shared" si="49"/>
        <v>0</v>
      </c>
      <c r="BN340">
        <f t="shared" si="50"/>
        <v>0</v>
      </c>
      <c r="BO340">
        <f t="shared" si="51"/>
        <v>0</v>
      </c>
      <c r="BP340">
        <f t="shared" si="52"/>
        <v>0</v>
      </c>
      <c r="BQ340" t="s">
        <v>186</v>
      </c>
      <c r="BR340" t="s">
        <v>186</v>
      </c>
      <c r="BS340" s="1">
        <v>30738</v>
      </c>
      <c r="BT340">
        <v>41</v>
      </c>
      <c r="BU340" s="1">
        <v>44208</v>
      </c>
      <c r="BV340" s="1">
        <v>44531</v>
      </c>
      <c r="BW340">
        <v>13</v>
      </c>
      <c r="BX340">
        <v>1984</v>
      </c>
      <c r="BY340">
        <v>13</v>
      </c>
      <c r="BZ340">
        <f t="shared" si="53"/>
        <v>3</v>
      </c>
      <c r="CA340">
        <f t="shared" si="54"/>
        <v>0</v>
      </c>
      <c r="CB340" t="b">
        <f t="shared" si="55"/>
        <v>0</v>
      </c>
    </row>
    <row r="341" spans="1:80" x14ac:dyDescent="0.3">
      <c r="A341" t="s">
        <v>3170</v>
      </c>
      <c r="B341" t="s">
        <v>3171</v>
      </c>
      <c r="C341" t="s">
        <v>3172</v>
      </c>
      <c r="D341">
        <v>32</v>
      </c>
      <c r="E341" t="s">
        <v>3173</v>
      </c>
      <c r="F341" t="s">
        <v>3174</v>
      </c>
      <c r="G341" t="s">
        <v>334</v>
      </c>
      <c r="H341" t="s">
        <v>3175</v>
      </c>
      <c r="I341" t="s">
        <v>722</v>
      </c>
      <c r="J341" t="s">
        <v>78</v>
      </c>
      <c r="K341" t="s">
        <v>415</v>
      </c>
      <c r="L341" t="s">
        <v>80</v>
      </c>
      <c r="M341">
        <v>19</v>
      </c>
      <c r="N341" t="s">
        <v>2514</v>
      </c>
      <c r="O341">
        <v>2012</v>
      </c>
      <c r="P341" t="s">
        <v>3176</v>
      </c>
      <c r="Q341" t="s">
        <v>3177</v>
      </c>
      <c r="R341">
        <v>238865</v>
      </c>
      <c r="S341" t="s">
        <v>3178</v>
      </c>
      <c r="T341">
        <v>33642</v>
      </c>
      <c r="U341">
        <v>1992</v>
      </c>
      <c r="V341" t="s">
        <v>3179</v>
      </c>
      <c r="W341">
        <v>1.91</v>
      </c>
      <c r="X341" t="s">
        <v>3180</v>
      </c>
      <c r="Y341" t="s">
        <v>235</v>
      </c>
      <c r="Z341" t="s">
        <v>87</v>
      </c>
      <c r="AA341" t="s">
        <v>796</v>
      </c>
      <c r="AB341" s="1">
        <v>45573</v>
      </c>
      <c r="AC341" t="s">
        <v>798</v>
      </c>
      <c r="AD341" t="s">
        <v>89</v>
      </c>
      <c r="AE341" t="s">
        <v>3181</v>
      </c>
      <c r="AF341">
        <v>22</v>
      </c>
      <c r="AG341" t="s">
        <v>91</v>
      </c>
      <c r="AH341" t="s">
        <v>927</v>
      </c>
      <c r="AI341">
        <v>20</v>
      </c>
      <c r="AJ341" t="s">
        <v>110</v>
      </c>
      <c r="AK341">
        <v>20</v>
      </c>
      <c r="AL341">
        <v>8</v>
      </c>
      <c r="AM341">
        <v>342</v>
      </c>
      <c r="AN341">
        <v>54</v>
      </c>
      <c r="AO341">
        <v>4</v>
      </c>
      <c r="AP341" t="s">
        <v>93</v>
      </c>
      <c r="AQ341" t="s">
        <v>89</v>
      </c>
      <c r="AR341" t="s">
        <v>89</v>
      </c>
      <c r="AS341" t="s">
        <v>93</v>
      </c>
      <c r="AT341" t="s">
        <v>89</v>
      </c>
      <c r="AU341" t="s">
        <v>89</v>
      </c>
      <c r="AV341" t="s">
        <v>89</v>
      </c>
      <c r="AW341">
        <v>13</v>
      </c>
      <c r="AX341">
        <v>23</v>
      </c>
      <c r="AY341" t="s">
        <v>111</v>
      </c>
      <c r="AZ341">
        <v>8</v>
      </c>
      <c r="BA341">
        <v>24</v>
      </c>
      <c r="BB341">
        <v>1347</v>
      </c>
      <c r="BC341">
        <v>0</v>
      </c>
      <c r="BD341">
        <v>210</v>
      </c>
      <c r="BE341">
        <v>13714</v>
      </c>
      <c r="BF341">
        <v>7</v>
      </c>
      <c r="BG341" t="s">
        <v>89</v>
      </c>
      <c r="BH341">
        <v>234</v>
      </c>
      <c r="BI341">
        <v>15061</v>
      </c>
      <c r="BJ341">
        <v>7</v>
      </c>
      <c r="BK341">
        <f t="shared" si="47"/>
        <v>234</v>
      </c>
      <c r="BL341">
        <f t="shared" si="48"/>
        <v>15061</v>
      </c>
      <c r="BM341">
        <f t="shared" si="49"/>
        <v>7</v>
      </c>
      <c r="BN341">
        <f t="shared" si="50"/>
        <v>0</v>
      </c>
      <c r="BO341">
        <f t="shared" si="51"/>
        <v>0</v>
      </c>
      <c r="BP341">
        <f t="shared" si="52"/>
        <v>0</v>
      </c>
      <c r="BQ341" t="s">
        <v>235</v>
      </c>
      <c r="BR341" t="s">
        <v>140</v>
      </c>
      <c r="BS341" t="s">
        <v>89</v>
      </c>
      <c r="BT341">
        <v>34</v>
      </c>
      <c r="BU341" t="s">
        <v>89</v>
      </c>
      <c r="BV341" t="s">
        <v>89</v>
      </c>
      <c r="BW341">
        <v>14</v>
      </c>
      <c r="BX341">
        <v>1992</v>
      </c>
      <c r="BY341">
        <v>12</v>
      </c>
      <c r="BZ341">
        <f t="shared" si="53"/>
        <v>-1</v>
      </c>
      <c r="CA341">
        <f t="shared" si="54"/>
        <v>2</v>
      </c>
      <c r="CB341" t="b">
        <f t="shared" si="55"/>
        <v>0</v>
      </c>
    </row>
    <row r="342" spans="1:80" x14ac:dyDescent="0.3">
      <c r="A342" t="s">
        <v>3182</v>
      </c>
      <c r="B342" t="s">
        <v>71</v>
      </c>
      <c r="C342" t="s">
        <v>3183</v>
      </c>
      <c r="D342">
        <v>35</v>
      </c>
      <c r="E342" s="1">
        <v>32913</v>
      </c>
      <c r="F342" t="s">
        <v>89</v>
      </c>
      <c r="G342" t="s">
        <v>413</v>
      </c>
      <c r="H342" t="s">
        <v>89</v>
      </c>
      <c r="I342" t="s">
        <v>791</v>
      </c>
      <c r="J342" t="s">
        <v>89</v>
      </c>
      <c r="K342" t="s">
        <v>89</v>
      </c>
      <c r="L342" t="s">
        <v>80</v>
      </c>
      <c r="M342">
        <v>22</v>
      </c>
      <c r="N342" t="s">
        <v>301</v>
      </c>
      <c r="O342">
        <v>2012</v>
      </c>
      <c r="P342" t="s">
        <v>3184</v>
      </c>
      <c r="Q342" t="s">
        <v>3185</v>
      </c>
      <c r="R342">
        <v>156892</v>
      </c>
      <c r="S342" t="s">
        <v>3182</v>
      </c>
      <c r="T342">
        <v>33118</v>
      </c>
      <c r="U342">
        <v>1990</v>
      </c>
      <c r="V342" t="s">
        <v>1504</v>
      </c>
      <c r="W342">
        <v>1.83</v>
      </c>
      <c r="X342" t="s">
        <v>76</v>
      </c>
      <c r="Y342" t="s">
        <v>106</v>
      </c>
      <c r="Z342" t="s">
        <v>152</v>
      </c>
      <c r="AA342" t="s">
        <v>706</v>
      </c>
      <c r="AB342" t="s">
        <v>3186</v>
      </c>
      <c r="AC342" t="s">
        <v>108</v>
      </c>
      <c r="AD342" t="s">
        <v>89</v>
      </c>
      <c r="AE342" t="s">
        <v>3187</v>
      </c>
      <c r="AF342">
        <v>22</v>
      </c>
      <c r="AG342" t="s">
        <v>91</v>
      </c>
      <c r="AH342" t="s">
        <v>92</v>
      </c>
      <c r="AI342" t="s">
        <v>89</v>
      </c>
      <c r="AJ342" t="s">
        <v>89</v>
      </c>
      <c r="AK342">
        <v>22</v>
      </c>
      <c r="AL342">
        <v>2</v>
      </c>
      <c r="AM342">
        <v>175</v>
      </c>
      <c r="AN342">
        <v>22</v>
      </c>
      <c r="AO342">
        <v>2</v>
      </c>
      <c r="AP342" t="s">
        <v>93</v>
      </c>
      <c r="AQ342" t="s">
        <v>89</v>
      </c>
      <c r="AR342" t="s">
        <v>89</v>
      </c>
      <c r="AS342" t="s">
        <v>111</v>
      </c>
      <c r="AT342" t="s">
        <v>3186</v>
      </c>
      <c r="AU342">
        <v>2015</v>
      </c>
      <c r="AV342">
        <v>3</v>
      </c>
      <c r="AW342">
        <v>3</v>
      </c>
      <c r="AX342" t="s">
        <v>89</v>
      </c>
      <c r="AY342" t="s">
        <v>93</v>
      </c>
      <c r="AZ342">
        <v>0</v>
      </c>
      <c r="BA342">
        <v>0</v>
      </c>
      <c r="BB342">
        <v>0</v>
      </c>
      <c r="BC342">
        <v>0</v>
      </c>
      <c r="BD342">
        <v>1</v>
      </c>
      <c r="BE342">
        <v>34</v>
      </c>
      <c r="BF342">
        <v>0</v>
      </c>
      <c r="BG342">
        <v>25</v>
      </c>
      <c r="BH342">
        <v>1</v>
      </c>
      <c r="BI342">
        <v>34</v>
      </c>
      <c r="BJ342">
        <v>0</v>
      </c>
      <c r="BK342">
        <f t="shared" si="47"/>
        <v>1</v>
      </c>
      <c r="BL342">
        <f t="shared" si="48"/>
        <v>34</v>
      </c>
      <c r="BM342">
        <f t="shared" si="49"/>
        <v>0</v>
      </c>
      <c r="BN342">
        <f t="shared" si="50"/>
        <v>0</v>
      </c>
      <c r="BO342">
        <f t="shared" si="51"/>
        <v>0</v>
      </c>
      <c r="BP342">
        <f t="shared" si="52"/>
        <v>0</v>
      </c>
      <c r="BQ342" t="s">
        <v>106</v>
      </c>
      <c r="BR342" t="s">
        <v>112</v>
      </c>
      <c r="BS342" t="s">
        <v>89</v>
      </c>
      <c r="BT342">
        <v>36</v>
      </c>
      <c r="BU342" t="s">
        <v>3186</v>
      </c>
      <c r="BV342" s="1">
        <v>42326</v>
      </c>
      <c r="BW342">
        <v>3</v>
      </c>
      <c r="BX342">
        <v>1990</v>
      </c>
      <c r="BY342">
        <v>3</v>
      </c>
      <c r="BZ342">
        <f t="shared" si="53"/>
        <v>0</v>
      </c>
      <c r="CA342">
        <f t="shared" si="54"/>
        <v>0</v>
      </c>
      <c r="CB342" t="b">
        <f t="shared" si="55"/>
        <v>1</v>
      </c>
    </row>
    <row r="343" spans="1:80" x14ac:dyDescent="0.3">
      <c r="A343" t="s">
        <v>3188</v>
      </c>
      <c r="B343" t="s">
        <v>776</v>
      </c>
      <c r="C343" t="s">
        <v>3189</v>
      </c>
      <c r="D343">
        <v>39</v>
      </c>
      <c r="E343" s="1">
        <v>31553</v>
      </c>
      <c r="F343" t="s">
        <v>89</v>
      </c>
      <c r="G343" t="s">
        <v>115</v>
      </c>
      <c r="H343" t="s">
        <v>89</v>
      </c>
      <c r="I343" t="s">
        <v>322</v>
      </c>
      <c r="J343" t="s">
        <v>300</v>
      </c>
      <c r="K343" t="s">
        <v>89</v>
      </c>
      <c r="L343" t="s">
        <v>130</v>
      </c>
      <c r="M343">
        <v>22</v>
      </c>
      <c r="N343" t="s">
        <v>1842</v>
      </c>
      <c r="O343">
        <v>2008</v>
      </c>
      <c r="P343" t="s">
        <v>3190</v>
      </c>
      <c r="Q343" t="s">
        <v>3191</v>
      </c>
      <c r="R343">
        <v>74314</v>
      </c>
      <c r="S343" t="s">
        <v>3192</v>
      </c>
      <c r="T343" t="s">
        <v>3193</v>
      </c>
      <c r="U343">
        <v>1986</v>
      </c>
      <c r="V343" t="s">
        <v>3194</v>
      </c>
      <c r="W343">
        <v>1.8</v>
      </c>
      <c r="X343" t="s">
        <v>778</v>
      </c>
      <c r="Y343" t="s">
        <v>203</v>
      </c>
      <c r="Z343" t="s">
        <v>152</v>
      </c>
      <c r="AA343" t="s">
        <v>476</v>
      </c>
      <c r="AB343" t="s">
        <v>3195</v>
      </c>
      <c r="AC343" t="s">
        <v>108</v>
      </c>
      <c r="AD343" t="s">
        <v>442</v>
      </c>
      <c r="AE343">
        <v>39757</v>
      </c>
      <c r="AF343">
        <v>21</v>
      </c>
      <c r="AG343" t="s">
        <v>786</v>
      </c>
      <c r="AH343" t="s">
        <v>3196</v>
      </c>
      <c r="AI343">
        <v>33</v>
      </c>
      <c r="AJ343" t="s">
        <v>986</v>
      </c>
      <c r="AK343">
        <v>21</v>
      </c>
      <c r="AL343" t="s">
        <v>89</v>
      </c>
      <c r="AM343" t="s">
        <v>89</v>
      </c>
      <c r="AN343" t="s">
        <v>89</v>
      </c>
      <c r="AO343">
        <v>0</v>
      </c>
      <c r="AP343" t="s">
        <v>93</v>
      </c>
      <c r="AQ343" t="s">
        <v>89</v>
      </c>
      <c r="AR343" t="s">
        <v>89</v>
      </c>
      <c r="AS343" t="s">
        <v>93</v>
      </c>
      <c r="AT343" t="s">
        <v>89</v>
      </c>
      <c r="AU343" t="s">
        <v>89</v>
      </c>
      <c r="AV343" t="s">
        <v>89</v>
      </c>
      <c r="AW343">
        <v>17</v>
      </c>
      <c r="AX343" t="s">
        <v>89</v>
      </c>
      <c r="AY343" t="s">
        <v>93</v>
      </c>
      <c r="AZ343">
        <v>0</v>
      </c>
      <c r="BA343">
        <v>0</v>
      </c>
      <c r="BB343">
        <v>0</v>
      </c>
      <c r="BC343">
        <v>0</v>
      </c>
      <c r="BD343">
        <v>351</v>
      </c>
      <c r="BE343">
        <v>28269</v>
      </c>
      <c r="BF343">
        <v>11</v>
      </c>
      <c r="BG343" t="s">
        <v>89</v>
      </c>
      <c r="BH343">
        <v>351</v>
      </c>
      <c r="BI343">
        <v>28269</v>
      </c>
      <c r="BJ343">
        <v>11</v>
      </c>
      <c r="BK343">
        <f t="shared" si="47"/>
        <v>351</v>
      </c>
      <c r="BL343">
        <f t="shared" si="48"/>
        <v>28269</v>
      </c>
      <c r="BM343">
        <f t="shared" si="49"/>
        <v>11</v>
      </c>
      <c r="BN343">
        <f t="shared" si="50"/>
        <v>0</v>
      </c>
      <c r="BO343">
        <f t="shared" si="51"/>
        <v>0</v>
      </c>
      <c r="BP343">
        <f t="shared" si="52"/>
        <v>0</v>
      </c>
      <c r="BQ343" t="s">
        <v>203</v>
      </c>
      <c r="BR343" t="s">
        <v>140</v>
      </c>
      <c r="BS343" s="1">
        <v>31553</v>
      </c>
      <c r="BT343">
        <v>39</v>
      </c>
      <c r="BU343" t="s">
        <v>89</v>
      </c>
      <c r="BV343" t="s">
        <v>89</v>
      </c>
      <c r="BW343">
        <v>18</v>
      </c>
      <c r="BX343">
        <v>1986</v>
      </c>
      <c r="BY343">
        <v>18</v>
      </c>
      <c r="BZ343">
        <f t="shared" si="53"/>
        <v>-1</v>
      </c>
      <c r="CA343">
        <f t="shared" si="54"/>
        <v>0</v>
      </c>
      <c r="CB343" t="b">
        <f t="shared" si="55"/>
        <v>0</v>
      </c>
    </row>
    <row r="344" spans="1:80" x14ac:dyDescent="0.3">
      <c r="A344" t="s">
        <v>3197</v>
      </c>
      <c r="B344" t="s">
        <v>1231</v>
      </c>
      <c r="C344" t="s">
        <v>3198</v>
      </c>
      <c r="D344">
        <v>43</v>
      </c>
      <c r="E344" s="1">
        <v>30139</v>
      </c>
      <c r="F344" t="s">
        <v>89</v>
      </c>
      <c r="G344" t="s">
        <v>400</v>
      </c>
      <c r="H344" t="s">
        <v>1234</v>
      </c>
      <c r="I344" t="s">
        <v>340</v>
      </c>
      <c r="J344" t="s">
        <v>78</v>
      </c>
      <c r="K344" t="s">
        <v>89</v>
      </c>
      <c r="L344" t="s">
        <v>657</v>
      </c>
      <c r="M344">
        <v>21</v>
      </c>
      <c r="N344" t="s">
        <v>3199</v>
      </c>
      <c r="O344">
        <v>2003</v>
      </c>
      <c r="P344" t="s">
        <v>3200</v>
      </c>
      <c r="Q344" t="s">
        <v>3201</v>
      </c>
      <c r="R344">
        <v>29366</v>
      </c>
      <c r="S344" t="s">
        <v>3197</v>
      </c>
      <c r="T344" t="s">
        <v>3202</v>
      </c>
      <c r="U344">
        <v>1982</v>
      </c>
      <c r="V344" t="s">
        <v>3203</v>
      </c>
      <c r="W344">
        <v>1.82</v>
      </c>
      <c r="X344" t="s">
        <v>3106</v>
      </c>
      <c r="Y344" t="s">
        <v>123</v>
      </c>
      <c r="Z344" t="s">
        <v>87</v>
      </c>
      <c r="AA344" t="s">
        <v>3204</v>
      </c>
      <c r="AB344" s="1">
        <v>44933</v>
      </c>
      <c r="AC344" t="s">
        <v>108</v>
      </c>
      <c r="AD344" t="s">
        <v>89</v>
      </c>
      <c r="AE344" t="s">
        <v>3205</v>
      </c>
      <c r="AF344">
        <v>21</v>
      </c>
      <c r="AG344" t="s">
        <v>613</v>
      </c>
      <c r="AH344">
        <v>38727</v>
      </c>
      <c r="AI344">
        <v>24</v>
      </c>
      <c r="AJ344" t="s">
        <v>615</v>
      </c>
      <c r="AK344">
        <v>21</v>
      </c>
      <c r="AL344">
        <v>2</v>
      </c>
      <c r="AM344">
        <v>233</v>
      </c>
      <c r="AN344">
        <v>32</v>
      </c>
      <c r="AO344">
        <v>2</v>
      </c>
      <c r="AP344" t="s">
        <v>93</v>
      </c>
      <c r="AQ344" t="s">
        <v>89</v>
      </c>
      <c r="AR344" t="s">
        <v>89</v>
      </c>
      <c r="AS344" t="s">
        <v>111</v>
      </c>
      <c r="AT344" s="1">
        <v>44933</v>
      </c>
      <c r="AU344">
        <v>2023</v>
      </c>
      <c r="AV344">
        <v>20</v>
      </c>
      <c r="AW344">
        <v>20</v>
      </c>
      <c r="AX344" t="s">
        <v>89</v>
      </c>
      <c r="AY344" t="s">
        <v>111</v>
      </c>
      <c r="AZ344">
        <v>2</v>
      </c>
      <c r="BA344">
        <v>4</v>
      </c>
      <c r="BB344">
        <v>104</v>
      </c>
      <c r="BC344">
        <v>1</v>
      </c>
      <c r="BD344">
        <v>308</v>
      </c>
      <c r="BE344">
        <v>16266</v>
      </c>
      <c r="BF344">
        <v>89</v>
      </c>
      <c r="BG344">
        <v>41</v>
      </c>
      <c r="BH344">
        <v>312</v>
      </c>
      <c r="BI344">
        <v>16370</v>
      </c>
      <c r="BJ344">
        <v>90</v>
      </c>
      <c r="BK344">
        <f t="shared" si="47"/>
        <v>312</v>
      </c>
      <c r="BL344">
        <f t="shared" si="48"/>
        <v>16370</v>
      </c>
      <c r="BM344">
        <f t="shared" si="49"/>
        <v>90</v>
      </c>
      <c r="BN344">
        <f t="shared" si="50"/>
        <v>0</v>
      </c>
      <c r="BO344">
        <f t="shared" si="51"/>
        <v>0</v>
      </c>
      <c r="BP344">
        <f t="shared" si="52"/>
        <v>0</v>
      </c>
      <c r="BQ344" t="s">
        <v>123</v>
      </c>
      <c r="BR344" t="s">
        <v>112</v>
      </c>
      <c r="BS344" t="s">
        <v>89</v>
      </c>
      <c r="BT344">
        <v>44</v>
      </c>
      <c r="BU344" s="1">
        <v>44933</v>
      </c>
      <c r="BV344" s="1">
        <v>45108</v>
      </c>
      <c r="BW344">
        <v>20</v>
      </c>
      <c r="BX344">
        <v>1982</v>
      </c>
      <c r="BY344">
        <v>20</v>
      </c>
      <c r="BZ344">
        <f t="shared" si="53"/>
        <v>0</v>
      </c>
      <c r="CA344">
        <f t="shared" si="54"/>
        <v>0</v>
      </c>
      <c r="CB344" t="b">
        <f t="shared" si="55"/>
        <v>1</v>
      </c>
    </row>
    <row r="345" spans="1:80" x14ac:dyDescent="0.3">
      <c r="A345" t="s">
        <v>3206</v>
      </c>
      <c r="B345" t="s">
        <v>776</v>
      </c>
      <c r="C345" t="s">
        <v>3207</v>
      </c>
      <c r="D345">
        <v>49</v>
      </c>
      <c r="E345" s="1">
        <v>27951</v>
      </c>
      <c r="F345" t="s">
        <v>89</v>
      </c>
      <c r="G345" t="s">
        <v>226</v>
      </c>
      <c r="H345" t="s">
        <v>778</v>
      </c>
      <c r="I345" t="s">
        <v>3208</v>
      </c>
      <c r="J345" t="s">
        <v>89</v>
      </c>
      <c r="K345" t="s">
        <v>89</v>
      </c>
      <c r="L345" t="s">
        <v>196</v>
      </c>
      <c r="M345">
        <v>24</v>
      </c>
      <c r="N345" t="s">
        <v>201</v>
      </c>
      <c r="O345">
        <v>2000</v>
      </c>
      <c r="P345" t="s">
        <v>3209</v>
      </c>
      <c r="Q345" t="s">
        <v>3210</v>
      </c>
      <c r="R345">
        <v>5343</v>
      </c>
      <c r="S345" t="s">
        <v>3206</v>
      </c>
      <c r="T345" s="1">
        <v>28040</v>
      </c>
      <c r="U345">
        <v>1976</v>
      </c>
      <c r="V345" t="s">
        <v>3211</v>
      </c>
      <c r="W345">
        <v>1.86</v>
      </c>
      <c r="X345" t="s">
        <v>2292</v>
      </c>
      <c r="Y345" t="s">
        <v>259</v>
      </c>
      <c r="Z345" t="s">
        <v>87</v>
      </c>
      <c r="AA345" t="s">
        <v>3212</v>
      </c>
      <c r="AB345">
        <v>40909</v>
      </c>
      <c r="AC345" t="s">
        <v>108</v>
      </c>
      <c r="AD345" t="s">
        <v>89</v>
      </c>
      <c r="AE345">
        <v>1995</v>
      </c>
      <c r="AF345">
        <v>19</v>
      </c>
      <c r="AG345">
        <v>0</v>
      </c>
      <c r="AH345" t="s">
        <v>89</v>
      </c>
      <c r="AI345" t="s">
        <v>89</v>
      </c>
      <c r="AJ345" t="s">
        <v>89</v>
      </c>
      <c r="AK345">
        <v>19</v>
      </c>
      <c r="AL345">
        <v>3</v>
      </c>
      <c r="AM345">
        <v>264</v>
      </c>
      <c r="AN345">
        <v>39</v>
      </c>
      <c r="AO345">
        <v>3</v>
      </c>
      <c r="AP345" t="s">
        <v>93</v>
      </c>
      <c r="AQ345" t="s">
        <v>89</v>
      </c>
      <c r="AR345" t="s">
        <v>89</v>
      </c>
      <c r="AS345" t="s">
        <v>111</v>
      </c>
      <c r="AT345">
        <v>40909</v>
      </c>
      <c r="AU345">
        <v>2012</v>
      </c>
      <c r="AV345">
        <v>12</v>
      </c>
      <c r="AW345">
        <v>12</v>
      </c>
      <c r="AX345" t="s">
        <v>89</v>
      </c>
      <c r="AY345" t="s">
        <v>111</v>
      </c>
      <c r="AZ345">
        <v>2</v>
      </c>
      <c r="BA345">
        <v>11</v>
      </c>
      <c r="BB345">
        <v>990</v>
      </c>
      <c r="BC345">
        <v>1</v>
      </c>
      <c r="BD345">
        <v>259</v>
      </c>
      <c r="BE345">
        <v>19453</v>
      </c>
      <c r="BF345">
        <v>5</v>
      </c>
      <c r="BG345">
        <v>36</v>
      </c>
      <c r="BH345">
        <v>270</v>
      </c>
      <c r="BI345">
        <v>20443</v>
      </c>
      <c r="BJ345">
        <v>6</v>
      </c>
      <c r="BK345">
        <f t="shared" si="47"/>
        <v>270</v>
      </c>
      <c r="BL345">
        <f t="shared" si="48"/>
        <v>20443</v>
      </c>
      <c r="BM345">
        <f t="shared" si="49"/>
        <v>6</v>
      </c>
      <c r="BN345">
        <f t="shared" si="50"/>
        <v>0</v>
      </c>
      <c r="BO345">
        <f t="shared" si="51"/>
        <v>0</v>
      </c>
      <c r="BP345">
        <f t="shared" si="52"/>
        <v>0</v>
      </c>
      <c r="BQ345" t="s">
        <v>259</v>
      </c>
      <c r="BR345" t="s">
        <v>94</v>
      </c>
      <c r="BS345" s="1">
        <v>27951</v>
      </c>
      <c r="BT345">
        <v>49</v>
      </c>
      <c r="BU345">
        <v>40909</v>
      </c>
      <c r="BV345" t="s">
        <v>89</v>
      </c>
      <c r="BW345">
        <v>17</v>
      </c>
      <c r="BX345">
        <v>1976</v>
      </c>
      <c r="BY345">
        <v>17</v>
      </c>
      <c r="BZ345">
        <f t="shared" si="53"/>
        <v>-5</v>
      </c>
      <c r="CA345">
        <f t="shared" si="54"/>
        <v>0</v>
      </c>
      <c r="CB345" t="b">
        <f t="shared" si="55"/>
        <v>0</v>
      </c>
    </row>
    <row r="346" spans="1:80" x14ac:dyDescent="0.3">
      <c r="A346" t="s">
        <v>3213</v>
      </c>
      <c r="B346" t="s">
        <v>776</v>
      </c>
      <c r="C346" t="s">
        <v>3214</v>
      </c>
      <c r="D346">
        <v>39</v>
      </c>
      <c r="E346">
        <v>31563</v>
      </c>
      <c r="F346" t="s">
        <v>89</v>
      </c>
      <c r="G346" t="s">
        <v>535</v>
      </c>
      <c r="H346" t="s">
        <v>89</v>
      </c>
      <c r="I346" t="s">
        <v>1190</v>
      </c>
      <c r="J346" t="s">
        <v>78</v>
      </c>
      <c r="K346" t="s">
        <v>89</v>
      </c>
      <c r="L346" t="s">
        <v>180</v>
      </c>
      <c r="M346">
        <v>21</v>
      </c>
      <c r="N346" t="s">
        <v>2815</v>
      </c>
      <c r="O346">
        <v>2007</v>
      </c>
      <c r="P346" t="s">
        <v>3215</v>
      </c>
      <c r="Q346" t="s">
        <v>3216</v>
      </c>
      <c r="R346">
        <v>50778</v>
      </c>
      <c r="S346" t="s">
        <v>3213</v>
      </c>
      <c r="T346" t="s">
        <v>3217</v>
      </c>
      <c r="U346">
        <v>1986</v>
      </c>
      <c r="V346" t="s">
        <v>3218</v>
      </c>
      <c r="W346">
        <v>1.7</v>
      </c>
      <c r="X346" t="s">
        <v>778</v>
      </c>
      <c r="Y346" t="s">
        <v>136</v>
      </c>
      <c r="Z346" t="s">
        <v>87</v>
      </c>
      <c r="AA346" t="s">
        <v>1481</v>
      </c>
      <c r="AB346">
        <v>44572</v>
      </c>
      <c r="AC346" t="s">
        <v>108</v>
      </c>
      <c r="AD346" t="s">
        <v>89</v>
      </c>
      <c r="AE346" t="s">
        <v>3120</v>
      </c>
      <c r="AF346">
        <v>21</v>
      </c>
      <c r="AG346" t="s">
        <v>962</v>
      </c>
      <c r="AH346">
        <v>41703</v>
      </c>
      <c r="AI346">
        <v>27</v>
      </c>
      <c r="AJ346" t="s">
        <v>986</v>
      </c>
      <c r="AK346">
        <v>21</v>
      </c>
      <c r="AL346" t="s">
        <v>89</v>
      </c>
      <c r="AM346" t="s">
        <v>89</v>
      </c>
      <c r="AN346" t="s">
        <v>89</v>
      </c>
      <c r="AO346">
        <v>0</v>
      </c>
      <c r="AP346" t="s">
        <v>93</v>
      </c>
      <c r="AQ346" t="s">
        <v>89</v>
      </c>
      <c r="AR346" t="s">
        <v>89</v>
      </c>
      <c r="AS346" t="s">
        <v>111</v>
      </c>
      <c r="AT346">
        <v>44572</v>
      </c>
      <c r="AU346">
        <v>2022</v>
      </c>
      <c r="AV346">
        <v>15</v>
      </c>
      <c r="AW346">
        <v>15</v>
      </c>
      <c r="AX346" t="s">
        <v>89</v>
      </c>
      <c r="AY346" t="s">
        <v>93</v>
      </c>
      <c r="AZ346">
        <v>0</v>
      </c>
      <c r="BA346">
        <v>0</v>
      </c>
      <c r="BB346">
        <v>0</v>
      </c>
      <c r="BC346">
        <v>0</v>
      </c>
      <c r="BD346">
        <v>132</v>
      </c>
      <c r="BE346">
        <v>10639</v>
      </c>
      <c r="BF346">
        <v>2</v>
      </c>
      <c r="BG346">
        <v>36</v>
      </c>
      <c r="BH346">
        <v>132</v>
      </c>
      <c r="BI346">
        <v>10639</v>
      </c>
      <c r="BJ346">
        <v>2</v>
      </c>
      <c r="BK346">
        <f t="shared" si="47"/>
        <v>132</v>
      </c>
      <c r="BL346">
        <f t="shared" si="48"/>
        <v>10639</v>
      </c>
      <c r="BM346">
        <f t="shared" si="49"/>
        <v>2</v>
      </c>
      <c r="BN346">
        <f t="shared" si="50"/>
        <v>0</v>
      </c>
      <c r="BO346">
        <f t="shared" si="51"/>
        <v>0</v>
      </c>
      <c r="BP346">
        <f t="shared" si="52"/>
        <v>0</v>
      </c>
      <c r="BQ346" t="s">
        <v>136</v>
      </c>
      <c r="BR346" t="s">
        <v>140</v>
      </c>
      <c r="BS346" s="1">
        <v>31563</v>
      </c>
      <c r="BT346">
        <v>39</v>
      </c>
      <c r="BU346">
        <v>44572</v>
      </c>
      <c r="BV346" t="s">
        <v>89</v>
      </c>
      <c r="BW346">
        <v>15</v>
      </c>
      <c r="BX346">
        <v>1986</v>
      </c>
      <c r="BY346">
        <v>15</v>
      </c>
      <c r="BZ346">
        <f t="shared" si="53"/>
        <v>0</v>
      </c>
      <c r="CA346">
        <f t="shared" si="54"/>
        <v>0</v>
      </c>
      <c r="CB346" t="b">
        <f t="shared" si="55"/>
        <v>1</v>
      </c>
    </row>
    <row r="347" spans="1:80" x14ac:dyDescent="0.3">
      <c r="A347" t="s">
        <v>3219</v>
      </c>
      <c r="B347" t="s">
        <v>71</v>
      </c>
      <c r="C347" t="s">
        <v>3220</v>
      </c>
      <c r="D347">
        <v>45</v>
      </c>
      <c r="E347">
        <v>29175</v>
      </c>
      <c r="F347" t="s">
        <v>89</v>
      </c>
      <c r="G347" t="s">
        <v>160</v>
      </c>
      <c r="H347" t="s">
        <v>89</v>
      </c>
      <c r="I347" t="s">
        <v>195</v>
      </c>
      <c r="J347" t="s">
        <v>300</v>
      </c>
      <c r="K347" t="s">
        <v>89</v>
      </c>
      <c r="L347" t="s">
        <v>163</v>
      </c>
      <c r="M347">
        <v>26</v>
      </c>
      <c r="N347" t="s">
        <v>3221</v>
      </c>
      <c r="O347">
        <v>2006</v>
      </c>
      <c r="P347" t="s">
        <v>3222</v>
      </c>
      <c r="Q347" t="s">
        <v>3223</v>
      </c>
      <c r="R347">
        <v>57961</v>
      </c>
      <c r="S347" t="s">
        <v>3224</v>
      </c>
      <c r="T347" t="s">
        <v>3225</v>
      </c>
      <c r="U347">
        <v>1979</v>
      </c>
      <c r="V347" t="s">
        <v>3226</v>
      </c>
      <c r="W347">
        <v>1.76</v>
      </c>
      <c r="X347" t="s">
        <v>76</v>
      </c>
      <c r="Y347" t="s">
        <v>203</v>
      </c>
      <c r="Z347" t="s">
        <v>152</v>
      </c>
      <c r="AA347" t="s">
        <v>942</v>
      </c>
      <c r="AB347" s="1">
        <v>43107</v>
      </c>
      <c r="AC347" t="s">
        <v>108</v>
      </c>
      <c r="AD347" t="s">
        <v>89</v>
      </c>
      <c r="AE347" t="s">
        <v>2396</v>
      </c>
      <c r="AF347">
        <v>33</v>
      </c>
      <c r="AG347" t="s">
        <v>91</v>
      </c>
      <c r="AH347" t="s">
        <v>727</v>
      </c>
      <c r="AI347">
        <v>26</v>
      </c>
      <c r="AJ347" t="s">
        <v>110</v>
      </c>
      <c r="AK347">
        <v>26</v>
      </c>
      <c r="AL347">
        <v>7</v>
      </c>
      <c r="AM347">
        <v>370</v>
      </c>
      <c r="AN347">
        <v>42</v>
      </c>
      <c r="AO347">
        <v>5</v>
      </c>
      <c r="AP347" t="s">
        <v>93</v>
      </c>
      <c r="AQ347" t="s">
        <v>89</v>
      </c>
      <c r="AR347" t="s">
        <v>89</v>
      </c>
      <c r="AS347" t="s">
        <v>111</v>
      </c>
      <c r="AT347">
        <v>43107</v>
      </c>
      <c r="AU347">
        <v>2018</v>
      </c>
      <c r="AV347">
        <v>12</v>
      </c>
      <c r="AW347">
        <v>12</v>
      </c>
      <c r="AX347" t="s">
        <v>89</v>
      </c>
      <c r="AY347" t="s">
        <v>93</v>
      </c>
      <c r="AZ347">
        <v>0</v>
      </c>
      <c r="BA347">
        <v>0</v>
      </c>
      <c r="BB347">
        <v>0</v>
      </c>
      <c r="BC347">
        <v>0</v>
      </c>
      <c r="BD347">
        <v>274</v>
      </c>
      <c r="BE347">
        <v>22925</v>
      </c>
      <c r="BF347">
        <v>27</v>
      </c>
      <c r="BG347">
        <v>39</v>
      </c>
      <c r="BH347">
        <v>274</v>
      </c>
      <c r="BI347">
        <v>22925</v>
      </c>
      <c r="BJ347">
        <v>27</v>
      </c>
      <c r="BK347">
        <f t="shared" si="47"/>
        <v>274</v>
      </c>
      <c r="BL347">
        <f t="shared" si="48"/>
        <v>22925</v>
      </c>
      <c r="BM347">
        <f t="shared" si="49"/>
        <v>27</v>
      </c>
      <c r="BN347">
        <f t="shared" si="50"/>
        <v>0</v>
      </c>
      <c r="BO347">
        <f t="shared" si="51"/>
        <v>0</v>
      </c>
      <c r="BP347">
        <f t="shared" si="52"/>
        <v>0</v>
      </c>
      <c r="BQ347" t="s">
        <v>203</v>
      </c>
      <c r="BR347" t="s">
        <v>140</v>
      </c>
      <c r="BS347" s="1">
        <v>29175</v>
      </c>
      <c r="BT347">
        <v>46</v>
      </c>
      <c r="BU347">
        <v>43107</v>
      </c>
      <c r="BV347" t="s">
        <v>89</v>
      </c>
      <c r="BW347">
        <v>13</v>
      </c>
      <c r="BX347">
        <v>1979</v>
      </c>
      <c r="BY347">
        <v>13</v>
      </c>
      <c r="BZ347">
        <f t="shared" si="53"/>
        <v>-1</v>
      </c>
      <c r="CA347">
        <f t="shared" si="54"/>
        <v>0</v>
      </c>
      <c r="CB347" t="b">
        <f t="shared" si="55"/>
        <v>0</v>
      </c>
    </row>
    <row r="348" spans="1:80" x14ac:dyDescent="0.3">
      <c r="A348" t="s">
        <v>3227</v>
      </c>
      <c r="B348" t="s">
        <v>71</v>
      </c>
      <c r="C348" t="s">
        <v>3228</v>
      </c>
      <c r="D348">
        <v>36</v>
      </c>
      <c r="E348" s="1">
        <v>32590</v>
      </c>
      <c r="F348" t="s">
        <v>89</v>
      </c>
      <c r="G348" t="s">
        <v>176</v>
      </c>
      <c r="H348" t="s">
        <v>76</v>
      </c>
      <c r="I348" t="s">
        <v>288</v>
      </c>
      <c r="J348" t="s">
        <v>89</v>
      </c>
      <c r="K348" t="s">
        <v>89</v>
      </c>
      <c r="L348" t="s">
        <v>130</v>
      </c>
      <c r="M348">
        <v>19</v>
      </c>
      <c r="N348" t="s">
        <v>416</v>
      </c>
      <c r="O348">
        <v>2008</v>
      </c>
      <c r="P348" t="s">
        <v>3229</v>
      </c>
      <c r="Q348" t="s">
        <v>3230</v>
      </c>
      <c r="R348">
        <v>74764</v>
      </c>
      <c r="S348" t="s">
        <v>3227</v>
      </c>
      <c r="T348" t="s">
        <v>3231</v>
      </c>
      <c r="U348">
        <v>1989</v>
      </c>
      <c r="V348" t="s">
        <v>2226</v>
      </c>
      <c r="W348">
        <v>1.83</v>
      </c>
      <c r="X348" t="s">
        <v>76</v>
      </c>
      <c r="Y348" t="s">
        <v>86</v>
      </c>
      <c r="Z348" t="s">
        <v>152</v>
      </c>
      <c r="AA348" t="s">
        <v>3232</v>
      </c>
      <c r="AB348" t="s">
        <v>1962</v>
      </c>
      <c r="AC348" t="s">
        <v>170</v>
      </c>
      <c r="AD348" t="s">
        <v>89</v>
      </c>
      <c r="AE348" t="s">
        <v>3233</v>
      </c>
      <c r="AF348">
        <v>19</v>
      </c>
      <c r="AG348" t="s">
        <v>91</v>
      </c>
      <c r="AH348">
        <v>40603</v>
      </c>
      <c r="AI348">
        <v>21</v>
      </c>
      <c r="AJ348" t="s">
        <v>110</v>
      </c>
      <c r="AK348">
        <v>19</v>
      </c>
      <c r="AL348">
        <v>8</v>
      </c>
      <c r="AM348">
        <v>325</v>
      </c>
      <c r="AN348">
        <v>43</v>
      </c>
      <c r="AO348">
        <v>3</v>
      </c>
      <c r="AP348" t="s">
        <v>93</v>
      </c>
      <c r="AQ348" t="s">
        <v>89</v>
      </c>
      <c r="AR348" t="s">
        <v>89</v>
      </c>
      <c r="AS348" t="s">
        <v>93</v>
      </c>
      <c r="AT348" t="s">
        <v>89</v>
      </c>
      <c r="AU348" t="s">
        <v>89</v>
      </c>
      <c r="AV348" t="s">
        <v>89</v>
      </c>
      <c r="AW348">
        <v>17</v>
      </c>
      <c r="AX348">
        <v>15</v>
      </c>
      <c r="AY348" t="s">
        <v>93</v>
      </c>
      <c r="AZ348">
        <v>0</v>
      </c>
      <c r="BA348">
        <v>0</v>
      </c>
      <c r="BB348">
        <v>0</v>
      </c>
      <c r="BC348">
        <v>0</v>
      </c>
      <c r="BD348">
        <v>294</v>
      </c>
      <c r="BE348">
        <v>19651</v>
      </c>
      <c r="BF348">
        <v>28</v>
      </c>
      <c r="BG348" t="s">
        <v>89</v>
      </c>
      <c r="BH348">
        <v>294</v>
      </c>
      <c r="BI348">
        <v>19651</v>
      </c>
      <c r="BJ348">
        <v>28</v>
      </c>
      <c r="BK348">
        <f t="shared" si="47"/>
        <v>294</v>
      </c>
      <c r="BL348">
        <f t="shared" si="48"/>
        <v>19651</v>
      </c>
      <c r="BM348">
        <f t="shared" si="49"/>
        <v>28</v>
      </c>
      <c r="BN348">
        <f t="shared" si="50"/>
        <v>0</v>
      </c>
      <c r="BO348">
        <f t="shared" si="51"/>
        <v>0</v>
      </c>
      <c r="BP348">
        <f t="shared" si="52"/>
        <v>0</v>
      </c>
      <c r="BQ348" t="s">
        <v>86</v>
      </c>
      <c r="BR348" t="s">
        <v>94</v>
      </c>
      <c r="BS348" s="1">
        <v>32590</v>
      </c>
      <c r="BT348">
        <v>36</v>
      </c>
      <c r="BU348" t="s">
        <v>89</v>
      </c>
      <c r="BV348" t="s">
        <v>89</v>
      </c>
      <c r="BW348">
        <v>17</v>
      </c>
      <c r="BX348">
        <v>1989</v>
      </c>
      <c r="BY348">
        <v>17</v>
      </c>
      <c r="BZ348">
        <f t="shared" si="53"/>
        <v>0</v>
      </c>
      <c r="CA348">
        <f t="shared" si="54"/>
        <v>0</v>
      </c>
      <c r="CB348" t="b">
        <f t="shared" si="55"/>
        <v>1</v>
      </c>
    </row>
    <row r="349" spans="1:80" x14ac:dyDescent="0.3">
      <c r="A349" t="s">
        <v>3234</v>
      </c>
      <c r="B349" t="s">
        <v>71</v>
      </c>
      <c r="C349" t="s">
        <v>3235</v>
      </c>
      <c r="D349">
        <v>43</v>
      </c>
      <c r="E349">
        <v>29861</v>
      </c>
      <c r="F349" t="s">
        <v>89</v>
      </c>
      <c r="G349" t="s">
        <v>97</v>
      </c>
      <c r="H349" t="s">
        <v>89</v>
      </c>
      <c r="I349" t="s">
        <v>227</v>
      </c>
      <c r="J349" t="s">
        <v>89</v>
      </c>
      <c r="K349" t="s">
        <v>89</v>
      </c>
      <c r="L349" t="s">
        <v>254</v>
      </c>
      <c r="M349">
        <v>27</v>
      </c>
      <c r="N349" t="s">
        <v>2060</v>
      </c>
      <c r="O349">
        <v>2009</v>
      </c>
      <c r="P349" t="s">
        <v>3236</v>
      </c>
      <c r="Q349" t="s">
        <v>3237</v>
      </c>
      <c r="R349">
        <v>73231</v>
      </c>
      <c r="S349" t="s">
        <v>3234</v>
      </c>
      <c r="T349">
        <v>29627</v>
      </c>
      <c r="U349">
        <v>1981</v>
      </c>
      <c r="V349" t="s">
        <v>89</v>
      </c>
      <c r="W349">
        <v>1.81</v>
      </c>
      <c r="X349" t="s">
        <v>76</v>
      </c>
      <c r="Y349" t="s">
        <v>235</v>
      </c>
      <c r="Z349" t="s">
        <v>87</v>
      </c>
      <c r="AA349" t="s">
        <v>3238</v>
      </c>
      <c r="AB349" s="1">
        <v>40179</v>
      </c>
      <c r="AC349" t="s">
        <v>108</v>
      </c>
      <c r="AD349" t="s">
        <v>89</v>
      </c>
      <c r="AE349" t="s">
        <v>89</v>
      </c>
      <c r="AF349" t="s">
        <v>89</v>
      </c>
      <c r="AG349" t="s">
        <v>89</v>
      </c>
      <c r="AH349" t="s">
        <v>3239</v>
      </c>
      <c r="AI349">
        <v>28</v>
      </c>
      <c r="AJ349" t="s">
        <v>110</v>
      </c>
      <c r="AK349">
        <v>28</v>
      </c>
      <c r="AL349" t="s">
        <v>89</v>
      </c>
      <c r="AM349" t="s">
        <v>89</v>
      </c>
      <c r="AN349" t="s">
        <v>89</v>
      </c>
      <c r="AO349">
        <v>0</v>
      </c>
      <c r="AP349" t="s">
        <v>93</v>
      </c>
      <c r="AQ349" t="s">
        <v>89</v>
      </c>
      <c r="AR349" t="s">
        <v>89</v>
      </c>
      <c r="AS349" t="s">
        <v>111</v>
      </c>
      <c r="AT349">
        <v>40179</v>
      </c>
      <c r="AU349">
        <v>2010</v>
      </c>
      <c r="AV349">
        <v>1</v>
      </c>
      <c r="AW349">
        <v>1</v>
      </c>
      <c r="AX349" t="s">
        <v>89</v>
      </c>
      <c r="AY349" t="s">
        <v>93</v>
      </c>
      <c r="AZ349">
        <v>0</v>
      </c>
      <c r="BA349">
        <v>0</v>
      </c>
      <c r="BB349">
        <v>0</v>
      </c>
      <c r="BC349">
        <v>0</v>
      </c>
      <c r="BD349">
        <v>33</v>
      </c>
      <c r="BE349">
        <v>2277</v>
      </c>
      <c r="BF349">
        <v>0</v>
      </c>
      <c r="BG349">
        <v>29</v>
      </c>
      <c r="BH349">
        <v>33</v>
      </c>
      <c r="BI349">
        <v>2277</v>
      </c>
      <c r="BJ349">
        <v>0</v>
      </c>
      <c r="BK349">
        <f t="shared" si="47"/>
        <v>33</v>
      </c>
      <c r="BL349">
        <f t="shared" si="48"/>
        <v>2277</v>
      </c>
      <c r="BM349">
        <f t="shared" si="49"/>
        <v>0</v>
      </c>
      <c r="BN349">
        <f t="shared" si="50"/>
        <v>0</v>
      </c>
      <c r="BO349">
        <f t="shared" si="51"/>
        <v>0</v>
      </c>
      <c r="BP349">
        <f t="shared" si="52"/>
        <v>0</v>
      </c>
      <c r="BQ349" t="s">
        <v>235</v>
      </c>
      <c r="BR349" t="s">
        <v>140</v>
      </c>
      <c r="BS349" t="s">
        <v>89</v>
      </c>
      <c r="BT349">
        <v>45</v>
      </c>
      <c r="BU349">
        <v>40179</v>
      </c>
      <c r="BV349" t="s">
        <v>89</v>
      </c>
      <c r="BW349">
        <v>1</v>
      </c>
      <c r="BX349">
        <v>1981</v>
      </c>
      <c r="BY349">
        <v>1</v>
      </c>
      <c r="BZ349">
        <f t="shared" si="53"/>
        <v>0</v>
      </c>
      <c r="CA349">
        <f t="shared" si="54"/>
        <v>0</v>
      </c>
      <c r="CB349" t="b">
        <f t="shared" si="55"/>
        <v>1</v>
      </c>
    </row>
    <row r="350" spans="1:80" x14ac:dyDescent="0.3">
      <c r="A350" t="s">
        <v>3240</v>
      </c>
      <c r="B350" t="s">
        <v>71</v>
      </c>
      <c r="C350" t="s">
        <v>3241</v>
      </c>
      <c r="D350">
        <v>38</v>
      </c>
      <c r="E350" s="1">
        <v>31721</v>
      </c>
      <c r="F350" t="s">
        <v>89</v>
      </c>
      <c r="G350" t="s">
        <v>211</v>
      </c>
      <c r="H350" t="s">
        <v>89</v>
      </c>
      <c r="I350" t="s">
        <v>340</v>
      </c>
      <c r="J350" t="s">
        <v>639</v>
      </c>
      <c r="K350" t="s">
        <v>89</v>
      </c>
      <c r="L350" t="s">
        <v>228</v>
      </c>
      <c r="M350">
        <v>23</v>
      </c>
      <c r="N350" t="s">
        <v>649</v>
      </c>
      <c r="O350">
        <v>2010</v>
      </c>
      <c r="P350" t="s">
        <v>3242</v>
      </c>
      <c r="Q350" t="s">
        <v>3243</v>
      </c>
      <c r="R350">
        <v>95488</v>
      </c>
      <c r="S350" t="s">
        <v>3240</v>
      </c>
      <c r="T350" s="1">
        <v>31543</v>
      </c>
      <c r="U350">
        <v>1986</v>
      </c>
      <c r="V350" t="s">
        <v>3244</v>
      </c>
      <c r="W350">
        <v>1.77</v>
      </c>
      <c r="X350" t="s">
        <v>76</v>
      </c>
      <c r="Y350" t="s">
        <v>136</v>
      </c>
      <c r="Z350" t="s">
        <v>392</v>
      </c>
      <c r="AA350" t="s">
        <v>3245</v>
      </c>
      <c r="AB350">
        <v>44937</v>
      </c>
      <c r="AC350" t="s">
        <v>108</v>
      </c>
      <c r="AD350" t="s">
        <v>89</v>
      </c>
      <c r="AE350" t="s">
        <v>654</v>
      </c>
      <c r="AF350">
        <v>24</v>
      </c>
      <c r="AG350" t="s">
        <v>91</v>
      </c>
      <c r="AH350">
        <v>40307</v>
      </c>
      <c r="AI350">
        <v>23</v>
      </c>
      <c r="AJ350" t="s">
        <v>110</v>
      </c>
      <c r="AK350">
        <v>23</v>
      </c>
      <c r="AL350">
        <v>1</v>
      </c>
      <c r="AM350">
        <v>143</v>
      </c>
      <c r="AN350">
        <v>21</v>
      </c>
      <c r="AO350">
        <v>1</v>
      </c>
      <c r="AP350" t="s">
        <v>93</v>
      </c>
      <c r="AQ350" t="s">
        <v>89</v>
      </c>
      <c r="AR350" t="s">
        <v>89</v>
      </c>
      <c r="AS350" t="s">
        <v>111</v>
      </c>
      <c r="AT350">
        <v>44937</v>
      </c>
      <c r="AU350">
        <v>2023</v>
      </c>
      <c r="AV350">
        <v>13</v>
      </c>
      <c r="AW350">
        <v>13</v>
      </c>
      <c r="AX350" t="s">
        <v>89</v>
      </c>
      <c r="AY350" t="s">
        <v>93</v>
      </c>
      <c r="AZ350">
        <v>0</v>
      </c>
      <c r="BA350">
        <v>0</v>
      </c>
      <c r="BB350">
        <v>0</v>
      </c>
      <c r="BC350">
        <v>0</v>
      </c>
      <c r="BD350">
        <v>115</v>
      </c>
      <c r="BE350">
        <v>6780</v>
      </c>
      <c r="BF350">
        <v>10</v>
      </c>
      <c r="BG350">
        <v>37</v>
      </c>
      <c r="BH350">
        <v>115</v>
      </c>
      <c r="BI350">
        <v>6780</v>
      </c>
      <c r="BJ350">
        <v>10</v>
      </c>
      <c r="BK350">
        <f t="shared" si="47"/>
        <v>115</v>
      </c>
      <c r="BL350">
        <f t="shared" si="48"/>
        <v>6780</v>
      </c>
      <c r="BM350">
        <f t="shared" si="49"/>
        <v>10</v>
      </c>
      <c r="BN350">
        <f t="shared" si="50"/>
        <v>0</v>
      </c>
      <c r="BO350">
        <f t="shared" si="51"/>
        <v>0</v>
      </c>
      <c r="BP350">
        <f t="shared" si="52"/>
        <v>0</v>
      </c>
      <c r="BQ350" t="s">
        <v>136</v>
      </c>
      <c r="BR350" t="s">
        <v>140</v>
      </c>
      <c r="BS350" s="1">
        <v>31721</v>
      </c>
      <c r="BT350">
        <v>39</v>
      </c>
      <c r="BU350">
        <v>44937</v>
      </c>
      <c r="BV350" t="s">
        <v>89</v>
      </c>
      <c r="BW350">
        <v>14</v>
      </c>
      <c r="BX350">
        <v>1986</v>
      </c>
      <c r="BY350">
        <v>14</v>
      </c>
      <c r="BZ350">
        <f t="shared" si="53"/>
        <v>-1</v>
      </c>
      <c r="CA350">
        <f t="shared" si="54"/>
        <v>0</v>
      </c>
      <c r="CB350" t="b">
        <f t="shared" si="55"/>
        <v>0</v>
      </c>
    </row>
    <row r="351" spans="1:80" x14ac:dyDescent="0.3">
      <c r="A351" t="s">
        <v>3246</v>
      </c>
      <c r="B351" t="s">
        <v>71</v>
      </c>
      <c r="C351" t="s">
        <v>3247</v>
      </c>
      <c r="D351">
        <v>33</v>
      </c>
      <c r="E351">
        <v>33651</v>
      </c>
      <c r="F351" t="s">
        <v>89</v>
      </c>
      <c r="G351" t="s">
        <v>298</v>
      </c>
      <c r="H351" t="s">
        <v>76</v>
      </c>
      <c r="I351" t="s">
        <v>288</v>
      </c>
      <c r="J351" t="s">
        <v>89</v>
      </c>
      <c r="K351" t="s">
        <v>89</v>
      </c>
      <c r="L351" t="s">
        <v>254</v>
      </c>
      <c r="M351">
        <v>17</v>
      </c>
      <c r="N351" t="s">
        <v>1047</v>
      </c>
      <c r="O351">
        <v>2009</v>
      </c>
      <c r="P351" t="s">
        <v>3248</v>
      </c>
      <c r="Q351" t="s">
        <v>3249</v>
      </c>
      <c r="R351">
        <v>85365</v>
      </c>
      <c r="S351" t="s">
        <v>3246</v>
      </c>
      <c r="T351" t="s">
        <v>3250</v>
      </c>
      <c r="U351">
        <v>1992</v>
      </c>
      <c r="V351" t="s">
        <v>3251</v>
      </c>
      <c r="W351">
        <v>1.77</v>
      </c>
      <c r="X351" t="s">
        <v>76</v>
      </c>
      <c r="Y351" t="s">
        <v>86</v>
      </c>
      <c r="Z351" t="s">
        <v>87</v>
      </c>
      <c r="AA351" t="s">
        <v>1459</v>
      </c>
      <c r="AB351" s="1">
        <v>44451</v>
      </c>
      <c r="AC351" t="s">
        <v>108</v>
      </c>
      <c r="AD351" t="s">
        <v>89</v>
      </c>
      <c r="AE351">
        <v>39913</v>
      </c>
      <c r="AF351">
        <v>17</v>
      </c>
      <c r="AG351" t="s">
        <v>91</v>
      </c>
      <c r="AH351">
        <v>40970</v>
      </c>
      <c r="AI351">
        <v>19</v>
      </c>
      <c r="AJ351" t="s">
        <v>110</v>
      </c>
      <c r="AK351">
        <v>17</v>
      </c>
      <c r="AL351">
        <v>2</v>
      </c>
      <c r="AM351">
        <v>123</v>
      </c>
      <c r="AN351">
        <v>20</v>
      </c>
      <c r="AO351">
        <v>2</v>
      </c>
      <c r="AP351" t="s">
        <v>93</v>
      </c>
      <c r="AQ351" t="s">
        <v>89</v>
      </c>
      <c r="AR351" t="s">
        <v>89</v>
      </c>
      <c r="AS351" t="s">
        <v>93</v>
      </c>
      <c r="AT351" t="s">
        <v>89</v>
      </c>
      <c r="AU351" t="s">
        <v>89</v>
      </c>
      <c r="AV351" t="s">
        <v>89</v>
      </c>
      <c r="AW351">
        <v>16</v>
      </c>
      <c r="AX351" t="s">
        <v>89</v>
      </c>
      <c r="AY351" t="s">
        <v>93</v>
      </c>
      <c r="AZ351">
        <v>0</v>
      </c>
      <c r="BA351">
        <v>0</v>
      </c>
      <c r="BB351">
        <v>0</v>
      </c>
      <c r="BC351">
        <v>0</v>
      </c>
      <c r="BD351">
        <v>206</v>
      </c>
      <c r="BE351">
        <v>14639</v>
      </c>
      <c r="BF351">
        <v>4</v>
      </c>
      <c r="BG351" t="s">
        <v>89</v>
      </c>
      <c r="BH351">
        <v>206</v>
      </c>
      <c r="BI351">
        <v>14639</v>
      </c>
      <c r="BJ351">
        <v>4</v>
      </c>
      <c r="BK351">
        <f t="shared" si="47"/>
        <v>206</v>
      </c>
      <c r="BL351">
        <f t="shared" si="48"/>
        <v>14639</v>
      </c>
      <c r="BM351">
        <f t="shared" si="49"/>
        <v>4</v>
      </c>
      <c r="BN351">
        <f t="shared" si="50"/>
        <v>0</v>
      </c>
      <c r="BO351">
        <f t="shared" si="51"/>
        <v>0</v>
      </c>
      <c r="BP351">
        <f t="shared" si="52"/>
        <v>0</v>
      </c>
      <c r="BQ351" t="s">
        <v>86</v>
      </c>
      <c r="BR351" t="s">
        <v>94</v>
      </c>
      <c r="BS351" s="1">
        <v>33651</v>
      </c>
      <c r="BT351">
        <v>34</v>
      </c>
      <c r="BU351" t="s">
        <v>89</v>
      </c>
      <c r="BV351" t="s">
        <v>89</v>
      </c>
      <c r="BW351">
        <v>17</v>
      </c>
      <c r="BX351">
        <v>1992</v>
      </c>
      <c r="BY351">
        <v>16</v>
      </c>
      <c r="BZ351">
        <f t="shared" si="53"/>
        <v>-1</v>
      </c>
      <c r="CA351">
        <f t="shared" si="54"/>
        <v>1</v>
      </c>
      <c r="CB351" t="b">
        <f t="shared" si="55"/>
        <v>0</v>
      </c>
    </row>
    <row r="352" spans="1:80" x14ac:dyDescent="0.3">
      <c r="A352" t="s">
        <v>3252</v>
      </c>
      <c r="B352" t="s">
        <v>156</v>
      </c>
      <c r="C352" t="s">
        <v>3253</v>
      </c>
      <c r="D352">
        <v>35</v>
      </c>
      <c r="E352" t="s">
        <v>3254</v>
      </c>
      <c r="F352" t="s">
        <v>3255</v>
      </c>
      <c r="G352" t="s">
        <v>1289</v>
      </c>
      <c r="H352" t="s">
        <v>177</v>
      </c>
      <c r="I352" t="s">
        <v>668</v>
      </c>
      <c r="J352" t="s">
        <v>78</v>
      </c>
      <c r="K352" t="s">
        <v>2208</v>
      </c>
      <c r="L352" t="s">
        <v>254</v>
      </c>
      <c r="M352">
        <v>19</v>
      </c>
      <c r="N352" t="s">
        <v>81</v>
      </c>
      <c r="O352">
        <v>2009</v>
      </c>
      <c r="P352" t="s">
        <v>3256</v>
      </c>
      <c r="Q352" t="s">
        <v>3257</v>
      </c>
      <c r="R352">
        <v>84535</v>
      </c>
      <c r="S352" t="s">
        <v>3252</v>
      </c>
      <c r="T352" t="s">
        <v>3258</v>
      </c>
      <c r="U352">
        <v>1990</v>
      </c>
      <c r="V352" t="s">
        <v>3259</v>
      </c>
      <c r="W352">
        <v>1.73</v>
      </c>
      <c r="X352" t="s">
        <v>177</v>
      </c>
      <c r="Y352" t="s">
        <v>494</v>
      </c>
      <c r="Z352" t="s">
        <v>87</v>
      </c>
      <c r="AA352" t="s">
        <v>2208</v>
      </c>
      <c r="AB352" s="1">
        <v>45298</v>
      </c>
      <c r="AC352" t="s">
        <v>188</v>
      </c>
      <c r="AD352" t="s">
        <v>89</v>
      </c>
      <c r="AE352" t="s">
        <v>3260</v>
      </c>
      <c r="AF352">
        <v>18</v>
      </c>
      <c r="AG352" t="s">
        <v>189</v>
      </c>
      <c r="AH352" t="s">
        <v>92</v>
      </c>
      <c r="AI352" t="s">
        <v>89</v>
      </c>
      <c r="AJ352" t="s">
        <v>92</v>
      </c>
      <c r="AK352">
        <v>18</v>
      </c>
      <c r="AL352">
        <v>26</v>
      </c>
      <c r="AM352">
        <v>1085</v>
      </c>
      <c r="AN352">
        <v>207</v>
      </c>
      <c r="AO352">
        <v>10</v>
      </c>
      <c r="AP352" t="s">
        <v>93</v>
      </c>
      <c r="AQ352" t="s">
        <v>89</v>
      </c>
      <c r="AR352" t="s">
        <v>89</v>
      </c>
      <c r="AS352" t="s">
        <v>93</v>
      </c>
      <c r="AT352" t="s">
        <v>89</v>
      </c>
      <c r="AU352" t="s">
        <v>89</v>
      </c>
      <c r="AV352" t="s">
        <v>89</v>
      </c>
      <c r="AW352">
        <v>16</v>
      </c>
      <c r="AX352">
        <v>11</v>
      </c>
      <c r="AY352" t="s">
        <v>111</v>
      </c>
      <c r="AZ352">
        <v>6</v>
      </c>
      <c r="BA352">
        <v>9</v>
      </c>
      <c r="BB352">
        <v>573</v>
      </c>
      <c r="BC352">
        <v>0</v>
      </c>
      <c r="BD352">
        <v>477</v>
      </c>
      <c r="BE352">
        <v>31257</v>
      </c>
      <c r="BF352">
        <v>99</v>
      </c>
      <c r="BG352" t="s">
        <v>89</v>
      </c>
      <c r="BH352">
        <v>486</v>
      </c>
      <c r="BI352">
        <v>31830</v>
      </c>
      <c r="BJ352">
        <v>99</v>
      </c>
      <c r="BK352">
        <f t="shared" si="47"/>
        <v>486</v>
      </c>
      <c r="BL352">
        <f t="shared" si="48"/>
        <v>31830</v>
      </c>
      <c r="BM352">
        <f t="shared" si="49"/>
        <v>99</v>
      </c>
      <c r="BN352">
        <f t="shared" si="50"/>
        <v>0</v>
      </c>
      <c r="BO352">
        <f t="shared" si="51"/>
        <v>0</v>
      </c>
      <c r="BP352">
        <f t="shared" si="52"/>
        <v>0</v>
      </c>
      <c r="BQ352" t="s">
        <v>494</v>
      </c>
      <c r="BR352" t="s">
        <v>112</v>
      </c>
      <c r="BS352" s="1">
        <v>33067</v>
      </c>
      <c r="BT352">
        <v>35</v>
      </c>
      <c r="BU352" t="s">
        <v>89</v>
      </c>
      <c r="BV352" t="s">
        <v>89</v>
      </c>
      <c r="BW352">
        <v>17</v>
      </c>
      <c r="BX352">
        <v>1990</v>
      </c>
      <c r="BY352">
        <v>17</v>
      </c>
      <c r="BZ352">
        <f t="shared" si="53"/>
        <v>-1</v>
      </c>
      <c r="CA352">
        <f t="shared" si="54"/>
        <v>0</v>
      </c>
      <c r="CB352" t="b">
        <f t="shared" si="55"/>
        <v>0</v>
      </c>
    </row>
    <row r="353" spans="1:80" x14ac:dyDescent="0.3">
      <c r="A353" t="s">
        <v>3261</v>
      </c>
      <c r="B353" t="s">
        <v>1089</v>
      </c>
      <c r="C353" t="s">
        <v>3262</v>
      </c>
      <c r="D353">
        <v>35</v>
      </c>
      <c r="E353" t="s">
        <v>3263</v>
      </c>
      <c r="F353" t="s">
        <v>3264</v>
      </c>
      <c r="G353" t="s">
        <v>143</v>
      </c>
      <c r="H353" t="s">
        <v>1093</v>
      </c>
      <c r="I353" t="s">
        <v>116</v>
      </c>
      <c r="J353" t="s">
        <v>78</v>
      </c>
      <c r="K353" t="s">
        <v>3265</v>
      </c>
      <c r="L353" t="s">
        <v>278</v>
      </c>
      <c r="M353">
        <v>21</v>
      </c>
      <c r="N353" t="s">
        <v>1403</v>
      </c>
      <c r="O353">
        <v>2011</v>
      </c>
      <c r="P353" t="s">
        <v>3266</v>
      </c>
      <c r="Q353" t="s">
        <v>3267</v>
      </c>
      <c r="R353">
        <v>89718</v>
      </c>
      <c r="S353" t="s">
        <v>3261</v>
      </c>
      <c r="T353" t="s">
        <v>3268</v>
      </c>
      <c r="U353">
        <v>1989</v>
      </c>
      <c r="V353" t="s">
        <v>3269</v>
      </c>
      <c r="W353">
        <v>1.74</v>
      </c>
      <c r="X353" t="s">
        <v>1093</v>
      </c>
      <c r="Y353" t="s">
        <v>123</v>
      </c>
      <c r="Z353" t="s">
        <v>87</v>
      </c>
      <c r="AA353" t="s">
        <v>3265</v>
      </c>
      <c r="AB353" t="s">
        <v>1482</v>
      </c>
      <c r="AC353" t="s">
        <v>222</v>
      </c>
      <c r="AD353" t="s">
        <v>223</v>
      </c>
      <c r="AE353" t="s">
        <v>3270</v>
      </c>
      <c r="AF353">
        <v>17</v>
      </c>
      <c r="AG353">
        <v>0</v>
      </c>
      <c r="AH353" t="s">
        <v>92</v>
      </c>
      <c r="AI353" t="s">
        <v>89</v>
      </c>
      <c r="AJ353" t="s">
        <v>92</v>
      </c>
      <c r="AK353">
        <v>17</v>
      </c>
      <c r="AL353">
        <v>6</v>
      </c>
      <c r="AM353">
        <v>251</v>
      </c>
      <c r="AN353">
        <v>42</v>
      </c>
      <c r="AO353">
        <v>5</v>
      </c>
      <c r="AP353" t="s">
        <v>93</v>
      </c>
      <c r="AQ353" t="s">
        <v>89</v>
      </c>
      <c r="AR353" t="s">
        <v>89</v>
      </c>
      <c r="AS353" t="s">
        <v>93</v>
      </c>
      <c r="AT353" t="s">
        <v>89</v>
      </c>
      <c r="AU353" t="s">
        <v>89</v>
      </c>
      <c r="AV353" t="s">
        <v>89</v>
      </c>
      <c r="AW353">
        <v>14</v>
      </c>
      <c r="AX353">
        <v>17</v>
      </c>
      <c r="AY353" t="s">
        <v>111</v>
      </c>
      <c r="AZ353">
        <v>13</v>
      </c>
      <c r="BA353">
        <v>69</v>
      </c>
      <c r="BB353">
        <v>5078</v>
      </c>
      <c r="BC353">
        <v>16</v>
      </c>
      <c r="BD353">
        <v>354</v>
      </c>
      <c r="BE353">
        <v>18200</v>
      </c>
      <c r="BF353">
        <v>69</v>
      </c>
      <c r="BG353" t="s">
        <v>89</v>
      </c>
      <c r="BH353">
        <v>423</v>
      </c>
      <c r="BI353">
        <v>23278</v>
      </c>
      <c r="BJ353">
        <v>85</v>
      </c>
      <c r="BK353">
        <f t="shared" si="47"/>
        <v>423</v>
      </c>
      <c r="BL353">
        <f t="shared" si="48"/>
        <v>23278</v>
      </c>
      <c r="BM353">
        <f t="shared" si="49"/>
        <v>85</v>
      </c>
      <c r="BN353">
        <f t="shared" si="50"/>
        <v>0</v>
      </c>
      <c r="BO353">
        <f t="shared" si="51"/>
        <v>0</v>
      </c>
      <c r="BP353">
        <f t="shared" si="52"/>
        <v>0</v>
      </c>
      <c r="BQ353" t="s">
        <v>123</v>
      </c>
      <c r="BR353" t="s">
        <v>112</v>
      </c>
      <c r="BS353" s="1">
        <v>32832</v>
      </c>
      <c r="BT353">
        <v>36</v>
      </c>
      <c r="BU353" t="s">
        <v>89</v>
      </c>
      <c r="BV353" t="s">
        <v>89</v>
      </c>
      <c r="BW353">
        <v>19</v>
      </c>
      <c r="BX353">
        <v>1989</v>
      </c>
      <c r="BY353">
        <v>18</v>
      </c>
      <c r="BZ353">
        <f t="shared" si="53"/>
        <v>-5</v>
      </c>
      <c r="CA353">
        <f t="shared" si="54"/>
        <v>1</v>
      </c>
      <c r="CB353" t="b">
        <f t="shared" si="55"/>
        <v>0</v>
      </c>
    </row>
    <row r="354" spans="1:80" x14ac:dyDescent="0.3">
      <c r="A354" t="s">
        <v>3271</v>
      </c>
      <c r="B354" t="s">
        <v>1274</v>
      </c>
      <c r="C354" t="s">
        <v>3272</v>
      </c>
      <c r="D354">
        <v>37</v>
      </c>
      <c r="E354" s="1">
        <v>32195</v>
      </c>
      <c r="F354" t="s">
        <v>89</v>
      </c>
      <c r="G354" t="s">
        <v>75</v>
      </c>
      <c r="H354" t="s">
        <v>1276</v>
      </c>
      <c r="I354" t="s">
        <v>3273</v>
      </c>
      <c r="J354" t="s">
        <v>78</v>
      </c>
      <c r="K354" t="s">
        <v>89</v>
      </c>
      <c r="L354" t="s">
        <v>130</v>
      </c>
      <c r="M354">
        <v>20</v>
      </c>
      <c r="N354" t="s">
        <v>3274</v>
      </c>
      <c r="O354">
        <v>2008</v>
      </c>
      <c r="P354" t="s">
        <v>3275</v>
      </c>
      <c r="Q354" t="s">
        <v>3276</v>
      </c>
      <c r="R354">
        <v>66130</v>
      </c>
      <c r="S354" t="s">
        <v>3271</v>
      </c>
      <c r="T354" t="s">
        <v>3277</v>
      </c>
      <c r="U354">
        <v>1988</v>
      </c>
      <c r="V354" t="s">
        <v>3278</v>
      </c>
      <c r="W354">
        <v>1.78</v>
      </c>
      <c r="X354" t="s">
        <v>1276</v>
      </c>
      <c r="Y354" t="s">
        <v>136</v>
      </c>
      <c r="Z354" t="s">
        <v>87</v>
      </c>
      <c r="AA354" t="s">
        <v>3279</v>
      </c>
      <c r="AB354" s="1">
        <v>43831</v>
      </c>
      <c r="AC354" t="s">
        <v>108</v>
      </c>
      <c r="AD354" t="s">
        <v>89</v>
      </c>
      <c r="AE354" t="s">
        <v>3280</v>
      </c>
      <c r="AF354">
        <v>20</v>
      </c>
      <c r="AG354" t="s">
        <v>3281</v>
      </c>
      <c r="AH354">
        <v>39783</v>
      </c>
      <c r="AI354">
        <v>19</v>
      </c>
      <c r="AJ354" t="s">
        <v>3282</v>
      </c>
      <c r="AK354">
        <v>19</v>
      </c>
      <c r="AL354" t="s">
        <v>89</v>
      </c>
      <c r="AM354" t="s">
        <v>89</v>
      </c>
      <c r="AN354" t="s">
        <v>89</v>
      </c>
      <c r="AO354">
        <v>0</v>
      </c>
      <c r="AP354" t="s">
        <v>93</v>
      </c>
      <c r="AQ354" t="s">
        <v>89</v>
      </c>
      <c r="AR354" t="s">
        <v>89</v>
      </c>
      <c r="AS354" t="s">
        <v>111</v>
      </c>
      <c r="AT354" s="1">
        <v>43831</v>
      </c>
      <c r="AU354">
        <v>2020</v>
      </c>
      <c r="AV354">
        <v>12</v>
      </c>
      <c r="AW354">
        <v>12</v>
      </c>
      <c r="AX354" t="s">
        <v>89</v>
      </c>
      <c r="AY354" t="s">
        <v>111</v>
      </c>
      <c r="AZ354">
        <v>2</v>
      </c>
      <c r="BA354">
        <v>7</v>
      </c>
      <c r="BB354">
        <v>594</v>
      </c>
      <c r="BC354">
        <v>0</v>
      </c>
      <c r="BD354">
        <v>211</v>
      </c>
      <c r="BE354">
        <v>16247</v>
      </c>
      <c r="BF354">
        <v>4</v>
      </c>
      <c r="BG354">
        <v>32</v>
      </c>
      <c r="BH354">
        <v>218</v>
      </c>
      <c r="BI354">
        <v>16841</v>
      </c>
      <c r="BJ354">
        <v>4</v>
      </c>
      <c r="BK354">
        <f t="shared" si="47"/>
        <v>218</v>
      </c>
      <c r="BL354">
        <f t="shared" si="48"/>
        <v>16841</v>
      </c>
      <c r="BM354">
        <f t="shared" si="49"/>
        <v>4</v>
      </c>
      <c r="BN354">
        <f t="shared" si="50"/>
        <v>0</v>
      </c>
      <c r="BO354">
        <f t="shared" si="51"/>
        <v>0</v>
      </c>
      <c r="BP354">
        <f t="shared" si="52"/>
        <v>0</v>
      </c>
      <c r="BQ354" t="s">
        <v>136</v>
      </c>
      <c r="BR354" t="s">
        <v>140</v>
      </c>
      <c r="BS354" s="1">
        <v>32195</v>
      </c>
      <c r="BT354">
        <v>37</v>
      </c>
      <c r="BU354" s="1">
        <v>43831</v>
      </c>
      <c r="BV354" s="1">
        <v>43831</v>
      </c>
      <c r="BW354">
        <v>13</v>
      </c>
      <c r="BX354">
        <v>1988</v>
      </c>
      <c r="BY354">
        <v>13</v>
      </c>
      <c r="BZ354">
        <f t="shared" si="53"/>
        <v>-1</v>
      </c>
      <c r="CA354">
        <f t="shared" si="54"/>
        <v>0</v>
      </c>
      <c r="CB354" t="b">
        <f t="shared" si="55"/>
        <v>0</v>
      </c>
    </row>
    <row r="355" spans="1:80" x14ac:dyDescent="0.3">
      <c r="A355" t="s">
        <v>3283</v>
      </c>
      <c r="B355" t="s">
        <v>776</v>
      </c>
      <c r="C355" t="s">
        <v>3284</v>
      </c>
      <c r="D355">
        <v>40</v>
      </c>
      <c r="E355" s="1">
        <v>31183</v>
      </c>
      <c r="F355" t="s">
        <v>89</v>
      </c>
      <c r="G355" t="s">
        <v>687</v>
      </c>
      <c r="H355" t="s">
        <v>778</v>
      </c>
      <c r="I355" t="s">
        <v>3285</v>
      </c>
      <c r="J355" t="s">
        <v>78</v>
      </c>
      <c r="K355" t="s">
        <v>89</v>
      </c>
      <c r="L355" t="s">
        <v>228</v>
      </c>
      <c r="M355">
        <v>25</v>
      </c>
      <c r="N355" t="s">
        <v>81</v>
      </c>
      <c r="O355">
        <v>2010</v>
      </c>
      <c r="P355" t="s">
        <v>3286</v>
      </c>
      <c r="Q355" t="s">
        <v>3287</v>
      </c>
      <c r="R355">
        <v>74600</v>
      </c>
      <c r="S355" t="s">
        <v>3288</v>
      </c>
      <c r="T355" t="s">
        <v>3289</v>
      </c>
      <c r="U355">
        <v>1985</v>
      </c>
      <c r="V355" t="s">
        <v>3033</v>
      </c>
      <c r="W355">
        <v>1.73</v>
      </c>
      <c r="X355" t="s">
        <v>778</v>
      </c>
      <c r="Y355" t="s">
        <v>86</v>
      </c>
      <c r="Z355" t="s">
        <v>87</v>
      </c>
      <c r="AA355" t="s">
        <v>3290</v>
      </c>
      <c r="AB355" s="1">
        <v>44501</v>
      </c>
      <c r="AC355" t="s">
        <v>108</v>
      </c>
      <c r="AD355" t="s">
        <v>89</v>
      </c>
      <c r="AE355" t="s">
        <v>3291</v>
      </c>
      <c r="AF355">
        <v>24</v>
      </c>
      <c r="AG355" t="s">
        <v>786</v>
      </c>
      <c r="AH355" t="s">
        <v>3292</v>
      </c>
      <c r="AI355">
        <v>23</v>
      </c>
      <c r="AJ355" t="s">
        <v>986</v>
      </c>
      <c r="AK355">
        <v>23</v>
      </c>
      <c r="AL355">
        <v>2</v>
      </c>
      <c r="AM355">
        <v>62</v>
      </c>
      <c r="AN355">
        <v>19</v>
      </c>
      <c r="AO355">
        <v>2</v>
      </c>
      <c r="AP355" t="s">
        <v>93</v>
      </c>
      <c r="AQ355" t="s">
        <v>89</v>
      </c>
      <c r="AR355" t="s">
        <v>89</v>
      </c>
      <c r="AS355" t="s">
        <v>111</v>
      </c>
      <c r="AT355" s="1">
        <v>44501</v>
      </c>
      <c r="AU355">
        <v>2021</v>
      </c>
      <c r="AV355">
        <v>11</v>
      </c>
      <c r="AW355">
        <v>11</v>
      </c>
      <c r="AX355" t="s">
        <v>89</v>
      </c>
      <c r="AY355" t="s">
        <v>111</v>
      </c>
      <c r="AZ355">
        <v>4</v>
      </c>
      <c r="BA355">
        <v>14</v>
      </c>
      <c r="BB355">
        <v>906</v>
      </c>
      <c r="BC355">
        <v>0</v>
      </c>
      <c r="BD355">
        <v>259</v>
      </c>
      <c r="BE355">
        <v>19635</v>
      </c>
      <c r="BF355">
        <v>34</v>
      </c>
      <c r="BG355">
        <v>36</v>
      </c>
      <c r="BH355">
        <v>273</v>
      </c>
      <c r="BI355">
        <v>20541</v>
      </c>
      <c r="BJ355">
        <v>34</v>
      </c>
      <c r="BK355">
        <f t="shared" si="47"/>
        <v>273</v>
      </c>
      <c r="BL355">
        <f t="shared" si="48"/>
        <v>20541</v>
      </c>
      <c r="BM355">
        <f t="shared" si="49"/>
        <v>34</v>
      </c>
      <c r="BN355">
        <f t="shared" si="50"/>
        <v>0</v>
      </c>
      <c r="BO355">
        <f t="shared" si="51"/>
        <v>0</v>
      </c>
      <c r="BP355">
        <f t="shared" si="52"/>
        <v>0</v>
      </c>
      <c r="BQ355" t="s">
        <v>86</v>
      </c>
      <c r="BR355" t="s">
        <v>94</v>
      </c>
      <c r="BS355" t="s">
        <v>89</v>
      </c>
      <c r="BT355">
        <v>41</v>
      </c>
      <c r="BU355" s="1">
        <v>44501</v>
      </c>
      <c r="BV355" s="1">
        <v>44207</v>
      </c>
      <c r="BW355">
        <v>13</v>
      </c>
      <c r="BX355">
        <v>1985</v>
      </c>
      <c r="BY355">
        <v>13</v>
      </c>
      <c r="BZ355">
        <f t="shared" si="53"/>
        <v>-2</v>
      </c>
      <c r="CA355">
        <f t="shared" si="54"/>
        <v>0</v>
      </c>
      <c r="CB355" t="b">
        <f t="shared" si="55"/>
        <v>0</v>
      </c>
    </row>
    <row r="356" spans="1:80" x14ac:dyDescent="0.3">
      <c r="A356" t="s">
        <v>3293</v>
      </c>
      <c r="B356" t="s">
        <v>1231</v>
      </c>
      <c r="C356" t="s">
        <v>3294</v>
      </c>
      <c r="D356">
        <v>41</v>
      </c>
      <c r="E356" s="1">
        <v>30590</v>
      </c>
      <c r="F356" t="s">
        <v>89</v>
      </c>
      <c r="G356" t="s">
        <v>298</v>
      </c>
      <c r="H356" t="s">
        <v>1234</v>
      </c>
      <c r="I356" t="s">
        <v>3295</v>
      </c>
      <c r="J356" t="s">
        <v>300</v>
      </c>
      <c r="K356" t="s">
        <v>89</v>
      </c>
      <c r="L356" t="s">
        <v>845</v>
      </c>
      <c r="M356">
        <v>18</v>
      </c>
      <c r="N356" t="s">
        <v>2036</v>
      </c>
      <c r="O356">
        <v>2002</v>
      </c>
      <c r="P356" t="s">
        <v>3296</v>
      </c>
      <c r="Q356" t="s">
        <v>3297</v>
      </c>
      <c r="R356">
        <v>14192</v>
      </c>
      <c r="S356" t="s">
        <v>3293</v>
      </c>
      <c r="T356">
        <v>30326</v>
      </c>
      <c r="U356">
        <v>1983</v>
      </c>
      <c r="V356" t="s">
        <v>3298</v>
      </c>
      <c r="W356">
        <v>1.76</v>
      </c>
      <c r="X356" t="s">
        <v>3299</v>
      </c>
      <c r="Y356" t="s">
        <v>203</v>
      </c>
      <c r="Z356" t="s">
        <v>152</v>
      </c>
      <c r="AA356" t="s">
        <v>490</v>
      </c>
      <c r="AB356" s="1">
        <v>43107</v>
      </c>
      <c r="AC356" t="s">
        <v>108</v>
      </c>
      <c r="AD356" t="s">
        <v>89</v>
      </c>
      <c r="AE356" s="1">
        <v>37627</v>
      </c>
      <c r="AF356">
        <v>19</v>
      </c>
      <c r="AG356" t="s">
        <v>613</v>
      </c>
      <c r="AH356" t="s">
        <v>3300</v>
      </c>
      <c r="AI356">
        <v>21</v>
      </c>
      <c r="AJ356" t="s">
        <v>615</v>
      </c>
      <c r="AK356">
        <v>19</v>
      </c>
      <c r="AL356">
        <v>7</v>
      </c>
      <c r="AM356">
        <v>182</v>
      </c>
      <c r="AN356">
        <v>31</v>
      </c>
      <c r="AO356">
        <v>4</v>
      </c>
      <c r="AP356" t="s">
        <v>93</v>
      </c>
      <c r="AQ356" t="s">
        <v>89</v>
      </c>
      <c r="AR356" t="s">
        <v>89</v>
      </c>
      <c r="AS356" t="s">
        <v>111</v>
      </c>
      <c r="AT356" s="1">
        <v>43107</v>
      </c>
      <c r="AU356">
        <v>2018</v>
      </c>
      <c r="AV356">
        <v>16</v>
      </c>
      <c r="AW356">
        <v>16</v>
      </c>
      <c r="AX356" t="s">
        <v>89</v>
      </c>
      <c r="AY356" t="s">
        <v>111</v>
      </c>
      <c r="AZ356">
        <v>9</v>
      </c>
      <c r="BA356">
        <v>27</v>
      </c>
      <c r="BB356">
        <v>2162</v>
      </c>
      <c r="BC356">
        <v>1</v>
      </c>
      <c r="BD356">
        <v>371</v>
      </c>
      <c r="BE356">
        <v>25797</v>
      </c>
      <c r="BF356">
        <v>32</v>
      </c>
      <c r="BG356">
        <v>35</v>
      </c>
      <c r="BH356">
        <v>398</v>
      </c>
      <c r="BI356">
        <v>27959</v>
      </c>
      <c r="BJ356">
        <v>33</v>
      </c>
      <c r="BK356">
        <f t="shared" si="47"/>
        <v>398</v>
      </c>
      <c r="BL356">
        <f t="shared" si="48"/>
        <v>27959</v>
      </c>
      <c r="BM356">
        <f t="shared" si="49"/>
        <v>33</v>
      </c>
      <c r="BN356">
        <f t="shared" si="50"/>
        <v>0</v>
      </c>
      <c r="BO356">
        <f t="shared" si="51"/>
        <v>0</v>
      </c>
      <c r="BP356">
        <f t="shared" si="52"/>
        <v>0</v>
      </c>
      <c r="BQ356" t="s">
        <v>203</v>
      </c>
      <c r="BR356" t="s">
        <v>140</v>
      </c>
      <c r="BS356" t="s">
        <v>89</v>
      </c>
      <c r="BT356">
        <v>43</v>
      </c>
      <c r="BU356" s="1">
        <v>43107</v>
      </c>
      <c r="BV356" s="1">
        <v>43282</v>
      </c>
      <c r="BW356">
        <v>16</v>
      </c>
      <c r="BX356">
        <v>1983</v>
      </c>
      <c r="BY356">
        <v>16</v>
      </c>
      <c r="BZ356">
        <f t="shared" si="53"/>
        <v>0</v>
      </c>
      <c r="CA356">
        <f t="shared" si="54"/>
        <v>0</v>
      </c>
      <c r="CB356" t="b">
        <f t="shared" si="55"/>
        <v>1</v>
      </c>
    </row>
    <row r="357" spans="1:80" x14ac:dyDescent="0.3">
      <c r="A357" t="s">
        <v>3301</v>
      </c>
      <c r="B357" t="s">
        <v>156</v>
      </c>
      <c r="C357" t="s">
        <v>3302</v>
      </c>
      <c r="D357">
        <v>34</v>
      </c>
      <c r="E357" t="s">
        <v>3303</v>
      </c>
      <c r="F357" t="s">
        <v>3304</v>
      </c>
      <c r="G357" t="s">
        <v>298</v>
      </c>
      <c r="H357" t="s">
        <v>89</v>
      </c>
      <c r="I357" t="s">
        <v>195</v>
      </c>
      <c r="J357" t="s">
        <v>300</v>
      </c>
      <c r="K357" t="s">
        <v>293</v>
      </c>
      <c r="L357">
        <v>2014</v>
      </c>
      <c r="M357">
        <v>22</v>
      </c>
      <c r="N357" t="s">
        <v>1199</v>
      </c>
      <c r="O357">
        <v>2014</v>
      </c>
      <c r="P357" t="s">
        <v>3305</v>
      </c>
      <c r="Q357" t="s">
        <v>3306</v>
      </c>
      <c r="R357">
        <v>226006</v>
      </c>
      <c r="S357" t="s">
        <v>3301</v>
      </c>
      <c r="T357" s="1">
        <v>33515</v>
      </c>
      <c r="U357">
        <v>1991</v>
      </c>
      <c r="V357" t="s">
        <v>982</v>
      </c>
      <c r="W357">
        <v>1.76</v>
      </c>
      <c r="X357" t="s">
        <v>219</v>
      </c>
      <c r="Y357" t="s">
        <v>203</v>
      </c>
      <c r="Z357" t="s">
        <v>152</v>
      </c>
      <c r="AA357" t="s">
        <v>3307</v>
      </c>
      <c r="AB357" t="s">
        <v>2910</v>
      </c>
      <c r="AC357" t="s">
        <v>170</v>
      </c>
      <c r="AD357" t="s">
        <v>223</v>
      </c>
      <c r="AE357" t="s">
        <v>3308</v>
      </c>
      <c r="AF357">
        <v>21</v>
      </c>
      <c r="AG357" t="s">
        <v>171</v>
      </c>
      <c r="AH357" t="s">
        <v>3309</v>
      </c>
      <c r="AI357">
        <v>33</v>
      </c>
      <c r="AJ357" t="s">
        <v>459</v>
      </c>
      <c r="AK357">
        <v>21</v>
      </c>
      <c r="AL357">
        <v>10</v>
      </c>
      <c r="AM357">
        <v>202</v>
      </c>
      <c r="AN357">
        <v>26</v>
      </c>
      <c r="AO357">
        <v>7</v>
      </c>
      <c r="AP357" t="s">
        <v>93</v>
      </c>
      <c r="AQ357" t="s">
        <v>89</v>
      </c>
      <c r="AR357" t="s">
        <v>89</v>
      </c>
      <c r="AS357" t="s">
        <v>93</v>
      </c>
      <c r="AT357" t="s">
        <v>89</v>
      </c>
      <c r="AU357" t="s">
        <v>89</v>
      </c>
      <c r="AV357" t="s">
        <v>89</v>
      </c>
      <c r="AW357">
        <v>11</v>
      </c>
      <c r="AX357">
        <v>18</v>
      </c>
      <c r="AY357" t="s">
        <v>93</v>
      </c>
      <c r="AZ357">
        <v>0</v>
      </c>
      <c r="BA357">
        <v>0</v>
      </c>
      <c r="BB357">
        <v>0</v>
      </c>
      <c r="BC357">
        <v>0</v>
      </c>
      <c r="BD357">
        <v>259</v>
      </c>
      <c r="BE357">
        <v>19918</v>
      </c>
      <c r="BF357">
        <v>9</v>
      </c>
      <c r="BG357" t="s">
        <v>89</v>
      </c>
      <c r="BH357">
        <v>259</v>
      </c>
      <c r="BI357">
        <v>19918</v>
      </c>
      <c r="BJ357">
        <v>9</v>
      </c>
      <c r="BK357">
        <f t="shared" si="47"/>
        <v>259</v>
      </c>
      <c r="BL357">
        <f t="shared" si="48"/>
        <v>19918</v>
      </c>
      <c r="BM357">
        <f t="shared" si="49"/>
        <v>9</v>
      </c>
      <c r="BN357">
        <f t="shared" si="50"/>
        <v>0</v>
      </c>
      <c r="BO357">
        <f t="shared" si="51"/>
        <v>0</v>
      </c>
      <c r="BP357">
        <f t="shared" si="52"/>
        <v>0</v>
      </c>
      <c r="BQ357" t="s">
        <v>203</v>
      </c>
      <c r="BR357" t="s">
        <v>140</v>
      </c>
      <c r="BS357" s="1">
        <v>33338</v>
      </c>
      <c r="BT357">
        <v>34</v>
      </c>
      <c r="BU357" t="s">
        <v>89</v>
      </c>
      <c r="BV357" t="s">
        <v>89</v>
      </c>
      <c r="BW357">
        <v>13</v>
      </c>
      <c r="BX357">
        <v>1991</v>
      </c>
      <c r="BY357">
        <v>13</v>
      </c>
      <c r="BZ357">
        <f t="shared" si="53"/>
        <v>-2</v>
      </c>
      <c r="CA357">
        <f t="shared" si="54"/>
        <v>0</v>
      </c>
      <c r="CB357" t="b">
        <f t="shared" si="55"/>
        <v>0</v>
      </c>
    </row>
    <row r="358" spans="1:80" x14ac:dyDescent="0.3">
      <c r="A358" t="s">
        <v>3310</v>
      </c>
      <c r="B358" t="s">
        <v>156</v>
      </c>
      <c r="C358" t="s">
        <v>3311</v>
      </c>
      <c r="D358">
        <v>28</v>
      </c>
      <c r="E358" t="s">
        <v>3312</v>
      </c>
      <c r="F358" t="s">
        <v>3313</v>
      </c>
      <c r="G358" t="s">
        <v>535</v>
      </c>
      <c r="H358" t="s">
        <v>177</v>
      </c>
      <c r="I358" t="s">
        <v>161</v>
      </c>
      <c r="J358" t="s">
        <v>78</v>
      </c>
      <c r="K358" t="s">
        <v>852</v>
      </c>
      <c r="L358" t="s">
        <v>762</v>
      </c>
      <c r="M358">
        <v>17</v>
      </c>
      <c r="N358" t="s">
        <v>181</v>
      </c>
      <c r="O358">
        <v>2014</v>
      </c>
      <c r="P358" t="s">
        <v>3314</v>
      </c>
      <c r="Q358" t="s">
        <v>3315</v>
      </c>
      <c r="R358">
        <v>321247</v>
      </c>
      <c r="S358" t="s">
        <v>3316</v>
      </c>
      <c r="T358" t="s">
        <v>3317</v>
      </c>
      <c r="U358">
        <v>1996</v>
      </c>
      <c r="V358" t="s">
        <v>3318</v>
      </c>
      <c r="W358">
        <v>1.72</v>
      </c>
      <c r="X358" t="s">
        <v>219</v>
      </c>
      <c r="Y358" t="s">
        <v>106</v>
      </c>
      <c r="Z358" t="s">
        <v>87</v>
      </c>
      <c r="AA358" t="s">
        <v>852</v>
      </c>
      <c r="AB358">
        <v>44203</v>
      </c>
      <c r="AC358" t="s">
        <v>88</v>
      </c>
      <c r="AD358" t="s">
        <v>89</v>
      </c>
      <c r="AE358">
        <v>42006</v>
      </c>
      <c r="AF358">
        <v>18</v>
      </c>
      <c r="AG358" t="s">
        <v>91</v>
      </c>
      <c r="AH358" t="s">
        <v>3319</v>
      </c>
      <c r="AI358">
        <v>19</v>
      </c>
      <c r="AJ358" t="s">
        <v>110</v>
      </c>
      <c r="AK358">
        <v>18</v>
      </c>
      <c r="AL358">
        <v>5</v>
      </c>
      <c r="AM358">
        <v>508</v>
      </c>
      <c r="AN358">
        <v>86</v>
      </c>
      <c r="AO358">
        <v>4</v>
      </c>
      <c r="AP358" t="s">
        <v>93</v>
      </c>
      <c r="AQ358" t="s">
        <v>89</v>
      </c>
      <c r="AR358" t="s">
        <v>89</v>
      </c>
      <c r="AS358" t="s">
        <v>93</v>
      </c>
      <c r="AT358" t="s">
        <v>89</v>
      </c>
      <c r="AU358" t="s">
        <v>89</v>
      </c>
      <c r="AV358" t="s">
        <v>89</v>
      </c>
      <c r="AW358">
        <v>11</v>
      </c>
      <c r="AX358">
        <v>10</v>
      </c>
      <c r="AY358" t="s">
        <v>111</v>
      </c>
      <c r="AZ358">
        <v>2</v>
      </c>
      <c r="BA358">
        <v>1</v>
      </c>
      <c r="BB358">
        <v>11</v>
      </c>
      <c r="BC358">
        <v>0</v>
      </c>
      <c r="BD358">
        <v>314</v>
      </c>
      <c r="BE358">
        <v>19411</v>
      </c>
      <c r="BF358">
        <v>47</v>
      </c>
      <c r="BG358" t="s">
        <v>89</v>
      </c>
      <c r="BH358">
        <v>315</v>
      </c>
      <c r="BI358">
        <v>19422</v>
      </c>
      <c r="BJ358">
        <v>47</v>
      </c>
      <c r="BK358">
        <f t="shared" si="47"/>
        <v>315</v>
      </c>
      <c r="BL358">
        <f t="shared" si="48"/>
        <v>19422</v>
      </c>
      <c r="BM358">
        <f t="shared" si="49"/>
        <v>47</v>
      </c>
      <c r="BN358">
        <f t="shared" si="50"/>
        <v>0</v>
      </c>
      <c r="BO358">
        <f t="shared" si="51"/>
        <v>0</v>
      </c>
      <c r="BP358">
        <f t="shared" si="52"/>
        <v>0</v>
      </c>
      <c r="BQ358" t="s">
        <v>106</v>
      </c>
      <c r="BR358" t="s">
        <v>112</v>
      </c>
      <c r="BS358" s="1">
        <v>35424</v>
      </c>
      <c r="BT358">
        <v>29</v>
      </c>
      <c r="BU358" t="s">
        <v>89</v>
      </c>
      <c r="BV358" t="s">
        <v>89</v>
      </c>
      <c r="BW358">
        <v>11</v>
      </c>
      <c r="BX358">
        <v>1996</v>
      </c>
      <c r="BY358">
        <v>10</v>
      </c>
      <c r="BZ358">
        <f t="shared" si="53"/>
        <v>0</v>
      </c>
      <c r="CA358">
        <f t="shared" si="54"/>
        <v>1</v>
      </c>
      <c r="CB358" t="b">
        <f t="shared" si="55"/>
        <v>1</v>
      </c>
    </row>
    <row r="359" spans="1:80" x14ac:dyDescent="0.3">
      <c r="A359" t="s">
        <v>3320</v>
      </c>
      <c r="B359" t="s">
        <v>156</v>
      </c>
      <c r="C359" t="s">
        <v>3321</v>
      </c>
      <c r="D359">
        <v>39</v>
      </c>
      <c r="E359" s="1">
        <v>31430</v>
      </c>
      <c r="F359" t="s">
        <v>89</v>
      </c>
      <c r="G359" t="s">
        <v>176</v>
      </c>
      <c r="H359" t="s">
        <v>177</v>
      </c>
      <c r="I359" t="s">
        <v>750</v>
      </c>
      <c r="J359" t="s">
        <v>89</v>
      </c>
      <c r="K359" t="s">
        <v>89</v>
      </c>
      <c r="L359" t="s">
        <v>180</v>
      </c>
      <c r="M359">
        <v>21</v>
      </c>
      <c r="N359" t="s">
        <v>892</v>
      </c>
      <c r="O359">
        <v>2007</v>
      </c>
      <c r="P359" t="s">
        <v>3322</v>
      </c>
      <c r="Q359" t="s">
        <v>3323</v>
      </c>
      <c r="R359">
        <v>30747</v>
      </c>
      <c r="S359" t="s">
        <v>3320</v>
      </c>
      <c r="T359" t="s">
        <v>3324</v>
      </c>
      <c r="U359">
        <v>1986</v>
      </c>
      <c r="V359" t="s">
        <v>3325</v>
      </c>
      <c r="W359">
        <v>1.78</v>
      </c>
      <c r="X359" t="s">
        <v>169</v>
      </c>
      <c r="Y359" t="s">
        <v>391</v>
      </c>
      <c r="Z359" t="s">
        <v>152</v>
      </c>
      <c r="AA359" t="s">
        <v>3326</v>
      </c>
      <c r="AB359">
        <v>44203</v>
      </c>
      <c r="AC359" t="s">
        <v>108</v>
      </c>
      <c r="AD359" t="s">
        <v>2571</v>
      </c>
      <c r="AE359" t="s">
        <v>3327</v>
      </c>
      <c r="AF359">
        <v>18</v>
      </c>
      <c r="AG359" t="s">
        <v>171</v>
      </c>
      <c r="AH359" t="s">
        <v>449</v>
      </c>
      <c r="AI359">
        <v>21</v>
      </c>
      <c r="AJ359" t="s">
        <v>110</v>
      </c>
      <c r="AK359">
        <v>18</v>
      </c>
      <c r="AL359">
        <v>2</v>
      </c>
      <c r="AM359">
        <v>49</v>
      </c>
      <c r="AN359">
        <v>8</v>
      </c>
      <c r="AO359">
        <v>2</v>
      </c>
      <c r="AP359" t="s">
        <v>93</v>
      </c>
      <c r="AQ359" t="s">
        <v>89</v>
      </c>
      <c r="AR359" t="s">
        <v>89</v>
      </c>
      <c r="AS359" t="s">
        <v>111</v>
      </c>
      <c r="AT359">
        <v>44203</v>
      </c>
      <c r="AU359">
        <v>2021</v>
      </c>
      <c r="AV359">
        <v>14</v>
      </c>
      <c r="AW359">
        <v>14</v>
      </c>
      <c r="AX359" t="s">
        <v>89</v>
      </c>
      <c r="AY359" t="s">
        <v>93</v>
      </c>
      <c r="AZ359">
        <v>0</v>
      </c>
      <c r="BA359">
        <v>0</v>
      </c>
      <c r="BB359">
        <v>0</v>
      </c>
      <c r="BC359">
        <v>0</v>
      </c>
      <c r="BD359">
        <v>306</v>
      </c>
      <c r="BE359">
        <v>22031</v>
      </c>
      <c r="BF359">
        <v>56</v>
      </c>
      <c r="BG359">
        <v>35</v>
      </c>
      <c r="BH359">
        <v>306</v>
      </c>
      <c r="BI359">
        <v>22031</v>
      </c>
      <c r="BJ359">
        <v>56</v>
      </c>
      <c r="BK359">
        <f t="shared" si="47"/>
        <v>306</v>
      </c>
      <c r="BL359">
        <f t="shared" si="48"/>
        <v>22031</v>
      </c>
      <c r="BM359">
        <f t="shared" si="49"/>
        <v>56</v>
      </c>
      <c r="BN359">
        <f t="shared" si="50"/>
        <v>0</v>
      </c>
      <c r="BO359">
        <f t="shared" si="51"/>
        <v>0</v>
      </c>
      <c r="BP359">
        <f t="shared" si="52"/>
        <v>0</v>
      </c>
      <c r="BQ359" t="s">
        <v>391</v>
      </c>
      <c r="BR359" t="s">
        <v>112</v>
      </c>
      <c r="BS359" s="1">
        <v>31430</v>
      </c>
      <c r="BT359">
        <v>40</v>
      </c>
      <c r="BU359">
        <v>44203</v>
      </c>
      <c r="BV359" t="s">
        <v>89</v>
      </c>
      <c r="BW359">
        <v>17</v>
      </c>
      <c r="BX359">
        <v>1986</v>
      </c>
      <c r="BY359">
        <v>17</v>
      </c>
      <c r="BZ359">
        <f t="shared" si="53"/>
        <v>-3</v>
      </c>
      <c r="CA359">
        <f t="shared" si="54"/>
        <v>0</v>
      </c>
      <c r="CB359" t="b">
        <f t="shared" si="55"/>
        <v>0</v>
      </c>
    </row>
    <row r="360" spans="1:80" x14ac:dyDescent="0.3">
      <c r="A360" t="s">
        <v>3328</v>
      </c>
      <c r="B360" t="s">
        <v>156</v>
      </c>
      <c r="C360" t="s">
        <v>3329</v>
      </c>
      <c r="D360">
        <v>36</v>
      </c>
      <c r="E360" s="1">
        <v>32515</v>
      </c>
      <c r="F360" t="s">
        <v>89</v>
      </c>
      <c r="G360" t="s">
        <v>321</v>
      </c>
      <c r="H360" t="s">
        <v>177</v>
      </c>
      <c r="I360" t="s">
        <v>375</v>
      </c>
      <c r="J360" t="s">
        <v>300</v>
      </c>
      <c r="K360" t="s">
        <v>89</v>
      </c>
      <c r="L360" t="s">
        <v>163</v>
      </c>
      <c r="M360">
        <v>17</v>
      </c>
      <c r="N360" t="s">
        <v>2647</v>
      </c>
      <c r="O360">
        <v>2006</v>
      </c>
      <c r="P360" t="s">
        <v>3330</v>
      </c>
      <c r="Q360" t="s">
        <v>3331</v>
      </c>
      <c r="R360">
        <v>45599</v>
      </c>
      <c r="S360" t="s">
        <v>3328</v>
      </c>
      <c r="T360">
        <v>32690</v>
      </c>
      <c r="U360">
        <v>1989</v>
      </c>
      <c r="V360" t="s">
        <v>982</v>
      </c>
      <c r="W360">
        <v>1.79</v>
      </c>
      <c r="X360" t="s">
        <v>219</v>
      </c>
      <c r="Y360" t="s">
        <v>203</v>
      </c>
      <c r="Z360" t="s">
        <v>152</v>
      </c>
      <c r="AA360" t="s">
        <v>1857</v>
      </c>
      <c r="AB360" s="1">
        <v>45292</v>
      </c>
      <c r="AC360" t="s">
        <v>108</v>
      </c>
      <c r="AD360" t="s">
        <v>223</v>
      </c>
      <c r="AE360" t="s">
        <v>3332</v>
      </c>
      <c r="AF360">
        <v>18</v>
      </c>
      <c r="AG360" t="s">
        <v>1653</v>
      </c>
      <c r="AH360" s="1">
        <v>42590</v>
      </c>
      <c r="AI360">
        <v>27</v>
      </c>
      <c r="AJ360" t="s">
        <v>250</v>
      </c>
      <c r="AK360">
        <v>18</v>
      </c>
      <c r="AL360">
        <v>7</v>
      </c>
      <c r="AM360">
        <v>171</v>
      </c>
      <c r="AN360">
        <v>30</v>
      </c>
      <c r="AO360">
        <v>4</v>
      </c>
      <c r="AP360" t="s">
        <v>93</v>
      </c>
      <c r="AQ360" t="s">
        <v>89</v>
      </c>
      <c r="AR360" t="s">
        <v>89</v>
      </c>
      <c r="AS360" t="s">
        <v>111</v>
      </c>
      <c r="AT360" s="1">
        <v>45292</v>
      </c>
      <c r="AU360">
        <v>2024</v>
      </c>
      <c r="AV360">
        <v>18</v>
      </c>
      <c r="AW360">
        <v>18</v>
      </c>
      <c r="AX360" t="s">
        <v>89</v>
      </c>
      <c r="AY360" t="s">
        <v>111</v>
      </c>
      <c r="AZ360">
        <v>2</v>
      </c>
      <c r="BA360">
        <v>1</v>
      </c>
      <c r="BB360">
        <v>11</v>
      </c>
      <c r="BC360">
        <v>0</v>
      </c>
      <c r="BD360">
        <v>400</v>
      </c>
      <c r="BE360">
        <v>33174</v>
      </c>
      <c r="BF360">
        <v>8</v>
      </c>
      <c r="BG360">
        <v>35</v>
      </c>
      <c r="BH360">
        <v>401</v>
      </c>
      <c r="BI360">
        <v>33185</v>
      </c>
      <c r="BJ360">
        <v>8</v>
      </c>
      <c r="BK360">
        <f t="shared" si="47"/>
        <v>401</v>
      </c>
      <c r="BL360">
        <f t="shared" si="48"/>
        <v>33185</v>
      </c>
      <c r="BM360">
        <f t="shared" si="49"/>
        <v>8</v>
      </c>
      <c r="BN360">
        <f t="shared" si="50"/>
        <v>0</v>
      </c>
      <c r="BO360">
        <f t="shared" si="51"/>
        <v>0</v>
      </c>
      <c r="BP360">
        <f t="shared" si="52"/>
        <v>0</v>
      </c>
      <c r="BQ360" t="s">
        <v>203</v>
      </c>
      <c r="BR360" t="s">
        <v>140</v>
      </c>
      <c r="BS360" t="s">
        <v>89</v>
      </c>
      <c r="BT360">
        <v>37</v>
      </c>
      <c r="BU360" s="1">
        <v>45292</v>
      </c>
      <c r="BV360" s="1">
        <v>45292</v>
      </c>
      <c r="BW360">
        <v>17</v>
      </c>
      <c r="BX360">
        <v>1989</v>
      </c>
      <c r="BY360">
        <v>17</v>
      </c>
      <c r="BZ360">
        <f t="shared" si="53"/>
        <v>1</v>
      </c>
      <c r="CA360">
        <f t="shared" si="54"/>
        <v>0</v>
      </c>
      <c r="CB360" t="b">
        <f t="shared" si="55"/>
        <v>0</v>
      </c>
    </row>
    <row r="361" spans="1:80" x14ac:dyDescent="0.3">
      <c r="A361" t="s">
        <v>3333</v>
      </c>
      <c r="B361" t="s">
        <v>729</v>
      </c>
      <c r="C361" t="s">
        <v>3334</v>
      </c>
      <c r="D361">
        <v>31</v>
      </c>
      <c r="E361" t="s">
        <v>3335</v>
      </c>
      <c r="F361" t="s">
        <v>2487</v>
      </c>
      <c r="G361" t="s">
        <v>226</v>
      </c>
      <c r="H361" t="s">
        <v>732</v>
      </c>
      <c r="I361" t="s">
        <v>227</v>
      </c>
      <c r="J361" t="s">
        <v>78</v>
      </c>
      <c r="K361" t="s">
        <v>3336</v>
      </c>
      <c r="L361" t="s">
        <v>762</v>
      </c>
      <c r="M361">
        <v>20</v>
      </c>
      <c r="N361" t="s">
        <v>3336</v>
      </c>
      <c r="O361">
        <v>2014</v>
      </c>
      <c r="P361" t="s">
        <v>3337</v>
      </c>
      <c r="Q361" t="s">
        <v>3338</v>
      </c>
      <c r="R361">
        <v>189458</v>
      </c>
      <c r="S361" t="s">
        <v>3333</v>
      </c>
      <c r="T361" t="s">
        <v>3339</v>
      </c>
      <c r="U361">
        <v>1994</v>
      </c>
      <c r="V361" t="s">
        <v>736</v>
      </c>
      <c r="W361">
        <v>1.84</v>
      </c>
      <c r="X361" t="s">
        <v>732</v>
      </c>
      <c r="Y361" t="s">
        <v>235</v>
      </c>
      <c r="Z361" t="s">
        <v>87</v>
      </c>
      <c r="AA361" t="s">
        <v>3340</v>
      </c>
      <c r="AB361" t="s">
        <v>2242</v>
      </c>
      <c r="AC361" t="s">
        <v>222</v>
      </c>
      <c r="AD361" t="s">
        <v>89</v>
      </c>
      <c r="AE361" s="1">
        <v>40974</v>
      </c>
      <c r="AF361">
        <v>18</v>
      </c>
      <c r="AG361" t="s">
        <v>3341</v>
      </c>
      <c r="AH361">
        <v>43017</v>
      </c>
      <c r="AI361">
        <v>23</v>
      </c>
      <c r="AJ361" t="s">
        <v>110</v>
      </c>
      <c r="AK361">
        <v>18</v>
      </c>
      <c r="AL361">
        <v>9</v>
      </c>
      <c r="AM361">
        <v>804</v>
      </c>
      <c r="AN361">
        <v>82</v>
      </c>
      <c r="AO361">
        <v>7</v>
      </c>
      <c r="AP361" t="s">
        <v>93</v>
      </c>
      <c r="AQ361" t="s">
        <v>89</v>
      </c>
      <c r="AR361" t="s">
        <v>89</v>
      </c>
      <c r="AS361" t="s">
        <v>93</v>
      </c>
      <c r="AT361" t="s">
        <v>89</v>
      </c>
      <c r="AU361" t="s">
        <v>89</v>
      </c>
      <c r="AV361" t="s">
        <v>89</v>
      </c>
      <c r="AW361">
        <v>11</v>
      </c>
      <c r="AX361">
        <v>2</v>
      </c>
      <c r="AY361" t="s">
        <v>111</v>
      </c>
      <c r="AZ361">
        <v>4</v>
      </c>
      <c r="BA361">
        <v>1</v>
      </c>
      <c r="BB361">
        <v>90</v>
      </c>
      <c r="BC361">
        <v>0</v>
      </c>
      <c r="BD361">
        <v>201</v>
      </c>
      <c r="BE361">
        <v>14980</v>
      </c>
      <c r="BF361">
        <v>8</v>
      </c>
      <c r="BG361" t="s">
        <v>89</v>
      </c>
      <c r="BH361">
        <v>202</v>
      </c>
      <c r="BI361">
        <v>15070</v>
      </c>
      <c r="BJ361">
        <v>8</v>
      </c>
      <c r="BK361">
        <f t="shared" si="47"/>
        <v>202</v>
      </c>
      <c r="BL361">
        <f t="shared" si="48"/>
        <v>15070</v>
      </c>
      <c r="BM361">
        <f t="shared" si="49"/>
        <v>8</v>
      </c>
      <c r="BN361">
        <f t="shared" si="50"/>
        <v>0</v>
      </c>
      <c r="BO361">
        <f t="shared" si="51"/>
        <v>0</v>
      </c>
      <c r="BP361">
        <f t="shared" si="52"/>
        <v>0</v>
      </c>
      <c r="BQ361" t="s">
        <v>235</v>
      </c>
      <c r="BR361" t="s">
        <v>140</v>
      </c>
      <c r="BS361" s="1">
        <v>34454</v>
      </c>
      <c r="BT361">
        <v>31</v>
      </c>
      <c r="BU361" t="s">
        <v>89</v>
      </c>
      <c r="BV361" t="s">
        <v>89</v>
      </c>
      <c r="BW361">
        <v>13</v>
      </c>
      <c r="BX361">
        <v>1994</v>
      </c>
      <c r="BY361">
        <v>13</v>
      </c>
      <c r="BZ361">
        <f t="shared" si="53"/>
        <v>-2</v>
      </c>
      <c r="CA361">
        <f t="shared" si="54"/>
        <v>0</v>
      </c>
      <c r="CB361" t="b">
        <f t="shared" si="55"/>
        <v>0</v>
      </c>
    </row>
    <row r="362" spans="1:80" x14ac:dyDescent="0.3">
      <c r="A362" t="s">
        <v>3342</v>
      </c>
      <c r="B362" t="s">
        <v>3343</v>
      </c>
      <c r="C362" t="s">
        <v>3344</v>
      </c>
      <c r="D362">
        <v>35</v>
      </c>
      <c r="E362" t="s">
        <v>3345</v>
      </c>
      <c r="F362" t="s">
        <v>3346</v>
      </c>
      <c r="G362" t="s">
        <v>75</v>
      </c>
      <c r="H362" t="s">
        <v>3347</v>
      </c>
      <c r="I362" t="s">
        <v>3348</v>
      </c>
      <c r="J362" t="s">
        <v>78</v>
      </c>
      <c r="K362" t="s">
        <v>970</v>
      </c>
      <c r="L362" t="s">
        <v>180</v>
      </c>
      <c r="M362">
        <v>17</v>
      </c>
      <c r="N362" t="s">
        <v>164</v>
      </c>
      <c r="O362">
        <v>2007</v>
      </c>
      <c r="P362" t="s">
        <v>3349</v>
      </c>
      <c r="Q362" t="s">
        <v>3350</v>
      </c>
      <c r="R362">
        <v>59558</v>
      </c>
      <c r="S362" t="s">
        <v>3342</v>
      </c>
      <c r="T362" t="s">
        <v>3351</v>
      </c>
      <c r="U362">
        <v>1989</v>
      </c>
      <c r="V362" t="s">
        <v>2526</v>
      </c>
      <c r="W362">
        <v>1.81</v>
      </c>
      <c r="X362" t="s">
        <v>3352</v>
      </c>
      <c r="Y362" t="s">
        <v>123</v>
      </c>
      <c r="Z362" t="s">
        <v>87</v>
      </c>
      <c r="AA362" t="s">
        <v>970</v>
      </c>
      <c r="AB362" s="1">
        <v>44568</v>
      </c>
      <c r="AC362" t="s">
        <v>170</v>
      </c>
      <c r="AD362" t="s">
        <v>89</v>
      </c>
      <c r="AE362">
        <v>39509</v>
      </c>
      <c r="AF362">
        <v>18</v>
      </c>
      <c r="AG362" t="s">
        <v>91</v>
      </c>
      <c r="AH362" s="1">
        <v>39638</v>
      </c>
      <c r="AI362">
        <v>18</v>
      </c>
      <c r="AJ362" t="s">
        <v>110</v>
      </c>
      <c r="AK362">
        <v>18</v>
      </c>
      <c r="AL362" t="s">
        <v>89</v>
      </c>
      <c r="AM362" t="s">
        <v>89</v>
      </c>
      <c r="AN362" t="s">
        <v>89</v>
      </c>
      <c r="AO362">
        <v>0</v>
      </c>
      <c r="AP362" t="s">
        <v>93</v>
      </c>
      <c r="AQ362" t="s">
        <v>89</v>
      </c>
      <c r="AR362" t="s">
        <v>89</v>
      </c>
      <c r="AS362" t="s">
        <v>93</v>
      </c>
      <c r="AT362" t="s">
        <v>89</v>
      </c>
      <c r="AU362" t="s">
        <v>89</v>
      </c>
      <c r="AV362" t="s">
        <v>89</v>
      </c>
      <c r="AW362">
        <v>18</v>
      </c>
      <c r="AX362">
        <v>7</v>
      </c>
      <c r="AY362" t="s">
        <v>111</v>
      </c>
      <c r="AZ362">
        <v>15</v>
      </c>
      <c r="BA362">
        <v>45</v>
      </c>
      <c r="BB362">
        <v>3728</v>
      </c>
      <c r="BC362">
        <v>26</v>
      </c>
      <c r="BD362">
        <v>333</v>
      </c>
      <c r="BE362">
        <v>23044</v>
      </c>
      <c r="BF362">
        <v>29</v>
      </c>
      <c r="BG362" t="s">
        <v>89</v>
      </c>
      <c r="BH362">
        <v>378</v>
      </c>
      <c r="BI362">
        <v>26772</v>
      </c>
      <c r="BJ362">
        <v>55</v>
      </c>
      <c r="BK362">
        <f t="shared" si="47"/>
        <v>378</v>
      </c>
      <c r="BL362">
        <f t="shared" si="48"/>
        <v>26772</v>
      </c>
      <c r="BM362">
        <f t="shared" si="49"/>
        <v>55</v>
      </c>
      <c r="BN362">
        <f t="shared" si="50"/>
        <v>0</v>
      </c>
      <c r="BO362">
        <f t="shared" si="51"/>
        <v>0</v>
      </c>
      <c r="BP362">
        <f t="shared" si="52"/>
        <v>0</v>
      </c>
      <c r="BQ362" t="s">
        <v>123</v>
      </c>
      <c r="BR362" t="s">
        <v>112</v>
      </c>
      <c r="BS362" s="1">
        <v>32781</v>
      </c>
      <c r="BT362">
        <v>36</v>
      </c>
      <c r="BU362" t="s">
        <v>89</v>
      </c>
      <c r="BV362" t="s">
        <v>89</v>
      </c>
      <c r="BW362">
        <v>18</v>
      </c>
      <c r="BX362">
        <v>1989</v>
      </c>
      <c r="BY362">
        <v>17</v>
      </c>
      <c r="BZ362">
        <f t="shared" si="53"/>
        <v>0</v>
      </c>
      <c r="CA362">
        <f t="shared" si="54"/>
        <v>1</v>
      </c>
      <c r="CB362" t="b">
        <f t="shared" si="55"/>
        <v>1</v>
      </c>
    </row>
    <row r="363" spans="1:80" x14ac:dyDescent="0.3">
      <c r="A363" t="s">
        <v>3353</v>
      </c>
      <c r="B363" t="s">
        <v>3354</v>
      </c>
      <c r="C363" t="s">
        <v>3355</v>
      </c>
      <c r="D363">
        <v>44</v>
      </c>
      <c r="E363" s="1">
        <v>29451</v>
      </c>
      <c r="F363" t="s">
        <v>89</v>
      </c>
      <c r="G363" t="s">
        <v>193</v>
      </c>
      <c r="H363" t="s">
        <v>3356</v>
      </c>
      <c r="I363" t="s">
        <v>227</v>
      </c>
      <c r="J363" t="s">
        <v>78</v>
      </c>
      <c r="K363" t="s">
        <v>89</v>
      </c>
      <c r="L363">
        <v>2004</v>
      </c>
      <c r="M363">
        <v>23</v>
      </c>
      <c r="N363" t="s">
        <v>3357</v>
      </c>
      <c r="O363">
        <v>2004</v>
      </c>
      <c r="P363" t="s">
        <v>3358</v>
      </c>
      <c r="Q363" t="s">
        <v>3359</v>
      </c>
      <c r="R363">
        <v>25812</v>
      </c>
      <c r="S363" t="s">
        <v>3360</v>
      </c>
      <c r="T363" t="s">
        <v>3361</v>
      </c>
      <c r="U363">
        <v>1980</v>
      </c>
      <c r="V363" t="s">
        <v>3362</v>
      </c>
      <c r="W363">
        <v>1.86</v>
      </c>
      <c r="X363" t="s">
        <v>3363</v>
      </c>
      <c r="Y363" t="s">
        <v>235</v>
      </c>
      <c r="Z363" t="s">
        <v>87</v>
      </c>
      <c r="AA363" t="s">
        <v>3364</v>
      </c>
      <c r="AB363" t="s">
        <v>3365</v>
      </c>
      <c r="AC363" t="s">
        <v>108</v>
      </c>
      <c r="AD363" t="s">
        <v>442</v>
      </c>
      <c r="AE363" t="s">
        <v>3366</v>
      </c>
      <c r="AF363">
        <v>23</v>
      </c>
      <c r="AG363" t="s">
        <v>1742</v>
      </c>
      <c r="AH363" t="s">
        <v>92</v>
      </c>
      <c r="AI363" t="s">
        <v>89</v>
      </c>
      <c r="AJ363" t="s">
        <v>92</v>
      </c>
      <c r="AK363">
        <v>23</v>
      </c>
      <c r="AL363">
        <v>13</v>
      </c>
      <c r="AM363">
        <v>142</v>
      </c>
      <c r="AN363">
        <v>18</v>
      </c>
      <c r="AO363">
        <v>4</v>
      </c>
      <c r="AP363" t="s">
        <v>93</v>
      </c>
      <c r="AQ363" t="s">
        <v>89</v>
      </c>
      <c r="AR363" t="s">
        <v>89</v>
      </c>
      <c r="AS363" t="s">
        <v>111</v>
      </c>
      <c r="AT363" t="s">
        <v>3365</v>
      </c>
      <c r="AU363">
        <v>2017</v>
      </c>
      <c r="AV363">
        <v>13</v>
      </c>
      <c r="AW363">
        <v>21</v>
      </c>
      <c r="AX363" t="s">
        <v>89</v>
      </c>
      <c r="AY363" t="s">
        <v>111</v>
      </c>
      <c r="AZ363">
        <v>12</v>
      </c>
      <c r="BA363">
        <v>63</v>
      </c>
      <c r="BB363">
        <v>5286</v>
      </c>
      <c r="BC363">
        <v>5</v>
      </c>
      <c r="BD363">
        <v>324</v>
      </c>
      <c r="BE363">
        <v>27871</v>
      </c>
      <c r="BF363">
        <v>17</v>
      </c>
      <c r="BG363">
        <v>37</v>
      </c>
      <c r="BH363">
        <v>387</v>
      </c>
      <c r="BI363">
        <v>33157</v>
      </c>
      <c r="BJ363">
        <v>22</v>
      </c>
      <c r="BK363">
        <f t="shared" si="47"/>
        <v>387</v>
      </c>
      <c r="BL363">
        <f t="shared" si="48"/>
        <v>33157</v>
      </c>
      <c r="BM363">
        <f t="shared" si="49"/>
        <v>22</v>
      </c>
      <c r="BN363">
        <f t="shared" si="50"/>
        <v>0</v>
      </c>
      <c r="BO363">
        <f t="shared" si="51"/>
        <v>0</v>
      </c>
      <c r="BP363">
        <f t="shared" si="52"/>
        <v>0</v>
      </c>
      <c r="BQ363" t="s">
        <v>235</v>
      </c>
      <c r="BR363" t="s">
        <v>140</v>
      </c>
      <c r="BS363" t="s">
        <v>89</v>
      </c>
      <c r="BT363">
        <v>46</v>
      </c>
      <c r="BU363" t="s">
        <v>3365</v>
      </c>
      <c r="BV363" s="1">
        <v>42766</v>
      </c>
      <c r="BW363">
        <v>14</v>
      </c>
      <c r="BX363">
        <v>1980</v>
      </c>
      <c r="BY363">
        <v>14</v>
      </c>
      <c r="BZ363">
        <f t="shared" si="53"/>
        <v>7</v>
      </c>
      <c r="CA363">
        <f t="shared" si="54"/>
        <v>0</v>
      </c>
      <c r="CB363" t="b">
        <f t="shared" si="55"/>
        <v>0</v>
      </c>
    </row>
    <row r="364" spans="1:80" x14ac:dyDescent="0.3">
      <c r="A364" t="s">
        <v>3367</v>
      </c>
      <c r="B364" t="s">
        <v>3368</v>
      </c>
      <c r="C364" t="s">
        <v>3369</v>
      </c>
      <c r="D364">
        <v>41</v>
      </c>
      <c r="E364" s="1">
        <v>30738</v>
      </c>
      <c r="F364" t="s">
        <v>89</v>
      </c>
      <c r="G364" t="s">
        <v>334</v>
      </c>
      <c r="H364" t="s">
        <v>3370</v>
      </c>
      <c r="I364" t="s">
        <v>437</v>
      </c>
      <c r="J364" t="s">
        <v>78</v>
      </c>
      <c r="K364" t="s">
        <v>89</v>
      </c>
      <c r="L364" t="s">
        <v>99</v>
      </c>
      <c r="M364">
        <v>17</v>
      </c>
      <c r="N364" t="s">
        <v>3371</v>
      </c>
      <c r="O364">
        <v>2001</v>
      </c>
      <c r="P364" t="s">
        <v>3372</v>
      </c>
      <c r="Q364" t="s">
        <v>3373</v>
      </c>
      <c r="R364">
        <v>8883</v>
      </c>
      <c r="S364" t="s">
        <v>3367</v>
      </c>
      <c r="T364" t="s">
        <v>3167</v>
      </c>
      <c r="U364">
        <v>1984</v>
      </c>
      <c r="V364" t="s">
        <v>3374</v>
      </c>
      <c r="W364">
        <v>1.92</v>
      </c>
      <c r="X364" t="s">
        <v>3375</v>
      </c>
      <c r="Y364" t="s">
        <v>123</v>
      </c>
      <c r="Z364" t="s">
        <v>87</v>
      </c>
      <c r="AA364" t="s">
        <v>3376</v>
      </c>
      <c r="AB364" t="s">
        <v>3377</v>
      </c>
      <c r="AC364" t="s">
        <v>108</v>
      </c>
      <c r="AD364" t="s">
        <v>89</v>
      </c>
      <c r="AE364" t="s">
        <v>3378</v>
      </c>
      <c r="AF364">
        <v>17</v>
      </c>
      <c r="AG364" t="s">
        <v>206</v>
      </c>
      <c r="AH364" s="1">
        <v>37323</v>
      </c>
      <c r="AI364">
        <v>18</v>
      </c>
      <c r="AJ364" t="s">
        <v>1044</v>
      </c>
      <c r="AK364">
        <v>17</v>
      </c>
      <c r="AL364">
        <v>19</v>
      </c>
      <c r="AM364">
        <v>214</v>
      </c>
      <c r="AN364">
        <v>43</v>
      </c>
      <c r="AO364">
        <v>8</v>
      </c>
      <c r="AP364" t="s">
        <v>93</v>
      </c>
      <c r="AQ364" t="s">
        <v>89</v>
      </c>
      <c r="AR364" t="s">
        <v>89</v>
      </c>
      <c r="AS364" t="s">
        <v>111</v>
      </c>
      <c r="AT364" t="s">
        <v>3377</v>
      </c>
      <c r="AU364">
        <v>2023</v>
      </c>
      <c r="AV364">
        <v>22</v>
      </c>
      <c r="AW364">
        <v>22</v>
      </c>
      <c r="AX364" t="s">
        <v>89</v>
      </c>
      <c r="AY364" t="s">
        <v>111</v>
      </c>
      <c r="AZ364">
        <v>9</v>
      </c>
      <c r="BA364">
        <v>30</v>
      </c>
      <c r="BB364">
        <v>2491</v>
      </c>
      <c r="BC364">
        <v>4</v>
      </c>
      <c r="BD364">
        <v>488</v>
      </c>
      <c r="BE364">
        <v>34536</v>
      </c>
      <c r="BF364">
        <v>171</v>
      </c>
      <c r="BG364">
        <v>39</v>
      </c>
      <c r="BH364">
        <v>518</v>
      </c>
      <c r="BI364">
        <v>37027</v>
      </c>
      <c r="BJ364">
        <v>175</v>
      </c>
      <c r="BK364">
        <f t="shared" si="47"/>
        <v>518</v>
      </c>
      <c r="BL364">
        <f t="shared" si="48"/>
        <v>37027</v>
      </c>
      <c r="BM364">
        <f t="shared" si="49"/>
        <v>175</v>
      </c>
      <c r="BN364">
        <f t="shared" si="50"/>
        <v>0</v>
      </c>
      <c r="BO364">
        <f t="shared" si="51"/>
        <v>0</v>
      </c>
      <c r="BP364">
        <f t="shared" si="52"/>
        <v>0</v>
      </c>
      <c r="BQ364" t="s">
        <v>123</v>
      </c>
      <c r="BR364" t="s">
        <v>112</v>
      </c>
      <c r="BS364" s="1">
        <v>30738</v>
      </c>
      <c r="BT364">
        <v>41</v>
      </c>
      <c r="BU364" t="s">
        <v>3377</v>
      </c>
      <c r="BV364" s="1">
        <v>45005</v>
      </c>
      <c r="BW364">
        <v>22</v>
      </c>
      <c r="BX364">
        <v>1984</v>
      </c>
      <c r="BY364">
        <v>22</v>
      </c>
      <c r="BZ364">
        <f t="shared" si="53"/>
        <v>0</v>
      </c>
      <c r="CA364">
        <f t="shared" si="54"/>
        <v>0</v>
      </c>
      <c r="CB364" t="b">
        <f t="shared" si="55"/>
        <v>1</v>
      </c>
    </row>
    <row r="365" spans="1:80" x14ac:dyDescent="0.3">
      <c r="A365" t="s">
        <v>3379</v>
      </c>
      <c r="B365" t="s">
        <v>1461</v>
      </c>
      <c r="C365" t="s">
        <v>3380</v>
      </c>
      <c r="D365">
        <v>44</v>
      </c>
      <c r="E365" s="1">
        <v>29471</v>
      </c>
      <c r="F365" t="s">
        <v>89</v>
      </c>
      <c r="G365" t="s">
        <v>1289</v>
      </c>
      <c r="H365" t="s">
        <v>1463</v>
      </c>
      <c r="I365" t="s">
        <v>253</v>
      </c>
      <c r="J365" t="s">
        <v>300</v>
      </c>
      <c r="K365" t="s">
        <v>89</v>
      </c>
      <c r="L365" t="s">
        <v>99</v>
      </c>
      <c r="M365">
        <v>20</v>
      </c>
      <c r="N365" t="s">
        <v>3381</v>
      </c>
      <c r="O365">
        <v>2001</v>
      </c>
      <c r="P365" t="s">
        <v>3382</v>
      </c>
      <c r="Q365" t="s">
        <v>3383</v>
      </c>
      <c r="R365">
        <v>5782</v>
      </c>
      <c r="S365" t="s">
        <v>3379</v>
      </c>
      <c r="T365" s="1">
        <v>29411</v>
      </c>
      <c r="U365">
        <v>1980</v>
      </c>
      <c r="V365" t="s">
        <v>1468</v>
      </c>
      <c r="W365">
        <v>1.7</v>
      </c>
      <c r="X365" t="s">
        <v>1469</v>
      </c>
      <c r="Y365" t="s">
        <v>86</v>
      </c>
      <c r="Z365" t="s">
        <v>152</v>
      </c>
      <c r="AA365" t="s">
        <v>3029</v>
      </c>
      <c r="AB365" t="s">
        <v>3384</v>
      </c>
      <c r="AC365" t="s">
        <v>108</v>
      </c>
      <c r="AD365" t="s">
        <v>223</v>
      </c>
      <c r="AE365" t="s">
        <v>3385</v>
      </c>
      <c r="AF365">
        <v>16</v>
      </c>
      <c r="AG365" t="s">
        <v>1472</v>
      </c>
      <c r="AH365" t="s">
        <v>92</v>
      </c>
      <c r="AI365" t="s">
        <v>89</v>
      </c>
      <c r="AJ365" t="s">
        <v>92</v>
      </c>
      <c r="AK365">
        <v>16</v>
      </c>
      <c r="AL365">
        <v>56</v>
      </c>
      <c r="AM365">
        <v>1003</v>
      </c>
      <c r="AN365">
        <v>181</v>
      </c>
      <c r="AO365">
        <v>18</v>
      </c>
      <c r="AP365" t="s">
        <v>93</v>
      </c>
      <c r="AQ365" t="s">
        <v>89</v>
      </c>
      <c r="AR365" t="s">
        <v>89</v>
      </c>
      <c r="AS365" t="s">
        <v>111</v>
      </c>
      <c r="AT365" t="s">
        <v>3384</v>
      </c>
      <c r="AU365">
        <v>2020</v>
      </c>
      <c r="AV365">
        <v>19</v>
      </c>
      <c r="AW365">
        <v>19</v>
      </c>
      <c r="AX365" t="s">
        <v>89</v>
      </c>
      <c r="AY365" t="s">
        <v>111</v>
      </c>
      <c r="AZ365">
        <v>12</v>
      </c>
      <c r="BA365">
        <v>53</v>
      </c>
      <c r="BB365">
        <v>4023</v>
      </c>
      <c r="BC365">
        <v>5</v>
      </c>
      <c r="BD365">
        <v>506</v>
      </c>
      <c r="BE365">
        <v>35088</v>
      </c>
      <c r="BF365">
        <v>53</v>
      </c>
      <c r="BG365">
        <v>40</v>
      </c>
      <c r="BH365">
        <v>559</v>
      </c>
      <c r="BI365">
        <v>39111</v>
      </c>
      <c r="BJ365">
        <v>58</v>
      </c>
      <c r="BK365">
        <f t="shared" si="47"/>
        <v>559</v>
      </c>
      <c r="BL365">
        <f t="shared" si="48"/>
        <v>39111</v>
      </c>
      <c r="BM365">
        <f t="shared" si="49"/>
        <v>58</v>
      </c>
      <c r="BN365">
        <f t="shared" si="50"/>
        <v>0</v>
      </c>
      <c r="BO365">
        <f t="shared" si="51"/>
        <v>0</v>
      </c>
      <c r="BP365">
        <f t="shared" si="52"/>
        <v>0</v>
      </c>
      <c r="BQ365" t="s">
        <v>86</v>
      </c>
      <c r="BR365" t="s">
        <v>94</v>
      </c>
      <c r="BS365" s="1">
        <v>29471</v>
      </c>
      <c r="BT365">
        <v>45</v>
      </c>
      <c r="BU365" t="s">
        <v>3384</v>
      </c>
      <c r="BV365" s="1">
        <v>44058</v>
      </c>
      <c r="BW365">
        <v>24</v>
      </c>
      <c r="BX365">
        <v>1980</v>
      </c>
      <c r="BY365">
        <v>24</v>
      </c>
      <c r="BZ365">
        <f t="shared" si="53"/>
        <v>-5</v>
      </c>
      <c r="CA365">
        <f t="shared" si="54"/>
        <v>0</v>
      </c>
      <c r="CB365" t="b">
        <f t="shared" si="55"/>
        <v>0</v>
      </c>
    </row>
    <row r="366" spans="1:80" x14ac:dyDescent="0.3">
      <c r="A366" t="s">
        <v>3386</v>
      </c>
      <c r="B366" t="s">
        <v>71</v>
      </c>
      <c r="C366" t="s">
        <v>3387</v>
      </c>
      <c r="D366">
        <v>36</v>
      </c>
      <c r="E366" s="1">
        <v>32491</v>
      </c>
      <c r="F366" t="s">
        <v>89</v>
      </c>
      <c r="G366" t="s">
        <v>115</v>
      </c>
      <c r="H366" t="s">
        <v>89</v>
      </c>
      <c r="I366" t="s">
        <v>348</v>
      </c>
      <c r="J366" t="s">
        <v>78</v>
      </c>
      <c r="K366" t="s">
        <v>89</v>
      </c>
      <c r="L366" t="s">
        <v>130</v>
      </c>
      <c r="M366">
        <v>19</v>
      </c>
      <c r="N366" t="s">
        <v>137</v>
      </c>
      <c r="O366">
        <v>2008</v>
      </c>
      <c r="P366" t="s">
        <v>3388</v>
      </c>
      <c r="Q366" t="s">
        <v>3389</v>
      </c>
      <c r="R366">
        <v>89313</v>
      </c>
      <c r="S366" t="s">
        <v>3386</v>
      </c>
      <c r="T366" t="s">
        <v>3390</v>
      </c>
      <c r="U366">
        <v>1988</v>
      </c>
      <c r="V366" t="s">
        <v>795</v>
      </c>
      <c r="W366">
        <v>1.82</v>
      </c>
      <c r="X366" t="s">
        <v>76</v>
      </c>
      <c r="Y366" t="s">
        <v>136</v>
      </c>
      <c r="Z366" t="s">
        <v>87</v>
      </c>
      <c r="AA366" t="s">
        <v>3391</v>
      </c>
      <c r="AB366" s="1">
        <v>44568</v>
      </c>
      <c r="AC366" t="s">
        <v>108</v>
      </c>
      <c r="AD366" t="s">
        <v>89</v>
      </c>
      <c r="AE366" t="s">
        <v>3392</v>
      </c>
      <c r="AF366">
        <v>20</v>
      </c>
      <c r="AG366" t="s">
        <v>91</v>
      </c>
      <c r="AH366" t="s">
        <v>2396</v>
      </c>
      <c r="AI366">
        <v>24</v>
      </c>
      <c r="AJ366" t="s">
        <v>110</v>
      </c>
      <c r="AK366">
        <v>20</v>
      </c>
      <c r="AL366">
        <v>3</v>
      </c>
      <c r="AM366">
        <v>189</v>
      </c>
      <c r="AN366">
        <v>27</v>
      </c>
      <c r="AO366">
        <v>3</v>
      </c>
      <c r="AP366" t="s">
        <v>93</v>
      </c>
      <c r="AQ366" t="s">
        <v>89</v>
      </c>
      <c r="AR366" t="s">
        <v>89</v>
      </c>
      <c r="AS366" t="s">
        <v>111</v>
      </c>
      <c r="AT366" s="1">
        <v>44568</v>
      </c>
      <c r="AU366">
        <v>2022</v>
      </c>
      <c r="AV366">
        <v>14</v>
      </c>
      <c r="AW366">
        <v>14</v>
      </c>
      <c r="AX366" t="s">
        <v>89</v>
      </c>
      <c r="AY366" t="s">
        <v>93</v>
      </c>
      <c r="AZ366">
        <v>0</v>
      </c>
      <c r="BA366">
        <v>0</v>
      </c>
      <c r="BB366">
        <v>0</v>
      </c>
      <c r="BC366">
        <v>0</v>
      </c>
      <c r="BD366">
        <v>187</v>
      </c>
      <c r="BE366">
        <v>14829</v>
      </c>
      <c r="BF366">
        <v>3</v>
      </c>
      <c r="BG366">
        <v>34</v>
      </c>
      <c r="BH366">
        <v>187</v>
      </c>
      <c r="BI366">
        <v>14829</v>
      </c>
      <c r="BJ366">
        <v>3</v>
      </c>
      <c r="BK366">
        <f t="shared" si="47"/>
        <v>187</v>
      </c>
      <c r="BL366">
        <f t="shared" si="48"/>
        <v>14829</v>
      </c>
      <c r="BM366">
        <f t="shared" si="49"/>
        <v>3</v>
      </c>
      <c r="BN366">
        <f t="shared" si="50"/>
        <v>0</v>
      </c>
      <c r="BO366">
        <f t="shared" si="51"/>
        <v>0</v>
      </c>
      <c r="BP366">
        <f t="shared" si="52"/>
        <v>0</v>
      </c>
      <c r="BQ366" t="s">
        <v>136</v>
      </c>
      <c r="BR366" t="s">
        <v>140</v>
      </c>
      <c r="BS366" s="1">
        <v>32491</v>
      </c>
      <c r="BT366">
        <v>37</v>
      </c>
      <c r="BU366" s="1">
        <v>44568</v>
      </c>
      <c r="BV366" s="1">
        <v>44743</v>
      </c>
      <c r="BW366">
        <v>14</v>
      </c>
      <c r="BX366">
        <v>1988</v>
      </c>
      <c r="BY366">
        <v>14</v>
      </c>
      <c r="BZ366">
        <f t="shared" si="53"/>
        <v>0</v>
      </c>
      <c r="CA366">
        <f t="shared" si="54"/>
        <v>0</v>
      </c>
      <c r="CB366" t="b">
        <f t="shared" si="55"/>
        <v>1</v>
      </c>
    </row>
    <row r="367" spans="1:80" x14ac:dyDescent="0.3">
      <c r="A367" t="s">
        <v>3393</v>
      </c>
      <c r="B367" t="s">
        <v>71</v>
      </c>
      <c r="C367" t="s">
        <v>3394</v>
      </c>
      <c r="D367">
        <v>30</v>
      </c>
      <c r="E367" s="1">
        <v>34863</v>
      </c>
      <c r="F367" t="s">
        <v>89</v>
      </c>
      <c r="G367" t="s">
        <v>143</v>
      </c>
      <c r="H367" t="s">
        <v>89</v>
      </c>
      <c r="I367" t="s">
        <v>750</v>
      </c>
      <c r="J367" t="s">
        <v>300</v>
      </c>
      <c r="K367" t="s">
        <v>89</v>
      </c>
      <c r="L367" t="s">
        <v>762</v>
      </c>
      <c r="M367">
        <v>19</v>
      </c>
      <c r="N367" t="s">
        <v>1365</v>
      </c>
      <c r="O367">
        <v>2014</v>
      </c>
      <c r="P367" t="s">
        <v>3395</v>
      </c>
      <c r="Q367" t="s">
        <v>3396</v>
      </c>
      <c r="R367">
        <v>289241</v>
      </c>
      <c r="S367" t="s">
        <v>3393</v>
      </c>
      <c r="T367" t="s">
        <v>3397</v>
      </c>
      <c r="U367">
        <v>1995</v>
      </c>
      <c r="V367" t="s">
        <v>3398</v>
      </c>
      <c r="W367">
        <v>1.67</v>
      </c>
      <c r="X367" t="s">
        <v>76</v>
      </c>
      <c r="Y367" t="s">
        <v>106</v>
      </c>
      <c r="Z367" t="s">
        <v>152</v>
      </c>
      <c r="AA367" t="s">
        <v>236</v>
      </c>
      <c r="AB367" s="1">
        <v>45298</v>
      </c>
      <c r="AC367" t="s">
        <v>170</v>
      </c>
      <c r="AD367" t="s">
        <v>89</v>
      </c>
      <c r="AE367">
        <v>42009</v>
      </c>
      <c r="AF367">
        <v>19</v>
      </c>
      <c r="AG367" t="s">
        <v>91</v>
      </c>
      <c r="AH367" t="s">
        <v>1108</v>
      </c>
      <c r="AI367">
        <v>21</v>
      </c>
      <c r="AJ367" t="s">
        <v>110</v>
      </c>
      <c r="AK367">
        <v>19</v>
      </c>
      <c r="AL367">
        <v>2</v>
      </c>
      <c r="AM367">
        <v>187</v>
      </c>
      <c r="AN367">
        <v>17</v>
      </c>
      <c r="AO367">
        <v>2</v>
      </c>
      <c r="AP367" t="s">
        <v>93</v>
      </c>
      <c r="AQ367" t="s">
        <v>89</v>
      </c>
      <c r="AR367" t="s">
        <v>89</v>
      </c>
      <c r="AS367" t="s">
        <v>93</v>
      </c>
      <c r="AT367" t="s">
        <v>89</v>
      </c>
      <c r="AU367" t="s">
        <v>89</v>
      </c>
      <c r="AV367" t="s">
        <v>89</v>
      </c>
      <c r="AW367">
        <v>11</v>
      </c>
      <c r="AX367">
        <v>19</v>
      </c>
      <c r="AY367" t="s">
        <v>93</v>
      </c>
      <c r="AZ367">
        <v>0</v>
      </c>
      <c r="BA367">
        <v>0</v>
      </c>
      <c r="BB367">
        <v>0</v>
      </c>
      <c r="BC367">
        <v>0</v>
      </c>
      <c r="BD367">
        <v>83</v>
      </c>
      <c r="BE367">
        <v>3810</v>
      </c>
      <c r="BF367">
        <v>2</v>
      </c>
      <c r="BG367" t="s">
        <v>89</v>
      </c>
      <c r="BH367">
        <v>83</v>
      </c>
      <c r="BI367">
        <v>3810</v>
      </c>
      <c r="BJ367">
        <v>2</v>
      </c>
      <c r="BK367">
        <f t="shared" si="47"/>
        <v>83</v>
      </c>
      <c r="BL367">
        <f t="shared" si="48"/>
        <v>3810</v>
      </c>
      <c r="BM367">
        <f t="shared" si="49"/>
        <v>2</v>
      </c>
      <c r="BN367">
        <f t="shared" si="50"/>
        <v>0</v>
      </c>
      <c r="BO367">
        <f t="shared" si="51"/>
        <v>0</v>
      </c>
      <c r="BP367">
        <f t="shared" si="52"/>
        <v>0</v>
      </c>
      <c r="BQ367" t="s">
        <v>106</v>
      </c>
      <c r="BR367" t="s">
        <v>112</v>
      </c>
      <c r="BS367" s="1">
        <v>34863</v>
      </c>
      <c r="BT367">
        <v>30</v>
      </c>
      <c r="BU367" t="s">
        <v>89</v>
      </c>
      <c r="BV367" t="s">
        <v>89</v>
      </c>
      <c r="BW367">
        <v>11</v>
      </c>
      <c r="BX367">
        <v>1995</v>
      </c>
      <c r="BY367">
        <v>11</v>
      </c>
      <c r="BZ367">
        <f t="shared" si="53"/>
        <v>0</v>
      </c>
      <c r="CA367">
        <f t="shared" si="54"/>
        <v>0</v>
      </c>
      <c r="CB367" t="b">
        <f t="shared" si="55"/>
        <v>1</v>
      </c>
    </row>
    <row r="368" spans="1:80" x14ac:dyDescent="0.3">
      <c r="A368" t="s">
        <v>3399</v>
      </c>
      <c r="B368" t="s">
        <v>71</v>
      </c>
      <c r="C368" t="s">
        <v>3400</v>
      </c>
      <c r="D368">
        <v>34</v>
      </c>
      <c r="E368" t="s">
        <v>3401</v>
      </c>
      <c r="F368" t="s">
        <v>1180</v>
      </c>
      <c r="G368" t="s">
        <v>226</v>
      </c>
      <c r="H368" t="s">
        <v>89</v>
      </c>
      <c r="I368" t="s">
        <v>195</v>
      </c>
      <c r="J368" t="s">
        <v>89</v>
      </c>
      <c r="K368" t="s">
        <v>3402</v>
      </c>
      <c r="L368" t="s">
        <v>278</v>
      </c>
      <c r="M368">
        <v>20</v>
      </c>
      <c r="N368" t="s">
        <v>820</v>
      </c>
      <c r="O368">
        <v>2011</v>
      </c>
      <c r="P368" t="s">
        <v>3403</v>
      </c>
      <c r="Q368" t="s">
        <v>3404</v>
      </c>
      <c r="R368">
        <v>158792</v>
      </c>
      <c r="S368" t="s">
        <v>3399</v>
      </c>
      <c r="T368" t="s">
        <v>3405</v>
      </c>
      <c r="U368">
        <v>1990</v>
      </c>
      <c r="V368" t="s">
        <v>3406</v>
      </c>
      <c r="W368">
        <v>1.87</v>
      </c>
      <c r="X368" t="s">
        <v>76</v>
      </c>
      <c r="Y368" t="s">
        <v>235</v>
      </c>
      <c r="Z368" t="s">
        <v>152</v>
      </c>
      <c r="AA368" t="s">
        <v>807</v>
      </c>
      <c r="AB368" t="s">
        <v>3407</v>
      </c>
      <c r="AC368" t="s">
        <v>170</v>
      </c>
      <c r="AD368" t="s">
        <v>89</v>
      </c>
      <c r="AE368" s="1">
        <v>40705</v>
      </c>
      <c r="AF368">
        <v>21</v>
      </c>
      <c r="AG368" t="s">
        <v>91</v>
      </c>
      <c r="AH368" t="s">
        <v>90</v>
      </c>
      <c r="AI368">
        <v>21</v>
      </c>
      <c r="AJ368" t="s">
        <v>110</v>
      </c>
      <c r="AK368">
        <v>21</v>
      </c>
      <c r="AL368">
        <v>4</v>
      </c>
      <c r="AM368">
        <v>229</v>
      </c>
      <c r="AN368">
        <v>25</v>
      </c>
      <c r="AO368">
        <v>3</v>
      </c>
      <c r="AP368" t="s">
        <v>93</v>
      </c>
      <c r="AQ368" t="s">
        <v>89</v>
      </c>
      <c r="AR368" t="s">
        <v>89</v>
      </c>
      <c r="AS368" t="s">
        <v>93</v>
      </c>
      <c r="AT368" t="s">
        <v>89</v>
      </c>
      <c r="AU368" t="s">
        <v>89</v>
      </c>
      <c r="AV368" t="s">
        <v>89</v>
      </c>
      <c r="AW368">
        <v>14</v>
      </c>
      <c r="AX368">
        <v>3</v>
      </c>
      <c r="AY368" t="s">
        <v>93</v>
      </c>
      <c r="AZ368">
        <v>0</v>
      </c>
      <c r="BA368">
        <v>0</v>
      </c>
      <c r="BB368">
        <v>0</v>
      </c>
      <c r="BC368">
        <v>0</v>
      </c>
      <c r="BD368">
        <v>83</v>
      </c>
      <c r="BE368">
        <v>6852</v>
      </c>
      <c r="BF368">
        <v>2</v>
      </c>
      <c r="BG368" t="s">
        <v>89</v>
      </c>
      <c r="BH368">
        <v>83</v>
      </c>
      <c r="BI368">
        <v>6852</v>
      </c>
      <c r="BJ368">
        <v>2</v>
      </c>
      <c r="BK368">
        <f t="shared" si="47"/>
        <v>83</v>
      </c>
      <c r="BL368">
        <f t="shared" si="48"/>
        <v>6852</v>
      </c>
      <c r="BM368">
        <f t="shared" si="49"/>
        <v>2</v>
      </c>
      <c r="BN368">
        <f t="shared" si="50"/>
        <v>0</v>
      </c>
      <c r="BO368">
        <f t="shared" si="51"/>
        <v>0</v>
      </c>
      <c r="BP368">
        <f t="shared" si="52"/>
        <v>0</v>
      </c>
      <c r="BQ368" t="s">
        <v>235</v>
      </c>
      <c r="BR368" t="s">
        <v>140</v>
      </c>
      <c r="BS368" s="1">
        <v>33141</v>
      </c>
      <c r="BT368">
        <v>35</v>
      </c>
      <c r="BU368" t="s">
        <v>89</v>
      </c>
      <c r="BV368" t="s">
        <v>89</v>
      </c>
      <c r="BW368">
        <v>14</v>
      </c>
      <c r="BX368">
        <v>1990</v>
      </c>
      <c r="BY368">
        <v>13</v>
      </c>
      <c r="BZ368">
        <f t="shared" si="53"/>
        <v>0</v>
      </c>
      <c r="CA368">
        <f t="shared" si="54"/>
        <v>1</v>
      </c>
      <c r="CB368" t="b">
        <f t="shared" si="55"/>
        <v>1</v>
      </c>
    </row>
    <row r="369" spans="1:80" x14ac:dyDescent="0.3">
      <c r="A369" t="s">
        <v>3408</v>
      </c>
      <c r="B369" t="s">
        <v>71</v>
      </c>
      <c r="C369" t="s">
        <v>3409</v>
      </c>
      <c r="D369">
        <v>33</v>
      </c>
      <c r="E369" t="s">
        <v>3410</v>
      </c>
      <c r="F369" t="s">
        <v>2802</v>
      </c>
      <c r="G369" t="s">
        <v>819</v>
      </c>
      <c r="H369" t="s">
        <v>76</v>
      </c>
      <c r="I369" t="s">
        <v>195</v>
      </c>
      <c r="J369" t="s">
        <v>300</v>
      </c>
      <c r="K369" t="s">
        <v>1916</v>
      </c>
      <c r="L369" t="s">
        <v>324</v>
      </c>
      <c r="M369">
        <v>21</v>
      </c>
      <c r="N369" t="s">
        <v>137</v>
      </c>
      <c r="O369">
        <v>2013</v>
      </c>
      <c r="P369" t="s">
        <v>3411</v>
      </c>
      <c r="Q369" t="s">
        <v>3412</v>
      </c>
      <c r="R369">
        <v>85372</v>
      </c>
      <c r="S369" t="s">
        <v>3408</v>
      </c>
      <c r="T369" t="s">
        <v>3413</v>
      </c>
      <c r="U369">
        <v>1992</v>
      </c>
      <c r="V369" t="s">
        <v>1603</v>
      </c>
      <c r="W369">
        <v>1.87</v>
      </c>
      <c r="X369" t="s">
        <v>76</v>
      </c>
      <c r="Y369" t="s">
        <v>235</v>
      </c>
      <c r="Z369" t="s">
        <v>152</v>
      </c>
      <c r="AA369" t="s">
        <v>1916</v>
      </c>
      <c r="AB369">
        <v>45845</v>
      </c>
      <c r="AC369" t="s">
        <v>1811</v>
      </c>
      <c r="AD369" t="s">
        <v>89</v>
      </c>
      <c r="AE369" t="s">
        <v>3414</v>
      </c>
      <c r="AF369">
        <v>21</v>
      </c>
      <c r="AG369" t="s">
        <v>91</v>
      </c>
      <c r="AH369" t="s">
        <v>3415</v>
      </c>
      <c r="AI369">
        <v>22</v>
      </c>
      <c r="AJ369" t="s">
        <v>110</v>
      </c>
      <c r="AK369">
        <v>21</v>
      </c>
      <c r="AL369">
        <v>14</v>
      </c>
      <c r="AM369">
        <v>343</v>
      </c>
      <c r="AN369">
        <v>50</v>
      </c>
      <c r="AO369">
        <v>10</v>
      </c>
      <c r="AP369" t="s">
        <v>93</v>
      </c>
      <c r="AQ369" t="s">
        <v>89</v>
      </c>
      <c r="AR369" t="s">
        <v>89</v>
      </c>
      <c r="AS369" t="s">
        <v>93</v>
      </c>
      <c r="AT369" t="s">
        <v>89</v>
      </c>
      <c r="AU369" t="s">
        <v>89</v>
      </c>
      <c r="AV369" t="s">
        <v>89</v>
      </c>
      <c r="AW369">
        <v>12</v>
      </c>
      <c r="AX369">
        <v>4</v>
      </c>
      <c r="AY369" t="s">
        <v>93</v>
      </c>
      <c r="AZ369">
        <v>0</v>
      </c>
      <c r="BA369">
        <v>0</v>
      </c>
      <c r="BB369">
        <v>0</v>
      </c>
      <c r="BC369">
        <v>0</v>
      </c>
      <c r="BD369">
        <v>129</v>
      </c>
      <c r="BE369">
        <v>9439</v>
      </c>
      <c r="BF369">
        <v>8</v>
      </c>
      <c r="BG369" t="s">
        <v>89</v>
      </c>
      <c r="BH369">
        <v>129</v>
      </c>
      <c r="BI369">
        <v>9439</v>
      </c>
      <c r="BJ369">
        <v>8</v>
      </c>
      <c r="BK369">
        <f t="shared" si="47"/>
        <v>129</v>
      </c>
      <c r="BL369">
        <f t="shared" si="48"/>
        <v>9439</v>
      </c>
      <c r="BM369">
        <f t="shared" si="49"/>
        <v>8</v>
      </c>
      <c r="BN369">
        <f t="shared" si="50"/>
        <v>0</v>
      </c>
      <c r="BO369">
        <f t="shared" si="51"/>
        <v>0</v>
      </c>
      <c r="BP369">
        <f t="shared" si="52"/>
        <v>0</v>
      </c>
      <c r="BQ369" t="s">
        <v>235</v>
      </c>
      <c r="BR369" t="s">
        <v>140</v>
      </c>
      <c r="BS369" s="1">
        <v>33721</v>
      </c>
      <c r="BT369">
        <v>33</v>
      </c>
      <c r="BU369" t="s">
        <v>89</v>
      </c>
      <c r="BV369" t="s">
        <v>89</v>
      </c>
      <c r="BW369">
        <v>12</v>
      </c>
      <c r="BX369">
        <v>1992</v>
      </c>
      <c r="BY369">
        <v>12</v>
      </c>
      <c r="BZ369">
        <f t="shared" si="53"/>
        <v>0</v>
      </c>
      <c r="CA369">
        <f t="shared" si="54"/>
        <v>0</v>
      </c>
      <c r="CB369" t="b">
        <f t="shared" si="55"/>
        <v>1</v>
      </c>
    </row>
    <row r="370" spans="1:80" x14ac:dyDescent="0.3">
      <c r="A370" t="s">
        <v>3416</v>
      </c>
      <c r="B370" t="s">
        <v>71</v>
      </c>
      <c r="C370" t="s">
        <v>3417</v>
      </c>
      <c r="D370">
        <v>43</v>
      </c>
      <c r="E370">
        <v>30011</v>
      </c>
      <c r="F370" t="s">
        <v>89</v>
      </c>
      <c r="G370" t="s">
        <v>143</v>
      </c>
      <c r="H370" t="s">
        <v>76</v>
      </c>
      <c r="I370" t="s">
        <v>195</v>
      </c>
      <c r="J370" t="s">
        <v>89</v>
      </c>
      <c r="K370" t="s">
        <v>89</v>
      </c>
      <c r="L370" t="s">
        <v>145</v>
      </c>
      <c r="M370">
        <v>22</v>
      </c>
      <c r="N370" t="s">
        <v>820</v>
      </c>
      <c r="O370">
        <v>2004</v>
      </c>
      <c r="P370" t="s">
        <v>3418</v>
      </c>
      <c r="Q370" t="s">
        <v>3419</v>
      </c>
      <c r="R370">
        <v>25460</v>
      </c>
      <c r="S370" t="s">
        <v>3416</v>
      </c>
      <c r="T370">
        <v>29954</v>
      </c>
      <c r="U370">
        <v>1982</v>
      </c>
      <c r="V370" t="s">
        <v>304</v>
      </c>
      <c r="W370">
        <v>1.77</v>
      </c>
      <c r="X370" t="s">
        <v>76</v>
      </c>
      <c r="Y370" t="s">
        <v>203</v>
      </c>
      <c r="Z370" t="s">
        <v>152</v>
      </c>
      <c r="AA370" t="s">
        <v>3420</v>
      </c>
      <c r="AB370" s="1">
        <v>42376</v>
      </c>
      <c r="AC370" t="s">
        <v>108</v>
      </c>
      <c r="AD370" t="s">
        <v>89</v>
      </c>
      <c r="AE370" t="s">
        <v>505</v>
      </c>
      <c r="AF370">
        <v>22</v>
      </c>
      <c r="AG370" t="s">
        <v>91</v>
      </c>
      <c r="AH370" t="s">
        <v>306</v>
      </c>
      <c r="AI370">
        <v>29</v>
      </c>
      <c r="AJ370" t="s">
        <v>110</v>
      </c>
      <c r="AK370">
        <v>22</v>
      </c>
      <c r="AL370">
        <v>1</v>
      </c>
      <c r="AM370">
        <v>45</v>
      </c>
      <c r="AN370">
        <v>8</v>
      </c>
      <c r="AO370">
        <v>1</v>
      </c>
      <c r="AP370" t="s">
        <v>93</v>
      </c>
      <c r="AQ370" t="s">
        <v>89</v>
      </c>
      <c r="AR370" t="s">
        <v>89</v>
      </c>
      <c r="AS370" t="s">
        <v>111</v>
      </c>
      <c r="AT370">
        <v>42376</v>
      </c>
      <c r="AU370">
        <v>2016</v>
      </c>
      <c r="AV370">
        <v>12</v>
      </c>
      <c r="AW370">
        <v>12</v>
      </c>
      <c r="AX370" t="s">
        <v>89</v>
      </c>
      <c r="AY370" t="s">
        <v>93</v>
      </c>
      <c r="AZ370">
        <v>0</v>
      </c>
      <c r="BA370">
        <v>0</v>
      </c>
      <c r="BB370">
        <v>0</v>
      </c>
      <c r="BC370">
        <v>0</v>
      </c>
      <c r="BD370">
        <v>163</v>
      </c>
      <c r="BE370">
        <v>13720</v>
      </c>
      <c r="BF370">
        <v>1</v>
      </c>
      <c r="BG370">
        <v>34</v>
      </c>
      <c r="BH370">
        <v>163</v>
      </c>
      <c r="BI370">
        <v>13720</v>
      </c>
      <c r="BJ370">
        <v>1</v>
      </c>
      <c r="BK370">
        <f t="shared" si="47"/>
        <v>163</v>
      </c>
      <c r="BL370">
        <f t="shared" si="48"/>
        <v>13720</v>
      </c>
      <c r="BM370">
        <f t="shared" si="49"/>
        <v>1</v>
      </c>
      <c r="BN370">
        <f t="shared" si="50"/>
        <v>0</v>
      </c>
      <c r="BO370">
        <f t="shared" si="51"/>
        <v>0</v>
      </c>
      <c r="BP370">
        <f t="shared" si="52"/>
        <v>0</v>
      </c>
      <c r="BQ370" t="s">
        <v>203</v>
      </c>
      <c r="BR370" t="s">
        <v>140</v>
      </c>
      <c r="BS370" t="s">
        <v>89</v>
      </c>
      <c r="BT370">
        <v>44</v>
      </c>
      <c r="BU370">
        <v>42376</v>
      </c>
      <c r="BV370" t="s">
        <v>89</v>
      </c>
      <c r="BW370">
        <v>12</v>
      </c>
      <c r="BX370">
        <v>1982</v>
      </c>
      <c r="BY370">
        <v>12</v>
      </c>
      <c r="BZ370">
        <f t="shared" si="53"/>
        <v>0</v>
      </c>
      <c r="CA370">
        <f t="shared" si="54"/>
        <v>0</v>
      </c>
      <c r="CB370" t="b">
        <f t="shared" si="55"/>
        <v>1</v>
      </c>
    </row>
    <row r="371" spans="1:80" x14ac:dyDescent="0.3">
      <c r="A371" t="s">
        <v>3421</v>
      </c>
      <c r="B371" t="s">
        <v>71</v>
      </c>
      <c r="C371" t="s">
        <v>3422</v>
      </c>
      <c r="D371">
        <v>46</v>
      </c>
      <c r="E371">
        <v>28719</v>
      </c>
      <c r="F371" t="s">
        <v>89</v>
      </c>
      <c r="G371" t="s">
        <v>143</v>
      </c>
      <c r="H371" t="s">
        <v>76</v>
      </c>
      <c r="I371" t="s">
        <v>161</v>
      </c>
      <c r="J371" t="s">
        <v>89</v>
      </c>
      <c r="K371" t="s">
        <v>89</v>
      </c>
      <c r="L371" t="s">
        <v>1919</v>
      </c>
      <c r="M371">
        <v>18</v>
      </c>
      <c r="N371" t="s">
        <v>146</v>
      </c>
      <c r="O371">
        <v>1997</v>
      </c>
      <c r="P371" t="s">
        <v>3423</v>
      </c>
      <c r="Q371" t="s">
        <v>3424</v>
      </c>
      <c r="R371">
        <v>3172</v>
      </c>
      <c r="S371" t="s">
        <v>3425</v>
      </c>
      <c r="T371" t="s">
        <v>3426</v>
      </c>
      <c r="U371">
        <v>1978</v>
      </c>
      <c r="V371" t="s">
        <v>673</v>
      </c>
      <c r="W371">
        <v>1.75</v>
      </c>
      <c r="X371" t="s">
        <v>76</v>
      </c>
      <c r="Y371" t="s">
        <v>106</v>
      </c>
      <c r="Z371" t="s">
        <v>87</v>
      </c>
      <c r="AA371" t="s">
        <v>3427</v>
      </c>
      <c r="AB371">
        <v>42011</v>
      </c>
      <c r="AC371" t="s">
        <v>108</v>
      </c>
      <c r="AD371" t="s">
        <v>89</v>
      </c>
      <c r="AE371" t="s">
        <v>3428</v>
      </c>
      <c r="AF371">
        <v>19</v>
      </c>
      <c r="AG371" t="s">
        <v>91</v>
      </c>
      <c r="AH371" t="s">
        <v>3429</v>
      </c>
      <c r="AI371">
        <v>25</v>
      </c>
      <c r="AJ371" t="s">
        <v>110</v>
      </c>
      <c r="AK371">
        <v>19</v>
      </c>
      <c r="AL371">
        <v>1</v>
      </c>
      <c r="AM371">
        <v>19</v>
      </c>
      <c r="AN371">
        <v>2</v>
      </c>
      <c r="AO371">
        <v>1</v>
      </c>
      <c r="AP371" t="s">
        <v>93</v>
      </c>
      <c r="AQ371" t="s">
        <v>89</v>
      </c>
      <c r="AR371" t="s">
        <v>89</v>
      </c>
      <c r="AS371" t="s">
        <v>111</v>
      </c>
      <c r="AT371">
        <v>42011</v>
      </c>
      <c r="AU371">
        <v>2015</v>
      </c>
      <c r="AV371">
        <v>18</v>
      </c>
      <c r="AW371">
        <v>18</v>
      </c>
      <c r="AX371" t="s">
        <v>89</v>
      </c>
      <c r="AY371" t="s">
        <v>93</v>
      </c>
      <c r="AZ371">
        <v>0</v>
      </c>
      <c r="BA371">
        <v>0</v>
      </c>
      <c r="BB371">
        <v>0</v>
      </c>
      <c r="BC371">
        <v>0</v>
      </c>
      <c r="BD371">
        <v>468</v>
      </c>
      <c r="BE371">
        <v>31693</v>
      </c>
      <c r="BF371">
        <v>80</v>
      </c>
      <c r="BG371">
        <v>37</v>
      </c>
      <c r="BH371">
        <v>468</v>
      </c>
      <c r="BI371">
        <v>31693</v>
      </c>
      <c r="BJ371">
        <v>80</v>
      </c>
      <c r="BK371">
        <f t="shared" si="47"/>
        <v>468</v>
      </c>
      <c r="BL371">
        <f t="shared" si="48"/>
        <v>31693</v>
      </c>
      <c r="BM371">
        <f t="shared" si="49"/>
        <v>80</v>
      </c>
      <c r="BN371">
        <f t="shared" si="50"/>
        <v>0</v>
      </c>
      <c r="BO371">
        <f t="shared" si="51"/>
        <v>0</v>
      </c>
      <c r="BP371">
        <f t="shared" si="52"/>
        <v>0</v>
      </c>
      <c r="BQ371" t="s">
        <v>106</v>
      </c>
      <c r="BR371" t="s">
        <v>112</v>
      </c>
      <c r="BS371" s="1">
        <v>28719</v>
      </c>
      <c r="BT371">
        <v>47</v>
      </c>
      <c r="BU371">
        <v>42011</v>
      </c>
      <c r="BV371" t="s">
        <v>89</v>
      </c>
      <c r="BW371">
        <v>18</v>
      </c>
      <c r="BX371">
        <v>1978</v>
      </c>
      <c r="BY371">
        <v>18</v>
      </c>
      <c r="BZ371">
        <f t="shared" si="53"/>
        <v>0</v>
      </c>
      <c r="CA371">
        <f t="shared" si="54"/>
        <v>0</v>
      </c>
      <c r="CB371" t="b">
        <f t="shared" si="55"/>
        <v>1</v>
      </c>
    </row>
    <row r="372" spans="1:80" x14ac:dyDescent="0.3">
      <c r="A372" t="s">
        <v>3430</v>
      </c>
      <c r="B372" t="s">
        <v>71</v>
      </c>
      <c r="C372" t="s">
        <v>3431</v>
      </c>
      <c r="D372">
        <v>39</v>
      </c>
      <c r="E372" s="1">
        <v>31468</v>
      </c>
      <c r="F372" t="s">
        <v>89</v>
      </c>
      <c r="G372" t="s">
        <v>226</v>
      </c>
      <c r="H372" t="s">
        <v>76</v>
      </c>
      <c r="I372" t="s">
        <v>437</v>
      </c>
      <c r="J372" t="s">
        <v>78</v>
      </c>
      <c r="K372" t="s">
        <v>89</v>
      </c>
      <c r="L372" t="s">
        <v>163</v>
      </c>
      <c r="M372">
        <v>20</v>
      </c>
      <c r="N372" t="s">
        <v>820</v>
      </c>
      <c r="O372">
        <v>2006</v>
      </c>
      <c r="P372" t="s">
        <v>3432</v>
      </c>
      <c r="Q372" t="s">
        <v>3433</v>
      </c>
      <c r="R372">
        <v>51532</v>
      </c>
      <c r="S372" t="s">
        <v>3434</v>
      </c>
      <c r="T372" t="s">
        <v>3435</v>
      </c>
      <c r="U372">
        <v>1986</v>
      </c>
      <c r="V372" t="s">
        <v>3436</v>
      </c>
      <c r="W372">
        <v>1.84</v>
      </c>
      <c r="X372" t="s">
        <v>76</v>
      </c>
      <c r="Y372" t="s">
        <v>123</v>
      </c>
      <c r="Z372" t="s">
        <v>87</v>
      </c>
      <c r="AA372" t="s">
        <v>137</v>
      </c>
      <c r="AB372" s="1">
        <v>43107</v>
      </c>
      <c r="AC372" t="s">
        <v>108</v>
      </c>
      <c r="AD372" t="s">
        <v>89</v>
      </c>
      <c r="AE372">
        <v>39331</v>
      </c>
      <c r="AF372">
        <v>21</v>
      </c>
      <c r="AG372" t="s">
        <v>91</v>
      </c>
      <c r="AH372" t="s">
        <v>371</v>
      </c>
      <c r="AI372">
        <v>23</v>
      </c>
      <c r="AJ372" t="s">
        <v>110</v>
      </c>
      <c r="AK372">
        <v>21</v>
      </c>
      <c r="AL372">
        <v>7</v>
      </c>
      <c r="AM372">
        <v>622</v>
      </c>
      <c r="AN372">
        <v>78</v>
      </c>
      <c r="AO372">
        <v>6</v>
      </c>
      <c r="AP372" t="s">
        <v>93</v>
      </c>
      <c r="AQ372" t="s">
        <v>89</v>
      </c>
      <c r="AR372" t="s">
        <v>89</v>
      </c>
      <c r="AS372" t="s">
        <v>111</v>
      </c>
      <c r="AT372" s="1">
        <v>43107</v>
      </c>
      <c r="AU372">
        <v>2018</v>
      </c>
      <c r="AV372">
        <v>12</v>
      </c>
      <c r="AW372">
        <v>12</v>
      </c>
      <c r="AX372" t="s">
        <v>89</v>
      </c>
      <c r="AY372" t="s">
        <v>93</v>
      </c>
      <c r="AZ372">
        <v>0</v>
      </c>
      <c r="BA372">
        <v>0</v>
      </c>
      <c r="BB372">
        <v>0</v>
      </c>
      <c r="BC372">
        <v>0</v>
      </c>
      <c r="BD372">
        <v>151</v>
      </c>
      <c r="BE372">
        <v>7651</v>
      </c>
      <c r="BF372">
        <v>26</v>
      </c>
      <c r="BG372">
        <v>32</v>
      </c>
      <c r="BH372">
        <v>151</v>
      </c>
      <c r="BI372">
        <v>7651</v>
      </c>
      <c r="BJ372">
        <v>26</v>
      </c>
      <c r="BK372">
        <f t="shared" si="47"/>
        <v>151</v>
      </c>
      <c r="BL372">
        <f t="shared" si="48"/>
        <v>7651</v>
      </c>
      <c r="BM372">
        <f t="shared" si="49"/>
        <v>26</v>
      </c>
      <c r="BN372">
        <f t="shared" si="50"/>
        <v>0</v>
      </c>
      <c r="BO372">
        <f t="shared" si="51"/>
        <v>0</v>
      </c>
      <c r="BP372">
        <f t="shared" si="52"/>
        <v>0</v>
      </c>
      <c r="BQ372" t="s">
        <v>123</v>
      </c>
      <c r="BR372" t="s">
        <v>112</v>
      </c>
      <c r="BS372" s="1">
        <v>31468</v>
      </c>
      <c r="BT372">
        <v>39</v>
      </c>
      <c r="BU372" s="1">
        <v>43107</v>
      </c>
      <c r="BV372" s="1">
        <v>43282</v>
      </c>
      <c r="BW372">
        <v>11</v>
      </c>
      <c r="BX372">
        <v>1986</v>
      </c>
      <c r="BY372">
        <v>11</v>
      </c>
      <c r="BZ372">
        <f t="shared" si="53"/>
        <v>1</v>
      </c>
      <c r="CA372">
        <f t="shared" si="54"/>
        <v>0</v>
      </c>
      <c r="CB372" t="b">
        <f t="shared" si="55"/>
        <v>0</v>
      </c>
    </row>
    <row r="373" spans="1:80" x14ac:dyDescent="0.3">
      <c r="A373" t="s">
        <v>3437</v>
      </c>
      <c r="B373" t="s">
        <v>1008</v>
      </c>
      <c r="C373" t="s">
        <v>3438</v>
      </c>
      <c r="D373">
        <v>45</v>
      </c>
      <c r="E373">
        <v>29261</v>
      </c>
      <c r="F373" t="s">
        <v>89</v>
      </c>
      <c r="G373" t="s">
        <v>115</v>
      </c>
      <c r="H373" t="s">
        <v>1010</v>
      </c>
      <c r="I373" t="s">
        <v>750</v>
      </c>
      <c r="J373" t="s">
        <v>78</v>
      </c>
      <c r="K373" t="s">
        <v>89</v>
      </c>
      <c r="L373" t="s">
        <v>2014</v>
      </c>
      <c r="M373">
        <v>19</v>
      </c>
      <c r="N373" t="s">
        <v>3439</v>
      </c>
      <c r="O373">
        <v>1999</v>
      </c>
      <c r="P373" t="s">
        <v>3440</v>
      </c>
      <c r="Q373" t="s">
        <v>3441</v>
      </c>
      <c r="R373">
        <v>16651</v>
      </c>
      <c r="S373" t="s">
        <v>3437</v>
      </c>
      <c r="T373" s="1">
        <v>29496</v>
      </c>
      <c r="U373">
        <v>1980</v>
      </c>
      <c r="V373" t="s">
        <v>3442</v>
      </c>
      <c r="W373">
        <v>1.8</v>
      </c>
      <c r="X373" t="s">
        <v>1010</v>
      </c>
      <c r="Y373" t="s">
        <v>86</v>
      </c>
      <c r="Z373" t="s">
        <v>87</v>
      </c>
      <c r="AA373" t="s">
        <v>3443</v>
      </c>
      <c r="AB373" t="s">
        <v>3444</v>
      </c>
      <c r="AC373" t="s">
        <v>108</v>
      </c>
      <c r="AD373" t="s">
        <v>89</v>
      </c>
      <c r="AE373">
        <v>36863</v>
      </c>
      <c r="AF373">
        <v>20</v>
      </c>
      <c r="AG373" t="s">
        <v>573</v>
      </c>
      <c r="AH373" t="s">
        <v>3445</v>
      </c>
      <c r="AI373">
        <v>33</v>
      </c>
      <c r="AJ373" t="s">
        <v>575</v>
      </c>
      <c r="AK373">
        <v>20</v>
      </c>
      <c r="AL373">
        <v>5</v>
      </c>
      <c r="AM373">
        <v>124</v>
      </c>
      <c r="AN373">
        <v>28</v>
      </c>
      <c r="AO373">
        <v>4</v>
      </c>
      <c r="AP373" t="s">
        <v>93</v>
      </c>
      <c r="AQ373" t="s">
        <v>89</v>
      </c>
      <c r="AR373" t="s">
        <v>89</v>
      </c>
      <c r="AS373" t="s">
        <v>111</v>
      </c>
      <c r="AT373" t="s">
        <v>3444</v>
      </c>
      <c r="AU373">
        <v>2017</v>
      </c>
      <c r="AV373">
        <v>18</v>
      </c>
      <c r="AW373">
        <v>18</v>
      </c>
      <c r="AX373" t="s">
        <v>89</v>
      </c>
      <c r="AY373" t="s">
        <v>93</v>
      </c>
      <c r="AZ373">
        <v>0</v>
      </c>
      <c r="BA373">
        <v>0</v>
      </c>
      <c r="BB373">
        <v>0</v>
      </c>
      <c r="BC373">
        <v>0</v>
      </c>
      <c r="BD373">
        <v>387</v>
      </c>
      <c r="BE373">
        <v>24507</v>
      </c>
      <c r="BF373">
        <v>48</v>
      </c>
      <c r="BG373">
        <v>37</v>
      </c>
      <c r="BH373">
        <v>387</v>
      </c>
      <c r="BI373">
        <v>24507</v>
      </c>
      <c r="BJ373">
        <v>48</v>
      </c>
      <c r="BK373">
        <f t="shared" si="47"/>
        <v>387</v>
      </c>
      <c r="BL373">
        <f t="shared" si="48"/>
        <v>24507</v>
      </c>
      <c r="BM373">
        <f t="shared" si="49"/>
        <v>48</v>
      </c>
      <c r="BN373">
        <f t="shared" si="50"/>
        <v>0</v>
      </c>
      <c r="BO373">
        <f t="shared" si="51"/>
        <v>0</v>
      </c>
      <c r="BP373">
        <f t="shared" si="52"/>
        <v>0</v>
      </c>
      <c r="BQ373" t="s">
        <v>86</v>
      </c>
      <c r="BR373" t="s">
        <v>94</v>
      </c>
      <c r="BS373" s="1">
        <v>29261</v>
      </c>
      <c r="BT373">
        <v>46</v>
      </c>
      <c r="BU373" t="s">
        <v>3444</v>
      </c>
      <c r="BV373" s="1">
        <v>42748</v>
      </c>
      <c r="BW373">
        <v>17</v>
      </c>
      <c r="BX373">
        <v>1980</v>
      </c>
      <c r="BY373">
        <v>17</v>
      </c>
      <c r="BZ373">
        <f t="shared" si="53"/>
        <v>1</v>
      </c>
      <c r="CA373">
        <f t="shared" si="54"/>
        <v>0</v>
      </c>
      <c r="CB373" t="b">
        <f t="shared" si="55"/>
        <v>0</v>
      </c>
    </row>
    <row r="374" spans="1:80" x14ac:dyDescent="0.3">
      <c r="A374" t="s">
        <v>3446</v>
      </c>
      <c r="B374" t="s">
        <v>156</v>
      </c>
      <c r="C374" t="s">
        <v>3447</v>
      </c>
      <c r="D374">
        <v>39</v>
      </c>
      <c r="E374" t="s">
        <v>3448</v>
      </c>
      <c r="F374" t="s">
        <v>3449</v>
      </c>
      <c r="G374" t="s">
        <v>143</v>
      </c>
      <c r="H374" t="s">
        <v>177</v>
      </c>
      <c r="I374" t="s">
        <v>288</v>
      </c>
      <c r="J374" t="s">
        <v>78</v>
      </c>
      <c r="K374" t="s">
        <v>3450</v>
      </c>
      <c r="L374" t="s">
        <v>278</v>
      </c>
      <c r="M374">
        <v>25</v>
      </c>
      <c r="N374" t="s">
        <v>490</v>
      </c>
      <c r="O374">
        <v>2011</v>
      </c>
      <c r="P374" t="s">
        <v>3451</v>
      </c>
      <c r="Q374" t="s">
        <v>3452</v>
      </c>
      <c r="R374">
        <v>56066</v>
      </c>
      <c r="S374" t="s">
        <v>3446</v>
      </c>
      <c r="T374" t="s">
        <v>652</v>
      </c>
      <c r="U374">
        <v>1986</v>
      </c>
      <c r="V374" t="s">
        <v>3453</v>
      </c>
      <c r="W374">
        <v>1.78</v>
      </c>
      <c r="X374" t="s">
        <v>177</v>
      </c>
      <c r="Y374" t="s">
        <v>259</v>
      </c>
      <c r="Z374" t="s">
        <v>87</v>
      </c>
      <c r="AA374" t="s">
        <v>3450</v>
      </c>
      <c r="AB374" s="1">
        <v>45717</v>
      </c>
      <c r="AC374" t="s">
        <v>222</v>
      </c>
      <c r="AD374" t="s">
        <v>3454</v>
      </c>
      <c r="AE374">
        <v>39388</v>
      </c>
      <c r="AF374">
        <v>20</v>
      </c>
      <c r="AG374" t="s">
        <v>171</v>
      </c>
      <c r="AH374" t="s">
        <v>92</v>
      </c>
      <c r="AI374" t="s">
        <v>89</v>
      </c>
      <c r="AJ374" t="s">
        <v>92</v>
      </c>
      <c r="AK374">
        <v>20</v>
      </c>
      <c r="AL374">
        <v>29</v>
      </c>
      <c r="AM374">
        <v>553</v>
      </c>
      <c r="AN374">
        <v>103</v>
      </c>
      <c r="AO374">
        <v>12</v>
      </c>
      <c r="AP374" t="s">
        <v>93</v>
      </c>
      <c r="AQ374" t="s">
        <v>89</v>
      </c>
      <c r="AR374" t="s">
        <v>89</v>
      </c>
      <c r="AS374" t="s">
        <v>93</v>
      </c>
      <c r="AT374" t="s">
        <v>89</v>
      </c>
      <c r="AU374" t="s">
        <v>89</v>
      </c>
      <c r="AV374" t="s">
        <v>89</v>
      </c>
      <c r="AW374">
        <v>14</v>
      </c>
      <c r="AX374">
        <v>24</v>
      </c>
      <c r="AY374" t="s">
        <v>111</v>
      </c>
      <c r="AZ374">
        <v>6</v>
      </c>
      <c r="BA374">
        <v>18</v>
      </c>
      <c r="BB374">
        <v>1089</v>
      </c>
      <c r="BC374">
        <v>0</v>
      </c>
      <c r="BD374">
        <v>455</v>
      </c>
      <c r="BE374">
        <v>34312</v>
      </c>
      <c r="BF374">
        <v>13</v>
      </c>
      <c r="BG374" t="s">
        <v>89</v>
      </c>
      <c r="BH374">
        <v>473</v>
      </c>
      <c r="BI374">
        <v>35401</v>
      </c>
      <c r="BJ374">
        <v>13</v>
      </c>
      <c r="BK374">
        <f t="shared" si="47"/>
        <v>473</v>
      </c>
      <c r="BL374">
        <f t="shared" si="48"/>
        <v>35401</v>
      </c>
      <c r="BM374">
        <f t="shared" si="49"/>
        <v>13</v>
      </c>
      <c r="BN374">
        <f t="shared" si="50"/>
        <v>0</v>
      </c>
      <c r="BO374">
        <f t="shared" si="51"/>
        <v>0</v>
      </c>
      <c r="BP374">
        <f t="shared" si="52"/>
        <v>0</v>
      </c>
      <c r="BQ374" t="s">
        <v>259</v>
      </c>
      <c r="BR374" t="s">
        <v>94</v>
      </c>
      <c r="BS374" s="1">
        <v>31465</v>
      </c>
      <c r="BT374">
        <v>39</v>
      </c>
      <c r="BU374" t="s">
        <v>89</v>
      </c>
      <c r="BV374" t="s">
        <v>89</v>
      </c>
      <c r="BW374">
        <v>19</v>
      </c>
      <c r="BX374">
        <v>1986</v>
      </c>
      <c r="BY374">
        <v>19</v>
      </c>
      <c r="BZ374">
        <f t="shared" si="53"/>
        <v>-5</v>
      </c>
      <c r="CA374">
        <f t="shared" si="54"/>
        <v>0</v>
      </c>
      <c r="CB374" t="b">
        <f t="shared" si="55"/>
        <v>0</v>
      </c>
    </row>
    <row r="375" spans="1:80" x14ac:dyDescent="0.3">
      <c r="A375" t="s">
        <v>3455</v>
      </c>
      <c r="B375" t="s">
        <v>1089</v>
      </c>
      <c r="C375" t="s">
        <v>3456</v>
      </c>
      <c r="D375">
        <v>32</v>
      </c>
      <c r="E375" t="s">
        <v>3457</v>
      </c>
      <c r="F375" t="s">
        <v>3458</v>
      </c>
      <c r="G375" t="s">
        <v>277</v>
      </c>
      <c r="H375" t="s">
        <v>1093</v>
      </c>
      <c r="I375" t="s">
        <v>227</v>
      </c>
      <c r="J375" t="s">
        <v>78</v>
      </c>
      <c r="K375" t="s">
        <v>3459</v>
      </c>
      <c r="L375" t="s">
        <v>762</v>
      </c>
      <c r="M375">
        <v>21</v>
      </c>
      <c r="N375" t="s">
        <v>3460</v>
      </c>
      <c r="O375">
        <v>2014</v>
      </c>
      <c r="P375" t="s">
        <v>3461</v>
      </c>
      <c r="Q375" t="s">
        <v>3462</v>
      </c>
      <c r="R375">
        <v>186862</v>
      </c>
      <c r="S375" t="s">
        <v>3455</v>
      </c>
      <c r="T375" t="s">
        <v>3463</v>
      </c>
      <c r="U375">
        <v>1992</v>
      </c>
      <c r="V375" t="s">
        <v>3464</v>
      </c>
      <c r="W375">
        <v>1.92</v>
      </c>
      <c r="X375" t="s">
        <v>1093</v>
      </c>
      <c r="Y375" t="s">
        <v>235</v>
      </c>
      <c r="Z375" t="s">
        <v>87</v>
      </c>
      <c r="AA375" t="s">
        <v>3465</v>
      </c>
      <c r="AB375" s="1">
        <v>45907</v>
      </c>
      <c r="AC375" t="s">
        <v>170</v>
      </c>
      <c r="AD375" t="s">
        <v>223</v>
      </c>
      <c r="AE375" s="1">
        <v>40760</v>
      </c>
      <c r="AF375">
        <v>18</v>
      </c>
      <c r="AG375" t="s">
        <v>985</v>
      </c>
      <c r="AH375" t="s">
        <v>92</v>
      </c>
      <c r="AI375" t="s">
        <v>89</v>
      </c>
      <c r="AJ375" t="s">
        <v>92</v>
      </c>
      <c r="AK375">
        <v>18</v>
      </c>
      <c r="AL375">
        <v>8</v>
      </c>
      <c r="AM375">
        <v>407</v>
      </c>
      <c r="AN375">
        <v>48</v>
      </c>
      <c r="AO375">
        <v>5</v>
      </c>
      <c r="AP375" t="s">
        <v>93</v>
      </c>
      <c r="AQ375" t="s">
        <v>89</v>
      </c>
      <c r="AR375" t="s">
        <v>89</v>
      </c>
      <c r="AS375" t="s">
        <v>93</v>
      </c>
      <c r="AT375" t="s">
        <v>89</v>
      </c>
      <c r="AU375" t="s">
        <v>89</v>
      </c>
      <c r="AV375" t="s">
        <v>89</v>
      </c>
      <c r="AW375">
        <v>11</v>
      </c>
      <c r="AX375">
        <v>3</v>
      </c>
      <c r="AY375" t="s">
        <v>111</v>
      </c>
      <c r="AZ375">
        <v>9</v>
      </c>
      <c r="BA375">
        <v>24</v>
      </c>
      <c r="BB375">
        <v>1830</v>
      </c>
      <c r="BC375">
        <v>0</v>
      </c>
      <c r="BD375">
        <v>262</v>
      </c>
      <c r="BE375">
        <v>21243</v>
      </c>
      <c r="BF375">
        <v>12</v>
      </c>
      <c r="BG375" t="s">
        <v>89</v>
      </c>
      <c r="BH375">
        <v>286</v>
      </c>
      <c r="BI375">
        <v>23073</v>
      </c>
      <c r="BJ375">
        <v>12</v>
      </c>
      <c r="BK375">
        <f t="shared" si="47"/>
        <v>286</v>
      </c>
      <c r="BL375">
        <f t="shared" si="48"/>
        <v>23073</v>
      </c>
      <c r="BM375">
        <f t="shared" si="49"/>
        <v>12</v>
      </c>
      <c r="BN375">
        <f t="shared" si="50"/>
        <v>0</v>
      </c>
      <c r="BO375">
        <f t="shared" si="51"/>
        <v>0</v>
      </c>
      <c r="BP375">
        <f t="shared" si="52"/>
        <v>0</v>
      </c>
      <c r="BQ375" t="s">
        <v>235</v>
      </c>
      <c r="BR375" t="s">
        <v>140</v>
      </c>
      <c r="BS375" s="1">
        <v>33832</v>
      </c>
      <c r="BT375">
        <v>33</v>
      </c>
      <c r="BU375" t="s">
        <v>89</v>
      </c>
      <c r="BV375" t="s">
        <v>89</v>
      </c>
      <c r="BW375">
        <v>15</v>
      </c>
      <c r="BX375">
        <v>1992</v>
      </c>
      <c r="BY375">
        <v>14</v>
      </c>
      <c r="BZ375">
        <f t="shared" si="53"/>
        <v>-4</v>
      </c>
      <c r="CA375">
        <f t="shared" si="54"/>
        <v>1</v>
      </c>
      <c r="CB375" t="b">
        <f t="shared" si="55"/>
        <v>0</v>
      </c>
    </row>
    <row r="376" spans="1:80" x14ac:dyDescent="0.3">
      <c r="A376" t="s">
        <v>3466</v>
      </c>
      <c r="B376" t="s">
        <v>1508</v>
      </c>
      <c r="C376" t="s">
        <v>3467</v>
      </c>
      <c r="D376">
        <v>31</v>
      </c>
      <c r="E376" t="s">
        <v>3468</v>
      </c>
      <c r="F376" t="s">
        <v>3469</v>
      </c>
      <c r="G376" t="s">
        <v>819</v>
      </c>
      <c r="H376" t="s">
        <v>1510</v>
      </c>
      <c r="I376" t="s">
        <v>414</v>
      </c>
      <c r="J376" t="s">
        <v>78</v>
      </c>
      <c r="K376" t="s">
        <v>716</v>
      </c>
      <c r="L376" t="s">
        <v>762</v>
      </c>
      <c r="M376">
        <v>20</v>
      </c>
      <c r="N376" t="s">
        <v>146</v>
      </c>
      <c r="O376">
        <v>2014</v>
      </c>
      <c r="P376" t="s">
        <v>3470</v>
      </c>
      <c r="Q376" t="s">
        <v>3471</v>
      </c>
      <c r="R376">
        <v>286384</v>
      </c>
      <c r="S376" t="s">
        <v>3466</v>
      </c>
      <c r="T376" s="1">
        <v>34672</v>
      </c>
      <c r="U376">
        <v>1994</v>
      </c>
      <c r="V376" t="s">
        <v>3472</v>
      </c>
      <c r="W376">
        <v>1.87</v>
      </c>
      <c r="X376" t="s">
        <v>1515</v>
      </c>
      <c r="Y376" t="s">
        <v>235</v>
      </c>
      <c r="Z376" t="s">
        <v>87</v>
      </c>
      <c r="AA376" t="s">
        <v>2758</v>
      </c>
      <c r="AB376" t="s">
        <v>3473</v>
      </c>
      <c r="AC376" t="s">
        <v>88</v>
      </c>
      <c r="AD376" t="s">
        <v>395</v>
      </c>
      <c r="AE376">
        <v>41769</v>
      </c>
      <c r="AF376">
        <v>20</v>
      </c>
      <c r="AG376" t="s">
        <v>91</v>
      </c>
      <c r="AH376" t="s">
        <v>92</v>
      </c>
      <c r="AI376" t="s">
        <v>89</v>
      </c>
      <c r="AJ376" t="s">
        <v>92</v>
      </c>
      <c r="AK376">
        <v>20</v>
      </c>
      <c r="AL376">
        <v>27</v>
      </c>
      <c r="AM376">
        <v>826</v>
      </c>
      <c r="AN376">
        <v>169</v>
      </c>
      <c r="AO376">
        <v>10</v>
      </c>
      <c r="AP376" t="s">
        <v>93</v>
      </c>
      <c r="AQ376" t="s">
        <v>89</v>
      </c>
      <c r="AR376" t="s">
        <v>89</v>
      </c>
      <c r="AS376" t="s">
        <v>93</v>
      </c>
      <c r="AT376" t="s">
        <v>89</v>
      </c>
      <c r="AU376" t="s">
        <v>89</v>
      </c>
      <c r="AV376" t="s">
        <v>89</v>
      </c>
      <c r="AW376">
        <v>11</v>
      </c>
      <c r="AX376">
        <v>2</v>
      </c>
      <c r="AY376" t="s">
        <v>111</v>
      </c>
      <c r="AZ376">
        <v>17</v>
      </c>
      <c r="BA376">
        <v>48</v>
      </c>
      <c r="BB376">
        <v>4076</v>
      </c>
      <c r="BC376">
        <v>2</v>
      </c>
      <c r="BD376">
        <v>226</v>
      </c>
      <c r="BE376">
        <v>16329</v>
      </c>
      <c r="BF376">
        <v>2</v>
      </c>
      <c r="BG376" t="s">
        <v>89</v>
      </c>
      <c r="BH376">
        <v>274</v>
      </c>
      <c r="BI376">
        <v>20405</v>
      </c>
      <c r="BJ376">
        <v>4</v>
      </c>
      <c r="BK376">
        <f t="shared" si="47"/>
        <v>274</v>
      </c>
      <c r="BL376">
        <f t="shared" si="48"/>
        <v>20405</v>
      </c>
      <c r="BM376">
        <f t="shared" si="49"/>
        <v>4</v>
      </c>
      <c r="BN376">
        <f t="shared" si="50"/>
        <v>0</v>
      </c>
      <c r="BO376">
        <f t="shared" si="51"/>
        <v>0</v>
      </c>
      <c r="BP376">
        <f t="shared" si="52"/>
        <v>0</v>
      </c>
      <c r="BQ376" t="s">
        <v>235</v>
      </c>
      <c r="BR376" t="s">
        <v>140</v>
      </c>
      <c r="BS376" s="1">
        <v>34436</v>
      </c>
      <c r="BT376">
        <v>31</v>
      </c>
      <c r="BU376" t="s">
        <v>89</v>
      </c>
      <c r="BV376" t="s">
        <v>89</v>
      </c>
      <c r="BW376">
        <v>11</v>
      </c>
      <c r="BX376">
        <v>1994</v>
      </c>
      <c r="BY376">
        <v>11</v>
      </c>
      <c r="BZ376">
        <f t="shared" si="53"/>
        <v>0</v>
      </c>
      <c r="CA376">
        <f t="shared" si="54"/>
        <v>0</v>
      </c>
      <c r="CB376" t="b">
        <f t="shared" si="55"/>
        <v>1</v>
      </c>
    </row>
    <row r="377" spans="1:80" x14ac:dyDescent="0.3">
      <c r="A377" t="s">
        <v>3474</v>
      </c>
      <c r="B377" t="s">
        <v>71</v>
      </c>
      <c r="C377" t="s">
        <v>3475</v>
      </c>
      <c r="D377">
        <v>32</v>
      </c>
      <c r="E377">
        <v>34060</v>
      </c>
      <c r="F377" t="s">
        <v>89</v>
      </c>
      <c r="G377" t="s">
        <v>75</v>
      </c>
      <c r="H377" t="s">
        <v>89</v>
      </c>
      <c r="I377" t="s">
        <v>750</v>
      </c>
      <c r="J377" t="s">
        <v>89</v>
      </c>
      <c r="K377" t="s">
        <v>89</v>
      </c>
      <c r="L377" t="s">
        <v>228</v>
      </c>
      <c r="M377">
        <v>17</v>
      </c>
      <c r="N377" t="s">
        <v>146</v>
      </c>
      <c r="O377">
        <v>2010</v>
      </c>
      <c r="P377" t="s">
        <v>3476</v>
      </c>
      <c r="Q377" t="s">
        <v>3477</v>
      </c>
      <c r="R377">
        <v>176120</v>
      </c>
      <c r="S377" t="s">
        <v>3474</v>
      </c>
      <c r="T377">
        <v>33973</v>
      </c>
      <c r="U377">
        <v>1993</v>
      </c>
      <c r="V377" t="s">
        <v>644</v>
      </c>
      <c r="W377">
        <v>1.78</v>
      </c>
      <c r="X377" t="s">
        <v>76</v>
      </c>
      <c r="Y377" t="s">
        <v>494</v>
      </c>
      <c r="Z377" t="s">
        <v>87</v>
      </c>
      <c r="AA377" t="s">
        <v>1605</v>
      </c>
      <c r="AB377" s="1">
        <v>44933</v>
      </c>
      <c r="AC377" t="s">
        <v>108</v>
      </c>
      <c r="AD377" t="s">
        <v>89</v>
      </c>
      <c r="AE377" s="1">
        <v>40697</v>
      </c>
      <c r="AF377">
        <v>17</v>
      </c>
      <c r="AG377" t="s">
        <v>91</v>
      </c>
      <c r="AH377" t="s">
        <v>92</v>
      </c>
      <c r="AI377" t="s">
        <v>89</v>
      </c>
      <c r="AJ377" t="s">
        <v>89</v>
      </c>
      <c r="AK377">
        <v>17</v>
      </c>
      <c r="AL377" t="s">
        <v>89</v>
      </c>
      <c r="AM377" t="s">
        <v>89</v>
      </c>
      <c r="AN377" t="s">
        <v>89</v>
      </c>
      <c r="AO377">
        <v>0</v>
      </c>
      <c r="AP377" t="s">
        <v>93</v>
      </c>
      <c r="AQ377" t="s">
        <v>89</v>
      </c>
      <c r="AR377" t="s">
        <v>89</v>
      </c>
      <c r="AS377" t="s">
        <v>93</v>
      </c>
      <c r="AT377" t="s">
        <v>89</v>
      </c>
      <c r="AU377" t="s">
        <v>89</v>
      </c>
      <c r="AV377" t="s">
        <v>89</v>
      </c>
      <c r="AW377">
        <v>15</v>
      </c>
      <c r="AX377" t="s">
        <v>89</v>
      </c>
      <c r="AY377" t="s">
        <v>93</v>
      </c>
      <c r="AZ377">
        <v>0</v>
      </c>
      <c r="BA377">
        <v>0</v>
      </c>
      <c r="BB377">
        <v>0</v>
      </c>
      <c r="BC377">
        <v>0</v>
      </c>
      <c r="BD377">
        <v>4</v>
      </c>
      <c r="BE377">
        <v>167</v>
      </c>
      <c r="BF377">
        <v>0</v>
      </c>
      <c r="BG377" t="s">
        <v>89</v>
      </c>
      <c r="BH377">
        <v>4</v>
      </c>
      <c r="BI377">
        <v>167</v>
      </c>
      <c r="BJ377">
        <v>0</v>
      </c>
      <c r="BK377">
        <f t="shared" si="47"/>
        <v>4</v>
      </c>
      <c r="BL377">
        <f t="shared" si="48"/>
        <v>167</v>
      </c>
      <c r="BM377">
        <f t="shared" si="49"/>
        <v>0</v>
      </c>
      <c r="BN377">
        <f t="shared" si="50"/>
        <v>0</v>
      </c>
      <c r="BO377">
        <f t="shared" si="51"/>
        <v>0</v>
      </c>
      <c r="BP377">
        <f t="shared" si="52"/>
        <v>0</v>
      </c>
      <c r="BQ377" t="s">
        <v>494</v>
      </c>
      <c r="BR377" t="s">
        <v>112</v>
      </c>
      <c r="BS377" t="s">
        <v>89</v>
      </c>
      <c r="BT377">
        <v>33</v>
      </c>
      <c r="BU377" t="s">
        <v>89</v>
      </c>
      <c r="BV377" t="s">
        <v>89</v>
      </c>
      <c r="BW377">
        <v>16</v>
      </c>
      <c r="BX377">
        <v>1993</v>
      </c>
      <c r="BY377">
        <v>15</v>
      </c>
      <c r="BZ377">
        <f t="shared" si="53"/>
        <v>-1</v>
      </c>
      <c r="CA377">
        <f t="shared" si="54"/>
        <v>1</v>
      </c>
      <c r="CB377" t="b">
        <f t="shared" si="55"/>
        <v>0</v>
      </c>
    </row>
    <row r="378" spans="1:80" x14ac:dyDescent="0.3">
      <c r="A378" t="s">
        <v>3478</v>
      </c>
      <c r="B378" t="s">
        <v>71</v>
      </c>
      <c r="C378" t="s">
        <v>3479</v>
      </c>
      <c r="D378">
        <v>34</v>
      </c>
      <c r="E378" t="s">
        <v>3480</v>
      </c>
      <c r="F378" t="s">
        <v>3481</v>
      </c>
      <c r="G378" t="s">
        <v>819</v>
      </c>
      <c r="H378" t="s">
        <v>76</v>
      </c>
      <c r="I378" t="s">
        <v>288</v>
      </c>
      <c r="J378" t="s">
        <v>89</v>
      </c>
      <c r="K378" t="s">
        <v>3482</v>
      </c>
      <c r="L378" t="s">
        <v>80</v>
      </c>
      <c r="M378">
        <v>21</v>
      </c>
      <c r="N378" t="s">
        <v>137</v>
      </c>
      <c r="O378">
        <v>2012</v>
      </c>
      <c r="P378" t="s">
        <v>3483</v>
      </c>
      <c r="Q378" t="s">
        <v>3484</v>
      </c>
      <c r="R378">
        <v>67542</v>
      </c>
      <c r="S378" t="s">
        <v>3478</v>
      </c>
      <c r="T378" t="s">
        <v>3485</v>
      </c>
      <c r="U378">
        <v>1991</v>
      </c>
      <c r="V378" t="s">
        <v>1193</v>
      </c>
      <c r="W378">
        <v>1.87</v>
      </c>
      <c r="X378" t="s">
        <v>76</v>
      </c>
      <c r="Y378" t="s">
        <v>86</v>
      </c>
      <c r="Z378" t="s">
        <v>87</v>
      </c>
      <c r="AA378" t="s">
        <v>476</v>
      </c>
      <c r="AB378" s="1">
        <v>45666</v>
      </c>
      <c r="AC378" t="s">
        <v>108</v>
      </c>
      <c r="AD378" t="s">
        <v>89</v>
      </c>
      <c r="AE378" t="s">
        <v>3486</v>
      </c>
      <c r="AF378">
        <v>21</v>
      </c>
      <c r="AG378" t="s">
        <v>91</v>
      </c>
      <c r="AH378" t="s">
        <v>3487</v>
      </c>
      <c r="AI378">
        <v>23</v>
      </c>
      <c r="AJ378" t="s">
        <v>110</v>
      </c>
      <c r="AK378">
        <v>21</v>
      </c>
      <c r="AL378">
        <v>3</v>
      </c>
      <c r="AM378">
        <v>45</v>
      </c>
      <c r="AN378">
        <v>7</v>
      </c>
      <c r="AO378">
        <v>3</v>
      </c>
      <c r="AP378" t="s">
        <v>93</v>
      </c>
      <c r="AQ378" t="s">
        <v>89</v>
      </c>
      <c r="AR378" t="s">
        <v>89</v>
      </c>
      <c r="AS378" t="s">
        <v>93</v>
      </c>
      <c r="AT378" t="s">
        <v>89</v>
      </c>
      <c r="AU378" t="s">
        <v>89</v>
      </c>
      <c r="AV378" t="s">
        <v>89</v>
      </c>
      <c r="AW378">
        <v>13</v>
      </c>
      <c r="AX378" t="s">
        <v>89</v>
      </c>
      <c r="AY378" t="s">
        <v>93</v>
      </c>
      <c r="AZ378">
        <v>0</v>
      </c>
      <c r="BA378">
        <v>0</v>
      </c>
      <c r="BB378">
        <v>0</v>
      </c>
      <c r="BC378">
        <v>0</v>
      </c>
      <c r="BD378">
        <v>277</v>
      </c>
      <c r="BE378">
        <v>17919</v>
      </c>
      <c r="BF378">
        <v>1</v>
      </c>
      <c r="BG378" t="s">
        <v>89</v>
      </c>
      <c r="BH378">
        <v>277</v>
      </c>
      <c r="BI378">
        <v>17919</v>
      </c>
      <c r="BJ378">
        <v>1</v>
      </c>
      <c r="BK378">
        <f t="shared" si="47"/>
        <v>277</v>
      </c>
      <c r="BL378">
        <f t="shared" si="48"/>
        <v>17919</v>
      </c>
      <c r="BM378">
        <f t="shared" si="49"/>
        <v>1</v>
      </c>
      <c r="BN378">
        <f t="shared" si="50"/>
        <v>0</v>
      </c>
      <c r="BO378">
        <f t="shared" si="51"/>
        <v>0</v>
      </c>
      <c r="BP378">
        <f t="shared" si="52"/>
        <v>0</v>
      </c>
      <c r="BQ378" t="s">
        <v>86</v>
      </c>
      <c r="BR378" t="s">
        <v>94</v>
      </c>
      <c r="BS378" s="1">
        <v>33383</v>
      </c>
      <c r="BT378">
        <v>34</v>
      </c>
      <c r="BU378" t="s">
        <v>89</v>
      </c>
      <c r="BV378" t="s">
        <v>89</v>
      </c>
      <c r="BW378">
        <v>13</v>
      </c>
      <c r="BX378">
        <v>1991</v>
      </c>
      <c r="BY378">
        <v>13</v>
      </c>
      <c r="BZ378">
        <f t="shared" si="53"/>
        <v>0</v>
      </c>
      <c r="CA378">
        <f t="shared" si="54"/>
        <v>0</v>
      </c>
      <c r="CB378" t="b">
        <f t="shared" si="55"/>
        <v>1</v>
      </c>
    </row>
    <row r="379" spans="1:80" x14ac:dyDescent="0.3">
      <c r="A379" t="s">
        <v>3488</v>
      </c>
      <c r="B379" t="s">
        <v>71</v>
      </c>
      <c r="C379" t="s">
        <v>3489</v>
      </c>
      <c r="D379">
        <v>39</v>
      </c>
      <c r="E379" s="1">
        <v>31580</v>
      </c>
      <c r="F379" t="s">
        <v>89</v>
      </c>
      <c r="G379" t="s">
        <v>97</v>
      </c>
      <c r="H379" t="s">
        <v>89</v>
      </c>
      <c r="I379" t="s">
        <v>348</v>
      </c>
      <c r="J379" t="s">
        <v>89</v>
      </c>
      <c r="K379" t="s">
        <v>89</v>
      </c>
      <c r="L379" t="s">
        <v>254</v>
      </c>
      <c r="M379">
        <v>23</v>
      </c>
      <c r="N379" t="s">
        <v>323</v>
      </c>
      <c r="O379">
        <v>2009</v>
      </c>
      <c r="P379" t="s">
        <v>3490</v>
      </c>
      <c r="Q379" t="s">
        <v>3491</v>
      </c>
      <c r="R379">
        <v>73009</v>
      </c>
      <c r="S379" t="s">
        <v>3488</v>
      </c>
      <c r="T379" t="s">
        <v>3492</v>
      </c>
      <c r="U379">
        <v>1986</v>
      </c>
      <c r="V379" t="s">
        <v>122</v>
      </c>
      <c r="W379">
        <v>1.81</v>
      </c>
      <c r="X379" t="s">
        <v>76</v>
      </c>
      <c r="Y379" t="s">
        <v>136</v>
      </c>
      <c r="Z379" t="s">
        <v>87</v>
      </c>
      <c r="AA379" t="s">
        <v>3493</v>
      </c>
      <c r="AB379" s="1">
        <v>44568</v>
      </c>
      <c r="AC379" t="s">
        <v>108</v>
      </c>
      <c r="AD379" t="s">
        <v>89</v>
      </c>
      <c r="AE379" t="s">
        <v>237</v>
      </c>
      <c r="AF379">
        <v>24</v>
      </c>
      <c r="AG379" t="s">
        <v>91</v>
      </c>
      <c r="AH379" s="1">
        <v>39942</v>
      </c>
      <c r="AI379">
        <v>23</v>
      </c>
      <c r="AJ379" t="s">
        <v>110</v>
      </c>
      <c r="AK379">
        <v>23</v>
      </c>
      <c r="AL379">
        <v>2</v>
      </c>
      <c r="AM379">
        <v>102</v>
      </c>
      <c r="AN379">
        <v>15</v>
      </c>
      <c r="AO379">
        <v>2</v>
      </c>
      <c r="AP379" t="s">
        <v>93</v>
      </c>
      <c r="AQ379" t="s">
        <v>89</v>
      </c>
      <c r="AR379" t="s">
        <v>89</v>
      </c>
      <c r="AS379" t="s">
        <v>111</v>
      </c>
      <c r="AT379" s="1">
        <v>44568</v>
      </c>
      <c r="AU379">
        <v>2022</v>
      </c>
      <c r="AV379">
        <v>13</v>
      </c>
      <c r="AW379">
        <v>13</v>
      </c>
      <c r="AX379" t="s">
        <v>89</v>
      </c>
      <c r="AY379" t="s">
        <v>93</v>
      </c>
      <c r="AZ379">
        <v>0</v>
      </c>
      <c r="BA379">
        <v>0</v>
      </c>
      <c r="BB379">
        <v>0</v>
      </c>
      <c r="BC379">
        <v>0</v>
      </c>
      <c r="BD379">
        <v>204</v>
      </c>
      <c r="BE379">
        <v>16883</v>
      </c>
      <c r="BF379">
        <v>9</v>
      </c>
      <c r="BG379">
        <v>36</v>
      </c>
      <c r="BH379">
        <v>204</v>
      </c>
      <c r="BI379">
        <v>16883</v>
      </c>
      <c r="BJ379">
        <v>9</v>
      </c>
      <c r="BK379">
        <f t="shared" si="47"/>
        <v>204</v>
      </c>
      <c r="BL379">
        <f t="shared" si="48"/>
        <v>16883</v>
      </c>
      <c r="BM379">
        <f t="shared" si="49"/>
        <v>9</v>
      </c>
      <c r="BN379">
        <f t="shared" si="50"/>
        <v>0</v>
      </c>
      <c r="BO379">
        <f t="shared" si="51"/>
        <v>0</v>
      </c>
      <c r="BP379">
        <f t="shared" si="52"/>
        <v>0</v>
      </c>
      <c r="BQ379" t="s">
        <v>136</v>
      </c>
      <c r="BR379" t="s">
        <v>140</v>
      </c>
      <c r="BS379" s="1">
        <v>31580</v>
      </c>
      <c r="BT379">
        <v>39</v>
      </c>
      <c r="BU379" s="1">
        <v>44568</v>
      </c>
      <c r="BV379" s="1">
        <v>44743</v>
      </c>
      <c r="BW379">
        <v>13</v>
      </c>
      <c r="BX379">
        <v>1986</v>
      </c>
      <c r="BY379">
        <v>13</v>
      </c>
      <c r="BZ379">
        <f t="shared" si="53"/>
        <v>0</v>
      </c>
      <c r="CA379">
        <f t="shared" si="54"/>
        <v>0</v>
      </c>
      <c r="CB379" t="b">
        <f t="shared" si="55"/>
        <v>1</v>
      </c>
    </row>
    <row r="380" spans="1:80" x14ac:dyDescent="0.3">
      <c r="A380" t="s">
        <v>3494</v>
      </c>
      <c r="B380" t="s">
        <v>71</v>
      </c>
      <c r="C380" t="s">
        <v>3495</v>
      </c>
      <c r="D380">
        <v>50</v>
      </c>
      <c r="E380">
        <v>27572</v>
      </c>
      <c r="F380" t="s">
        <v>89</v>
      </c>
      <c r="G380" t="s">
        <v>298</v>
      </c>
      <c r="H380" t="s">
        <v>76</v>
      </c>
      <c r="I380" t="s">
        <v>178</v>
      </c>
      <c r="J380" t="s">
        <v>639</v>
      </c>
      <c r="K380" t="s">
        <v>89</v>
      </c>
      <c r="L380" t="s">
        <v>1919</v>
      </c>
      <c r="M380">
        <v>22</v>
      </c>
      <c r="N380" t="s">
        <v>716</v>
      </c>
      <c r="O380">
        <v>1997</v>
      </c>
      <c r="P380" t="s">
        <v>3496</v>
      </c>
      <c r="Q380" t="s">
        <v>3497</v>
      </c>
      <c r="R380">
        <v>15974</v>
      </c>
      <c r="S380" t="s">
        <v>3494</v>
      </c>
      <c r="T380" t="s">
        <v>3498</v>
      </c>
      <c r="U380">
        <v>1975</v>
      </c>
      <c r="V380" t="s">
        <v>2811</v>
      </c>
      <c r="W380">
        <v>1.77</v>
      </c>
      <c r="X380" t="s">
        <v>76</v>
      </c>
      <c r="Y380" t="s">
        <v>186</v>
      </c>
      <c r="Z380" t="s">
        <v>392</v>
      </c>
      <c r="AA380" t="s">
        <v>2758</v>
      </c>
      <c r="AB380">
        <v>42742</v>
      </c>
      <c r="AC380" t="s">
        <v>108</v>
      </c>
      <c r="AD380" t="s">
        <v>89</v>
      </c>
      <c r="AE380" t="s">
        <v>3499</v>
      </c>
      <c r="AF380">
        <v>22</v>
      </c>
      <c r="AG380" t="s">
        <v>91</v>
      </c>
      <c r="AH380" t="s">
        <v>2088</v>
      </c>
      <c r="AI380">
        <v>26</v>
      </c>
      <c r="AJ380" t="s">
        <v>110</v>
      </c>
      <c r="AK380">
        <v>22</v>
      </c>
      <c r="AL380">
        <v>1</v>
      </c>
      <c r="AM380">
        <v>24</v>
      </c>
      <c r="AN380">
        <v>4</v>
      </c>
      <c r="AO380">
        <v>1</v>
      </c>
      <c r="AP380" t="s">
        <v>93</v>
      </c>
      <c r="AQ380" t="s">
        <v>89</v>
      </c>
      <c r="AR380" t="s">
        <v>89</v>
      </c>
      <c r="AS380" t="s">
        <v>111</v>
      </c>
      <c r="AT380">
        <v>42742</v>
      </c>
      <c r="AU380">
        <v>2017</v>
      </c>
      <c r="AV380">
        <v>20</v>
      </c>
      <c r="AW380">
        <v>20</v>
      </c>
      <c r="AX380" t="s">
        <v>89</v>
      </c>
      <c r="AY380" t="s">
        <v>93</v>
      </c>
      <c r="AZ380">
        <v>0</v>
      </c>
      <c r="BA380">
        <v>0</v>
      </c>
      <c r="BB380">
        <v>0</v>
      </c>
      <c r="BC380">
        <v>0</v>
      </c>
      <c r="BD380">
        <v>484</v>
      </c>
      <c r="BE380">
        <v>43300</v>
      </c>
      <c r="BF380">
        <v>0</v>
      </c>
      <c r="BG380">
        <v>42</v>
      </c>
      <c r="BH380">
        <v>484</v>
      </c>
      <c r="BI380">
        <v>43300</v>
      </c>
      <c r="BJ380">
        <v>0</v>
      </c>
      <c r="BK380">
        <f t="shared" si="47"/>
        <v>484</v>
      </c>
      <c r="BL380">
        <f t="shared" si="48"/>
        <v>43300</v>
      </c>
      <c r="BM380">
        <f t="shared" si="49"/>
        <v>0</v>
      </c>
      <c r="BN380">
        <f t="shared" si="50"/>
        <v>0</v>
      </c>
      <c r="BO380">
        <f t="shared" si="51"/>
        <v>0</v>
      </c>
      <c r="BP380">
        <f t="shared" si="52"/>
        <v>0</v>
      </c>
      <c r="BQ380" t="s">
        <v>186</v>
      </c>
      <c r="BR380" t="s">
        <v>186</v>
      </c>
      <c r="BS380" t="s">
        <v>89</v>
      </c>
      <c r="BT380">
        <v>51</v>
      </c>
      <c r="BU380">
        <v>42742</v>
      </c>
      <c r="BV380" t="s">
        <v>89</v>
      </c>
      <c r="BW380">
        <v>20</v>
      </c>
      <c r="BX380">
        <v>1975</v>
      </c>
      <c r="BY380">
        <v>20</v>
      </c>
      <c r="BZ380">
        <f t="shared" si="53"/>
        <v>0</v>
      </c>
      <c r="CA380">
        <f t="shared" si="54"/>
        <v>0</v>
      </c>
      <c r="CB380" t="b">
        <f t="shared" si="55"/>
        <v>1</v>
      </c>
    </row>
    <row r="381" spans="1:80" x14ac:dyDescent="0.3">
      <c r="A381" t="s">
        <v>3500</v>
      </c>
      <c r="B381" t="s">
        <v>71</v>
      </c>
      <c r="C381" t="s">
        <v>3501</v>
      </c>
      <c r="D381">
        <v>38</v>
      </c>
      <c r="E381">
        <v>31960</v>
      </c>
      <c r="F381" t="s">
        <v>89</v>
      </c>
      <c r="G381" t="s">
        <v>115</v>
      </c>
      <c r="H381" t="s">
        <v>76</v>
      </c>
      <c r="I381" t="s">
        <v>750</v>
      </c>
      <c r="J381" t="s">
        <v>78</v>
      </c>
      <c r="K381" t="s">
        <v>89</v>
      </c>
      <c r="L381" t="s">
        <v>163</v>
      </c>
      <c r="M381">
        <v>19</v>
      </c>
      <c r="N381" t="s">
        <v>118</v>
      </c>
      <c r="O381">
        <v>2006</v>
      </c>
      <c r="P381" t="s">
        <v>3502</v>
      </c>
      <c r="Q381" t="s">
        <v>3503</v>
      </c>
      <c r="R381">
        <v>44065</v>
      </c>
      <c r="S381" t="s">
        <v>3500</v>
      </c>
      <c r="T381">
        <v>31815</v>
      </c>
      <c r="U381">
        <v>1987</v>
      </c>
      <c r="V381" t="s">
        <v>122</v>
      </c>
      <c r="W381">
        <v>1.8</v>
      </c>
      <c r="X381" t="s">
        <v>76</v>
      </c>
      <c r="Y381" t="s">
        <v>86</v>
      </c>
      <c r="Z381" t="s">
        <v>87</v>
      </c>
      <c r="AA381" t="s">
        <v>305</v>
      </c>
      <c r="AB381" s="1">
        <v>44203</v>
      </c>
      <c r="AC381" t="s">
        <v>108</v>
      </c>
      <c r="AD381" t="s">
        <v>89</v>
      </c>
      <c r="AE381" s="1">
        <v>2007</v>
      </c>
      <c r="AF381">
        <v>20</v>
      </c>
      <c r="AG381" t="s">
        <v>91</v>
      </c>
      <c r="AH381" s="1">
        <v>2005</v>
      </c>
      <c r="AI381">
        <v>18</v>
      </c>
      <c r="AJ381">
        <v>0</v>
      </c>
      <c r="AK381">
        <v>18</v>
      </c>
      <c r="AL381">
        <v>7</v>
      </c>
      <c r="AM381">
        <v>293</v>
      </c>
      <c r="AN381">
        <v>66</v>
      </c>
      <c r="AO381">
        <v>5</v>
      </c>
      <c r="AP381" t="s">
        <v>93</v>
      </c>
      <c r="AQ381" t="s">
        <v>89</v>
      </c>
      <c r="AR381" t="s">
        <v>89</v>
      </c>
      <c r="AS381" t="s">
        <v>111</v>
      </c>
      <c r="AT381">
        <v>44203</v>
      </c>
      <c r="AU381">
        <v>2021</v>
      </c>
      <c r="AV381">
        <v>15</v>
      </c>
      <c r="AW381">
        <v>15</v>
      </c>
      <c r="AX381" t="s">
        <v>89</v>
      </c>
      <c r="AY381" t="s">
        <v>93</v>
      </c>
      <c r="AZ381">
        <v>0</v>
      </c>
      <c r="BA381">
        <v>0</v>
      </c>
      <c r="BB381">
        <v>0</v>
      </c>
      <c r="BC381">
        <v>0</v>
      </c>
      <c r="BD381">
        <v>371</v>
      </c>
      <c r="BE381">
        <v>22720</v>
      </c>
      <c r="BF381">
        <v>30</v>
      </c>
      <c r="BG381">
        <v>34</v>
      </c>
      <c r="BH381">
        <v>371</v>
      </c>
      <c r="BI381">
        <v>22720</v>
      </c>
      <c r="BJ381">
        <v>30</v>
      </c>
      <c r="BK381">
        <f t="shared" si="47"/>
        <v>371</v>
      </c>
      <c r="BL381">
        <f t="shared" si="48"/>
        <v>22720</v>
      </c>
      <c r="BM381">
        <f t="shared" si="49"/>
        <v>30</v>
      </c>
      <c r="BN381">
        <f t="shared" si="50"/>
        <v>0</v>
      </c>
      <c r="BO381">
        <f t="shared" si="51"/>
        <v>0</v>
      </c>
      <c r="BP381">
        <f t="shared" si="52"/>
        <v>0</v>
      </c>
      <c r="BQ381" t="s">
        <v>86</v>
      </c>
      <c r="BR381" t="s">
        <v>94</v>
      </c>
      <c r="BS381" t="s">
        <v>89</v>
      </c>
      <c r="BT381">
        <v>39</v>
      </c>
      <c r="BU381">
        <v>44203</v>
      </c>
      <c r="BV381" t="s">
        <v>89</v>
      </c>
      <c r="BW381">
        <v>16</v>
      </c>
      <c r="BX381">
        <v>1987</v>
      </c>
      <c r="BY381">
        <v>16</v>
      </c>
      <c r="BZ381">
        <f t="shared" si="53"/>
        <v>-1</v>
      </c>
      <c r="CA381">
        <f t="shared" si="54"/>
        <v>0</v>
      </c>
      <c r="CB381" t="b">
        <f t="shared" si="55"/>
        <v>0</v>
      </c>
    </row>
    <row r="382" spans="1:80" x14ac:dyDescent="0.3">
      <c r="A382" t="s">
        <v>3504</v>
      </c>
      <c r="B382" t="s">
        <v>776</v>
      </c>
      <c r="C382" t="s">
        <v>3505</v>
      </c>
      <c r="D382">
        <v>43</v>
      </c>
      <c r="E382" s="1">
        <v>30028</v>
      </c>
      <c r="F382" t="s">
        <v>89</v>
      </c>
      <c r="G382" t="s">
        <v>176</v>
      </c>
      <c r="H382" t="s">
        <v>89</v>
      </c>
      <c r="I382" t="s">
        <v>195</v>
      </c>
      <c r="J382" t="s">
        <v>89</v>
      </c>
      <c r="K382" t="s">
        <v>89</v>
      </c>
      <c r="L382" t="s">
        <v>657</v>
      </c>
      <c r="M382">
        <v>21</v>
      </c>
      <c r="N382" t="s">
        <v>1236</v>
      </c>
      <c r="O382">
        <v>2003</v>
      </c>
      <c r="P382" t="s">
        <v>3506</v>
      </c>
      <c r="Q382" t="s">
        <v>3507</v>
      </c>
      <c r="R382">
        <v>25106</v>
      </c>
      <c r="S382" t="s">
        <v>3508</v>
      </c>
      <c r="T382" t="s">
        <v>3509</v>
      </c>
      <c r="U382">
        <v>1982</v>
      </c>
      <c r="V382" t="s">
        <v>3510</v>
      </c>
      <c r="W382">
        <v>1.83</v>
      </c>
      <c r="X382" t="s">
        <v>2173</v>
      </c>
      <c r="Y382" t="s">
        <v>203</v>
      </c>
      <c r="Z382" t="s">
        <v>152</v>
      </c>
      <c r="AA382" t="s">
        <v>3511</v>
      </c>
      <c r="AB382">
        <v>44562</v>
      </c>
      <c r="AC382" t="s">
        <v>108</v>
      </c>
      <c r="AD382" t="s">
        <v>89</v>
      </c>
      <c r="AE382" t="s">
        <v>3512</v>
      </c>
      <c r="AF382">
        <v>22</v>
      </c>
      <c r="AG382" t="s">
        <v>613</v>
      </c>
      <c r="AH382">
        <v>42529</v>
      </c>
      <c r="AI382">
        <v>34</v>
      </c>
      <c r="AJ382" t="s">
        <v>3513</v>
      </c>
      <c r="AK382">
        <v>22</v>
      </c>
      <c r="AL382" t="s">
        <v>89</v>
      </c>
      <c r="AM382" t="s">
        <v>89</v>
      </c>
      <c r="AN382" t="s">
        <v>89</v>
      </c>
      <c r="AO382">
        <v>0</v>
      </c>
      <c r="AP382" t="s">
        <v>93</v>
      </c>
      <c r="AQ382" t="s">
        <v>89</v>
      </c>
      <c r="AR382" t="s">
        <v>89</v>
      </c>
      <c r="AS382" t="s">
        <v>111</v>
      </c>
      <c r="AT382">
        <v>44562</v>
      </c>
      <c r="AU382">
        <v>2022</v>
      </c>
      <c r="AV382">
        <v>19</v>
      </c>
      <c r="AW382">
        <v>19</v>
      </c>
      <c r="AX382" t="s">
        <v>89</v>
      </c>
      <c r="AY382" t="s">
        <v>93</v>
      </c>
      <c r="AZ382">
        <v>0</v>
      </c>
      <c r="BA382">
        <v>0</v>
      </c>
      <c r="BB382">
        <v>0</v>
      </c>
      <c r="BC382">
        <v>0</v>
      </c>
      <c r="BD382">
        <v>304</v>
      </c>
      <c r="BE382">
        <v>25624</v>
      </c>
      <c r="BF382">
        <v>7</v>
      </c>
      <c r="BG382">
        <v>40</v>
      </c>
      <c r="BH382">
        <v>304</v>
      </c>
      <c r="BI382">
        <v>25624</v>
      </c>
      <c r="BJ382">
        <v>7</v>
      </c>
      <c r="BK382">
        <f t="shared" si="47"/>
        <v>304</v>
      </c>
      <c r="BL382">
        <f t="shared" si="48"/>
        <v>25624</v>
      </c>
      <c r="BM382">
        <f t="shared" si="49"/>
        <v>7</v>
      </c>
      <c r="BN382">
        <f t="shared" si="50"/>
        <v>0</v>
      </c>
      <c r="BO382">
        <f t="shared" si="51"/>
        <v>0</v>
      </c>
      <c r="BP382">
        <f t="shared" si="52"/>
        <v>0</v>
      </c>
      <c r="BQ382" t="s">
        <v>203</v>
      </c>
      <c r="BR382" t="s">
        <v>140</v>
      </c>
      <c r="BS382" s="1">
        <v>30028</v>
      </c>
      <c r="BT382">
        <v>43</v>
      </c>
      <c r="BU382">
        <v>44562</v>
      </c>
      <c r="BV382" t="s">
        <v>89</v>
      </c>
      <c r="BW382">
        <v>18</v>
      </c>
      <c r="BX382">
        <v>1982</v>
      </c>
      <c r="BY382">
        <v>18</v>
      </c>
      <c r="BZ382">
        <f t="shared" si="53"/>
        <v>1</v>
      </c>
      <c r="CA382">
        <f t="shared" si="54"/>
        <v>0</v>
      </c>
      <c r="CB382" t="b">
        <f t="shared" si="55"/>
        <v>0</v>
      </c>
    </row>
    <row r="383" spans="1:80" x14ac:dyDescent="0.3">
      <c r="A383" t="s">
        <v>3514</v>
      </c>
      <c r="B383" t="s">
        <v>71</v>
      </c>
      <c r="C383" t="s">
        <v>3515</v>
      </c>
      <c r="D383">
        <v>34</v>
      </c>
      <c r="E383" s="1">
        <v>33250</v>
      </c>
      <c r="F383" t="s">
        <v>89</v>
      </c>
      <c r="G383" t="s">
        <v>385</v>
      </c>
      <c r="H383" t="s">
        <v>76</v>
      </c>
      <c r="I383" t="s">
        <v>865</v>
      </c>
      <c r="J383" t="s">
        <v>89</v>
      </c>
      <c r="K383" t="s">
        <v>89</v>
      </c>
      <c r="L383" t="s">
        <v>228</v>
      </c>
      <c r="M383">
        <v>19</v>
      </c>
      <c r="N383" t="s">
        <v>301</v>
      </c>
      <c r="O383">
        <v>2010</v>
      </c>
      <c r="P383" t="s">
        <v>3516</v>
      </c>
      <c r="Q383" t="s">
        <v>3517</v>
      </c>
      <c r="R383">
        <v>153739</v>
      </c>
      <c r="S383" t="s">
        <v>3514</v>
      </c>
      <c r="T383">
        <v>33573</v>
      </c>
      <c r="U383">
        <v>1991</v>
      </c>
      <c r="V383" t="s">
        <v>3518</v>
      </c>
      <c r="W383">
        <v>1.69</v>
      </c>
      <c r="X383" t="s">
        <v>76</v>
      </c>
      <c r="Y383" t="s">
        <v>494</v>
      </c>
      <c r="Z383" t="s">
        <v>87</v>
      </c>
      <c r="AA383" t="s">
        <v>476</v>
      </c>
      <c r="AB383">
        <v>45298</v>
      </c>
      <c r="AC383" t="s">
        <v>108</v>
      </c>
      <c r="AD383" t="s">
        <v>89</v>
      </c>
      <c r="AE383" t="s">
        <v>3519</v>
      </c>
      <c r="AF383">
        <v>20</v>
      </c>
      <c r="AG383" t="s">
        <v>91</v>
      </c>
      <c r="AH383" t="s">
        <v>237</v>
      </c>
      <c r="AI383">
        <v>19</v>
      </c>
      <c r="AJ383" t="s">
        <v>110</v>
      </c>
      <c r="AK383">
        <v>19</v>
      </c>
      <c r="AL383">
        <v>5</v>
      </c>
      <c r="AM383">
        <v>106</v>
      </c>
      <c r="AN383">
        <v>10</v>
      </c>
      <c r="AO383">
        <v>3</v>
      </c>
      <c r="AP383" t="s">
        <v>93</v>
      </c>
      <c r="AQ383" t="s">
        <v>89</v>
      </c>
      <c r="AR383" t="s">
        <v>89</v>
      </c>
      <c r="AS383" t="s">
        <v>93</v>
      </c>
      <c r="AT383" t="s">
        <v>89</v>
      </c>
      <c r="AU383" t="s">
        <v>89</v>
      </c>
      <c r="AV383" t="s">
        <v>89</v>
      </c>
      <c r="AW383">
        <v>15</v>
      </c>
      <c r="AX383" t="s">
        <v>89</v>
      </c>
      <c r="AY383" t="s">
        <v>93</v>
      </c>
      <c r="AZ383">
        <v>0</v>
      </c>
      <c r="BA383">
        <v>0</v>
      </c>
      <c r="BB383">
        <v>0</v>
      </c>
      <c r="BC383">
        <v>0</v>
      </c>
      <c r="BD383">
        <v>109</v>
      </c>
      <c r="BE383">
        <v>5529</v>
      </c>
      <c r="BF383">
        <v>8</v>
      </c>
      <c r="BG383" t="s">
        <v>89</v>
      </c>
      <c r="BH383">
        <v>109</v>
      </c>
      <c r="BI383">
        <v>5529</v>
      </c>
      <c r="BJ383">
        <v>8</v>
      </c>
      <c r="BK383">
        <f t="shared" si="47"/>
        <v>109</v>
      </c>
      <c r="BL383">
        <f t="shared" si="48"/>
        <v>5529</v>
      </c>
      <c r="BM383">
        <f t="shared" si="49"/>
        <v>8</v>
      </c>
      <c r="BN383">
        <f t="shared" si="50"/>
        <v>0</v>
      </c>
      <c r="BO383">
        <f t="shared" si="51"/>
        <v>0</v>
      </c>
      <c r="BP383">
        <f t="shared" si="52"/>
        <v>0</v>
      </c>
      <c r="BQ383" t="s">
        <v>494</v>
      </c>
      <c r="BR383" t="s">
        <v>112</v>
      </c>
      <c r="BS383" t="s">
        <v>89</v>
      </c>
      <c r="BT383">
        <v>35</v>
      </c>
      <c r="BU383" t="s">
        <v>89</v>
      </c>
      <c r="BV383" t="s">
        <v>89</v>
      </c>
      <c r="BW383">
        <v>16</v>
      </c>
      <c r="BX383">
        <v>1991</v>
      </c>
      <c r="BY383">
        <v>15</v>
      </c>
      <c r="BZ383">
        <f t="shared" si="53"/>
        <v>-1</v>
      </c>
      <c r="CA383">
        <f t="shared" si="54"/>
        <v>1</v>
      </c>
      <c r="CB383" t="b">
        <f t="shared" si="55"/>
        <v>0</v>
      </c>
    </row>
    <row r="384" spans="1:80" x14ac:dyDescent="0.3">
      <c r="A384" t="s">
        <v>3520</v>
      </c>
      <c r="B384" t="s">
        <v>156</v>
      </c>
      <c r="C384" t="s">
        <v>3521</v>
      </c>
      <c r="D384">
        <v>38</v>
      </c>
      <c r="E384" s="1">
        <v>31695</v>
      </c>
      <c r="F384" t="s">
        <v>89</v>
      </c>
      <c r="G384" t="s">
        <v>374</v>
      </c>
      <c r="H384" t="s">
        <v>177</v>
      </c>
      <c r="I384" t="s">
        <v>414</v>
      </c>
      <c r="J384" t="s">
        <v>78</v>
      </c>
      <c r="K384" t="s">
        <v>89</v>
      </c>
      <c r="L384" t="s">
        <v>117</v>
      </c>
      <c r="M384">
        <v>18</v>
      </c>
      <c r="N384" t="s">
        <v>416</v>
      </c>
      <c r="O384">
        <v>2005</v>
      </c>
      <c r="P384" t="s">
        <v>3522</v>
      </c>
      <c r="Q384" t="s">
        <v>3523</v>
      </c>
      <c r="R384">
        <v>35939</v>
      </c>
      <c r="S384" t="s">
        <v>3520</v>
      </c>
      <c r="T384" s="1">
        <v>31695</v>
      </c>
      <c r="U384">
        <v>1986</v>
      </c>
      <c r="V384" t="s">
        <v>218</v>
      </c>
      <c r="W384">
        <v>1.88</v>
      </c>
      <c r="X384" t="s">
        <v>219</v>
      </c>
      <c r="Y384" t="s">
        <v>235</v>
      </c>
      <c r="Z384" t="s">
        <v>87</v>
      </c>
      <c r="AA384" t="s">
        <v>214</v>
      </c>
      <c r="AB384" t="s">
        <v>3524</v>
      </c>
      <c r="AC384" t="s">
        <v>108</v>
      </c>
      <c r="AD384" t="s">
        <v>89</v>
      </c>
      <c r="AE384">
        <v>38119</v>
      </c>
      <c r="AF384">
        <v>18</v>
      </c>
      <c r="AG384" t="s">
        <v>189</v>
      </c>
      <c r="AH384" t="s">
        <v>92</v>
      </c>
      <c r="AI384" t="s">
        <v>89</v>
      </c>
      <c r="AJ384" t="s">
        <v>92</v>
      </c>
      <c r="AK384">
        <v>18</v>
      </c>
      <c r="AL384">
        <v>19</v>
      </c>
      <c r="AM384">
        <v>681</v>
      </c>
      <c r="AN384">
        <v>93</v>
      </c>
      <c r="AO384">
        <v>9</v>
      </c>
      <c r="AP384" t="s">
        <v>93</v>
      </c>
      <c r="AQ384" t="s">
        <v>89</v>
      </c>
      <c r="AR384" t="s">
        <v>89</v>
      </c>
      <c r="AS384" t="s">
        <v>111</v>
      </c>
      <c r="AT384" t="s">
        <v>3524</v>
      </c>
      <c r="AU384">
        <v>2021</v>
      </c>
      <c r="AV384">
        <v>16</v>
      </c>
      <c r="AW384">
        <v>16</v>
      </c>
      <c r="AX384" t="s">
        <v>89</v>
      </c>
      <c r="AY384" t="s">
        <v>111</v>
      </c>
      <c r="AZ384">
        <v>5</v>
      </c>
      <c r="BA384">
        <v>19</v>
      </c>
      <c r="BB384">
        <v>1793</v>
      </c>
      <c r="BC384">
        <v>0</v>
      </c>
      <c r="BD384">
        <v>411</v>
      </c>
      <c r="BE384">
        <v>35472</v>
      </c>
      <c r="BF384">
        <v>37</v>
      </c>
      <c r="BG384">
        <v>35</v>
      </c>
      <c r="BH384">
        <v>430</v>
      </c>
      <c r="BI384">
        <v>37265</v>
      </c>
      <c r="BJ384">
        <v>37</v>
      </c>
      <c r="BK384">
        <f t="shared" si="47"/>
        <v>430</v>
      </c>
      <c r="BL384">
        <f t="shared" si="48"/>
        <v>37265</v>
      </c>
      <c r="BM384">
        <f t="shared" si="49"/>
        <v>37</v>
      </c>
      <c r="BN384">
        <f t="shared" si="50"/>
        <v>0</v>
      </c>
      <c r="BO384">
        <f t="shared" si="51"/>
        <v>0</v>
      </c>
      <c r="BP384">
        <f t="shared" si="52"/>
        <v>0</v>
      </c>
      <c r="BQ384" t="s">
        <v>235</v>
      </c>
      <c r="BR384" t="s">
        <v>140</v>
      </c>
      <c r="BS384" s="1">
        <v>31695</v>
      </c>
      <c r="BT384">
        <v>39</v>
      </c>
      <c r="BU384" t="s">
        <v>3524</v>
      </c>
      <c r="BV384" s="1">
        <v>44393</v>
      </c>
      <c r="BW384">
        <v>17</v>
      </c>
      <c r="BX384">
        <v>1986</v>
      </c>
      <c r="BY384">
        <v>17</v>
      </c>
      <c r="BZ384">
        <f t="shared" si="53"/>
        <v>-1</v>
      </c>
      <c r="CA384">
        <f t="shared" si="54"/>
        <v>0</v>
      </c>
      <c r="CB384" t="b">
        <f t="shared" si="55"/>
        <v>0</v>
      </c>
    </row>
    <row r="385" spans="1:80" x14ac:dyDescent="0.3">
      <c r="A385" t="s">
        <v>3525</v>
      </c>
      <c r="B385" t="s">
        <v>156</v>
      </c>
      <c r="C385" t="s">
        <v>3526</v>
      </c>
      <c r="D385">
        <v>33</v>
      </c>
      <c r="E385" s="1">
        <v>33766</v>
      </c>
      <c r="F385" t="s">
        <v>89</v>
      </c>
      <c r="G385" t="s">
        <v>1381</v>
      </c>
      <c r="H385" t="s">
        <v>89</v>
      </c>
      <c r="I385" t="s">
        <v>437</v>
      </c>
      <c r="J385" t="s">
        <v>300</v>
      </c>
      <c r="K385" t="s">
        <v>89</v>
      </c>
      <c r="L385" t="s">
        <v>324</v>
      </c>
      <c r="M385">
        <v>21</v>
      </c>
      <c r="N385" t="s">
        <v>1047</v>
      </c>
      <c r="O385">
        <v>2013</v>
      </c>
      <c r="P385" t="s">
        <v>3527</v>
      </c>
      <c r="Q385" t="s">
        <v>3528</v>
      </c>
      <c r="R385">
        <v>164477</v>
      </c>
      <c r="S385" t="s">
        <v>3525</v>
      </c>
      <c r="T385">
        <v>33914</v>
      </c>
      <c r="U385">
        <v>1992</v>
      </c>
      <c r="V385" t="s">
        <v>3529</v>
      </c>
      <c r="W385">
        <v>1.92</v>
      </c>
      <c r="X385" t="s">
        <v>169</v>
      </c>
      <c r="Y385" t="s">
        <v>123</v>
      </c>
      <c r="Z385" t="s">
        <v>87</v>
      </c>
      <c r="AA385" t="s">
        <v>3530</v>
      </c>
      <c r="AB385" s="1">
        <v>45449</v>
      </c>
      <c r="AC385" t="s">
        <v>108</v>
      </c>
      <c r="AD385" t="s">
        <v>89</v>
      </c>
      <c r="AE385">
        <v>40219</v>
      </c>
      <c r="AF385">
        <v>18</v>
      </c>
      <c r="AG385" t="s">
        <v>189</v>
      </c>
      <c r="AH385" t="s">
        <v>3531</v>
      </c>
      <c r="AI385">
        <v>19</v>
      </c>
      <c r="AJ385" t="s">
        <v>2210</v>
      </c>
      <c r="AK385">
        <v>18</v>
      </c>
      <c r="AL385">
        <v>4</v>
      </c>
      <c r="AM385">
        <v>72</v>
      </c>
      <c r="AN385">
        <v>8</v>
      </c>
      <c r="AO385">
        <v>2</v>
      </c>
      <c r="AP385" t="s">
        <v>93</v>
      </c>
      <c r="AQ385" t="s">
        <v>89</v>
      </c>
      <c r="AR385" t="s">
        <v>89</v>
      </c>
      <c r="AS385" t="s">
        <v>111</v>
      </c>
      <c r="AT385" s="1">
        <v>45449</v>
      </c>
      <c r="AU385">
        <v>2024</v>
      </c>
      <c r="AV385">
        <v>11</v>
      </c>
      <c r="AW385">
        <v>11</v>
      </c>
      <c r="AX385" t="s">
        <v>89</v>
      </c>
      <c r="AY385" t="s">
        <v>93</v>
      </c>
      <c r="AZ385">
        <v>0</v>
      </c>
      <c r="BA385">
        <v>0</v>
      </c>
      <c r="BB385">
        <v>0</v>
      </c>
      <c r="BC385">
        <v>0</v>
      </c>
      <c r="BD385">
        <v>107</v>
      </c>
      <c r="BE385">
        <v>4842</v>
      </c>
      <c r="BF385">
        <v>13</v>
      </c>
      <c r="BG385">
        <v>32</v>
      </c>
      <c r="BH385">
        <v>107</v>
      </c>
      <c r="BI385">
        <v>4842</v>
      </c>
      <c r="BJ385">
        <v>13</v>
      </c>
      <c r="BK385">
        <f t="shared" si="47"/>
        <v>107</v>
      </c>
      <c r="BL385">
        <f t="shared" si="48"/>
        <v>4842</v>
      </c>
      <c r="BM385">
        <f t="shared" si="49"/>
        <v>13</v>
      </c>
      <c r="BN385">
        <f t="shared" si="50"/>
        <v>0</v>
      </c>
      <c r="BO385">
        <f t="shared" si="51"/>
        <v>0</v>
      </c>
      <c r="BP385">
        <f t="shared" si="52"/>
        <v>0</v>
      </c>
      <c r="BQ385" t="s">
        <v>123</v>
      </c>
      <c r="BR385" t="s">
        <v>112</v>
      </c>
      <c r="BS385" t="s">
        <v>89</v>
      </c>
      <c r="BT385">
        <v>34</v>
      </c>
      <c r="BU385" s="1">
        <v>45449</v>
      </c>
      <c r="BV385" s="1">
        <v>45449</v>
      </c>
      <c r="BW385">
        <v>14</v>
      </c>
      <c r="BX385">
        <v>1992</v>
      </c>
      <c r="BY385">
        <v>14</v>
      </c>
      <c r="BZ385">
        <f t="shared" si="53"/>
        <v>-3</v>
      </c>
      <c r="CA385">
        <f t="shared" si="54"/>
        <v>0</v>
      </c>
      <c r="CB385" t="b">
        <f t="shared" si="55"/>
        <v>0</v>
      </c>
    </row>
    <row r="386" spans="1:80" x14ac:dyDescent="0.3">
      <c r="A386" t="s">
        <v>3532</v>
      </c>
      <c r="B386" t="s">
        <v>1231</v>
      </c>
      <c r="C386" t="s">
        <v>3533</v>
      </c>
      <c r="D386">
        <v>37</v>
      </c>
      <c r="E386" s="1">
        <v>32213</v>
      </c>
      <c r="F386" t="s">
        <v>89</v>
      </c>
      <c r="G386" t="s">
        <v>321</v>
      </c>
      <c r="H386" t="s">
        <v>1234</v>
      </c>
      <c r="I386" t="s">
        <v>195</v>
      </c>
      <c r="J386" t="s">
        <v>300</v>
      </c>
      <c r="K386" t="s">
        <v>89</v>
      </c>
      <c r="L386" t="s">
        <v>145</v>
      </c>
      <c r="M386">
        <v>16</v>
      </c>
      <c r="N386" t="s">
        <v>2614</v>
      </c>
      <c r="O386">
        <v>2004</v>
      </c>
      <c r="P386" t="s">
        <v>3534</v>
      </c>
      <c r="Q386" t="s">
        <v>3535</v>
      </c>
      <c r="R386">
        <v>33648</v>
      </c>
      <c r="S386" t="s">
        <v>3532</v>
      </c>
      <c r="T386">
        <v>32450</v>
      </c>
      <c r="U386">
        <v>1988</v>
      </c>
      <c r="V386" t="s">
        <v>3536</v>
      </c>
      <c r="W386">
        <v>1.79</v>
      </c>
      <c r="X386" t="s">
        <v>1234</v>
      </c>
      <c r="Y386" t="s">
        <v>203</v>
      </c>
      <c r="Z386" t="s">
        <v>152</v>
      </c>
      <c r="AA386" t="s">
        <v>2614</v>
      </c>
      <c r="AB386" s="1">
        <v>44203</v>
      </c>
      <c r="AC386" t="s">
        <v>108</v>
      </c>
      <c r="AD386" t="s">
        <v>223</v>
      </c>
      <c r="AE386" t="s">
        <v>3537</v>
      </c>
      <c r="AF386">
        <v>17</v>
      </c>
      <c r="AG386" t="s">
        <v>613</v>
      </c>
      <c r="AH386" t="s">
        <v>727</v>
      </c>
      <c r="AI386">
        <v>18</v>
      </c>
      <c r="AJ386" t="s">
        <v>615</v>
      </c>
      <c r="AK386">
        <v>17</v>
      </c>
      <c r="AL386">
        <v>27</v>
      </c>
      <c r="AM386">
        <v>711</v>
      </c>
      <c r="AN386">
        <v>109</v>
      </c>
      <c r="AO386">
        <v>10</v>
      </c>
      <c r="AP386" t="s">
        <v>93</v>
      </c>
      <c r="AQ386" t="s">
        <v>89</v>
      </c>
      <c r="AR386" t="s">
        <v>89</v>
      </c>
      <c r="AS386" t="s">
        <v>111</v>
      </c>
      <c r="AT386">
        <v>44203</v>
      </c>
      <c r="AU386">
        <v>2021</v>
      </c>
      <c r="AV386">
        <v>17</v>
      </c>
      <c r="AW386">
        <v>17</v>
      </c>
      <c r="AX386" t="s">
        <v>89</v>
      </c>
      <c r="AY386" t="s">
        <v>111</v>
      </c>
      <c r="AZ386">
        <v>10</v>
      </c>
      <c r="BA386">
        <v>36</v>
      </c>
      <c r="BB386">
        <v>2888</v>
      </c>
      <c r="BC386">
        <v>4</v>
      </c>
      <c r="BD386">
        <v>290</v>
      </c>
      <c r="BE386">
        <v>21331</v>
      </c>
      <c r="BF386">
        <v>20</v>
      </c>
      <c r="BG386">
        <v>33</v>
      </c>
      <c r="BH386">
        <v>326</v>
      </c>
      <c r="BI386">
        <v>24219</v>
      </c>
      <c r="BJ386">
        <v>24</v>
      </c>
      <c r="BK386">
        <f t="shared" si="47"/>
        <v>326</v>
      </c>
      <c r="BL386">
        <f t="shared" si="48"/>
        <v>24219</v>
      </c>
      <c r="BM386">
        <f t="shared" si="49"/>
        <v>24</v>
      </c>
      <c r="BN386">
        <f t="shared" si="50"/>
        <v>0</v>
      </c>
      <c r="BO386">
        <f t="shared" si="51"/>
        <v>0</v>
      </c>
      <c r="BP386">
        <f t="shared" si="52"/>
        <v>0</v>
      </c>
      <c r="BQ386" t="s">
        <v>203</v>
      </c>
      <c r="BR386" t="s">
        <v>140</v>
      </c>
      <c r="BS386" t="s">
        <v>89</v>
      </c>
      <c r="BT386">
        <v>38</v>
      </c>
      <c r="BU386">
        <v>44203</v>
      </c>
      <c r="BV386" t="s">
        <v>89</v>
      </c>
      <c r="BW386">
        <v>16</v>
      </c>
      <c r="BX386">
        <v>1988</v>
      </c>
      <c r="BY386">
        <v>16</v>
      </c>
      <c r="BZ386">
        <f t="shared" si="53"/>
        <v>1</v>
      </c>
      <c r="CA386">
        <f t="shared" si="54"/>
        <v>0</v>
      </c>
      <c r="CB386" t="b">
        <f t="shared" si="55"/>
        <v>0</v>
      </c>
    </row>
    <row r="387" spans="1:80" x14ac:dyDescent="0.3">
      <c r="A387" t="s">
        <v>3538</v>
      </c>
      <c r="B387" t="s">
        <v>1089</v>
      </c>
      <c r="C387" t="s">
        <v>3539</v>
      </c>
      <c r="D387">
        <v>39</v>
      </c>
      <c r="E387">
        <v>31439</v>
      </c>
      <c r="F387" t="s">
        <v>89</v>
      </c>
      <c r="G387" t="s">
        <v>1946</v>
      </c>
      <c r="H387" t="s">
        <v>1093</v>
      </c>
      <c r="I387" t="s">
        <v>116</v>
      </c>
      <c r="J387" t="s">
        <v>78</v>
      </c>
      <c r="K387" t="s">
        <v>89</v>
      </c>
      <c r="L387" t="s">
        <v>254</v>
      </c>
      <c r="M387">
        <v>23</v>
      </c>
      <c r="N387" t="s">
        <v>255</v>
      </c>
      <c r="O387">
        <v>2009</v>
      </c>
      <c r="P387" t="s">
        <v>3540</v>
      </c>
      <c r="Q387" t="s">
        <v>3541</v>
      </c>
      <c r="R387">
        <v>60890</v>
      </c>
      <c r="S387" t="s">
        <v>3538</v>
      </c>
      <c r="T387" t="s">
        <v>3542</v>
      </c>
      <c r="U387">
        <v>1986</v>
      </c>
      <c r="V387" t="s">
        <v>3543</v>
      </c>
      <c r="W387">
        <v>1.68</v>
      </c>
      <c r="X387" t="s">
        <v>1872</v>
      </c>
      <c r="Y387" t="s">
        <v>494</v>
      </c>
      <c r="Z387" t="s">
        <v>87</v>
      </c>
      <c r="AA387" t="s">
        <v>3544</v>
      </c>
      <c r="AB387">
        <v>44927</v>
      </c>
      <c r="AC387" t="s">
        <v>108</v>
      </c>
      <c r="AD387" t="s">
        <v>223</v>
      </c>
      <c r="AE387" t="s">
        <v>3545</v>
      </c>
      <c r="AF387">
        <v>19</v>
      </c>
      <c r="AG387" t="s">
        <v>2320</v>
      </c>
      <c r="AH387" t="s">
        <v>237</v>
      </c>
      <c r="AI387">
        <v>24</v>
      </c>
      <c r="AJ387" t="s">
        <v>110</v>
      </c>
      <c r="AK387">
        <v>19</v>
      </c>
      <c r="AL387">
        <v>7</v>
      </c>
      <c r="AM387">
        <v>187</v>
      </c>
      <c r="AN387">
        <v>35</v>
      </c>
      <c r="AO387">
        <v>4</v>
      </c>
      <c r="AP387" t="s">
        <v>93</v>
      </c>
      <c r="AQ387" t="s">
        <v>89</v>
      </c>
      <c r="AR387" t="s">
        <v>89</v>
      </c>
      <c r="AS387" t="s">
        <v>111</v>
      </c>
      <c r="AT387">
        <v>44927</v>
      </c>
      <c r="AU387">
        <v>2023</v>
      </c>
      <c r="AV387">
        <v>14</v>
      </c>
      <c r="AW387">
        <v>14</v>
      </c>
      <c r="AX387" t="s">
        <v>89</v>
      </c>
      <c r="AY387" t="s">
        <v>111</v>
      </c>
      <c r="AZ387">
        <v>10</v>
      </c>
      <c r="BA387">
        <v>18</v>
      </c>
      <c r="BB387">
        <v>759</v>
      </c>
      <c r="BC387">
        <v>0</v>
      </c>
      <c r="BD387">
        <v>397</v>
      </c>
      <c r="BE387">
        <v>28797</v>
      </c>
      <c r="BF387">
        <v>66</v>
      </c>
      <c r="BG387">
        <v>37</v>
      </c>
      <c r="BH387">
        <v>415</v>
      </c>
      <c r="BI387">
        <v>29556</v>
      </c>
      <c r="BJ387">
        <v>66</v>
      </c>
      <c r="BK387">
        <f t="shared" ref="BK387:BK450" si="56">+BA387+BD387</f>
        <v>415</v>
      </c>
      <c r="BL387">
        <f t="shared" ref="BL387:BL450" si="57">+BB387+BE387</f>
        <v>29556</v>
      </c>
      <c r="BM387">
        <f t="shared" ref="BM387:BM450" si="58">+BC387+BF387</f>
        <v>66</v>
      </c>
      <c r="BN387">
        <f t="shared" ref="BN387:BN450" si="59">+BK387-BH387</f>
        <v>0</v>
      </c>
      <c r="BO387">
        <f t="shared" ref="BO387:BO450" si="60">+BL387-BI387</f>
        <v>0</v>
      </c>
      <c r="BP387">
        <f t="shared" ref="BP387:BP450" si="61">+BM387-BJ387</f>
        <v>0</v>
      </c>
      <c r="BQ387" t="s">
        <v>494</v>
      </c>
      <c r="BR387" t="s">
        <v>112</v>
      </c>
      <c r="BS387" s="1">
        <v>31439</v>
      </c>
      <c r="BT387">
        <v>40</v>
      </c>
      <c r="BU387">
        <v>44927</v>
      </c>
      <c r="BV387" t="s">
        <v>89</v>
      </c>
      <c r="BW387">
        <v>18</v>
      </c>
      <c r="BX387">
        <v>1986</v>
      </c>
      <c r="BY387">
        <v>18</v>
      </c>
      <c r="BZ387">
        <f t="shared" ref="BZ387:BZ450" si="62">+AW387-BW387</f>
        <v>-4</v>
      </c>
      <c r="CA387">
        <f t="shared" ref="CA387:CA450" si="63">+BW387-BY387</f>
        <v>0</v>
      </c>
      <c r="CB387" t="b">
        <f t="shared" ref="CB387:CB450" si="64">+BW387=AW387</f>
        <v>0</v>
      </c>
    </row>
    <row r="388" spans="1:80" x14ac:dyDescent="0.3">
      <c r="A388" t="s">
        <v>3546</v>
      </c>
      <c r="B388" t="s">
        <v>617</v>
      </c>
      <c r="C388" t="s">
        <v>3547</v>
      </c>
      <c r="D388">
        <v>45</v>
      </c>
      <c r="E388">
        <v>29328</v>
      </c>
      <c r="F388" t="s">
        <v>89</v>
      </c>
      <c r="G388" t="s">
        <v>75</v>
      </c>
      <c r="H388" t="s">
        <v>619</v>
      </c>
      <c r="I388" t="s">
        <v>288</v>
      </c>
      <c r="J388" t="s">
        <v>89</v>
      </c>
      <c r="K388" t="s">
        <v>89</v>
      </c>
      <c r="L388" t="s">
        <v>254</v>
      </c>
      <c r="M388">
        <v>29</v>
      </c>
      <c r="N388" t="s">
        <v>527</v>
      </c>
      <c r="O388">
        <v>2009</v>
      </c>
      <c r="P388" t="s">
        <v>3548</v>
      </c>
      <c r="Q388" t="s">
        <v>3549</v>
      </c>
      <c r="R388">
        <v>20006</v>
      </c>
      <c r="S388" t="s">
        <v>3546</v>
      </c>
      <c r="T388" t="s">
        <v>3550</v>
      </c>
      <c r="U388">
        <v>1980</v>
      </c>
      <c r="V388" t="s">
        <v>3551</v>
      </c>
      <c r="W388">
        <v>1.78</v>
      </c>
      <c r="X388" t="s">
        <v>619</v>
      </c>
      <c r="Y388" t="s">
        <v>86</v>
      </c>
      <c r="Z388" t="s">
        <v>87</v>
      </c>
      <c r="AA388" t="s">
        <v>3552</v>
      </c>
      <c r="AB388" s="1">
        <v>43107</v>
      </c>
      <c r="AC388" t="s">
        <v>108</v>
      </c>
      <c r="AD388" t="s">
        <v>89</v>
      </c>
      <c r="AE388" t="s">
        <v>1087</v>
      </c>
      <c r="AF388">
        <v>23</v>
      </c>
      <c r="AG388" t="s">
        <v>171</v>
      </c>
      <c r="AH388" t="s">
        <v>92</v>
      </c>
      <c r="AI388" t="s">
        <v>89</v>
      </c>
      <c r="AJ388" t="s">
        <v>92</v>
      </c>
      <c r="AK388">
        <v>23</v>
      </c>
      <c r="AL388">
        <v>1</v>
      </c>
      <c r="AM388">
        <v>142</v>
      </c>
      <c r="AN388">
        <v>24</v>
      </c>
      <c r="AO388">
        <v>1</v>
      </c>
      <c r="AP388" t="s">
        <v>93</v>
      </c>
      <c r="AQ388" t="s">
        <v>89</v>
      </c>
      <c r="AR388" t="s">
        <v>89</v>
      </c>
      <c r="AS388" t="s">
        <v>111</v>
      </c>
      <c r="AT388">
        <v>43107</v>
      </c>
      <c r="AU388">
        <v>2018</v>
      </c>
      <c r="AV388">
        <v>9</v>
      </c>
      <c r="AW388">
        <v>9</v>
      </c>
      <c r="AX388" t="s">
        <v>89</v>
      </c>
      <c r="AY388" t="s">
        <v>93</v>
      </c>
      <c r="AZ388">
        <v>0</v>
      </c>
      <c r="BA388">
        <v>0</v>
      </c>
      <c r="BB388">
        <v>0</v>
      </c>
      <c r="BC388">
        <v>0</v>
      </c>
      <c r="BD388">
        <v>133</v>
      </c>
      <c r="BE388">
        <v>9396</v>
      </c>
      <c r="BF388">
        <v>3</v>
      </c>
      <c r="BG388">
        <v>38</v>
      </c>
      <c r="BH388">
        <v>133</v>
      </c>
      <c r="BI388">
        <v>9396</v>
      </c>
      <c r="BJ388">
        <v>3</v>
      </c>
      <c r="BK388">
        <f t="shared" si="56"/>
        <v>133</v>
      </c>
      <c r="BL388">
        <f t="shared" si="57"/>
        <v>9396</v>
      </c>
      <c r="BM388">
        <f t="shared" si="58"/>
        <v>3</v>
      </c>
      <c r="BN388">
        <f t="shared" si="59"/>
        <v>0</v>
      </c>
      <c r="BO388">
        <f t="shared" si="60"/>
        <v>0</v>
      </c>
      <c r="BP388">
        <f t="shared" si="61"/>
        <v>0</v>
      </c>
      <c r="BQ388" t="s">
        <v>86</v>
      </c>
      <c r="BR388" t="s">
        <v>94</v>
      </c>
      <c r="BS388" s="1">
        <v>29328</v>
      </c>
      <c r="BT388">
        <v>45</v>
      </c>
      <c r="BU388">
        <v>43107</v>
      </c>
      <c r="BV388" t="s">
        <v>89</v>
      </c>
      <c r="BW388">
        <v>15</v>
      </c>
      <c r="BX388">
        <v>1980</v>
      </c>
      <c r="BY388">
        <v>15</v>
      </c>
      <c r="BZ388">
        <f t="shared" si="62"/>
        <v>-6</v>
      </c>
      <c r="CA388">
        <f t="shared" si="63"/>
        <v>0</v>
      </c>
      <c r="CB388" t="b">
        <f t="shared" si="64"/>
        <v>0</v>
      </c>
    </row>
    <row r="389" spans="1:80" x14ac:dyDescent="0.3">
      <c r="A389" t="s">
        <v>3553</v>
      </c>
      <c r="B389" t="s">
        <v>776</v>
      </c>
      <c r="C389" t="s">
        <v>3554</v>
      </c>
      <c r="D389">
        <v>31</v>
      </c>
      <c r="E389" t="s">
        <v>3555</v>
      </c>
      <c r="F389" t="s">
        <v>3556</v>
      </c>
      <c r="G389" t="s">
        <v>277</v>
      </c>
      <c r="H389" t="s">
        <v>778</v>
      </c>
      <c r="I389" t="s">
        <v>3557</v>
      </c>
      <c r="J389" t="s">
        <v>78</v>
      </c>
      <c r="K389" t="s">
        <v>3558</v>
      </c>
      <c r="L389" t="s">
        <v>80</v>
      </c>
      <c r="M389">
        <v>18</v>
      </c>
      <c r="N389" t="s">
        <v>118</v>
      </c>
      <c r="O389">
        <v>2012</v>
      </c>
      <c r="P389" t="s">
        <v>3559</v>
      </c>
      <c r="Q389" t="s">
        <v>3560</v>
      </c>
      <c r="R389">
        <v>225693</v>
      </c>
      <c r="S389" t="s">
        <v>3553</v>
      </c>
      <c r="T389" t="s">
        <v>3561</v>
      </c>
      <c r="U389">
        <v>1993</v>
      </c>
      <c r="V389" t="s">
        <v>3562</v>
      </c>
      <c r="W389">
        <v>1.88</v>
      </c>
      <c r="X389" t="s">
        <v>778</v>
      </c>
      <c r="Y389" t="s">
        <v>259</v>
      </c>
      <c r="Z389" t="s">
        <v>87</v>
      </c>
      <c r="AA389" t="s">
        <v>3563</v>
      </c>
      <c r="AB389" t="s">
        <v>3564</v>
      </c>
      <c r="AC389" t="s">
        <v>170</v>
      </c>
      <c r="AD389" t="s">
        <v>442</v>
      </c>
      <c r="AE389">
        <v>41491</v>
      </c>
      <c r="AF389">
        <v>19</v>
      </c>
      <c r="AG389" t="s">
        <v>91</v>
      </c>
      <c r="AH389" t="s">
        <v>274</v>
      </c>
      <c r="AI389">
        <v>18</v>
      </c>
      <c r="AJ389" t="s">
        <v>110</v>
      </c>
      <c r="AK389">
        <v>18</v>
      </c>
      <c r="AL389">
        <v>10</v>
      </c>
      <c r="AM389">
        <v>233</v>
      </c>
      <c r="AN389">
        <v>47</v>
      </c>
      <c r="AO389">
        <v>5</v>
      </c>
      <c r="AP389" t="s">
        <v>93</v>
      </c>
      <c r="AQ389" t="s">
        <v>89</v>
      </c>
      <c r="AR389" t="s">
        <v>89</v>
      </c>
      <c r="AS389" t="s">
        <v>93</v>
      </c>
      <c r="AT389" t="s">
        <v>89</v>
      </c>
      <c r="AU389" t="s">
        <v>89</v>
      </c>
      <c r="AV389" t="s">
        <v>89</v>
      </c>
      <c r="AW389">
        <v>13</v>
      </c>
      <c r="AX389">
        <v>8</v>
      </c>
      <c r="AY389" t="s">
        <v>111</v>
      </c>
      <c r="AZ389">
        <v>9</v>
      </c>
      <c r="BA389">
        <v>24</v>
      </c>
      <c r="BB389">
        <v>1251</v>
      </c>
      <c r="BC389">
        <v>0</v>
      </c>
      <c r="BD389">
        <v>520</v>
      </c>
      <c r="BE389">
        <v>42153</v>
      </c>
      <c r="BF389">
        <v>42</v>
      </c>
      <c r="BG389" t="s">
        <v>89</v>
      </c>
      <c r="BH389">
        <v>544</v>
      </c>
      <c r="BI389">
        <v>43404</v>
      </c>
      <c r="BJ389">
        <v>42</v>
      </c>
      <c r="BK389">
        <f t="shared" si="56"/>
        <v>544</v>
      </c>
      <c r="BL389">
        <f t="shared" si="57"/>
        <v>43404</v>
      </c>
      <c r="BM389">
        <f t="shared" si="58"/>
        <v>42</v>
      </c>
      <c r="BN389">
        <f t="shared" si="59"/>
        <v>0</v>
      </c>
      <c r="BO389">
        <f t="shared" si="60"/>
        <v>0</v>
      </c>
      <c r="BP389">
        <f t="shared" si="61"/>
        <v>0</v>
      </c>
      <c r="BQ389" t="s">
        <v>259</v>
      </c>
      <c r="BR389" t="s">
        <v>94</v>
      </c>
      <c r="BS389" s="1">
        <v>34265</v>
      </c>
      <c r="BT389">
        <v>32</v>
      </c>
      <c r="BU389" t="s">
        <v>89</v>
      </c>
      <c r="BV389" t="s">
        <v>89</v>
      </c>
      <c r="BW389">
        <v>14</v>
      </c>
      <c r="BX389">
        <v>1993</v>
      </c>
      <c r="BY389">
        <v>13</v>
      </c>
      <c r="BZ389">
        <f t="shared" si="62"/>
        <v>-1</v>
      </c>
      <c r="CA389">
        <f t="shared" si="63"/>
        <v>1</v>
      </c>
      <c r="CB389" t="b">
        <f t="shared" si="64"/>
        <v>0</v>
      </c>
    </row>
    <row r="390" spans="1:80" x14ac:dyDescent="0.3">
      <c r="A390" t="s">
        <v>3565</v>
      </c>
      <c r="B390" t="s">
        <v>1056</v>
      </c>
      <c r="C390" t="s">
        <v>3566</v>
      </c>
      <c r="D390">
        <v>29</v>
      </c>
      <c r="E390" s="1">
        <v>35197</v>
      </c>
      <c r="F390" t="s">
        <v>89</v>
      </c>
      <c r="G390" t="s">
        <v>518</v>
      </c>
      <c r="H390" t="s">
        <v>1058</v>
      </c>
      <c r="I390" t="s">
        <v>401</v>
      </c>
      <c r="J390" t="s">
        <v>78</v>
      </c>
      <c r="K390" t="s">
        <v>89</v>
      </c>
      <c r="L390" t="s">
        <v>80</v>
      </c>
      <c r="M390">
        <v>16</v>
      </c>
      <c r="N390" t="s">
        <v>1047</v>
      </c>
      <c r="O390">
        <v>2012</v>
      </c>
      <c r="P390" t="s">
        <v>3567</v>
      </c>
      <c r="Q390" t="s">
        <v>3568</v>
      </c>
      <c r="R390">
        <v>238291</v>
      </c>
      <c r="S390" t="s">
        <v>3565</v>
      </c>
      <c r="T390">
        <v>35404</v>
      </c>
      <c r="U390">
        <v>1996</v>
      </c>
      <c r="V390" t="s">
        <v>1064</v>
      </c>
      <c r="W390">
        <v>1.73</v>
      </c>
      <c r="X390" t="s">
        <v>1058</v>
      </c>
      <c r="Y390" t="s">
        <v>391</v>
      </c>
      <c r="Z390" t="s">
        <v>87</v>
      </c>
      <c r="AA390" t="s">
        <v>476</v>
      </c>
      <c r="AB390" s="1">
        <v>45298</v>
      </c>
      <c r="AC390" t="s">
        <v>108</v>
      </c>
      <c r="AD390" t="s">
        <v>89</v>
      </c>
      <c r="AE390" t="s">
        <v>294</v>
      </c>
      <c r="AF390">
        <v>16</v>
      </c>
      <c r="AG390" t="s">
        <v>91</v>
      </c>
      <c r="AH390">
        <v>44745</v>
      </c>
      <c r="AI390">
        <v>25</v>
      </c>
      <c r="AJ390" t="s">
        <v>3569</v>
      </c>
      <c r="AK390">
        <v>16</v>
      </c>
      <c r="AL390" t="s">
        <v>89</v>
      </c>
      <c r="AM390" t="s">
        <v>89</v>
      </c>
      <c r="AN390" t="s">
        <v>89</v>
      </c>
      <c r="AO390">
        <v>0</v>
      </c>
      <c r="AP390" t="s">
        <v>93</v>
      </c>
      <c r="AQ390" t="s">
        <v>89</v>
      </c>
      <c r="AR390" t="s">
        <v>89</v>
      </c>
      <c r="AS390" t="s">
        <v>93</v>
      </c>
      <c r="AT390" t="s">
        <v>89</v>
      </c>
      <c r="AU390" t="s">
        <v>89</v>
      </c>
      <c r="AV390" t="s">
        <v>89</v>
      </c>
      <c r="AW390">
        <v>13</v>
      </c>
      <c r="AX390" t="s">
        <v>89</v>
      </c>
      <c r="AY390" t="s">
        <v>111</v>
      </c>
      <c r="AZ390">
        <v>9</v>
      </c>
      <c r="BA390">
        <v>14</v>
      </c>
      <c r="BB390">
        <v>651</v>
      </c>
      <c r="BC390">
        <v>0</v>
      </c>
      <c r="BD390">
        <v>148</v>
      </c>
      <c r="BE390">
        <v>8149</v>
      </c>
      <c r="BF390">
        <v>7</v>
      </c>
      <c r="BG390" t="s">
        <v>89</v>
      </c>
      <c r="BH390">
        <v>162</v>
      </c>
      <c r="BI390">
        <v>8800</v>
      </c>
      <c r="BJ390">
        <v>7</v>
      </c>
      <c r="BK390">
        <f t="shared" si="56"/>
        <v>162</v>
      </c>
      <c r="BL390">
        <f t="shared" si="57"/>
        <v>8800</v>
      </c>
      <c r="BM390">
        <f t="shared" si="58"/>
        <v>7</v>
      </c>
      <c r="BN390">
        <f t="shared" si="59"/>
        <v>0</v>
      </c>
      <c r="BO390">
        <f t="shared" si="60"/>
        <v>0</v>
      </c>
      <c r="BP390">
        <f t="shared" si="61"/>
        <v>0</v>
      </c>
      <c r="BQ390" t="s">
        <v>391</v>
      </c>
      <c r="BR390" t="s">
        <v>112</v>
      </c>
      <c r="BS390" t="s">
        <v>89</v>
      </c>
      <c r="BT390">
        <v>30</v>
      </c>
      <c r="BU390" t="s">
        <v>89</v>
      </c>
      <c r="BV390" t="s">
        <v>89</v>
      </c>
      <c r="BW390">
        <v>14</v>
      </c>
      <c r="BX390">
        <v>1996</v>
      </c>
      <c r="BY390">
        <v>13</v>
      </c>
      <c r="BZ390">
        <f t="shared" si="62"/>
        <v>-1</v>
      </c>
      <c r="CA390">
        <f t="shared" si="63"/>
        <v>1</v>
      </c>
      <c r="CB390" t="b">
        <f t="shared" si="64"/>
        <v>0</v>
      </c>
    </row>
    <row r="391" spans="1:80" x14ac:dyDescent="0.3">
      <c r="A391" t="s">
        <v>3570</v>
      </c>
      <c r="B391" t="s">
        <v>71</v>
      </c>
      <c r="C391" t="s">
        <v>3571</v>
      </c>
      <c r="D391">
        <v>37</v>
      </c>
      <c r="E391" s="1">
        <v>32142</v>
      </c>
      <c r="F391" t="s">
        <v>89</v>
      </c>
      <c r="G391" t="s">
        <v>115</v>
      </c>
      <c r="H391" t="s">
        <v>76</v>
      </c>
      <c r="I391" t="s">
        <v>178</v>
      </c>
      <c r="J391" t="s">
        <v>78</v>
      </c>
      <c r="K391" t="s">
        <v>89</v>
      </c>
      <c r="L391" t="s">
        <v>180</v>
      </c>
      <c r="M391">
        <v>19</v>
      </c>
      <c r="N391" t="s">
        <v>741</v>
      </c>
      <c r="O391">
        <v>2007</v>
      </c>
      <c r="P391" t="s">
        <v>3572</v>
      </c>
      <c r="Q391" t="s">
        <v>3573</v>
      </c>
      <c r="R391">
        <v>45882</v>
      </c>
      <c r="S391" t="s">
        <v>3574</v>
      </c>
      <c r="T391" t="s">
        <v>3575</v>
      </c>
      <c r="U391">
        <v>1987</v>
      </c>
      <c r="V391" t="s">
        <v>3576</v>
      </c>
      <c r="W391">
        <v>1.84</v>
      </c>
      <c r="X391" t="s">
        <v>3577</v>
      </c>
      <c r="Y391" t="s">
        <v>186</v>
      </c>
      <c r="Z391" t="s">
        <v>89</v>
      </c>
      <c r="AA391" t="s">
        <v>476</v>
      </c>
      <c r="AB391" s="1">
        <v>45298</v>
      </c>
      <c r="AC391" t="s">
        <v>108</v>
      </c>
      <c r="AD391" t="s">
        <v>89</v>
      </c>
      <c r="AE391" t="s">
        <v>2426</v>
      </c>
      <c r="AF391">
        <v>20</v>
      </c>
      <c r="AG391" t="s">
        <v>91</v>
      </c>
      <c r="AH391">
        <v>40277</v>
      </c>
      <c r="AI391">
        <v>22</v>
      </c>
      <c r="AJ391" t="s">
        <v>110</v>
      </c>
      <c r="AK391">
        <v>20</v>
      </c>
      <c r="AL391">
        <v>5</v>
      </c>
      <c r="AM391">
        <v>771</v>
      </c>
      <c r="AN391">
        <v>112</v>
      </c>
      <c r="AO391">
        <v>5</v>
      </c>
      <c r="AP391" t="s">
        <v>93</v>
      </c>
      <c r="AQ391" t="s">
        <v>89</v>
      </c>
      <c r="AR391" t="s">
        <v>89</v>
      </c>
      <c r="AS391" t="s">
        <v>93</v>
      </c>
      <c r="AT391" t="s">
        <v>89</v>
      </c>
      <c r="AU391" t="s">
        <v>89</v>
      </c>
      <c r="AV391" t="s">
        <v>89</v>
      </c>
      <c r="AW391">
        <v>18</v>
      </c>
      <c r="AX391" t="s">
        <v>89</v>
      </c>
      <c r="AY391" t="s">
        <v>93</v>
      </c>
      <c r="AZ391">
        <v>0</v>
      </c>
      <c r="BA391">
        <v>0</v>
      </c>
      <c r="BB391">
        <v>0</v>
      </c>
      <c r="BC391">
        <v>0</v>
      </c>
      <c r="BD391">
        <v>185</v>
      </c>
      <c r="BE391">
        <v>16503</v>
      </c>
      <c r="BF391">
        <v>0</v>
      </c>
      <c r="BG391" t="s">
        <v>89</v>
      </c>
      <c r="BH391">
        <v>185</v>
      </c>
      <c r="BI391">
        <v>16503</v>
      </c>
      <c r="BJ391">
        <v>0</v>
      </c>
      <c r="BK391">
        <f t="shared" si="56"/>
        <v>185</v>
      </c>
      <c r="BL391">
        <f t="shared" si="57"/>
        <v>16503</v>
      </c>
      <c r="BM391">
        <f t="shared" si="58"/>
        <v>0</v>
      </c>
      <c r="BN391">
        <f t="shared" si="59"/>
        <v>0</v>
      </c>
      <c r="BO391">
        <f t="shared" si="60"/>
        <v>0</v>
      </c>
      <c r="BP391">
        <f t="shared" si="61"/>
        <v>0</v>
      </c>
      <c r="BQ391" t="s">
        <v>186</v>
      </c>
      <c r="BR391" t="s">
        <v>186</v>
      </c>
      <c r="BS391" t="s">
        <v>89</v>
      </c>
      <c r="BT391">
        <v>39</v>
      </c>
      <c r="BU391" t="s">
        <v>89</v>
      </c>
      <c r="BV391" t="s">
        <v>89</v>
      </c>
      <c r="BW391">
        <v>19</v>
      </c>
      <c r="BX391">
        <v>1987</v>
      </c>
      <c r="BY391">
        <v>17</v>
      </c>
      <c r="BZ391">
        <f t="shared" si="62"/>
        <v>-1</v>
      </c>
      <c r="CA391">
        <f t="shared" si="63"/>
        <v>2</v>
      </c>
      <c r="CB391" t="b">
        <f t="shared" si="64"/>
        <v>0</v>
      </c>
    </row>
    <row r="392" spans="1:80" x14ac:dyDescent="0.3">
      <c r="A392" t="s">
        <v>3578</v>
      </c>
      <c r="B392" t="s">
        <v>1008</v>
      </c>
      <c r="C392" t="s">
        <v>3579</v>
      </c>
      <c r="D392">
        <v>34</v>
      </c>
      <c r="E392" t="s">
        <v>3580</v>
      </c>
      <c r="F392" t="s">
        <v>3581</v>
      </c>
      <c r="G392" t="s">
        <v>160</v>
      </c>
      <c r="H392" t="s">
        <v>1010</v>
      </c>
      <c r="I392" t="s">
        <v>3582</v>
      </c>
      <c r="J392" t="s">
        <v>300</v>
      </c>
      <c r="K392" t="s">
        <v>3583</v>
      </c>
      <c r="L392" t="s">
        <v>228</v>
      </c>
      <c r="M392">
        <v>19</v>
      </c>
      <c r="N392" t="s">
        <v>3583</v>
      </c>
      <c r="O392">
        <v>2010</v>
      </c>
      <c r="P392" t="s">
        <v>3584</v>
      </c>
      <c r="Q392" t="s">
        <v>3585</v>
      </c>
      <c r="R392">
        <v>81743</v>
      </c>
      <c r="S392" t="s">
        <v>3578</v>
      </c>
      <c r="T392" s="1">
        <v>32944</v>
      </c>
      <c r="U392">
        <v>1990</v>
      </c>
      <c r="V392" t="s">
        <v>3586</v>
      </c>
      <c r="W392">
        <v>1.77</v>
      </c>
      <c r="X392" t="s">
        <v>1010</v>
      </c>
      <c r="Y392" t="s">
        <v>86</v>
      </c>
      <c r="Z392" t="s">
        <v>87</v>
      </c>
      <c r="AA392" t="s">
        <v>3587</v>
      </c>
      <c r="AB392" t="s">
        <v>3588</v>
      </c>
      <c r="AC392" t="s">
        <v>170</v>
      </c>
      <c r="AD392" t="s">
        <v>89</v>
      </c>
      <c r="AE392" s="1">
        <v>2013</v>
      </c>
      <c r="AF392">
        <v>22</v>
      </c>
      <c r="AG392" t="s">
        <v>91</v>
      </c>
      <c r="AH392">
        <v>2010</v>
      </c>
      <c r="AI392">
        <v>19</v>
      </c>
      <c r="AJ392">
        <v>0</v>
      </c>
      <c r="AK392">
        <v>19</v>
      </c>
      <c r="AL392">
        <v>15</v>
      </c>
      <c r="AM392">
        <v>533</v>
      </c>
      <c r="AN392">
        <v>93</v>
      </c>
      <c r="AO392">
        <v>7</v>
      </c>
      <c r="AP392" t="s">
        <v>93</v>
      </c>
      <c r="AQ392" t="s">
        <v>89</v>
      </c>
      <c r="AR392" t="s">
        <v>89</v>
      </c>
      <c r="AS392" t="s">
        <v>93</v>
      </c>
      <c r="AT392" t="s">
        <v>89</v>
      </c>
      <c r="AU392" t="s">
        <v>89</v>
      </c>
      <c r="AV392" t="s">
        <v>89</v>
      </c>
      <c r="AW392">
        <v>15</v>
      </c>
      <c r="AX392" t="s">
        <v>89</v>
      </c>
      <c r="AY392" t="s">
        <v>93</v>
      </c>
      <c r="AZ392">
        <v>0</v>
      </c>
      <c r="BA392">
        <v>0</v>
      </c>
      <c r="BB392">
        <v>0</v>
      </c>
      <c r="BC392">
        <v>0</v>
      </c>
      <c r="BD392">
        <v>178</v>
      </c>
      <c r="BE392">
        <v>11536</v>
      </c>
      <c r="BF392">
        <v>5</v>
      </c>
      <c r="BG392" t="s">
        <v>89</v>
      </c>
      <c r="BH392">
        <v>178</v>
      </c>
      <c r="BI392">
        <v>11536</v>
      </c>
      <c r="BJ392">
        <v>5</v>
      </c>
      <c r="BK392">
        <f t="shared" si="56"/>
        <v>178</v>
      </c>
      <c r="BL392">
        <f t="shared" si="57"/>
        <v>11536</v>
      </c>
      <c r="BM392">
        <f t="shared" si="58"/>
        <v>5</v>
      </c>
      <c r="BN392">
        <f t="shared" si="59"/>
        <v>0</v>
      </c>
      <c r="BO392">
        <f t="shared" si="60"/>
        <v>0</v>
      </c>
      <c r="BP392">
        <f t="shared" si="61"/>
        <v>0</v>
      </c>
      <c r="BQ392" t="s">
        <v>86</v>
      </c>
      <c r="BR392" t="s">
        <v>94</v>
      </c>
      <c r="BS392" s="1">
        <v>33210</v>
      </c>
      <c r="BT392">
        <v>35</v>
      </c>
      <c r="BU392" t="s">
        <v>89</v>
      </c>
      <c r="BV392" t="s">
        <v>89</v>
      </c>
      <c r="BW392">
        <v>16</v>
      </c>
      <c r="BX392">
        <v>1990</v>
      </c>
      <c r="BY392">
        <v>15</v>
      </c>
      <c r="BZ392">
        <f t="shared" si="62"/>
        <v>-1</v>
      </c>
      <c r="CA392">
        <f t="shared" si="63"/>
        <v>1</v>
      </c>
      <c r="CB392" t="b">
        <f t="shared" si="64"/>
        <v>0</v>
      </c>
    </row>
    <row r="393" spans="1:80" x14ac:dyDescent="0.3">
      <c r="A393" t="s">
        <v>3589</v>
      </c>
      <c r="B393" t="s">
        <v>71</v>
      </c>
      <c r="C393" t="s">
        <v>3590</v>
      </c>
      <c r="D393">
        <v>35</v>
      </c>
      <c r="E393" t="s">
        <v>411</v>
      </c>
      <c r="F393" t="s">
        <v>3591</v>
      </c>
      <c r="G393" t="s">
        <v>413</v>
      </c>
      <c r="H393" t="s">
        <v>89</v>
      </c>
      <c r="I393" t="s">
        <v>750</v>
      </c>
      <c r="J393" t="s">
        <v>78</v>
      </c>
      <c r="K393" t="s">
        <v>1645</v>
      </c>
      <c r="L393" t="s">
        <v>80</v>
      </c>
      <c r="M393">
        <v>22</v>
      </c>
      <c r="N393" t="s">
        <v>301</v>
      </c>
      <c r="O393">
        <v>2012</v>
      </c>
      <c r="P393" t="s">
        <v>3592</v>
      </c>
      <c r="Q393" t="s">
        <v>3593</v>
      </c>
      <c r="R393">
        <v>174859</v>
      </c>
      <c r="S393" t="s">
        <v>3589</v>
      </c>
      <c r="T393">
        <v>33086</v>
      </c>
      <c r="U393">
        <v>1990</v>
      </c>
      <c r="V393" t="s">
        <v>3594</v>
      </c>
      <c r="W393">
        <v>1.83</v>
      </c>
      <c r="X393" t="s">
        <v>76</v>
      </c>
      <c r="Y393" t="s">
        <v>86</v>
      </c>
      <c r="Z393" t="s">
        <v>87</v>
      </c>
      <c r="AA393" t="s">
        <v>3595</v>
      </c>
      <c r="AB393" s="1">
        <v>45756</v>
      </c>
      <c r="AC393" t="s">
        <v>170</v>
      </c>
      <c r="AD393" t="s">
        <v>89</v>
      </c>
      <c r="AE393" s="1">
        <v>41489</v>
      </c>
      <c r="AF393">
        <v>23</v>
      </c>
      <c r="AG393" t="s">
        <v>91</v>
      </c>
      <c r="AH393" t="s">
        <v>1729</v>
      </c>
      <c r="AI393">
        <v>24</v>
      </c>
      <c r="AJ393" t="s">
        <v>110</v>
      </c>
      <c r="AK393">
        <v>23</v>
      </c>
      <c r="AL393">
        <v>4</v>
      </c>
      <c r="AM393">
        <v>134</v>
      </c>
      <c r="AN393">
        <v>15</v>
      </c>
      <c r="AO393">
        <v>1</v>
      </c>
      <c r="AP393" t="s">
        <v>93</v>
      </c>
      <c r="AQ393" t="s">
        <v>89</v>
      </c>
      <c r="AR393" t="s">
        <v>89</v>
      </c>
      <c r="AS393" t="s">
        <v>93</v>
      </c>
      <c r="AT393" t="s">
        <v>89</v>
      </c>
      <c r="AU393" t="s">
        <v>89</v>
      </c>
      <c r="AV393" t="s">
        <v>89</v>
      </c>
      <c r="AW393">
        <v>13</v>
      </c>
      <c r="AX393">
        <v>16</v>
      </c>
      <c r="AY393" t="s">
        <v>93</v>
      </c>
      <c r="AZ393">
        <v>0</v>
      </c>
      <c r="BA393">
        <v>0</v>
      </c>
      <c r="BB393">
        <v>0</v>
      </c>
      <c r="BC393">
        <v>0</v>
      </c>
      <c r="BD393">
        <v>151</v>
      </c>
      <c r="BE393">
        <v>9570</v>
      </c>
      <c r="BF393">
        <v>5</v>
      </c>
      <c r="BG393" t="s">
        <v>89</v>
      </c>
      <c r="BH393">
        <v>151</v>
      </c>
      <c r="BI393">
        <v>9570</v>
      </c>
      <c r="BJ393">
        <v>5</v>
      </c>
      <c r="BK393">
        <f t="shared" si="56"/>
        <v>151</v>
      </c>
      <c r="BL393">
        <f t="shared" si="57"/>
        <v>9570</v>
      </c>
      <c r="BM393">
        <f t="shared" si="58"/>
        <v>5</v>
      </c>
      <c r="BN393">
        <f t="shared" si="59"/>
        <v>0</v>
      </c>
      <c r="BO393">
        <f t="shared" si="60"/>
        <v>0</v>
      </c>
      <c r="BP393">
        <f t="shared" si="61"/>
        <v>0</v>
      </c>
      <c r="BQ393" t="s">
        <v>86</v>
      </c>
      <c r="BR393" t="s">
        <v>94</v>
      </c>
      <c r="BS393" t="s">
        <v>89</v>
      </c>
      <c r="BT393">
        <v>36</v>
      </c>
      <c r="BU393" t="s">
        <v>89</v>
      </c>
      <c r="BV393" t="s">
        <v>89</v>
      </c>
      <c r="BW393">
        <v>13</v>
      </c>
      <c r="BX393">
        <v>1990</v>
      </c>
      <c r="BY393">
        <v>12</v>
      </c>
      <c r="BZ393">
        <f t="shared" si="62"/>
        <v>0</v>
      </c>
      <c r="CA393">
        <f t="shared" si="63"/>
        <v>1</v>
      </c>
      <c r="CB393" t="b">
        <f t="shared" si="64"/>
        <v>1</v>
      </c>
    </row>
    <row r="394" spans="1:80" x14ac:dyDescent="0.3">
      <c r="A394" t="s">
        <v>3596</v>
      </c>
      <c r="B394" t="s">
        <v>552</v>
      </c>
      <c r="C394" t="s">
        <v>3597</v>
      </c>
      <c r="D394">
        <v>36</v>
      </c>
      <c r="E394" t="s">
        <v>3598</v>
      </c>
      <c r="F394" t="s">
        <v>3599</v>
      </c>
      <c r="G394" t="s">
        <v>75</v>
      </c>
      <c r="H394" t="s">
        <v>554</v>
      </c>
      <c r="I394" t="s">
        <v>1235</v>
      </c>
      <c r="J394" t="s">
        <v>78</v>
      </c>
      <c r="K394" t="s">
        <v>3600</v>
      </c>
      <c r="L394" t="s">
        <v>278</v>
      </c>
      <c r="M394">
        <v>22</v>
      </c>
      <c r="N394" t="s">
        <v>3601</v>
      </c>
      <c r="O394">
        <v>2011</v>
      </c>
      <c r="P394" t="s">
        <v>3602</v>
      </c>
      <c r="Q394" t="s">
        <v>3603</v>
      </c>
      <c r="R394">
        <v>174344</v>
      </c>
      <c r="S394" t="s">
        <v>3596</v>
      </c>
      <c r="T394">
        <v>32150</v>
      </c>
      <c r="U394">
        <v>1988</v>
      </c>
      <c r="V394" t="s">
        <v>2856</v>
      </c>
      <c r="W394">
        <v>1.79</v>
      </c>
      <c r="X394" t="s">
        <v>560</v>
      </c>
      <c r="Y394" t="s">
        <v>86</v>
      </c>
      <c r="Z394" t="s">
        <v>87</v>
      </c>
      <c r="AA394" t="s">
        <v>3604</v>
      </c>
      <c r="AB394" t="s">
        <v>3605</v>
      </c>
      <c r="AC394" t="s">
        <v>108</v>
      </c>
      <c r="AD394" t="s">
        <v>89</v>
      </c>
      <c r="AE394" t="s">
        <v>654</v>
      </c>
      <c r="AF394">
        <v>23</v>
      </c>
      <c r="AG394" t="s">
        <v>206</v>
      </c>
      <c r="AH394" t="s">
        <v>3606</v>
      </c>
      <c r="AI394">
        <v>23</v>
      </c>
      <c r="AJ394" t="s">
        <v>1044</v>
      </c>
      <c r="AK394">
        <v>23</v>
      </c>
      <c r="AL394">
        <v>4</v>
      </c>
      <c r="AM394">
        <v>45</v>
      </c>
      <c r="AN394">
        <v>10</v>
      </c>
      <c r="AO394">
        <v>2</v>
      </c>
      <c r="AP394" t="s">
        <v>93</v>
      </c>
      <c r="AQ394" t="s">
        <v>89</v>
      </c>
      <c r="AR394" t="s">
        <v>89</v>
      </c>
      <c r="AS394" t="s">
        <v>93</v>
      </c>
      <c r="AT394" t="s">
        <v>89</v>
      </c>
      <c r="AU394" t="s">
        <v>89</v>
      </c>
      <c r="AV394" t="s">
        <v>89</v>
      </c>
      <c r="AW394">
        <v>14</v>
      </c>
      <c r="AX394">
        <v>76</v>
      </c>
      <c r="AY394" t="s">
        <v>111</v>
      </c>
      <c r="AZ394">
        <v>15</v>
      </c>
      <c r="BA394">
        <v>49</v>
      </c>
      <c r="BB394">
        <v>2431</v>
      </c>
      <c r="BC394">
        <v>4</v>
      </c>
      <c r="BD394">
        <v>430</v>
      </c>
      <c r="BE394">
        <v>33478</v>
      </c>
      <c r="BF394">
        <v>39</v>
      </c>
      <c r="BG394" t="s">
        <v>89</v>
      </c>
      <c r="BH394">
        <v>479</v>
      </c>
      <c r="BI394">
        <v>35909</v>
      </c>
      <c r="BJ394">
        <v>43</v>
      </c>
      <c r="BK394">
        <f t="shared" si="56"/>
        <v>479</v>
      </c>
      <c r="BL394">
        <f t="shared" si="57"/>
        <v>35909</v>
      </c>
      <c r="BM394">
        <f t="shared" si="58"/>
        <v>43</v>
      </c>
      <c r="BN394">
        <f t="shared" si="59"/>
        <v>0</v>
      </c>
      <c r="BO394">
        <f t="shared" si="60"/>
        <v>0</v>
      </c>
      <c r="BP394">
        <f t="shared" si="61"/>
        <v>0</v>
      </c>
      <c r="BQ394" t="s">
        <v>86</v>
      </c>
      <c r="BR394" t="s">
        <v>94</v>
      </c>
      <c r="BS394" t="s">
        <v>89</v>
      </c>
      <c r="BT394">
        <v>38</v>
      </c>
      <c r="BU394" t="s">
        <v>89</v>
      </c>
      <c r="BV394" t="s">
        <v>89</v>
      </c>
      <c r="BW394">
        <v>15</v>
      </c>
      <c r="BX394">
        <v>1988</v>
      </c>
      <c r="BY394">
        <v>13</v>
      </c>
      <c r="BZ394">
        <f t="shared" si="62"/>
        <v>-1</v>
      </c>
      <c r="CA394">
        <f t="shared" si="63"/>
        <v>2</v>
      </c>
      <c r="CB394" t="b">
        <f t="shared" si="64"/>
        <v>0</v>
      </c>
    </row>
    <row r="395" spans="1:80" x14ac:dyDescent="0.3">
      <c r="A395" t="s">
        <v>3607</v>
      </c>
      <c r="B395" t="s">
        <v>71</v>
      </c>
      <c r="C395" t="s">
        <v>3608</v>
      </c>
      <c r="D395">
        <v>31</v>
      </c>
      <c r="E395" t="s">
        <v>3609</v>
      </c>
      <c r="F395" t="s">
        <v>3610</v>
      </c>
      <c r="G395" t="s">
        <v>115</v>
      </c>
      <c r="H395" t="s">
        <v>76</v>
      </c>
      <c r="I395" t="s">
        <v>98</v>
      </c>
      <c r="J395" t="s">
        <v>300</v>
      </c>
      <c r="K395" t="s">
        <v>539</v>
      </c>
      <c r="L395" t="s">
        <v>228</v>
      </c>
      <c r="M395">
        <v>16</v>
      </c>
      <c r="N395" t="s">
        <v>1858</v>
      </c>
      <c r="O395">
        <v>2010</v>
      </c>
      <c r="P395" t="s">
        <v>3611</v>
      </c>
      <c r="Q395" t="s">
        <v>3612</v>
      </c>
      <c r="R395">
        <v>162079</v>
      </c>
      <c r="S395" t="s">
        <v>3607</v>
      </c>
      <c r="T395" s="1">
        <v>34431</v>
      </c>
      <c r="U395">
        <v>1994</v>
      </c>
      <c r="V395" t="s">
        <v>1858</v>
      </c>
      <c r="W395">
        <v>1.79</v>
      </c>
      <c r="X395" t="s">
        <v>76</v>
      </c>
      <c r="Y395" t="s">
        <v>106</v>
      </c>
      <c r="Z395" t="s">
        <v>152</v>
      </c>
      <c r="AA395" t="s">
        <v>1652</v>
      </c>
      <c r="AB395">
        <v>45907</v>
      </c>
      <c r="AC395" t="s">
        <v>88</v>
      </c>
      <c r="AD395" t="s">
        <v>89</v>
      </c>
      <c r="AE395" t="s">
        <v>1964</v>
      </c>
      <c r="AF395">
        <v>19</v>
      </c>
      <c r="AG395" t="s">
        <v>1161</v>
      </c>
      <c r="AH395" t="s">
        <v>1538</v>
      </c>
      <c r="AI395">
        <v>16</v>
      </c>
      <c r="AJ395" t="s">
        <v>110</v>
      </c>
      <c r="AK395">
        <v>16</v>
      </c>
      <c r="AL395">
        <v>5</v>
      </c>
      <c r="AM395">
        <v>532</v>
      </c>
      <c r="AN395">
        <v>77</v>
      </c>
      <c r="AO395">
        <v>4</v>
      </c>
      <c r="AP395" t="s">
        <v>93</v>
      </c>
      <c r="AQ395" t="s">
        <v>89</v>
      </c>
      <c r="AR395" t="s">
        <v>89</v>
      </c>
      <c r="AS395" t="s">
        <v>93</v>
      </c>
      <c r="AT395" t="s">
        <v>89</v>
      </c>
      <c r="AU395" t="s">
        <v>89</v>
      </c>
      <c r="AV395" t="s">
        <v>89</v>
      </c>
      <c r="AW395">
        <v>15</v>
      </c>
      <c r="AX395">
        <v>14</v>
      </c>
      <c r="AY395" t="s">
        <v>93</v>
      </c>
      <c r="AZ395">
        <v>0</v>
      </c>
      <c r="BA395">
        <v>0</v>
      </c>
      <c r="BB395">
        <v>0</v>
      </c>
      <c r="BC395">
        <v>0</v>
      </c>
      <c r="BD395">
        <v>324</v>
      </c>
      <c r="BE395">
        <v>17420</v>
      </c>
      <c r="BF395">
        <v>28</v>
      </c>
      <c r="BG395" t="s">
        <v>89</v>
      </c>
      <c r="BH395">
        <v>324</v>
      </c>
      <c r="BI395">
        <v>17420</v>
      </c>
      <c r="BJ395">
        <v>28</v>
      </c>
      <c r="BK395">
        <f t="shared" si="56"/>
        <v>324</v>
      </c>
      <c r="BL395">
        <f t="shared" si="57"/>
        <v>17420</v>
      </c>
      <c r="BM395">
        <f t="shared" si="58"/>
        <v>28</v>
      </c>
      <c r="BN395">
        <f t="shared" si="59"/>
        <v>0</v>
      </c>
      <c r="BO395">
        <f t="shared" si="60"/>
        <v>0</v>
      </c>
      <c r="BP395">
        <f t="shared" si="61"/>
        <v>0</v>
      </c>
      <c r="BQ395" t="s">
        <v>106</v>
      </c>
      <c r="BR395" t="s">
        <v>112</v>
      </c>
      <c r="BS395" s="1">
        <v>34519</v>
      </c>
      <c r="BT395">
        <v>31</v>
      </c>
      <c r="BU395" t="s">
        <v>89</v>
      </c>
      <c r="BV395" t="s">
        <v>89</v>
      </c>
      <c r="BW395">
        <v>15</v>
      </c>
      <c r="BX395">
        <v>1994</v>
      </c>
      <c r="BY395">
        <v>15</v>
      </c>
      <c r="BZ395">
        <f t="shared" si="62"/>
        <v>0</v>
      </c>
      <c r="CA395">
        <f t="shared" si="63"/>
        <v>0</v>
      </c>
      <c r="CB395" t="b">
        <f t="shared" si="64"/>
        <v>1</v>
      </c>
    </row>
    <row r="396" spans="1:80" x14ac:dyDescent="0.3">
      <c r="A396" t="s">
        <v>3613</v>
      </c>
      <c r="B396" t="s">
        <v>156</v>
      </c>
      <c r="C396" t="s">
        <v>3614</v>
      </c>
      <c r="D396">
        <v>32</v>
      </c>
      <c r="E396" t="s">
        <v>3615</v>
      </c>
      <c r="F396" t="s">
        <v>210</v>
      </c>
      <c r="G396" t="s">
        <v>535</v>
      </c>
      <c r="H396" t="s">
        <v>177</v>
      </c>
      <c r="I396" t="s">
        <v>3616</v>
      </c>
      <c r="J396" t="s">
        <v>300</v>
      </c>
      <c r="K396" t="s">
        <v>3617</v>
      </c>
      <c r="L396" t="s">
        <v>324</v>
      </c>
      <c r="M396">
        <v>20</v>
      </c>
      <c r="N396" t="s">
        <v>214</v>
      </c>
      <c r="O396">
        <v>2013</v>
      </c>
      <c r="P396" t="s">
        <v>3618</v>
      </c>
      <c r="Q396" t="s">
        <v>3619</v>
      </c>
      <c r="R396">
        <v>242548</v>
      </c>
      <c r="S396" t="s">
        <v>3620</v>
      </c>
      <c r="T396" t="s">
        <v>3621</v>
      </c>
      <c r="U396">
        <v>1993</v>
      </c>
      <c r="V396" t="s">
        <v>218</v>
      </c>
      <c r="W396">
        <v>1.69</v>
      </c>
      <c r="X396" t="s">
        <v>3622</v>
      </c>
      <c r="Y396" t="s">
        <v>494</v>
      </c>
      <c r="Z396" t="s">
        <v>152</v>
      </c>
      <c r="AA396" t="s">
        <v>3623</v>
      </c>
      <c r="AB396" s="1">
        <v>44562</v>
      </c>
      <c r="AC396" t="s">
        <v>108</v>
      </c>
      <c r="AD396" t="s">
        <v>89</v>
      </c>
      <c r="AE396" t="s">
        <v>421</v>
      </c>
      <c r="AF396">
        <v>20</v>
      </c>
      <c r="AG396" t="s">
        <v>91</v>
      </c>
      <c r="AH396" t="s">
        <v>3624</v>
      </c>
      <c r="AI396">
        <v>25</v>
      </c>
      <c r="AJ396" t="s">
        <v>110</v>
      </c>
      <c r="AK396">
        <v>20</v>
      </c>
      <c r="AL396">
        <v>8</v>
      </c>
      <c r="AM396">
        <v>228</v>
      </c>
      <c r="AN396">
        <v>26</v>
      </c>
      <c r="AO396">
        <v>5</v>
      </c>
      <c r="AP396" t="s">
        <v>93</v>
      </c>
      <c r="AQ396" t="s">
        <v>89</v>
      </c>
      <c r="AR396" t="s">
        <v>89</v>
      </c>
      <c r="AS396" t="s">
        <v>93</v>
      </c>
      <c r="AT396" t="s">
        <v>89</v>
      </c>
      <c r="AU396" t="s">
        <v>89</v>
      </c>
      <c r="AV396" t="s">
        <v>89</v>
      </c>
      <c r="AW396">
        <v>12</v>
      </c>
      <c r="AX396">
        <v>10</v>
      </c>
      <c r="AY396" t="s">
        <v>93</v>
      </c>
      <c r="AZ396">
        <v>0</v>
      </c>
      <c r="BA396">
        <v>0</v>
      </c>
      <c r="BB396">
        <v>0</v>
      </c>
      <c r="BC396">
        <v>0</v>
      </c>
      <c r="BD396">
        <v>164</v>
      </c>
      <c r="BE396">
        <v>9703</v>
      </c>
      <c r="BF396">
        <v>19</v>
      </c>
      <c r="BG396" t="s">
        <v>89</v>
      </c>
      <c r="BH396">
        <v>164</v>
      </c>
      <c r="BI396">
        <v>9703</v>
      </c>
      <c r="BJ396">
        <v>19</v>
      </c>
      <c r="BK396">
        <f t="shared" si="56"/>
        <v>164</v>
      </c>
      <c r="BL396">
        <f t="shared" si="57"/>
        <v>9703</v>
      </c>
      <c r="BM396">
        <f t="shared" si="58"/>
        <v>19</v>
      </c>
      <c r="BN396">
        <f t="shared" si="59"/>
        <v>0</v>
      </c>
      <c r="BO396">
        <f t="shared" si="60"/>
        <v>0</v>
      </c>
      <c r="BP396">
        <f t="shared" si="61"/>
        <v>0</v>
      </c>
      <c r="BQ396" t="s">
        <v>494</v>
      </c>
      <c r="BR396" t="s">
        <v>112</v>
      </c>
      <c r="BS396" t="s">
        <v>89</v>
      </c>
      <c r="BT396">
        <v>33</v>
      </c>
      <c r="BU396" t="s">
        <v>89</v>
      </c>
      <c r="BV396" t="s">
        <v>89</v>
      </c>
      <c r="BW396">
        <v>13</v>
      </c>
      <c r="BX396">
        <v>1993</v>
      </c>
      <c r="BY396">
        <v>12</v>
      </c>
      <c r="BZ396">
        <f t="shared" si="62"/>
        <v>-1</v>
      </c>
      <c r="CA396">
        <f t="shared" si="63"/>
        <v>1</v>
      </c>
      <c r="CB396" t="b">
        <f t="shared" si="64"/>
        <v>0</v>
      </c>
    </row>
    <row r="397" spans="1:80" x14ac:dyDescent="0.3">
      <c r="A397" t="s">
        <v>3625</v>
      </c>
      <c r="B397" t="s">
        <v>156</v>
      </c>
      <c r="C397" t="s">
        <v>3626</v>
      </c>
      <c r="D397">
        <v>38</v>
      </c>
      <c r="E397">
        <v>31853</v>
      </c>
      <c r="F397" t="s">
        <v>89</v>
      </c>
      <c r="G397" t="s">
        <v>3627</v>
      </c>
      <c r="H397" t="s">
        <v>177</v>
      </c>
      <c r="I397" t="s">
        <v>227</v>
      </c>
      <c r="J397" t="s">
        <v>78</v>
      </c>
      <c r="K397" t="s">
        <v>89</v>
      </c>
      <c r="L397" t="s">
        <v>180</v>
      </c>
      <c r="M397">
        <v>20</v>
      </c>
      <c r="N397" t="s">
        <v>892</v>
      </c>
      <c r="O397">
        <v>2007</v>
      </c>
      <c r="P397" t="s">
        <v>3628</v>
      </c>
      <c r="Q397" t="s">
        <v>3629</v>
      </c>
      <c r="R397">
        <v>45314</v>
      </c>
      <c r="S397" t="s">
        <v>3625</v>
      </c>
      <c r="T397" t="s">
        <v>3630</v>
      </c>
      <c r="U397">
        <v>1987</v>
      </c>
      <c r="V397" t="s">
        <v>982</v>
      </c>
      <c r="W397">
        <v>1.95</v>
      </c>
      <c r="X397" t="s">
        <v>169</v>
      </c>
      <c r="Y397" t="s">
        <v>235</v>
      </c>
      <c r="Z397" t="s">
        <v>87</v>
      </c>
      <c r="AA397" t="s">
        <v>3631</v>
      </c>
      <c r="AB397" s="1">
        <v>45298</v>
      </c>
      <c r="AC397" t="s">
        <v>108</v>
      </c>
      <c r="AD397" t="s">
        <v>442</v>
      </c>
      <c r="AE397" t="s">
        <v>540</v>
      </c>
      <c r="AF397">
        <v>20</v>
      </c>
      <c r="AG397" t="s">
        <v>91</v>
      </c>
      <c r="AH397">
        <v>39334</v>
      </c>
      <c r="AI397">
        <v>20</v>
      </c>
      <c r="AJ397" t="s">
        <v>110</v>
      </c>
      <c r="AK397">
        <v>20</v>
      </c>
      <c r="AL397">
        <v>22</v>
      </c>
      <c r="AM397">
        <v>463</v>
      </c>
      <c r="AN397">
        <v>82</v>
      </c>
      <c r="AO397">
        <v>9</v>
      </c>
      <c r="AP397" t="s">
        <v>93</v>
      </c>
      <c r="AQ397" t="s">
        <v>89</v>
      </c>
      <c r="AR397" t="s">
        <v>89</v>
      </c>
      <c r="AS397" t="s">
        <v>111</v>
      </c>
      <c r="AT397">
        <v>45298</v>
      </c>
      <c r="AU397">
        <v>2024</v>
      </c>
      <c r="AV397">
        <v>17</v>
      </c>
      <c r="AW397">
        <v>17</v>
      </c>
      <c r="AX397" t="s">
        <v>89</v>
      </c>
      <c r="AY397" t="s">
        <v>111</v>
      </c>
      <c r="AZ397">
        <v>5</v>
      </c>
      <c r="BA397">
        <v>8</v>
      </c>
      <c r="BB397">
        <v>541</v>
      </c>
      <c r="BC397">
        <v>1</v>
      </c>
      <c r="BD397">
        <v>431</v>
      </c>
      <c r="BE397">
        <v>34935</v>
      </c>
      <c r="BF397">
        <v>30</v>
      </c>
      <c r="BG397">
        <v>37</v>
      </c>
      <c r="BH397">
        <v>439</v>
      </c>
      <c r="BI397">
        <v>35476</v>
      </c>
      <c r="BJ397">
        <v>31</v>
      </c>
      <c r="BK397">
        <f t="shared" si="56"/>
        <v>439</v>
      </c>
      <c r="BL397">
        <f t="shared" si="57"/>
        <v>35476</v>
      </c>
      <c r="BM397">
        <f t="shared" si="58"/>
        <v>31</v>
      </c>
      <c r="BN397">
        <f t="shared" si="59"/>
        <v>0</v>
      </c>
      <c r="BO397">
        <f t="shared" si="60"/>
        <v>0</v>
      </c>
      <c r="BP397">
        <f t="shared" si="61"/>
        <v>0</v>
      </c>
      <c r="BQ397" t="s">
        <v>235</v>
      </c>
      <c r="BR397" t="s">
        <v>140</v>
      </c>
      <c r="BS397" s="1">
        <v>31853</v>
      </c>
      <c r="BT397">
        <v>38</v>
      </c>
      <c r="BU397">
        <v>45298</v>
      </c>
      <c r="BV397" t="s">
        <v>89</v>
      </c>
      <c r="BW397">
        <v>17</v>
      </c>
      <c r="BX397">
        <v>1987</v>
      </c>
      <c r="BY397">
        <v>17</v>
      </c>
      <c r="BZ397">
        <f t="shared" si="62"/>
        <v>0</v>
      </c>
      <c r="CA397">
        <f t="shared" si="63"/>
        <v>0</v>
      </c>
      <c r="CB397" t="b">
        <f t="shared" si="64"/>
        <v>1</v>
      </c>
    </row>
    <row r="398" spans="1:80" x14ac:dyDescent="0.3">
      <c r="A398" t="s">
        <v>3632</v>
      </c>
      <c r="B398" t="s">
        <v>156</v>
      </c>
      <c r="C398" t="s">
        <v>3633</v>
      </c>
      <c r="D398">
        <v>36</v>
      </c>
      <c r="E398" s="1">
        <v>32560</v>
      </c>
      <c r="F398" t="s">
        <v>89</v>
      </c>
      <c r="G398" t="s">
        <v>374</v>
      </c>
      <c r="H398" t="s">
        <v>177</v>
      </c>
      <c r="I398" t="s">
        <v>227</v>
      </c>
      <c r="J398" t="s">
        <v>78</v>
      </c>
      <c r="K398" t="s">
        <v>89</v>
      </c>
      <c r="L398" t="s">
        <v>278</v>
      </c>
      <c r="M398">
        <v>22</v>
      </c>
      <c r="N398" t="s">
        <v>1403</v>
      </c>
      <c r="O398">
        <v>2011</v>
      </c>
      <c r="P398" t="s">
        <v>3634</v>
      </c>
      <c r="Q398" t="s">
        <v>3635</v>
      </c>
      <c r="R398">
        <v>85475</v>
      </c>
      <c r="S398" t="s">
        <v>3632</v>
      </c>
      <c r="T398" t="s">
        <v>3636</v>
      </c>
      <c r="U398">
        <v>1989</v>
      </c>
      <c r="V398" t="s">
        <v>3637</v>
      </c>
      <c r="W398">
        <v>1.89</v>
      </c>
      <c r="X398" t="s">
        <v>169</v>
      </c>
      <c r="Y398" t="s">
        <v>235</v>
      </c>
      <c r="Z398" t="s">
        <v>87</v>
      </c>
      <c r="AA398" t="s">
        <v>3638</v>
      </c>
      <c r="AB398" s="1">
        <v>45658</v>
      </c>
      <c r="AC398" t="s">
        <v>108</v>
      </c>
      <c r="AD398" t="s">
        <v>442</v>
      </c>
      <c r="AE398" t="s">
        <v>3639</v>
      </c>
      <c r="AF398">
        <v>20</v>
      </c>
      <c r="AG398" t="s">
        <v>171</v>
      </c>
      <c r="AH398">
        <v>43198</v>
      </c>
      <c r="AI398">
        <v>29</v>
      </c>
      <c r="AJ398" t="s">
        <v>855</v>
      </c>
      <c r="AK398">
        <v>20</v>
      </c>
      <c r="AL398">
        <v>12</v>
      </c>
      <c r="AM398">
        <v>288</v>
      </c>
      <c r="AN398">
        <v>41</v>
      </c>
      <c r="AO398">
        <v>6</v>
      </c>
      <c r="AP398" t="s">
        <v>93</v>
      </c>
      <c r="AQ398" t="s">
        <v>89</v>
      </c>
      <c r="AR398" t="s">
        <v>89</v>
      </c>
      <c r="AS398" t="s">
        <v>111</v>
      </c>
      <c r="AT398" s="1">
        <v>45658</v>
      </c>
      <c r="AU398">
        <v>2025</v>
      </c>
      <c r="AV398">
        <v>14</v>
      </c>
      <c r="AW398">
        <v>14</v>
      </c>
      <c r="AX398" t="s">
        <v>89</v>
      </c>
      <c r="AY398" t="s">
        <v>111</v>
      </c>
      <c r="AZ398">
        <v>3</v>
      </c>
      <c r="BA398">
        <v>18</v>
      </c>
      <c r="BB398">
        <v>1650</v>
      </c>
      <c r="BC398">
        <v>1</v>
      </c>
      <c r="BD398">
        <v>321</v>
      </c>
      <c r="BE398">
        <v>26624</v>
      </c>
      <c r="BF398">
        <v>7</v>
      </c>
      <c r="BG398">
        <v>36</v>
      </c>
      <c r="BH398">
        <v>339</v>
      </c>
      <c r="BI398">
        <v>28274</v>
      </c>
      <c r="BJ398">
        <v>8</v>
      </c>
      <c r="BK398">
        <f t="shared" si="56"/>
        <v>339</v>
      </c>
      <c r="BL398">
        <f t="shared" si="57"/>
        <v>28274</v>
      </c>
      <c r="BM398">
        <f t="shared" si="58"/>
        <v>8</v>
      </c>
      <c r="BN398">
        <f t="shared" si="59"/>
        <v>0</v>
      </c>
      <c r="BO398">
        <f t="shared" si="60"/>
        <v>0</v>
      </c>
      <c r="BP398">
        <f t="shared" si="61"/>
        <v>0</v>
      </c>
      <c r="BQ398" t="s">
        <v>235</v>
      </c>
      <c r="BR398" t="s">
        <v>140</v>
      </c>
      <c r="BS398" s="1">
        <v>32560</v>
      </c>
      <c r="BT398">
        <v>36</v>
      </c>
      <c r="BU398" s="1">
        <v>45658</v>
      </c>
      <c r="BV398" s="1">
        <v>45658</v>
      </c>
      <c r="BW398">
        <v>16</v>
      </c>
      <c r="BX398">
        <v>1989</v>
      </c>
      <c r="BY398">
        <v>16</v>
      </c>
      <c r="BZ398">
        <f t="shared" si="62"/>
        <v>-2</v>
      </c>
      <c r="CA398">
        <f t="shared" si="63"/>
        <v>0</v>
      </c>
      <c r="CB398" t="b">
        <f t="shared" si="64"/>
        <v>0</v>
      </c>
    </row>
    <row r="399" spans="1:80" x14ac:dyDescent="0.3">
      <c r="A399" t="s">
        <v>3640</v>
      </c>
      <c r="B399" t="s">
        <v>1008</v>
      </c>
      <c r="C399" t="s">
        <v>3641</v>
      </c>
      <c r="D399">
        <v>40</v>
      </c>
      <c r="E399" t="s">
        <v>3642</v>
      </c>
      <c r="F399" t="s">
        <v>3643</v>
      </c>
      <c r="G399" t="s">
        <v>97</v>
      </c>
      <c r="H399" t="s">
        <v>1010</v>
      </c>
      <c r="I399" t="s">
        <v>437</v>
      </c>
      <c r="J399" t="s">
        <v>78</v>
      </c>
      <c r="K399" t="s">
        <v>3644</v>
      </c>
      <c r="L399" t="s">
        <v>163</v>
      </c>
      <c r="M399">
        <v>21</v>
      </c>
      <c r="N399" t="s">
        <v>3645</v>
      </c>
      <c r="O399">
        <v>2006</v>
      </c>
      <c r="P399" t="s">
        <v>3646</v>
      </c>
      <c r="Q399" t="s">
        <v>3647</v>
      </c>
      <c r="R399">
        <v>44514</v>
      </c>
      <c r="S399" t="s">
        <v>3640</v>
      </c>
      <c r="T399">
        <v>30690</v>
      </c>
      <c r="U399">
        <v>1984</v>
      </c>
      <c r="V399" t="s">
        <v>3648</v>
      </c>
      <c r="W399">
        <v>1.8</v>
      </c>
      <c r="X399" t="s">
        <v>1010</v>
      </c>
      <c r="Y399" t="s">
        <v>123</v>
      </c>
      <c r="Z399" t="s">
        <v>87</v>
      </c>
      <c r="AA399" t="s">
        <v>3649</v>
      </c>
      <c r="AB399" s="1">
        <v>45664</v>
      </c>
      <c r="AC399" t="s">
        <v>108</v>
      </c>
      <c r="AD399" t="s">
        <v>89</v>
      </c>
      <c r="AE399">
        <v>41586</v>
      </c>
      <c r="AF399">
        <v>28</v>
      </c>
      <c r="AG399" t="s">
        <v>2311</v>
      </c>
      <c r="AH399" t="s">
        <v>2860</v>
      </c>
      <c r="AI399">
        <v>22</v>
      </c>
      <c r="AJ399" t="s">
        <v>575</v>
      </c>
      <c r="AK399">
        <v>22</v>
      </c>
      <c r="AL399">
        <v>3</v>
      </c>
      <c r="AM399">
        <v>74</v>
      </c>
      <c r="AN399">
        <v>10</v>
      </c>
      <c r="AO399">
        <v>3</v>
      </c>
      <c r="AP399" t="s">
        <v>93</v>
      </c>
      <c r="AQ399" t="s">
        <v>89</v>
      </c>
      <c r="AR399" t="s">
        <v>89</v>
      </c>
      <c r="AS399" t="s">
        <v>111</v>
      </c>
      <c r="AT399" s="1">
        <v>45664</v>
      </c>
      <c r="AU399">
        <v>2025</v>
      </c>
      <c r="AV399">
        <v>19</v>
      </c>
      <c r="AW399">
        <v>19</v>
      </c>
      <c r="AX399" t="s">
        <v>89</v>
      </c>
      <c r="AY399" t="s">
        <v>93</v>
      </c>
      <c r="AZ399">
        <v>0</v>
      </c>
      <c r="BA399">
        <v>0</v>
      </c>
      <c r="BB399">
        <v>0</v>
      </c>
      <c r="BC399">
        <v>0</v>
      </c>
      <c r="BD399">
        <v>355</v>
      </c>
      <c r="BE399">
        <v>20165</v>
      </c>
      <c r="BF399">
        <v>86</v>
      </c>
      <c r="BG399">
        <v>41</v>
      </c>
      <c r="BH399">
        <v>355</v>
      </c>
      <c r="BI399">
        <v>20165</v>
      </c>
      <c r="BJ399">
        <v>86</v>
      </c>
      <c r="BK399">
        <f t="shared" si="56"/>
        <v>355</v>
      </c>
      <c r="BL399">
        <f t="shared" si="57"/>
        <v>20165</v>
      </c>
      <c r="BM399">
        <f t="shared" si="58"/>
        <v>86</v>
      </c>
      <c r="BN399">
        <f t="shared" si="59"/>
        <v>0</v>
      </c>
      <c r="BO399">
        <f t="shared" si="60"/>
        <v>0</v>
      </c>
      <c r="BP399">
        <f t="shared" si="61"/>
        <v>0</v>
      </c>
      <c r="BQ399" t="s">
        <v>123</v>
      </c>
      <c r="BR399" t="s">
        <v>112</v>
      </c>
      <c r="BS399" t="s">
        <v>89</v>
      </c>
      <c r="BT399">
        <v>42</v>
      </c>
      <c r="BU399" s="1">
        <v>45664</v>
      </c>
      <c r="BV399" s="1">
        <v>45839</v>
      </c>
      <c r="BW399">
        <v>19</v>
      </c>
      <c r="BX399">
        <v>1984</v>
      </c>
      <c r="BY399">
        <v>19</v>
      </c>
      <c r="BZ399">
        <f t="shared" si="62"/>
        <v>0</v>
      </c>
      <c r="CA399">
        <f t="shared" si="63"/>
        <v>0</v>
      </c>
      <c r="CB399" t="b">
        <f t="shared" si="64"/>
        <v>1</v>
      </c>
    </row>
    <row r="400" spans="1:80" x14ac:dyDescent="0.3">
      <c r="A400" t="s">
        <v>3650</v>
      </c>
      <c r="B400" t="s">
        <v>3651</v>
      </c>
      <c r="C400" t="s">
        <v>3652</v>
      </c>
      <c r="D400">
        <v>36</v>
      </c>
      <c r="E400" t="s">
        <v>3653</v>
      </c>
      <c r="F400" t="s">
        <v>3654</v>
      </c>
      <c r="G400" t="s">
        <v>413</v>
      </c>
      <c r="H400" t="s">
        <v>3655</v>
      </c>
      <c r="I400" t="s">
        <v>340</v>
      </c>
      <c r="J400" t="s">
        <v>300</v>
      </c>
      <c r="K400" t="s">
        <v>644</v>
      </c>
      <c r="L400" t="s">
        <v>163</v>
      </c>
      <c r="M400">
        <v>17</v>
      </c>
      <c r="N400" t="s">
        <v>3656</v>
      </c>
      <c r="O400">
        <v>2006</v>
      </c>
      <c r="P400" t="s">
        <v>3657</v>
      </c>
      <c r="Q400" t="s">
        <v>3658</v>
      </c>
      <c r="R400">
        <v>37834</v>
      </c>
      <c r="S400" t="s">
        <v>3650</v>
      </c>
      <c r="T400" s="1">
        <v>32272</v>
      </c>
      <c r="U400">
        <v>1988</v>
      </c>
      <c r="V400" t="s">
        <v>1826</v>
      </c>
      <c r="W400">
        <v>1.83</v>
      </c>
      <c r="X400" t="s">
        <v>3659</v>
      </c>
      <c r="Y400" t="s">
        <v>123</v>
      </c>
      <c r="Z400" t="s">
        <v>152</v>
      </c>
      <c r="AA400" t="s">
        <v>3660</v>
      </c>
      <c r="AB400" s="1">
        <v>45992</v>
      </c>
      <c r="AC400" t="s">
        <v>222</v>
      </c>
      <c r="AD400" t="s">
        <v>89</v>
      </c>
      <c r="AE400" s="1">
        <v>38999</v>
      </c>
      <c r="AF400">
        <v>18</v>
      </c>
      <c r="AG400" t="s">
        <v>1054</v>
      </c>
      <c r="AH400" t="s">
        <v>92</v>
      </c>
      <c r="AI400" t="s">
        <v>89</v>
      </c>
      <c r="AJ400" t="s">
        <v>92</v>
      </c>
      <c r="AK400">
        <v>18</v>
      </c>
      <c r="AL400">
        <v>28</v>
      </c>
      <c r="AM400">
        <v>479</v>
      </c>
      <c r="AN400">
        <v>77</v>
      </c>
      <c r="AO400">
        <v>12</v>
      </c>
      <c r="AP400" t="s">
        <v>93</v>
      </c>
      <c r="AQ400" t="s">
        <v>89</v>
      </c>
      <c r="AR400" t="s">
        <v>89</v>
      </c>
      <c r="AS400" t="s">
        <v>93</v>
      </c>
      <c r="AT400" t="s">
        <v>89</v>
      </c>
      <c r="AU400" t="s">
        <v>89</v>
      </c>
      <c r="AV400" t="s">
        <v>89</v>
      </c>
      <c r="AW400">
        <v>19</v>
      </c>
      <c r="AX400">
        <v>10</v>
      </c>
      <c r="AY400" t="s">
        <v>111</v>
      </c>
      <c r="AZ400">
        <v>5</v>
      </c>
      <c r="BA400">
        <v>27</v>
      </c>
      <c r="BB400">
        <v>1799</v>
      </c>
      <c r="BC400">
        <v>10</v>
      </c>
      <c r="BD400">
        <v>488</v>
      </c>
      <c r="BE400">
        <v>24262</v>
      </c>
      <c r="BF400">
        <v>112</v>
      </c>
      <c r="BG400" t="s">
        <v>89</v>
      </c>
      <c r="BH400">
        <v>515</v>
      </c>
      <c r="BI400">
        <v>26061</v>
      </c>
      <c r="BJ400">
        <v>122</v>
      </c>
      <c r="BK400">
        <f t="shared" si="56"/>
        <v>515</v>
      </c>
      <c r="BL400">
        <f t="shared" si="57"/>
        <v>26061</v>
      </c>
      <c r="BM400">
        <f t="shared" si="58"/>
        <v>122</v>
      </c>
      <c r="BN400">
        <f t="shared" si="59"/>
        <v>0</v>
      </c>
      <c r="BO400">
        <f t="shared" si="60"/>
        <v>0</v>
      </c>
      <c r="BP400">
        <f t="shared" si="61"/>
        <v>0</v>
      </c>
      <c r="BQ400" t="s">
        <v>123</v>
      </c>
      <c r="BR400" t="s">
        <v>112</v>
      </c>
      <c r="BS400" s="1">
        <v>32391</v>
      </c>
      <c r="BT400">
        <v>37</v>
      </c>
      <c r="BU400" t="s">
        <v>89</v>
      </c>
      <c r="BV400" t="s">
        <v>89</v>
      </c>
      <c r="BW400">
        <v>19</v>
      </c>
      <c r="BX400">
        <v>1988</v>
      </c>
      <c r="BY400">
        <v>18</v>
      </c>
      <c r="BZ400">
        <f t="shared" si="62"/>
        <v>0</v>
      </c>
      <c r="CA400">
        <f t="shared" si="63"/>
        <v>1</v>
      </c>
      <c r="CB400" t="b">
        <f t="shared" si="64"/>
        <v>1</v>
      </c>
    </row>
    <row r="401" spans="1:80" x14ac:dyDescent="0.3">
      <c r="A401" t="s">
        <v>3661</v>
      </c>
      <c r="B401" t="s">
        <v>776</v>
      </c>
      <c r="C401" t="s">
        <v>3662</v>
      </c>
      <c r="D401">
        <v>36</v>
      </c>
      <c r="E401" s="1">
        <v>32431</v>
      </c>
      <c r="F401" t="s">
        <v>89</v>
      </c>
      <c r="G401" t="s">
        <v>115</v>
      </c>
      <c r="H401" t="s">
        <v>89</v>
      </c>
      <c r="I401" t="s">
        <v>1438</v>
      </c>
      <c r="J401" t="s">
        <v>78</v>
      </c>
      <c r="K401" t="s">
        <v>89</v>
      </c>
      <c r="L401" t="s">
        <v>130</v>
      </c>
      <c r="M401">
        <v>19</v>
      </c>
      <c r="N401" t="s">
        <v>3663</v>
      </c>
      <c r="O401">
        <v>2008</v>
      </c>
      <c r="P401" t="s">
        <v>3664</v>
      </c>
      <c r="Q401" t="s">
        <v>3665</v>
      </c>
      <c r="R401">
        <v>52432</v>
      </c>
      <c r="S401" t="s">
        <v>3661</v>
      </c>
      <c r="T401" t="s">
        <v>3666</v>
      </c>
      <c r="U401">
        <v>1988</v>
      </c>
      <c r="V401" t="s">
        <v>3667</v>
      </c>
      <c r="W401">
        <v>1.77</v>
      </c>
      <c r="X401" t="s">
        <v>2292</v>
      </c>
      <c r="Y401" t="s">
        <v>136</v>
      </c>
      <c r="Z401" t="s">
        <v>87</v>
      </c>
      <c r="AA401" t="s">
        <v>3668</v>
      </c>
      <c r="AB401" t="s">
        <v>3669</v>
      </c>
      <c r="AC401" t="s">
        <v>108</v>
      </c>
      <c r="AD401" t="s">
        <v>89</v>
      </c>
      <c r="AE401" t="s">
        <v>3670</v>
      </c>
      <c r="AF401">
        <v>19</v>
      </c>
      <c r="AG401" t="s">
        <v>786</v>
      </c>
      <c r="AH401" s="1">
        <v>42922</v>
      </c>
      <c r="AI401">
        <v>28</v>
      </c>
      <c r="AJ401" t="s">
        <v>986</v>
      </c>
      <c r="AK401">
        <v>19</v>
      </c>
      <c r="AL401">
        <v>3</v>
      </c>
      <c r="AM401">
        <v>491</v>
      </c>
      <c r="AN401">
        <v>74</v>
      </c>
      <c r="AO401">
        <v>3</v>
      </c>
      <c r="AP401" t="s">
        <v>93</v>
      </c>
      <c r="AQ401" t="s">
        <v>89</v>
      </c>
      <c r="AR401" t="s">
        <v>89</v>
      </c>
      <c r="AS401" t="s">
        <v>111</v>
      </c>
      <c r="AT401" t="s">
        <v>3669</v>
      </c>
      <c r="AU401">
        <v>2021</v>
      </c>
      <c r="AV401">
        <v>13</v>
      </c>
      <c r="AW401">
        <v>13</v>
      </c>
      <c r="AX401" t="s">
        <v>89</v>
      </c>
      <c r="AY401" t="s">
        <v>93</v>
      </c>
      <c r="AZ401">
        <v>0</v>
      </c>
      <c r="BA401">
        <v>0</v>
      </c>
      <c r="BB401">
        <v>0</v>
      </c>
      <c r="BC401">
        <v>0</v>
      </c>
      <c r="BD401">
        <v>78</v>
      </c>
      <c r="BE401">
        <v>5338</v>
      </c>
      <c r="BF401">
        <v>2</v>
      </c>
      <c r="BG401">
        <v>33</v>
      </c>
      <c r="BH401">
        <v>78</v>
      </c>
      <c r="BI401">
        <v>5338</v>
      </c>
      <c r="BJ401">
        <v>2</v>
      </c>
      <c r="BK401">
        <f t="shared" si="56"/>
        <v>78</v>
      </c>
      <c r="BL401">
        <f t="shared" si="57"/>
        <v>5338</v>
      </c>
      <c r="BM401">
        <f t="shared" si="58"/>
        <v>2</v>
      </c>
      <c r="BN401">
        <f t="shared" si="59"/>
        <v>0</v>
      </c>
      <c r="BO401">
        <f t="shared" si="60"/>
        <v>0</v>
      </c>
      <c r="BP401">
        <f t="shared" si="61"/>
        <v>0</v>
      </c>
      <c r="BQ401" t="s">
        <v>136</v>
      </c>
      <c r="BR401" t="s">
        <v>140</v>
      </c>
      <c r="BS401" s="1">
        <v>32431</v>
      </c>
      <c r="BT401">
        <v>37</v>
      </c>
      <c r="BU401" t="s">
        <v>3669</v>
      </c>
      <c r="BV401" s="1">
        <v>44316</v>
      </c>
      <c r="BW401">
        <v>14</v>
      </c>
      <c r="BX401">
        <v>1988</v>
      </c>
      <c r="BY401">
        <v>14</v>
      </c>
      <c r="BZ401">
        <f t="shared" si="62"/>
        <v>-1</v>
      </c>
      <c r="CA401">
        <f t="shared" si="63"/>
        <v>0</v>
      </c>
      <c r="CB401" t="b">
        <f t="shared" si="64"/>
        <v>0</v>
      </c>
    </row>
    <row r="402" spans="1:80" x14ac:dyDescent="0.3">
      <c r="A402" t="s">
        <v>3671</v>
      </c>
      <c r="B402" t="s">
        <v>71</v>
      </c>
      <c r="C402" t="s">
        <v>3672</v>
      </c>
      <c r="D402">
        <v>46</v>
      </c>
      <c r="E402" s="1">
        <v>29008</v>
      </c>
      <c r="F402" t="s">
        <v>89</v>
      </c>
      <c r="G402" t="s">
        <v>97</v>
      </c>
      <c r="H402" t="s">
        <v>76</v>
      </c>
      <c r="I402" t="s">
        <v>161</v>
      </c>
      <c r="J402" t="s">
        <v>89</v>
      </c>
      <c r="K402" t="s">
        <v>89</v>
      </c>
      <c r="L402" t="s">
        <v>2014</v>
      </c>
      <c r="M402">
        <v>20</v>
      </c>
      <c r="N402" t="s">
        <v>268</v>
      </c>
      <c r="O402">
        <v>1999</v>
      </c>
      <c r="P402" t="s">
        <v>3673</v>
      </c>
      <c r="Q402" t="s">
        <v>3674</v>
      </c>
      <c r="R402">
        <v>15721</v>
      </c>
      <c r="S402" t="s">
        <v>3671</v>
      </c>
      <c r="T402" t="s">
        <v>3675</v>
      </c>
      <c r="U402">
        <v>1979</v>
      </c>
      <c r="V402" t="s">
        <v>1047</v>
      </c>
      <c r="W402">
        <v>1.81</v>
      </c>
      <c r="X402" t="s">
        <v>76</v>
      </c>
      <c r="Y402" t="s">
        <v>106</v>
      </c>
      <c r="Z402" t="s">
        <v>87</v>
      </c>
      <c r="AA402" t="s">
        <v>3676</v>
      </c>
      <c r="AB402" s="1">
        <v>41281</v>
      </c>
      <c r="AC402" t="s">
        <v>108</v>
      </c>
      <c r="AD402" t="s">
        <v>89</v>
      </c>
      <c r="AE402" t="s">
        <v>2697</v>
      </c>
      <c r="AF402">
        <v>20</v>
      </c>
      <c r="AG402" t="s">
        <v>91</v>
      </c>
      <c r="AH402" t="s">
        <v>92</v>
      </c>
      <c r="AI402" t="s">
        <v>89</v>
      </c>
      <c r="AJ402" t="s">
        <v>92</v>
      </c>
      <c r="AK402">
        <v>20</v>
      </c>
      <c r="AL402">
        <v>1</v>
      </c>
      <c r="AM402">
        <v>43</v>
      </c>
      <c r="AN402">
        <v>2</v>
      </c>
      <c r="AO402">
        <v>1</v>
      </c>
      <c r="AP402" t="s">
        <v>93</v>
      </c>
      <c r="AQ402" t="s">
        <v>89</v>
      </c>
      <c r="AR402" t="s">
        <v>89</v>
      </c>
      <c r="AS402" t="s">
        <v>111</v>
      </c>
      <c r="AT402">
        <v>41281</v>
      </c>
      <c r="AU402">
        <v>2013</v>
      </c>
      <c r="AV402">
        <v>14</v>
      </c>
      <c r="AW402">
        <v>14</v>
      </c>
      <c r="AX402" t="s">
        <v>89</v>
      </c>
      <c r="AY402" t="s">
        <v>93</v>
      </c>
      <c r="AZ402">
        <v>0</v>
      </c>
      <c r="BA402">
        <v>0</v>
      </c>
      <c r="BB402">
        <v>0</v>
      </c>
      <c r="BC402">
        <v>0</v>
      </c>
      <c r="BD402">
        <v>317</v>
      </c>
      <c r="BE402">
        <v>20263</v>
      </c>
      <c r="BF402">
        <v>60</v>
      </c>
      <c r="BG402">
        <v>34</v>
      </c>
      <c r="BH402">
        <v>317</v>
      </c>
      <c r="BI402">
        <v>20263</v>
      </c>
      <c r="BJ402">
        <v>60</v>
      </c>
      <c r="BK402">
        <f t="shared" si="56"/>
        <v>317</v>
      </c>
      <c r="BL402">
        <f t="shared" si="57"/>
        <v>20263</v>
      </c>
      <c r="BM402">
        <f t="shared" si="58"/>
        <v>60</v>
      </c>
      <c r="BN402">
        <f t="shared" si="59"/>
        <v>0</v>
      </c>
      <c r="BO402">
        <f t="shared" si="60"/>
        <v>0</v>
      </c>
      <c r="BP402">
        <f t="shared" si="61"/>
        <v>0</v>
      </c>
      <c r="BQ402" t="s">
        <v>106</v>
      </c>
      <c r="BR402" t="s">
        <v>112</v>
      </c>
      <c r="BS402" t="s">
        <v>89</v>
      </c>
      <c r="BT402">
        <v>47</v>
      </c>
      <c r="BU402">
        <v>41281</v>
      </c>
      <c r="BV402" t="s">
        <v>89</v>
      </c>
      <c r="BW402">
        <v>14</v>
      </c>
      <c r="BX402">
        <v>1979</v>
      </c>
      <c r="BY402">
        <v>14</v>
      </c>
      <c r="BZ402">
        <f t="shared" si="62"/>
        <v>0</v>
      </c>
      <c r="CA402">
        <f t="shared" si="63"/>
        <v>0</v>
      </c>
      <c r="CB402" t="b">
        <f t="shared" si="64"/>
        <v>1</v>
      </c>
    </row>
    <row r="403" spans="1:80" x14ac:dyDescent="0.3">
      <c r="A403" t="s">
        <v>3677</v>
      </c>
      <c r="B403" t="s">
        <v>1305</v>
      </c>
      <c r="C403" t="s">
        <v>3678</v>
      </c>
      <c r="D403">
        <v>40</v>
      </c>
      <c r="E403" s="1">
        <v>31135</v>
      </c>
      <c r="F403" t="s">
        <v>89</v>
      </c>
      <c r="G403" t="s">
        <v>1381</v>
      </c>
      <c r="H403" t="s">
        <v>3679</v>
      </c>
      <c r="I403" t="s">
        <v>227</v>
      </c>
      <c r="J403" t="s">
        <v>78</v>
      </c>
      <c r="K403" t="s">
        <v>89</v>
      </c>
      <c r="L403" t="s">
        <v>117</v>
      </c>
      <c r="M403">
        <v>20</v>
      </c>
      <c r="N403" t="s">
        <v>137</v>
      </c>
      <c r="O403">
        <v>2005</v>
      </c>
      <c r="P403" t="s">
        <v>3680</v>
      </c>
      <c r="Q403" t="s">
        <v>3681</v>
      </c>
      <c r="R403">
        <v>35548</v>
      </c>
      <c r="S403" t="s">
        <v>3677</v>
      </c>
      <c r="T403" t="s">
        <v>3682</v>
      </c>
      <c r="U403">
        <v>1985</v>
      </c>
      <c r="V403" t="s">
        <v>3683</v>
      </c>
      <c r="W403">
        <v>1.91</v>
      </c>
      <c r="X403" t="s">
        <v>1313</v>
      </c>
      <c r="Y403" t="s">
        <v>235</v>
      </c>
      <c r="Z403" t="s">
        <v>152</v>
      </c>
      <c r="AA403" t="s">
        <v>3684</v>
      </c>
      <c r="AB403">
        <v>44568</v>
      </c>
      <c r="AC403" t="s">
        <v>108</v>
      </c>
      <c r="AD403" t="s">
        <v>89</v>
      </c>
      <c r="AE403" s="1">
        <v>38899</v>
      </c>
      <c r="AF403">
        <v>20</v>
      </c>
      <c r="AG403" t="s">
        <v>91</v>
      </c>
      <c r="AH403" t="s">
        <v>3685</v>
      </c>
      <c r="AI403">
        <v>29</v>
      </c>
      <c r="AJ403" t="s">
        <v>855</v>
      </c>
      <c r="AK403">
        <v>20</v>
      </c>
      <c r="AL403">
        <v>14</v>
      </c>
      <c r="AM403">
        <v>356</v>
      </c>
      <c r="AN403">
        <v>90</v>
      </c>
      <c r="AO403">
        <v>7</v>
      </c>
      <c r="AP403" t="s">
        <v>93</v>
      </c>
      <c r="AQ403" t="s">
        <v>89</v>
      </c>
      <c r="AR403" t="s">
        <v>89</v>
      </c>
      <c r="AS403" t="s">
        <v>111</v>
      </c>
      <c r="AT403">
        <v>44568</v>
      </c>
      <c r="AU403">
        <v>2022</v>
      </c>
      <c r="AV403">
        <v>17</v>
      </c>
      <c r="AW403">
        <v>17</v>
      </c>
      <c r="AX403" t="s">
        <v>89</v>
      </c>
      <c r="AY403" t="s">
        <v>111</v>
      </c>
      <c r="AZ403">
        <v>3</v>
      </c>
      <c r="BA403">
        <v>8</v>
      </c>
      <c r="BB403">
        <v>720</v>
      </c>
      <c r="BC403">
        <v>1</v>
      </c>
      <c r="BD403">
        <v>349</v>
      </c>
      <c r="BE403">
        <v>28224</v>
      </c>
      <c r="BF403">
        <v>5</v>
      </c>
      <c r="BG403">
        <v>37</v>
      </c>
      <c r="BH403">
        <v>357</v>
      </c>
      <c r="BI403">
        <v>28944</v>
      </c>
      <c r="BJ403">
        <v>6</v>
      </c>
      <c r="BK403">
        <f t="shared" si="56"/>
        <v>357</v>
      </c>
      <c r="BL403">
        <f t="shared" si="57"/>
        <v>28944</v>
      </c>
      <c r="BM403">
        <f t="shared" si="58"/>
        <v>6</v>
      </c>
      <c r="BN403">
        <f t="shared" si="59"/>
        <v>0</v>
      </c>
      <c r="BO403">
        <f t="shared" si="60"/>
        <v>0</v>
      </c>
      <c r="BP403">
        <f t="shared" si="61"/>
        <v>0</v>
      </c>
      <c r="BQ403" t="s">
        <v>235</v>
      </c>
      <c r="BR403" t="s">
        <v>140</v>
      </c>
      <c r="BS403" s="1">
        <v>31135</v>
      </c>
      <c r="BT403">
        <v>40</v>
      </c>
      <c r="BU403">
        <v>44568</v>
      </c>
      <c r="BV403" t="s">
        <v>89</v>
      </c>
      <c r="BW403">
        <v>17</v>
      </c>
      <c r="BX403">
        <v>1985</v>
      </c>
      <c r="BY403">
        <v>17</v>
      </c>
      <c r="BZ403">
        <f t="shared" si="62"/>
        <v>0</v>
      </c>
      <c r="CA403">
        <f t="shared" si="63"/>
        <v>0</v>
      </c>
      <c r="CB403" t="b">
        <f t="shared" si="64"/>
        <v>1</v>
      </c>
    </row>
    <row r="404" spans="1:80" x14ac:dyDescent="0.3">
      <c r="A404" t="s">
        <v>3686</v>
      </c>
      <c r="B404" t="s">
        <v>156</v>
      </c>
      <c r="C404" t="s">
        <v>3687</v>
      </c>
      <c r="D404">
        <v>41</v>
      </c>
      <c r="E404" s="1">
        <v>30580</v>
      </c>
      <c r="F404" t="s">
        <v>89</v>
      </c>
      <c r="G404" t="s">
        <v>97</v>
      </c>
      <c r="H404" t="s">
        <v>177</v>
      </c>
      <c r="I404" t="s">
        <v>437</v>
      </c>
      <c r="J404" t="s">
        <v>78</v>
      </c>
      <c r="K404" t="s">
        <v>89</v>
      </c>
      <c r="L404">
        <v>2004</v>
      </c>
      <c r="M404">
        <v>20</v>
      </c>
      <c r="N404" t="s">
        <v>3688</v>
      </c>
      <c r="O404">
        <v>2004</v>
      </c>
      <c r="P404" t="s">
        <v>3689</v>
      </c>
      <c r="Q404" t="s">
        <v>3690</v>
      </c>
      <c r="R404">
        <v>3852</v>
      </c>
      <c r="S404" t="s">
        <v>3686</v>
      </c>
      <c r="T404" t="s">
        <v>2411</v>
      </c>
      <c r="U404">
        <v>1983</v>
      </c>
      <c r="V404" t="s">
        <v>982</v>
      </c>
      <c r="W404">
        <v>1.81</v>
      </c>
      <c r="X404" t="s">
        <v>169</v>
      </c>
      <c r="Y404" t="s">
        <v>123</v>
      </c>
      <c r="Z404" t="s">
        <v>87</v>
      </c>
      <c r="AA404" t="s">
        <v>3691</v>
      </c>
      <c r="AB404" s="1">
        <v>42404</v>
      </c>
      <c r="AC404" t="s">
        <v>108</v>
      </c>
      <c r="AD404" t="s">
        <v>89</v>
      </c>
      <c r="AE404" s="1">
        <v>37197</v>
      </c>
      <c r="AF404">
        <v>17</v>
      </c>
      <c r="AG404" t="s">
        <v>171</v>
      </c>
      <c r="AH404" t="s">
        <v>2209</v>
      </c>
      <c r="AI404">
        <v>27</v>
      </c>
      <c r="AJ404" t="s">
        <v>2210</v>
      </c>
      <c r="AK404">
        <v>17</v>
      </c>
      <c r="AL404">
        <v>5</v>
      </c>
      <c r="AM404">
        <v>457</v>
      </c>
      <c r="AN404">
        <v>46</v>
      </c>
      <c r="AO404">
        <v>5</v>
      </c>
      <c r="AP404" t="s">
        <v>93</v>
      </c>
      <c r="AQ404" t="s">
        <v>89</v>
      </c>
      <c r="AR404" t="s">
        <v>89</v>
      </c>
      <c r="AS404" t="s">
        <v>111</v>
      </c>
      <c r="AT404" s="1">
        <v>42404</v>
      </c>
      <c r="AU404">
        <v>2016</v>
      </c>
      <c r="AV404">
        <v>12</v>
      </c>
      <c r="AW404">
        <v>21</v>
      </c>
      <c r="AX404" t="s">
        <v>89</v>
      </c>
      <c r="AY404" t="s">
        <v>93</v>
      </c>
      <c r="AZ404">
        <v>0</v>
      </c>
      <c r="BA404">
        <v>0</v>
      </c>
      <c r="BB404">
        <v>0</v>
      </c>
      <c r="BC404">
        <v>0</v>
      </c>
      <c r="BD404">
        <v>235</v>
      </c>
      <c r="BE404">
        <v>13840</v>
      </c>
      <c r="BF404">
        <v>76</v>
      </c>
      <c r="BG404">
        <v>33</v>
      </c>
      <c r="BH404">
        <v>235</v>
      </c>
      <c r="BI404">
        <v>13840</v>
      </c>
      <c r="BJ404">
        <v>76</v>
      </c>
      <c r="BK404">
        <f t="shared" si="56"/>
        <v>235</v>
      </c>
      <c r="BL404">
        <f t="shared" si="57"/>
        <v>13840</v>
      </c>
      <c r="BM404">
        <f t="shared" si="58"/>
        <v>76</v>
      </c>
      <c r="BN404">
        <f t="shared" si="59"/>
        <v>0</v>
      </c>
      <c r="BO404">
        <f t="shared" si="60"/>
        <v>0</v>
      </c>
      <c r="BP404">
        <f t="shared" si="61"/>
        <v>0</v>
      </c>
      <c r="BQ404" t="s">
        <v>123</v>
      </c>
      <c r="BR404" t="s">
        <v>112</v>
      </c>
      <c r="BS404" s="1">
        <v>30580</v>
      </c>
      <c r="BT404">
        <v>42</v>
      </c>
      <c r="BU404" s="1">
        <v>42404</v>
      </c>
      <c r="BV404" s="1">
        <v>42462</v>
      </c>
      <c r="BW404">
        <v>16</v>
      </c>
      <c r="BX404">
        <v>1983</v>
      </c>
      <c r="BY404">
        <v>16</v>
      </c>
      <c r="BZ404">
        <f t="shared" si="62"/>
        <v>5</v>
      </c>
      <c r="CA404">
        <f t="shared" si="63"/>
        <v>0</v>
      </c>
      <c r="CB404" t="b">
        <f t="shared" si="64"/>
        <v>0</v>
      </c>
    </row>
    <row r="405" spans="1:80" x14ac:dyDescent="0.3">
      <c r="A405" t="s">
        <v>3692</v>
      </c>
      <c r="B405" t="s">
        <v>156</v>
      </c>
      <c r="C405" t="s">
        <v>3693</v>
      </c>
      <c r="D405">
        <v>39</v>
      </c>
      <c r="E405" s="1">
        <v>31512</v>
      </c>
      <c r="F405" t="s">
        <v>89</v>
      </c>
      <c r="G405" t="s">
        <v>75</v>
      </c>
      <c r="H405" t="s">
        <v>177</v>
      </c>
      <c r="I405" t="s">
        <v>3694</v>
      </c>
      <c r="J405" t="s">
        <v>78</v>
      </c>
      <c r="K405" t="s">
        <v>89</v>
      </c>
      <c r="L405" t="s">
        <v>163</v>
      </c>
      <c r="M405">
        <v>20</v>
      </c>
      <c r="N405" t="s">
        <v>268</v>
      </c>
      <c r="O405">
        <v>2006</v>
      </c>
      <c r="P405" t="s">
        <v>3695</v>
      </c>
      <c r="Q405" t="s">
        <v>3696</v>
      </c>
      <c r="R405">
        <v>38954</v>
      </c>
      <c r="S405" t="s">
        <v>3692</v>
      </c>
      <c r="T405" s="1">
        <v>31689</v>
      </c>
      <c r="U405">
        <v>1986</v>
      </c>
      <c r="V405" t="s">
        <v>3697</v>
      </c>
      <c r="W405">
        <v>1.77</v>
      </c>
      <c r="X405" t="s">
        <v>169</v>
      </c>
      <c r="Y405" t="s">
        <v>259</v>
      </c>
      <c r="Z405" t="s">
        <v>87</v>
      </c>
      <c r="AA405" t="s">
        <v>3698</v>
      </c>
      <c r="AB405" s="1">
        <v>44146</v>
      </c>
      <c r="AC405" t="s">
        <v>108</v>
      </c>
      <c r="AD405" t="s">
        <v>89</v>
      </c>
      <c r="AE405">
        <v>38119</v>
      </c>
      <c r="AF405">
        <v>18</v>
      </c>
      <c r="AG405" t="s">
        <v>189</v>
      </c>
      <c r="AH405" t="s">
        <v>92</v>
      </c>
      <c r="AI405" t="s">
        <v>89</v>
      </c>
      <c r="AJ405" t="s">
        <v>92</v>
      </c>
      <c r="AK405">
        <v>18</v>
      </c>
      <c r="AL405">
        <v>27</v>
      </c>
      <c r="AM405">
        <v>1584</v>
      </c>
      <c r="AN405">
        <v>194</v>
      </c>
      <c r="AO405">
        <v>12</v>
      </c>
      <c r="AP405" t="s">
        <v>93</v>
      </c>
      <c r="AQ405" t="s">
        <v>89</v>
      </c>
      <c r="AR405" t="s">
        <v>89</v>
      </c>
      <c r="AS405" t="s">
        <v>111</v>
      </c>
      <c r="AT405" s="1">
        <v>44146</v>
      </c>
      <c r="AU405">
        <v>2020</v>
      </c>
      <c r="AV405">
        <v>14</v>
      </c>
      <c r="AW405">
        <v>14</v>
      </c>
      <c r="AX405" t="s">
        <v>89</v>
      </c>
      <c r="AY405" t="s">
        <v>111</v>
      </c>
      <c r="AZ405">
        <v>5</v>
      </c>
      <c r="BA405">
        <v>22</v>
      </c>
      <c r="BB405">
        <v>1403</v>
      </c>
      <c r="BC405">
        <v>0</v>
      </c>
      <c r="BD405">
        <v>259</v>
      </c>
      <c r="BE405">
        <v>19340</v>
      </c>
      <c r="BF405">
        <v>8</v>
      </c>
      <c r="BG405">
        <v>34</v>
      </c>
      <c r="BH405">
        <v>281</v>
      </c>
      <c r="BI405">
        <v>20743</v>
      </c>
      <c r="BJ405">
        <v>8</v>
      </c>
      <c r="BK405">
        <f t="shared" si="56"/>
        <v>281</v>
      </c>
      <c r="BL405">
        <f t="shared" si="57"/>
        <v>20743</v>
      </c>
      <c r="BM405">
        <f t="shared" si="58"/>
        <v>8</v>
      </c>
      <c r="BN405">
        <f t="shared" si="59"/>
        <v>0</v>
      </c>
      <c r="BO405">
        <f t="shared" si="60"/>
        <v>0</v>
      </c>
      <c r="BP405">
        <f t="shared" si="61"/>
        <v>0</v>
      </c>
      <c r="BQ405" t="s">
        <v>259</v>
      </c>
      <c r="BR405" t="s">
        <v>94</v>
      </c>
      <c r="BS405" s="1">
        <v>31512</v>
      </c>
      <c r="BT405">
        <v>39</v>
      </c>
      <c r="BU405" s="1">
        <v>44146</v>
      </c>
      <c r="BV405" s="1">
        <v>44146</v>
      </c>
      <c r="BW405">
        <v>16</v>
      </c>
      <c r="BX405">
        <v>1986</v>
      </c>
      <c r="BY405">
        <v>16</v>
      </c>
      <c r="BZ405">
        <f t="shared" si="62"/>
        <v>-2</v>
      </c>
      <c r="CA405">
        <f t="shared" si="63"/>
        <v>0</v>
      </c>
      <c r="CB405" t="b">
        <f t="shared" si="64"/>
        <v>0</v>
      </c>
    </row>
    <row r="406" spans="1:80" x14ac:dyDescent="0.3">
      <c r="A406" t="s">
        <v>3699</v>
      </c>
      <c r="B406" t="s">
        <v>71</v>
      </c>
      <c r="C406" t="s">
        <v>3700</v>
      </c>
      <c r="D406">
        <v>40</v>
      </c>
      <c r="E406" s="1">
        <v>31104</v>
      </c>
      <c r="F406" t="s">
        <v>89</v>
      </c>
      <c r="G406" t="s">
        <v>3627</v>
      </c>
      <c r="H406" t="s">
        <v>76</v>
      </c>
      <c r="I406" t="s">
        <v>437</v>
      </c>
      <c r="J406" t="s">
        <v>78</v>
      </c>
      <c r="K406" t="s">
        <v>89</v>
      </c>
      <c r="L406" t="s">
        <v>145</v>
      </c>
      <c r="M406">
        <v>19</v>
      </c>
      <c r="N406" t="s">
        <v>137</v>
      </c>
      <c r="O406">
        <v>2004</v>
      </c>
      <c r="P406" t="s">
        <v>3701</v>
      </c>
      <c r="Q406" t="s">
        <v>3702</v>
      </c>
      <c r="R406">
        <v>35564</v>
      </c>
      <c r="S406" t="s">
        <v>3699</v>
      </c>
      <c r="T406" t="s">
        <v>3703</v>
      </c>
      <c r="U406">
        <v>1985</v>
      </c>
      <c r="V406" t="s">
        <v>1185</v>
      </c>
      <c r="W406">
        <v>1.95</v>
      </c>
      <c r="X406" t="s">
        <v>76</v>
      </c>
      <c r="Y406" t="s">
        <v>123</v>
      </c>
      <c r="Z406" t="s">
        <v>87</v>
      </c>
      <c r="AA406" t="s">
        <v>1186</v>
      </c>
      <c r="AB406" t="s">
        <v>3704</v>
      </c>
      <c r="AC406" t="s">
        <v>108</v>
      </c>
      <c r="AD406" t="s">
        <v>442</v>
      </c>
      <c r="AE406" t="s">
        <v>3705</v>
      </c>
      <c r="AF406">
        <v>19</v>
      </c>
      <c r="AG406" t="s">
        <v>91</v>
      </c>
      <c r="AH406">
        <v>44266</v>
      </c>
      <c r="AI406">
        <v>36</v>
      </c>
      <c r="AJ406" t="s">
        <v>110</v>
      </c>
      <c r="AK406">
        <v>19</v>
      </c>
      <c r="AL406">
        <v>11</v>
      </c>
      <c r="AM406">
        <v>206</v>
      </c>
      <c r="AN406">
        <v>34</v>
      </c>
      <c r="AO406">
        <v>10</v>
      </c>
      <c r="AP406" t="s">
        <v>93</v>
      </c>
      <c r="AQ406" t="s">
        <v>89</v>
      </c>
      <c r="AR406" t="s">
        <v>89</v>
      </c>
      <c r="AS406" t="s">
        <v>111</v>
      </c>
      <c r="AT406" t="s">
        <v>3704</v>
      </c>
      <c r="AU406">
        <v>2023</v>
      </c>
      <c r="AV406">
        <v>19</v>
      </c>
      <c r="AW406">
        <v>19</v>
      </c>
      <c r="AX406" t="s">
        <v>89</v>
      </c>
      <c r="AY406" t="s">
        <v>111</v>
      </c>
      <c r="AZ406">
        <v>5</v>
      </c>
      <c r="BA406">
        <v>9</v>
      </c>
      <c r="BB406">
        <v>347</v>
      </c>
      <c r="BC406">
        <v>4</v>
      </c>
      <c r="BD406">
        <v>580</v>
      </c>
      <c r="BE406">
        <v>32858</v>
      </c>
      <c r="BF406">
        <v>168</v>
      </c>
      <c r="BG406">
        <v>38</v>
      </c>
      <c r="BH406">
        <v>589</v>
      </c>
      <c r="BI406">
        <v>33205</v>
      </c>
      <c r="BJ406">
        <v>172</v>
      </c>
      <c r="BK406">
        <f t="shared" si="56"/>
        <v>589</v>
      </c>
      <c r="BL406">
        <f t="shared" si="57"/>
        <v>33205</v>
      </c>
      <c r="BM406">
        <f t="shared" si="58"/>
        <v>172</v>
      </c>
      <c r="BN406">
        <f t="shared" si="59"/>
        <v>0</v>
      </c>
      <c r="BO406">
        <f t="shared" si="60"/>
        <v>0</v>
      </c>
      <c r="BP406">
        <f t="shared" si="61"/>
        <v>0</v>
      </c>
      <c r="BQ406" t="s">
        <v>123</v>
      </c>
      <c r="BR406" t="s">
        <v>112</v>
      </c>
      <c r="BS406" s="1">
        <v>31104</v>
      </c>
      <c r="BT406">
        <v>40</v>
      </c>
      <c r="BU406" t="s">
        <v>3704</v>
      </c>
      <c r="BV406" s="1">
        <v>45061</v>
      </c>
      <c r="BW406">
        <v>19</v>
      </c>
      <c r="BX406">
        <v>1985</v>
      </c>
      <c r="BY406">
        <v>19</v>
      </c>
      <c r="BZ406">
        <f t="shared" si="62"/>
        <v>0</v>
      </c>
      <c r="CA406">
        <f t="shared" si="63"/>
        <v>0</v>
      </c>
      <c r="CB406" t="b">
        <f t="shared" si="64"/>
        <v>1</v>
      </c>
    </row>
    <row r="407" spans="1:80" x14ac:dyDescent="0.3">
      <c r="A407" t="s">
        <v>3706</v>
      </c>
      <c r="B407" t="s">
        <v>1231</v>
      </c>
      <c r="C407" t="s">
        <v>3707</v>
      </c>
      <c r="D407">
        <v>47</v>
      </c>
      <c r="E407" s="1">
        <v>28646</v>
      </c>
      <c r="F407" t="s">
        <v>89</v>
      </c>
      <c r="G407" t="s">
        <v>241</v>
      </c>
      <c r="H407" t="s">
        <v>1234</v>
      </c>
      <c r="I407" t="s">
        <v>243</v>
      </c>
      <c r="J407" t="s">
        <v>89</v>
      </c>
      <c r="K407" t="s">
        <v>89</v>
      </c>
      <c r="L407" t="s">
        <v>196</v>
      </c>
      <c r="M407">
        <v>22</v>
      </c>
      <c r="N407" t="s">
        <v>490</v>
      </c>
      <c r="O407">
        <v>2000</v>
      </c>
      <c r="P407" t="s">
        <v>3708</v>
      </c>
      <c r="Q407" t="s">
        <v>3709</v>
      </c>
      <c r="R407">
        <v>1432</v>
      </c>
      <c r="S407" t="s">
        <v>3706</v>
      </c>
      <c r="T407">
        <v>28616</v>
      </c>
      <c r="U407">
        <v>1978</v>
      </c>
      <c r="V407" t="s">
        <v>3710</v>
      </c>
      <c r="W407" t="s">
        <v>89</v>
      </c>
      <c r="X407" t="s">
        <v>1234</v>
      </c>
      <c r="Y407" t="s">
        <v>235</v>
      </c>
      <c r="Z407" t="s">
        <v>89</v>
      </c>
      <c r="AA407" t="s">
        <v>1900</v>
      </c>
      <c r="AB407" s="1">
        <v>40910</v>
      </c>
      <c r="AC407" t="s">
        <v>108</v>
      </c>
      <c r="AD407" t="s">
        <v>89</v>
      </c>
      <c r="AE407" t="s">
        <v>3711</v>
      </c>
      <c r="AF407">
        <v>18</v>
      </c>
      <c r="AG407" t="s">
        <v>613</v>
      </c>
      <c r="AH407" t="s">
        <v>92</v>
      </c>
      <c r="AI407" t="s">
        <v>89</v>
      </c>
      <c r="AJ407" t="s">
        <v>92</v>
      </c>
      <c r="AK407">
        <v>18</v>
      </c>
      <c r="AL407">
        <v>2</v>
      </c>
      <c r="AM407">
        <v>97</v>
      </c>
      <c r="AN407">
        <v>13</v>
      </c>
      <c r="AO407">
        <v>2</v>
      </c>
      <c r="AP407" t="s">
        <v>93</v>
      </c>
      <c r="AQ407" t="s">
        <v>89</v>
      </c>
      <c r="AR407" t="s">
        <v>89</v>
      </c>
      <c r="AS407" t="s">
        <v>111</v>
      </c>
      <c r="AT407" s="1">
        <v>40910</v>
      </c>
      <c r="AU407">
        <v>2012</v>
      </c>
      <c r="AV407">
        <v>12</v>
      </c>
      <c r="AW407">
        <v>12</v>
      </c>
      <c r="AX407" t="s">
        <v>89</v>
      </c>
      <c r="AY407" t="s">
        <v>111</v>
      </c>
      <c r="AZ407">
        <v>5</v>
      </c>
      <c r="BA407">
        <v>21</v>
      </c>
      <c r="BB407">
        <v>1682</v>
      </c>
      <c r="BC407">
        <v>1</v>
      </c>
      <c r="BD407">
        <v>332</v>
      </c>
      <c r="BE407">
        <v>28261</v>
      </c>
      <c r="BF407">
        <v>16</v>
      </c>
      <c r="BG407">
        <v>34</v>
      </c>
      <c r="BH407">
        <v>353</v>
      </c>
      <c r="BI407">
        <v>29943</v>
      </c>
      <c r="BJ407">
        <v>17</v>
      </c>
      <c r="BK407">
        <f t="shared" si="56"/>
        <v>353</v>
      </c>
      <c r="BL407">
        <f t="shared" si="57"/>
        <v>29943</v>
      </c>
      <c r="BM407">
        <f t="shared" si="58"/>
        <v>17</v>
      </c>
      <c r="BN407">
        <f t="shared" si="59"/>
        <v>0</v>
      </c>
      <c r="BO407">
        <f t="shared" si="60"/>
        <v>0</v>
      </c>
      <c r="BP407">
        <f t="shared" si="61"/>
        <v>0</v>
      </c>
      <c r="BQ407" t="s">
        <v>235</v>
      </c>
      <c r="BR407" t="s">
        <v>140</v>
      </c>
      <c r="BS407" t="s">
        <v>89</v>
      </c>
      <c r="BT407">
        <v>48</v>
      </c>
      <c r="BU407" s="1">
        <v>40910</v>
      </c>
      <c r="BV407" s="1">
        <v>40940</v>
      </c>
      <c r="BW407">
        <v>16</v>
      </c>
      <c r="BX407">
        <v>1978</v>
      </c>
      <c r="BY407">
        <v>16</v>
      </c>
      <c r="BZ407">
        <f t="shared" si="62"/>
        <v>-4</v>
      </c>
      <c r="CA407">
        <f t="shared" si="63"/>
        <v>0</v>
      </c>
      <c r="CB407" t="b">
        <f t="shared" si="64"/>
        <v>0</v>
      </c>
    </row>
    <row r="408" spans="1:80" x14ac:dyDescent="0.3">
      <c r="A408" t="s">
        <v>3712</v>
      </c>
      <c r="B408" t="s">
        <v>71</v>
      </c>
      <c r="C408" t="s">
        <v>3713</v>
      </c>
      <c r="D408">
        <v>43</v>
      </c>
      <c r="E408">
        <v>30127</v>
      </c>
      <c r="F408" t="s">
        <v>89</v>
      </c>
      <c r="G408" t="s">
        <v>75</v>
      </c>
      <c r="H408" t="s">
        <v>76</v>
      </c>
      <c r="I408" t="s">
        <v>195</v>
      </c>
      <c r="J408" t="s">
        <v>300</v>
      </c>
      <c r="K408" t="s">
        <v>89</v>
      </c>
      <c r="L408" t="s">
        <v>99</v>
      </c>
      <c r="M408">
        <v>19</v>
      </c>
      <c r="N408" t="s">
        <v>644</v>
      </c>
      <c r="O408">
        <v>2001</v>
      </c>
      <c r="P408" t="s">
        <v>3714</v>
      </c>
      <c r="Q408" t="s">
        <v>3715</v>
      </c>
      <c r="R408">
        <v>7593</v>
      </c>
      <c r="S408" t="s">
        <v>3712</v>
      </c>
      <c r="T408" t="s">
        <v>3716</v>
      </c>
      <c r="U408">
        <v>1982</v>
      </c>
      <c r="V408" t="s">
        <v>644</v>
      </c>
      <c r="W408">
        <v>1.76</v>
      </c>
      <c r="X408" t="s">
        <v>76</v>
      </c>
      <c r="Y408" t="s">
        <v>203</v>
      </c>
      <c r="Z408" t="s">
        <v>152</v>
      </c>
      <c r="AA408" t="s">
        <v>260</v>
      </c>
      <c r="AB408">
        <v>43107</v>
      </c>
      <c r="AC408" t="s">
        <v>108</v>
      </c>
      <c r="AD408" t="s">
        <v>89</v>
      </c>
      <c r="AE408" s="1">
        <v>2001</v>
      </c>
      <c r="AF408">
        <v>19</v>
      </c>
      <c r="AG408" t="s">
        <v>91</v>
      </c>
      <c r="AH408" t="s">
        <v>89</v>
      </c>
      <c r="AI408" t="s">
        <v>89</v>
      </c>
      <c r="AJ408" t="s">
        <v>89</v>
      </c>
      <c r="AK408">
        <v>19</v>
      </c>
      <c r="AL408">
        <v>3</v>
      </c>
      <c r="AM408">
        <v>51</v>
      </c>
      <c r="AN408">
        <v>9</v>
      </c>
      <c r="AO408">
        <v>2</v>
      </c>
      <c r="AP408" t="s">
        <v>93</v>
      </c>
      <c r="AQ408" t="s">
        <v>89</v>
      </c>
      <c r="AR408" t="s">
        <v>89</v>
      </c>
      <c r="AS408" t="s">
        <v>111</v>
      </c>
      <c r="AT408">
        <v>43107</v>
      </c>
      <c r="AU408">
        <v>2018</v>
      </c>
      <c r="AV408">
        <v>17</v>
      </c>
      <c r="AW408">
        <v>17</v>
      </c>
      <c r="AX408" t="s">
        <v>89</v>
      </c>
      <c r="AY408" t="s">
        <v>111</v>
      </c>
      <c r="AZ408">
        <v>2</v>
      </c>
      <c r="BA408">
        <v>1</v>
      </c>
      <c r="BB408">
        <v>90</v>
      </c>
      <c r="BC408">
        <v>0</v>
      </c>
      <c r="BD408">
        <v>465</v>
      </c>
      <c r="BE408">
        <v>38833</v>
      </c>
      <c r="BF408">
        <v>3</v>
      </c>
      <c r="BG408">
        <v>36</v>
      </c>
      <c r="BH408">
        <v>466</v>
      </c>
      <c r="BI408">
        <v>38923</v>
      </c>
      <c r="BJ408">
        <v>3</v>
      </c>
      <c r="BK408">
        <f t="shared" si="56"/>
        <v>466</v>
      </c>
      <c r="BL408">
        <f t="shared" si="57"/>
        <v>38923</v>
      </c>
      <c r="BM408">
        <f t="shared" si="58"/>
        <v>3</v>
      </c>
      <c r="BN408">
        <f t="shared" si="59"/>
        <v>0</v>
      </c>
      <c r="BO408">
        <f t="shared" si="60"/>
        <v>0</v>
      </c>
      <c r="BP408">
        <f t="shared" si="61"/>
        <v>0</v>
      </c>
      <c r="BQ408" t="s">
        <v>203</v>
      </c>
      <c r="BR408" t="s">
        <v>140</v>
      </c>
      <c r="BS408" s="1">
        <v>30127</v>
      </c>
      <c r="BT408">
        <v>43</v>
      </c>
      <c r="BU408">
        <v>43107</v>
      </c>
      <c r="BV408" t="s">
        <v>89</v>
      </c>
      <c r="BW408">
        <v>17</v>
      </c>
      <c r="BX408">
        <v>1982</v>
      </c>
      <c r="BY408">
        <v>17</v>
      </c>
      <c r="BZ408">
        <f t="shared" si="62"/>
        <v>0</v>
      </c>
      <c r="CA408">
        <f t="shared" si="63"/>
        <v>0</v>
      </c>
      <c r="CB408" t="b">
        <f t="shared" si="64"/>
        <v>1</v>
      </c>
    </row>
    <row r="409" spans="1:80" x14ac:dyDescent="0.3">
      <c r="A409" t="s">
        <v>3717</v>
      </c>
      <c r="B409" t="s">
        <v>71</v>
      </c>
      <c r="C409" t="s">
        <v>3718</v>
      </c>
      <c r="D409">
        <v>45</v>
      </c>
      <c r="E409" s="1">
        <v>29122</v>
      </c>
      <c r="F409" t="s">
        <v>89</v>
      </c>
      <c r="G409" t="s">
        <v>374</v>
      </c>
      <c r="H409" t="s">
        <v>76</v>
      </c>
      <c r="I409" t="s">
        <v>288</v>
      </c>
      <c r="J409" t="s">
        <v>78</v>
      </c>
      <c r="K409" t="s">
        <v>89</v>
      </c>
      <c r="L409" t="s">
        <v>99</v>
      </c>
      <c r="M409">
        <v>21</v>
      </c>
      <c r="N409" t="s">
        <v>2278</v>
      </c>
      <c r="O409">
        <v>2001</v>
      </c>
      <c r="P409" t="s">
        <v>3719</v>
      </c>
      <c r="Q409" t="s">
        <v>3720</v>
      </c>
      <c r="R409">
        <v>7989</v>
      </c>
      <c r="S409" t="s">
        <v>3717</v>
      </c>
      <c r="T409" t="s">
        <v>3721</v>
      </c>
      <c r="U409">
        <v>1979</v>
      </c>
      <c r="V409" t="s">
        <v>508</v>
      </c>
      <c r="W409">
        <v>1.89</v>
      </c>
      <c r="X409" t="s">
        <v>76</v>
      </c>
      <c r="Y409" t="s">
        <v>106</v>
      </c>
      <c r="Z409" t="s">
        <v>87</v>
      </c>
      <c r="AA409" t="s">
        <v>531</v>
      </c>
      <c r="AB409" s="1">
        <v>42376</v>
      </c>
      <c r="AC409" t="s">
        <v>108</v>
      </c>
      <c r="AD409" t="s">
        <v>89</v>
      </c>
      <c r="AE409" t="s">
        <v>2556</v>
      </c>
      <c r="AF409">
        <v>23</v>
      </c>
      <c r="AG409" t="s">
        <v>91</v>
      </c>
      <c r="AH409" t="s">
        <v>2088</v>
      </c>
      <c r="AI409">
        <v>21</v>
      </c>
      <c r="AJ409" t="s">
        <v>110</v>
      </c>
      <c r="AK409">
        <v>21</v>
      </c>
      <c r="AL409">
        <v>2</v>
      </c>
      <c r="AM409">
        <v>38</v>
      </c>
      <c r="AN409">
        <v>6</v>
      </c>
      <c r="AO409">
        <v>1</v>
      </c>
      <c r="AP409" t="s">
        <v>93</v>
      </c>
      <c r="AQ409" t="s">
        <v>89</v>
      </c>
      <c r="AR409" t="s">
        <v>89</v>
      </c>
      <c r="AS409" t="s">
        <v>111</v>
      </c>
      <c r="AT409">
        <v>42376</v>
      </c>
      <c r="AU409">
        <v>2016</v>
      </c>
      <c r="AV409">
        <v>15</v>
      </c>
      <c r="AW409">
        <v>15</v>
      </c>
      <c r="AX409" t="s">
        <v>89</v>
      </c>
      <c r="AY409" t="s">
        <v>93</v>
      </c>
      <c r="AZ409">
        <v>0</v>
      </c>
      <c r="BA409">
        <v>0</v>
      </c>
      <c r="BB409">
        <v>0</v>
      </c>
      <c r="BC409">
        <v>0</v>
      </c>
      <c r="BD409">
        <v>471</v>
      </c>
      <c r="BE409">
        <v>32750</v>
      </c>
      <c r="BF409">
        <v>58</v>
      </c>
      <c r="BG409">
        <v>37</v>
      </c>
      <c r="BH409">
        <v>471</v>
      </c>
      <c r="BI409">
        <v>32750</v>
      </c>
      <c r="BJ409">
        <v>58</v>
      </c>
      <c r="BK409">
        <f t="shared" si="56"/>
        <v>471</v>
      </c>
      <c r="BL409">
        <f t="shared" si="57"/>
        <v>32750</v>
      </c>
      <c r="BM409">
        <f t="shared" si="58"/>
        <v>58</v>
      </c>
      <c r="BN409">
        <f t="shared" si="59"/>
        <v>0</v>
      </c>
      <c r="BO409">
        <f t="shared" si="60"/>
        <v>0</v>
      </c>
      <c r="BP409">
        <f t="shared" si="61"/>
        <v>0</v>
      </c>
      <c r="BQ409" t="s">
        <v>106</v>
      </c>
      <c r="BR409" t="s">
        <v>112</v>
      </c>
      <c r="BS409" s="1">
        <v>29122</v>
      </c>
      <c r="BT409">
        <v>46</v>
      </c>
      <c r="BU409">
        <v>42376</v>
      </c>
      <c r="BV409" t="s">
        <v>89</v>
      </c>
      <c r="BW409">
        <v>16</v>
      </c>
      <c r="BX409">
        <v>1979</v>
      </c>
      <c r="BY409">
        <v>16</v>
      </c>
      <c r="BZ409">
        <f t="shared" si="62"/>
        <v>-1</v>
      </c>
      <c r="CA409">
        <f t="shared" si="63"/>
        <v>0</v>
      </c>
      <c r="CB409" t="b">
        <f t="shared" si="64"/>
        <v>0</v>
      </c>
    </row>
    <row r="410" spans="1:80" x14ac:dyDescent="0.3">
      <c r="A410" t="s">
        <v>3722</v>
      </c>
      <c r="B410" t="s">
        <v>156</v>
      </c>
      <c r="C410" t="s">
        <v>3723</v>
      </c>
      <c r="D410">
        <v>39</v>
      </c>
      <c r="E410" s="1">
        <v>31617</v>
      </c>
      <c r="F410" t="s">
        <v>89</v>
      </c>
      <c r="G410" t="s">
        <v>400</v>
      </c>
      <c r="H410" t="s">
        <v>89</v>
      </c>
      <c r="I410" t="s">
        <v>555</v>
      </c>
      <c r="J410" t="s">
        <v>78</v>
      </c>
      <c r="K410" t="s">
        <v>89</v>
      </c>
      <c r="L410" t="s">
        <v>145</v>
      </c>
      <c r="M410">
        <v>18</v>
      </c>
      <c r="N410" t="s">
        <v>620</v>
      </c>
      <c r="O410">
        <v>2004</v>
      </c>
      <c r="P410" t="s">
        <v>3724</v>
      </c>
      <c r="Q410" t="s">
        <v>3725</v>
      </c>
      <c r="R410">
        <v>35871</v>
      </c>
      <c r="S410" t="s">
        <v>3722</v>
      </c>
      <c r="T410" t="s">
        <v>3726</v>
      </c>
      <c r="U410">
        <v>1986</v>
      </c>
      <c r="V410" t="s">
        <v>2986</v>
      </c>
      <c r="W410">
        <v>1.82</v>
      </c>
      <c r="X410" t="s">
        <v>169</v>
      </c>
      <c r="Y410" t="s">
        <v>259</v>
      </c>
      <c r="Z410" t="s">
        <v>87</v>
      </c>
      <c r="AA410" t="s">
        <v>476</v>
      </c>
      <c r="AB410" s="1">
        <v>45298</v>
      </c>
      <c r="AC410" t="s">
        <v>108</v>
      </c>
      <c r="AD410" t="s">
        <v>89</v>
      </c>
      <c r="AE410">
        <v>2005</v>
      </c>
      <c r="AF410">
        <v>18</v>
      </c>
      <c r="AG410" t="s">
        <v>573</v>
      </c>
      <c r="AH410" t="s">
        <v>89</v>
      </c>
      <c r="AI410" t="s">
        <v>89</v>
      </c>
      <c r="AJ410" t="s">
        <v>89</v>
      </c>
      <c r="AK410">
        <v>18</v>
      </c>
      <c r="AL410">
        <v>9</v>
      </c>
      <c r="AM410">
        <v>418</v>
      </c>
      <c r="AN410">
        <v>48</v>
      </c>
      <c r="AO410">
        <v>6</v>
      </c>
      <c r="AP410" t="s">
        <v>93</v>
      </c>
      <c r="AQ410" t="s">
        <v>89</v>
      </c>
      <c r="AR410" t="s">
        <v>89</v>
      </c>
      <c r="AS410" t="s">
        <v>93</v>
      </c>
      <c r="AT410" t="s">
        <v>89</v>
      </c>
      <c r="AU410" t="s">
        <v>89</v>
      </c>
      <c r="AV410" t="s">
        <v>89</v>
      </c>
      <c r="AW410">
        <v>21</v>
      </c>
      <c r="AX410" t="s">
        <v>89</v>
      </c>
      <c r="AY410" t="s">
        <v>93</v>
      </c>
      <c r="AZ410">
        <v>0</v>
      </c>
      <c r="BA410">
        <v>0</v>
      </c>
      <c r="BB410">
        <v>0</v>
      </c>
      <c r="BC410">
        <v>0</v>
      </c>
      <c r="BD410">
        <v>291</v>
      </c>
      <c r="BE410">
        <v>18475</v>
      </c>
      <c r="BF410">
        <v>11</v>
      </c>
      <c r="BG410" t="s">
        <v>89</v>
      </c>
      <c r="BH410">
        <v>291</v>
      </c>
      <c r="BI410">
        <v>18475</v>
      </c>
      <c r="BJ410">
        <v>11</v>
      </c>
      <c r="BK410">
        <f t="shared" si="56"/>
        <v>291</v>
      </c>
      <c r="BL410">
        <f t="shared" si="57"/>
        <v>18475</v>
      </c>
      <c r="BM410">
        <f t="shared" si="58"/>
        <v>11</v>
      </c>
      <c r="BN410">
        <f t="shared" si="59"/>
        <v>0</v>
      </c>
      <c r="BO410">
        <f t="shared" si="60"/>
        <v>0</v>
      </c>
      <c r="BP410">
        <f t="shared" si="61"/>
        <v>0</v>
      </c>
      <c r="BQ410" t="s">
        <v>259</v>
      </c>
      <c r="BR410" t="s">
        <v>94</v>
      </c>
      <c r="BS410" s="1">
        <v>31617</v>
      </c>
      <c r="BT410">
        <v>39</v>
      </c>
      <c r="BU410" t="s">
        <v>89</v>
      </c>
      <c r="BV410" t="s">
        <v>89</v>
      </c>
      <c r="BW410">
        <v>21</v>
      </c>
      <c r="BX410">
        <v>1986</v>
      </c>
      <c r="BY410">
        <v>21</v>
      </c>
      <c r="BZ410">
        <f t="shared" si="62"/>
        <v>0</v>
      </c>
      <c r="CA410">
        <f t="shared" si="63"/>
        <v>0</v>
      </c>
      <c r="CB410" t="b">
        <f t="shared" si="64"/>
        <v>1</v>
      </c>
    </row>
    <row r="411" spans="1:80" x14ac:dyDescent="0.3">
      <c r="A411" t="s">
        <v>3727</v>
      </c>
      <c r="B411" t="s">
        <v>71</v>
      </c>
      <c r="C411" t="s">
        <v>3728</v>
      </c>
      <c r="D411">
        <v>41</v>
      </c>
      <c r="E411">
        <v>30761</v>
      </c>
      <c r="F411" t="s">
        <v>89</v>
      </c>
      <c r="G411" t="s">
        <v>226</v>
      </c>
      <c r="H411" t="s">
        <v>76</v>
      </c>
      <c r="I411" t="s">
        <v>437</v>
      </c>
      <c r="J411" t="s">
        <v>78</v>
      </c>
      <c r="K411" t="s">
        <v>89</v>
      </c>
      <c r="L411" t="s">
        <v>99</v>
      </c>
      <c r="M411">
        <v>17</v>
      </c>
      <c r="N411" t="s">
        <v>81</v>
      </c>
      <c r="O411">
        <v>2001</v>
      </c>
      <c r="P411" t="s">
        <v>3729</v>
      </c>
      <c r="Q411" t="s">
        <v>3730</v>
      </c>
      <c r="R411">
        <v>7767</v>
      </c>
      <c r="S411" t="s">
        <v>3727</v>
      </c>
      <c r="T411" t="s">
        <v>3731</v>
      </c>
      <c r="U411">
        <v>1984</v>
      </c>
      <c r="V411" t="s">
        <v>3732</v>
      </c>
      <c r="W411">
        <v>1.86</v>
      </c>
      <c r="X411" t="s">
        <v>76</v>
      </c>
      <c r="Y411" t="s">
        <v>123</v>
      </c>
      <c r="Z411" t="s">
        <v>87</v>
      </c>
      <c r="AA411" t="s">
        <v>3733</v>
      </c>
      <c r="AB411" t="s">
        <v>3734</v>
      </c>
      <c r="AC411" t="s">
        <v>108</v>
      </c>
      <c r="AD411" t="s">
        <v>3735</v>
      </c>
      <c r="AE411" s="1">
        <v>37265</v>
      </c>
      <c r="AF411">
        <v>18</v>
      </c>
      <c r="AG411" t="s">
        <v>91</v>
      </c>
      <c r="AH411" t="s">
        <v>3736</v>
      </c>
      <c r="AI411">
        <v>17</v>
      </c>
      <c r="AJ411" t="s">
        <v>110</v>
      </c>
      <c r="AK411">
        <v>17</v>
      </c>
      <c r="AL411">
        <v>16</v>
      </c>
      <c r="AM411">
        <v>342</v>
      </c>
      <c r="AN411">
        <v>81</v>
      </c>
      <c r="AO411">
        <v>8</v>
      </c>
      <c r="AP411" t="s">
        <v>93</v>
      </c>
      <c r="AQ411" t="s">
        <v>89</v>
      </c>
      <c r="AR411" t="s">
        <v>89</v>
      </c>
      <c r="AS411" t="s">
        <v>111</v>
      </c>
      <c r="AT411" t="s">
        <v>3734</v>
      </c>
      <c r="AU411">
        <v>2019</v>
      </c>
      <c r="AV411">
        <v>18</v>
      </c>
      <c r="AW411">
        <v>18</v>
      </c>
      <c r="AX411" t="s">
        <v>89</v>
      </c>
      <c r="AY411" t="s">
        <v>111</v>
      </c>
      <c r="AZ411">
        <v>14</v>
      </c>
      <c r="BA411">
        <v>66</v>
      </c>
      <c r="BB411">
        <v>3887</v>
      </c>
      <c r="BC411">
        <v>29</v>
      </c>
      <c r="BD411">
        <v>691</v>
      </c>
      <c r="BE411">
        <v>47406</v>
      </c>
      <c r="BF411">
        <v>239</v>
      </c>
      <c r="BG411">
        <v>35</v>
      </c>
      <c r="BH411">
        <v>757</v>
      </c>
      <c r="BI411">
        <v>51293</v>
      </c>
      <c r="BJ411">
        <v>268</v>
      </c>
      <c r="BK411">
        <f t="shared" si="56"/>
        <v>757</v>
      </c>
      <c r="BL411">
        <f t="shared" si="57"/>
        <v>51293</v>
      </c>
      <c r="BM411">
        <f t="shared" si="58"/>
        <v>268</v>
      </c>
      <c r="BN411">
        <f t="shared" si="59"/>
        <v>0</v>
      </c>
      <c r="BO411">
        <f t="shared" si="60"/>
        <v>0</v>
      </c>
      <c r="BP411">
        <f t="shared" si="61"/>
        <v>0</v>
      </c>
      <c r="BQ411" t="s">
        <v>123</v>
      </c>
      <c r="BR411" t="s">
        <v>112</v>
      </c>
      <c r="BS411" s="1">
        <v>30761</v>
      </c>
      <c r="BT411">
        <v>41</v>
      </c>
      <c r="BU411" t="s">
        <v>3734</v>
      </c>
      <c r="BV411" s="1">
        <v>43703</v>
      </c>
      <c r="BW411">
        <v>18</v>
      </c>
      <c r="BX411">
        <v>1984</v>
      </c>
      <c r="BY411">
        <v>18</v>
      </c>
      <c r="BZ411">
        <f t="shared" si="62"/>
        <v>0</v>
      </c>
      <c r="CA411">
        <f t="shared" si="63"/>
        <v>0</v>
      </c>
      <c r="CB411" t="b">
        <f t="shared" si="64"/>
        <v>1</v>
      </c>
    </row>
    <row r="412" spans="1:80" x14ac:dyDescent="0.3">
      <c r="A412" t="s">
        <v>3737</v>
      </c>
      <c r="B412" t="s">
        <v>71</v>
      </c>
      <c r="C412" t="s">
        <v>3738</v>
      </c>
      <c r="D412">
        <v>42</v>
      </c>
      <c r="E412">
        <v>30321</v>
      </c>
      <c r="F412" t="s">
        <v>89</v>
      </c>
      <c r="G412" t="s">
        <v>1289</v>
      </c>
      <c r="H412" t="s">
        <v>76</v>
      </c>
      <c r="I412" t="s">
        <v>340</v>
      </c>
      <c r="J412" t="s">
        <v>78</v>
      </c>
      <c r="K412" t="s">
        <v>89</v>
      </c>
      <c r="L412" t="s">
        <v>657</v>
      </c>
      <c r="M412">
        <v>20</v>
      </c>
      <c r="N412" t="s">
        <v>146</v>
      </c>
      <c r="O412">
        <v>2003</v>
      </c>
      <c r="P412" t="s">
        <v>3739</v>
      </c>
      <c r="Q412" t="s">
        <v>3740</v>
      </c>
      <c r="R412">
        <v>15790</v>
      </c>
      <c r="S412" t="s">
        <v>3741</v>
      </c>
      <c r="T412" s="1">
        <v>30437</v>
      </c>
      <c r="U412">
        <v>1983</v>
      </c>
      <c r="V412" t="s">
        <v>1335</v>
      </c>
      <c r="W412">
        <v>1.71</v>
      </c>
      <c r="X412" t="s">
        <v>76</v>
      </c>
      <c r="Y412" t="s">
        <v>123</v>
      </c>
      <c r="Z412" t="s">
        <v>87</v>
      </c>
      <c r="AA412" t="s">
        <v>2841</v>
      </c>
      <c r="AB412" s="1">
        <v>44203</v>
      </c>
      <c r="AC412" t="s">
        <v>108</v>
      </c>
      <c r="AD412" t="s">
        <v>89</v>
      </c>
      <c r="AE412" s="1">
        <v>37663</v>
      </c>
      <c r="AF412">
        <v>20</v>
      </c>
      <c r="AG412" t="s">
        <v>91</v>
      </c>
      <c r="AH412">
        <v>40856</v>
      </c>
      <c r="AI412">
        <v>28</v>
      </c>
      <c r="AJ412" t="s">
        <v>110</v>
      </c>
      <c r="AK412">
        <v>20</v>
      </c>
      <c r="AL412">
        <v>2</v>
      </c>
      <c r="AM412">
        <v>51</v>
      </c>
      <c r="AN412">
        <v>12</v>
      </c>
      <c r="AO412">
        <v>2</v>
      </c>
      <c r="AP412" t="s">
        <v>93</v>
      </c>
      <c r="AQ412" t="s">
        <v>89</v>
      </c>
      <c r="AR412" t="s">
        <v>89</v>
      </c>
      <c r="AS412" t="s">
        <v>111</v>
      </c>
      <c r="AT412">
        <v>44203</v>
      </c>
      <c r="AU412">
        <v>2021</v>
      </c>
      <c r="AV412">
        <v>18</v>
      </c>
      <c r="AW412">
        <v>18</v>
      </c>
      <c r="AX412" t="s">
        <v>89</v>
      </c>
      <c r="AY412" t="s">
        <v>93</v>
      </c>
      <c r="AZ412">
        <v>0</v>
      </c>
      <c r="BA412">
        <v>0</v>
      </c>
      <c r="BB412">
        <v>0</v>
      </c>
      <c r="BC412">
        <v>0</v>
      </c>
      <c r="BD412">
        <v>413</v>
      </c>
      <c r="BE412">
        <v>25430</v>
      </c>
      <c r="BF412">
        <v>104</v>
      </c>
      <c r="BG412">
        <v>38</v>
      </c>
      <c r="BH412">
        <v>413</v>
      </c>
      <c r="BI412">
        <v>25430</v>
      </c>
      <c r="BJ412">
        <v>104</v>
      </c>
      <c r="BK412">
        <f t="shared" si="56"/>
        <v>413</v>
      </c>
      <c r="BL412">
        <f t="shared" si="57"/>
        <v>25430</v>
      </c>
      <c r="BM412">
        <f t="shared" si="58"/>
        <v>104</v>
      </c>
      <c r="BN412">
        <f t="shared" si="59"/>
        <v>0</v>
      </c>
      <c r="BO412">
        <f t="shared" si="60"/>
        <v>0</v>
      </c>
      <c r="BP412">
        <f t="shared" si="61"/>
        <v>0</v>
      </c>
      <c r="BQ412" t="s">
        <v>123</v>
      </c>
      <c r="BR412" t="s">
        <v>112</v>
      </c>
      <c r="BS412" s="1">
        <v>30321</v>
      </c>
      <c r="BT412">
        <v>43</v>
      </c>
      <c r="BU412">
        <v>44203</v>
      </c>
      <c r="BV412" t="s">
        <v>89</v>
      </c>
      <c r="BW412">
        <v>18</v>
      </c>
      <c r="BX412">
        <v>1983</v>
      </c>
      <c r="BY412">
        <v>18</v>
      </c>
      <c r="BZ412">
        <f t="shared" si="62"/>
        <v>0</v>
      </c>
      <c r="CA412">
        <f t="shared" si="63"/>
        <v>0</v>
      </c>
      <c r="CB412" t="b">
        <f t="shared" si="64"/>
        <v>1</v>
      </c>
    </row>
    <row r="413" spans="1:80" x14ac:dyDescent="0.3">
      <c r="A413" t="s">
        <v>3742</v>
      </c>
      <c r="B413" t="s">
        <v>71</v>
      </c>
      <c r="C413" t="s">
        <v>3743</v>
      </c>
      <c r="D413">
        <v>35</v>
      </c>
      <c r="E413">
        <v>32808</v>
      </c>
      <c r="F413" t="s">
        <v>89</v>
      </c>
      <c r="G413" t="s">
        <v>160</v>
      </c>
      <c r="H413" t="s">
        <v>89</v>
      </c>
      <c r="I413" t="s">
        <v>386</v>
      </c>
      <c r="J413" t="s">
        <v>300</v>
      </c>
      <c r="K413" t="s">
        <v>89</v>
      </c>
      <c r="L413" t="s">
        <v>254</v>
      </c>
      <c r="M413">
        <v>19</v>
      </c>
      <c r="N413" t="s">
        <v>2278</v>
      </c>
      <c r="O413">
        <v>2009</v>
      </c>
      <c r="P413" t="s">
        <v>3744</v>
      </c>
      <c r="Q413" t="s">
        <v>3745</v>
      </c>
      <c r="R413">
        <v>149231</v>
      </c>
      <c r="S413" t="s">
        <v>3742</v>
      </c>
      <c r="T413" t="s">
        <v>3746</v>
      </c>
      <c r="U413">
        <v>1989</v>
      </c>
      <c r="V413" t="s">
        <v>3747</v>
      </c>
      <c r="W413">
        <v>1.8</v>
      </c>
      <c r="X413" t="s">
        <v>76</v>
      </c>
      <c r="Y413" t="s">
        <v>391</v>
      </c>
      <c r="Z413" t="s">
        <v>152</v>
      </c>
      <c r="AA413" t="s">
        <v>539</v>
      </c>
      <c r="AB413" t="s">
        <v>3748</v>
      </c>
      <c r="AC413" t="s">
        <v>170</v>
      </c>
      <c r="AD413" t="s">
        <v>89</v>
      </c>
      <c r="AE413" t="s">
        <v>125</v>
      </c>
      <c r="AF413">
        <v>23</v>
      </c>
      <c r="AG413" t="s">
        <v>91</v>
      </c>
      <c r="AH413" t="s">
        <v>1424</v>
      </c>
      <c r="AI413">
        <v>20</v>
      </c>
      <c r="AJ413" t="s">
        <v>110</v>
      </c>
      <c r="AK413">
        <v>20</v>
      </c>
      <c r="AL413">
        <v>3</v>
      </c>
      <c r="AM413">
        <v>84</v>
      </c>
      <c r="AN413">
        <v>13</v>
      </c>
      <c r="AO413">
        <v>3</v>
      </c>
      <c r="AP413" t="s">
        <v>93</v>
      </c>
      <c r="AQ413" t="s">
        <v>89</v>
      </c>
      <c r="AR413" t="s">
        <v>89</v>
      </c>
      <c r="AS413" t="s">
        <v>93</v>
      </c>
      <c r="AT413" t="s">
        <v>89</v>
      </c>
      <c r="AU413" t="s">
        <v>89</v>
      </c>
      <c r="AV413" t="s">
        <v>89</v>
      </c>
      <c r="AW413">
        <v>16</v>
      </c>
      <c r="AX413">
        <v>10</v>
      </c>
      <c r="AY413" t="s">
        <v>93</v>
      </c>
      <c r="AZ413">
        <v>0</v>
      </c>
      <c r="BA413">
        <v>0</v>
      </c>
      <c r="BB413">
        <v>0</v>
      </c>
      <c r="BC413">
        <v>0</v>
      </c>
      <c r="BD413">
        <v>497</v>
      </c>
      <c r="BE413">
        <v>31794</v>
      </c>
      <c r="BF413">
        <v>67</v>
      </c>
      <c r="BG413" t="s">
        <v>89</v>
      </c>
      <c r="BH413">
        <v>497</v>
      </c>
      <c r="BI413">
        <v>31794</v>
      </c>
      <c r="BJ413">
        <v>67</v>
      </c>
      <c r="BK413">
        <f t="shared" si="56"/>
        <v>497</v>
      </c>
      <c r="BL413">
        <f t="shared" si="57"/>
        <v>31794</v>
      </c>
      <c r="BM413">
        <f t="shared" si="58"/>
        <v>67</v>
      </c>
      <c r="BN413">
        <f t="shared" si="59"/>
        <v>0</v>
      </c>
      <c r="BO413">
        <f t="shared" si="60"/>
        <v>0</v>
      </c>
      <c r="BP413">
        <f t="shared" si="61"/>
        <v>0</v>
      </c>
      <c r="BQ413" t="s">
        <v>391</v>
      </c>
      <c r="BR413" t="s">
        <v>112</v>
      </c>
      <c r="BS413" t="s">
        <v>89</v>
      </c>
      <c r="BT413">
        <v>37</v>
      </c>
      <c r="BU413" t="s">
        <v>89</v>
      </c>
      <c r="BV413" t="s">
        <v>89</v>
      </c>
      <c r="BW413">
        <v>17</v>
      </c>
      <c r="BX413">
        <v>1989</v>
      </c>
      <c r="BY413">
        <v>15</v>
      </c>
      <c r="BZ413">
        <f t="shared" si="62"/>
        <v>-1</v>
      </c>
      <c r="CA413">
        <f t="shared" si="63"/>
        <v>2</v>
      </c>
      <c r="CB413" t="b">
        <f t="shared" si="64"/>
        <v>0</v>
      </c>
    </row>
    <row r="414" spans="1:80" x14ac:dyDescent="0.3">
      <c r="A414" t="s">
        <v>3749</v>
      </c>
      <c r="B414" t="s">
        <v>776</v>
      </c>
      <c r="C414" t="s">
        <v>3750</v>
      </c>
      <c r="D414">
        <v>31</v>
      </c>
      <c r="E414" t="s">
        <v>3751</v>
      </c>
      <c r="F414" t="s">
        <v>3752</v>
      </c>
      <c r="G414" t="s">
        <v>400</v>
      </c>
      <c r="H414" t="s">
        <v>778</v>
      </c>
      <c r="I414" t="s">
        <v>288</v>
      </c>
      <c r="J414" t="s">
        <v>300</v>
      </c>
      <c r="K414" t="s">
        <v>3753</v>
      </c>
      <c r="L414" t="s">
        <v>80</v>
      </c>
      <c r="M414">
        <v>18</v>
      </c>
      <c r="N414" t="s">
        <v>2614</v>
      </c>
      <c r="O414">
        <v>2012</v>
      </c>
      <c r="P414" t="s">
        <v>3754</v>
      </c>
      <c r="Q414" t="s">
        <v>3755</v>
      </c>
      <c r="R414">
        <v>212899</v>
      </c>
      <c r="S414" t="s">
        <v>3749</v>
      </c>
      <c r="T414" s="1">
        <v>34311</v>
      </c>
      <c r="U414">
        <v>1993</v>
      </c>
      <c r="V414" t="s">
        <v>3756</v>
      </c>
      <c r="W414">
        <v>1.83</v>
      </c>
      <c r="X414" t="s">
        <v>778</v>
      </c>
      <c r="Y414" t="s">
        <v>259</v>
      </c>
      <c r="Z414" t="s">
        <v>152</v>
      </c>
      <c r="AA414" t="s">
        <v>3757</v>
      </c>
      <c r="AB414" t="s">
        <v>3309</v>
      </c>
      <c r="AC414" t="s">
        <v>222</v>
      </c>
      <c r="AD414" t="s">
        <v>89</v>
      </c>
      <c r="AE414" t="s">
        <v>294</v>
      </c>
      <c r="AF414">
        <v>19</v>
      </c>
      <c r="AG414" t="s">
        <v>613</v>
      </c>
      <c r="AH414" t="s">
        <v>92</v>
      </c>
      <c r="AI414" t="s">
        <v>89</v>
      </c>
      <c r="AJ414" t="s">
        <v>92</v>
      </c>
      <c r="AK414">
        <v>19</v>
      </c>
      <c r="AL414">
        <v>11</v>
      </c>
      <c r="AM414">
        <v>443</v>
      </c>
      <c r="AN414">
        <v>65</v>
      </c>
      <c r="AO414">
        <v>8</v>
      </c>
      <c r="AP414" t="s">
        <v>93</v>
      </c>
      <c r="AQ414" t="s">
        <v>89</v>
      </c>
      <c r="AR414" t="s">
        <v>89</v>
      </c>
      <c r="AS414" t="s">
        <v>93</v>
      </c>
      <c r="AT414" t="s">
        <v>89</v>
      </c>
      <c r="AU414" t="s">
        <v>89</v>
      </c>
      <c r="AV414" t="s">
        <v>89</v>
      </c>
      <c r="AW414">
        <v>13</v>
      </c>
      <c r="AX414">
        <v>6</v>
      </c>
      <c r="AY414" t="s">
        <v>93</v>
      </c>
      <c r="AZ414">
        <v>0</v>
      </c>
      <c r="BA414">
        <v>0</v>
      </c>
      <c r="BB414">
        <v>0</v>
      </c>
      <c r="BC414">
        <v>0</v>
      </c>
      <c r="BD414">
        <v>250</v>
      </c>
      <c r="BE414">
        <v>15929</v>
      </c>
      <c r="BF414">
        <v>11</v>
      </c>
      <c r="BG414" t="s">
        <v>89</v>
      </c>
      <c r="BH414">
        <v>250</v>
      </c>
      <c r="BI414">
        <v>15929</v>
      </c>
      <c r="BJ414">
        <v>11</v>
      </c>
      <c r="BK414">
        <f t="shared" si="56"/>
        <v>250</v>
      </c>
      <c r="BL414">
        <f t="shared" si="57"/>
        <v>15929</v>
      </c>
      <c r="BM414">
        <f t="shared" si="58"/>
        <v>11</v>
      </c>
      <c r="BN414">
        <f t="shared" si="59"/>
        <v>0</v>
      </c>
      <c r="BO414">
        <f t="shared" si="60"/>
        <v>0</v>
      </c>
      <c r="BP414">
        <f t="shared" si="61"/>
        <v>0</v>
      </c>
      <c r="BQ414" t="s">
        <v>259</v>
      </c>
      <c r="BR414" t="s">
        <v>94</v>
      </c>
      <c r="BS414" s="1">
        <v>34193</v>
      </c>
      <c r="BT414">
        <v>32</v>
      </c>
      <c r="BU414" t="s">
        <v>89</v>
      </c>
      <c r="BV414" t="s">
        <v>89</v>
      </c>
      <c r="BW414">
        <v>13</v>
      </c>
      <c r="BX414">
        <v>1993</v>
      </c>
      <c r="BY414">
        <v>12</v>
      </c>
      <c r="BZ414">
        <f t="shared" si="62"/>
        <v>0</v>
      </c>
      <c r="CA414">
        <f t="shared" si="63"/>
        <v>1</v>
      </c>
      <c r="CB414" t="b">
        <f t="shared" si="64"/>
        <v>1</v>
      </c>
    </row>
    <row r="415" spans="1:80" x14ac:dyDescent="0.3">
      <c r="A415" t="s">
        <v>3758</v>
      </c>
      <c r="B415" t="s">
        <v>776</v>
      </c>
      <c r="C415" t="s">
        <v>3759</v>
      </c>
      <c r="D415">
        <v>39</v>
      </c>
      <c r="E415">
        <v>31268</v>
      </c>
      <c r="F415" t="s">
        <v>89</v>
      </c>
      <c r="G415" t="s">
        <v>400</v>
      </c>
      <c r="H415" t="s">
        <v>778</v>
      </c>
      <c r="I415" t="s">
        <v>375</v>
      </c>
      <c r="J415" t="s">
        <v>300</v>
      </c>
      <c r="K415" t="s">
        <v>89</v>
      </c>
      <c r="L415" t="s">
        <v>117</v>
      </c>
      <c r="M415">
        <v>19</v>
      </c>
      <c r="N415" t="s">
        <v>118</v>
      </c>
      <c r="O415">
        <v>2005</v>
      </c>
      <c r="P415" t="s">
        <v>3760</v>
      </c>
      <c r="Q415" t="s">
        <v>3761</v>
      </c>
      <c r="R415">
        <v>21725</v>
      </c>
      <c r="S415" t="s">
        <v>3758</v>
      </c>
      <c r="T415">
        <v>31298</v>
      </c>
      <c r="U415">
        <v>1985</v>
      </c>
      <c r="V415" t="s">
        <v>3762</v>
      </c>
      <c r="W415">
        <v>1.82</v>
      </c>
      <c r="X415" t="s">
        <v>3763</v>
      </c>
      <c r="Y415" t="s">
        <v>203</v>
      </c>
      <c r="Z415" t="s">
        <v>152</v>
      </c>
      <c r="AA415" t="s">
        <v>2932</v>
      </c>
      <c r="AB415" s="1">
        <v>45292</v>
      </c>
      <c r="AC415" t="s">
        <v>108</v>
      </c>
      <c r="AD415" t="s">
        <v>89</v>
      </c>
      <c r="AE415">
        <v>2003</v>
      </c>
      <c r="AF415">
        <v>17</v>
      </c>
      <c r="AG415" t="s">
        <v>786</v>
      </c>
      <c r="AH415">
        <v>2005</v>
      </c>
      <c r="AI415">
        <v>20</v>
      </c>
      <c r="AJ415">
        <v>0</v>
      </c>
      <c r="AK415">
        <v>17</v>
      </c>
      <c r="AL415">
        <v>16</v>
      </c>
      <c r="AM415">
        <v>450</v>
      </c>
      <c r="AN415">
        <v>91</v>
      </c>
      <c r="AO415">
        <v>9</v>
      </c>
      <c r="AP415" t="s">
        <v>93</v>
      </c>
      <c r="AQ415" t="s">
        <v>89</v>
      </c>
      <c r="AR415" t="s">
        <v>89</v>
      </c>
      <c r="AS415" t="s">
        <v>111</v>
      </c>
      <c r="AT415">
        <v>45292</v>
      </c>
      <c r="AU415">
        <v>2024</v>
      </c>
      <c r="AV415">
        <v>19</v>
      </c>
      <c r="AW415">
        <v>19</v>
      </c>
      <c r="AX415" t="s">
        <v>89</v>
      </c>
      <c r="AY415" t="s">
        <v>111</v>
      </c>
      <c r="AZ415">
        <v>8</v>
      </c>
      <c r="BA415">
        <v>26</v>
      </c>
      <c r="BB415">
        <v>2116</v>
      </c>
      <c r="BC415">
        <v>3</v>
      </c>
      <c r="BD415">
        <v>618</v>
      </c>
      <c r="BE415">
        <v>51185</v>
      </c>
      <c r="BF415">
        <v>19</v>
      </c>
      <c r="BG415">
        <v>39</v>
      </c>
      <c r="BH415">
        <v>644</v>
      </c>
      <c r="BI415">
        <v>53301</v>
      </c>
      <c r="BJ415">
        <v>22</v>
      </c>
      <c r="BK415">
        <f t="shared" si="56"/>
        <v>644</v>
      </c>
      <c r="BL415">
        <f t="shared" si="57"/>
        <v>53301</v>
      </c>
      <c r="BM415">
        <f t="shared" si="58"/>
        <v>22</v>
      </c>
      <c r="BN415">
        <f t="shared" si="59"/>
        <v>0</v>
      </c>
      <c r="BO415">
        <f t="shared" si="60"/>
        <v>0</v>
      </c>
      <c r="BP415">
        <f t="shared" si="61"/>
        <v>0</v>
      </c>
      <c r="BQ415" t="s">
        <v>203</v>
      </c>
      <c r="BR415" t="s">
        <v>140</v>
      </c>
      <c r="BS415" t="s">
        <v>89</v>
      </c>
      <c r="BT415">
        <v>41</v>
      </c>
      <c r="BU415">
        <v>45292</v>
      </c>
      <c r="BV415" t="s">
        <v>89</v>
      </c>
      <c r="BW415">
        <v>22</v>
      </c>
      <c r="BX415">
        <v>1985</v>
      </c>
      <c r="BY415">
        <v>22</v>
      </c>
      <c r="BZ415">
        <f t="shared" si="62"/>
        <v>-3</v>
      </c>
      <c r="CA415">
        <f t="shared" si="63"/>
        <v>0</v>
      </c>
      <c r="CB415" t="b">
        <f t="shared" si="64"/>
        <v>0</v>
      </c>
    </row>
    <row r="416" spans="1:80" x14ac:dyDescent="0.3">
      <c r="A416" t="s">
        <v>3764</v>
      </c>
      <c r="B416" t="s">
        <v>1231</v>
      </c>
      <c r="C416" t="s">
        <v>3765</v>
      </c>
      <c r="D416">
        <v>33</v>
      </c>
      <c r="E416" s="1">
        <v>33530</v>
      </c>
      <c r="F416" t="s">
        <v>89</v>
      </c>
      <c r="G416" t="s">
        <v>115</v>
      </c>
      <c r="H416" t="s">
        <v>89</v>
      </c>
      <c r="I416" t="s">
        <v>243</v>
      </c>
      <c r="J416" t="s">
        <v>78</v>
      </c>
      <c r="K416" t="s">
        <v>89</v>
      </c>
      <c r="L416" t="s">
        <v>278</v>
      </c>
      <c r="M416">
        <v>19</v>
      </c>
      <c r="N416" t="s">
        <v>607</v>
      </c>
      <c r="O416">
        <v>2011</v>
      </c>
      <c r="P416" t="s">
        <v>3766</v>
      </c>
      <c r="Q416" t="s">
        <v>3767</v>
      </c>
      <c r="R416">
        <v>109008</v>
      </c>
      <c r="S416" t="s">
        <v>3764</v>
      </c>
      <c r="T416" t="s">
        <v>3768</v>
      </c>
      <c r="U416">
        <v>1991</v>
      </c>
      <c r="V416" t="s">
        <v>2035</v>
      </c>
      <c r="W416">
        <v>1.8</v>
      </c>
      <c r="X416" t="s">
        <v>1234</v>
      </c>
      <c r="Y416" t="s">
        <v>235</v>
      </c>
      <c r="Z416" t="s">
        <v>87</v>
      </c>
      <c r="AA416" t="s">
        <v>745</v>
      </c>
      <c r="AB416" t="s">
        <v>3769</v>
      </c>
      <c r="AC416" t="s">
        <v>108</v>
      </c>
      <c r="AD416" t="s">
        <v>89</v>
      </c>
      <c r="AE416" t="s">
        <v>612</v>
      </c>
      <c r="AF416">
        <v>19</v>
      </c>
      <c r="AG416" t="s">
        <v>613</v>
      </c>
      <c r="AH416" t="s">
        <v>2806</v>
      </c>
      <c r="AI416">
        <v>18</v>
      </c>
      <c r="AJ416" t="s">
        <v>615</v>
      </c>
      <c r="AK416">
        <v>18</v>
      </c>
      <c r="AL416">
        <v>9</v>
      </c>
      <c r="AM416">
        <v>579</v>
      </c>
      <c r="AN416">
        <v>62</v>
      </c>
      <c r="AO416">
        <v>3</v>
      </c>
      <c r="AP416" t="s">
        <v>93</v>
      </c>
      <c r="AQ416" t="s">
        <v>89</v>
      </c>
      <c r="AR416" t="s">
        <v>89</v>
      </c>
      <c r="AS416" t="s">
        <v>111</v>
      </c>
      <c r="AT416" t="s">
        <v>3769</v>
      </c>
      <c r="AU416">
        <v>2016</v>
      </c>
      <c r="AV416">
        <v>5</v>
      </c>
      <c r="AW416">
        <v>5</v>
      </c>
      <c r="AX416" t="s">
        <v>89</v>
      </c>
      <c r="AY416" t="s">
        <v>93</v>
      </c>
      <c r="AZ416">
        <v>0</v>
      </c>
      <c r="BA416">
        <v>0</v>
      </c>
      <c r="BB416">
        <v>0</v>
      </c>
      <c r="BC416">
        <v>0</v>
      </c>
      <c r="BD416">
        <v>65</v>
      </c>
      <c r="BE416">
        <v>5090</v>
      </c>
      <c r="BF416">
        <v>1</v>
      </c>
      <c r="BG416">
        <v>25</v>
      </c>
      <c r="BH416">
        <v>65</v>
      </c>
      <c r="BI416">
        <v>5090</v>
      </c>
      <c r="BJ416">
        <v>1</v>
      </c>
      <c r="BK416">
        <f t="shared" si="56"/>
        <v>65</v>
      </c>
      <c r="BL416">
        <f t="shared" si="57"/>
        <v>5090</v>
      </c>
      <c r="BM416">
        <f t="shared" si="58"/>
        <v>1</v>
      </c>
      <c r="BN416">
        <f t="shared" si="59"/>
        <v>0</v>
      </c>
      <c r="BO416">
        <f t="shared" si="60"/>
        <v>0</v>
      </c>
      <c r="BP416">
        <f t="shared" si="61"/>
        <v>0</v>
      </c>
      <c r="BQ416" t="s">
        <v>235</v>
      </c>
      <c r="BR416" t="s">
        <v>140</v>
      </c>
      <c r="BS416" s="1">
        <v>33530</v>
      </c>
      <c r="BT416">
        <v>34</v>
      </c>
      <c r="BU416" t="s">
        <v>3769</v>
      </c>
      <c r="BV416" s="1">
        <v>42399</v>
      </c>
      <c r="BW416">
        <v>7</v>
      </c>
      <c r="BX416">
        <v>1991</v>
      </c>
      <c r="BY416">
        <v>7</v>
      </c>
      <c r="BZ416">
        <f t="shared" si="62"/>
        <v>-2</v>
      </c>
      <c r="CA416">
        <f t="shared" si="63"/>
        <v>0</v>
      </c>
      <c r="CB416" t="b">
        <f t="shared" si="64"/>
        <v>0</v>
      </c>
    </row>
    <row r="417" spans="1:80" x14ac:dyDescent="0.3">
      <c r="A417" t="s">
        <v>3770</v>
      </c>
      <c r="B417" t="s">
        <v>191</v>
      </c>
      <c r="C417" t="s">
        <v>3771</v>
      </c>
      <c r="D417">
        <v>40</v>
      </c>
      <c r="E417" s="1">
        <v>30975</v>
      </c>
      <c r="F417" t="s">
        <v>89</v>
      </c>
      <c r="G417" t="s">
        <v>298</v>
      </c>
      <c r="H417" t="s">
        <v>3772</v>
      </c>
      <c r="I417" t="s">
        <v>437</v>
      </c>
      <c r="J417" t="s">
        <v>78</v>
      </c>
      <c r="K417" t="s">
        <v>89</v>
      </c>
      <c r="L417" t="s">
        <v>845</v>
      </c>
      <c r="M417">
        <v>17</v>
      </c>
      <c r="N417" t="s">
        <v>3773</v>
      </c>
      <c r="O417">
        <v>2002</v>
      </c>
      <c r="P417" t="s">
        <v>3774</v>
      </c>
      <c r="Q417" t="s">
        <v>3775</v>
      </c>
      <c r="R417">
        <v>4216</v>
      </c>
      <c r="S417" t="s">
        <v>3776</v>
      </c>
      <c r="T417" t="s">
        <v>3777</v>
      </c>
      <c r="U417">
        <v>1984</v>
      </c>
      <c r="V417" t="s">
        <v>3778</v>
      </c>
      <c r="W417">
        <v>1.76</v>
      </c>
      <c r="X417" t="s">
        <v>3779</v>
      </c>
      <c r="Y417" t="s">
        <v>369</v>
      </c>
      <c r="Z417" t="s">
        <v>87</v>
      </c>
      <c r="AA417" t="s">
        <v>3780</v>
      </c>
      <c r="AB417" s="1">
        <v>43472</v>
      </c>
      <c r="AC417" t="s">
        <v>108</v>
      </c>
      <c r="AD417" t="s">
        <v>89</v>
      </c>
      <c r="AE417">
        <v>37323</v>
      </c>
      <c r="AF417">
        <v>17</v>
      </c>
      <c r="AG417" t="s">
        <v>206</v>
      </c>
      <c r="AH417" t="s">
        <v>3781</v>
      </c>
      <c r="AI417">
        <v>16</v>
      </c>
      <c r="AJ417" t="s">
        <v>1044</v>
      </c>
      <c r="AK417">
        <v>16</v>
      </c>
      <c r="AL417">
        <v>8</v>
      </c>
      <c r="AM417">
        <v>565</v>
      </c>
      <c r="AN417">
        <v>74</v>
      </c>
      <c r="AO417">
        <v>7</v>
      </c>
      <c r="AP417" t="s">
        <v>93</v>
      </c>
      <c r="AQ417" t="s">
        <v>89</v>
      </c>
      <c r="AR417" t="s">
        <v>89</v>
      </c>
      <c r="AS417" t="s">
        <v>111</v>
      </c>
      <c r="AT417" s="1">
        <v>43472</v>
      </c>
      <c r="AU417">
        <v>2019</v>
      </c>
      <c r="AV417">
        <v>17</v>
      </c>
      <c r="AW417">
        <v>17</v>
      </c>
      <c r="AX417" t="s">
        <v>89</v>
      </c>
      <c r="AY417" t="s">
        <v>93</v>
      </c>
      <c r="AZ417">
        <v>0</v>
      </c>
      <c r="BA417">
        <v>0</v>
      </c>
      <c r="BB417">
        <v>0</v>
      </c>
      <c r="BC417">
        <v>0</v>
      </c>
      <c r="BD417">
        <v>285</v>
      </c>
      <c r="BE417">
        <v>15520</v>
      </c>
      <c r="BF417">
        <v>49</v>
      </c>
      <c r="BG417">
        <v>35</v>
      </c>
      <c r="BH417">
        <v>285</v>
      </c>
      <c r="BI417">
        <v>15520</v>
      </c>
      <c r="BJ417">
        <v>49</v>
      </c>
      <c r="BK417">
        <f t="shared" si="56"/>
        <v>285</v>
      </c>
      <c r="BL417">
        <f t="shared" si="57"/>
        <v>15520</v>
      </c>
      <c r="BM417">
        <f t="shared" si="58"/>
        <v>49</v>
      </c>
      <c r="BN417">
        <f t="shared" si="59"/>
        <v>0</v>
      </c>
      <c r="BO417">
        <f t="shared" si="60"/>
        <v>0</v>
      </c>
      <c r="BP417">
        <f t="shared" si="61"/>
        <v>0</v>
      </c>
      <c r="BQ417" t="s">
        <v>369</v>
      </c>
      <c r="BR417" t="s">
        <v>112</v>
      </c>
      <c r="BS417" t="s">
        <v>89</v>
      </c>
      <c r="BT417">
        <v>42</v>
      </c>
      <c r="BU417" s="1">
        <v>43472</v>
      </c>
      <c r="BV417" s="1">
        <v>43647</v>
      </c>
      <c r="BW417">
        <v>19</v>
      </c>
      <c r="BX417">
        <v>1984</v>
      </c>
      <c r="BY417">
        <v>19</v>
      </c>
      <c r="BZ417">
        <f t="shared" si="62"/>
        <v>-2</v>
      </c>
      <c r="CA417">
        <f t="shared" si="63"/>
        <v>0</v>
      </c>
      <c r="CB417" t="b">
        <f t="shared" si="64"/>
        <v>0</v>
      </c>
    </row>
    <row r="418" spans="1:80" x14ac:dyDescent="0.3">
      <c r="A418" t="s">
        <v>3782</v>
      </c>
      <c r="B418" t="s">
        <v>191</v>
      </c>
      <c r="C418" t="s">
        <v>3783</v>
      </c>
      <c r="D418">
        <v>34</v>
      </c>
      <c r="E418" t="s">
        <v>3784</v>
      </c>
      <c r="F418" t="s">
        <v>3785</v>
      </c>
      <c r="G418" t="s">
        <v>277</v>
      </c>
      <c r="H418" t="s">
        <v>194</v>
      </c>
      <c r="I418" t="s">
        <v>2874</v>
      </c>
      <c r="J418" t="s">
        <v>78</v>
      </c>
      <c r="K418" t="s">
        <v>162</v>
      </c>
      <c r="L418" t="s">
        <v>254</v>
      </c>
      <c r="M418">
        <v>18</v>
      </c>
      <c r="N418" t="s">
        <v>3786</v>
      </c>
      <c r="O418">
        <v>2009</v>
      </c>
      <c r="P418" t="s">
        <v>3787</v>
      </c>
      <c r="Q418" t="s">
        <v>3788</v>
      </c>
      <c r="R418">
        <v>127108</v>
      </c>
      <c r="S418" t="s">
        <v>3782</v>
      </c>
      <c r="T418" t="s">
        <v>3789</v>
      </c>
      <c r="U418">
        <v>1991</v>
      </c>
      <c r="V418" t="s">
        <v>1130</v>
      </c>
      <c r="W418">
        <v>1.9</v>
      </c>
      <c r="X418" t="s">
        <v>194</v>
      </c>
      <c r="Y418" t="s">
        <v>235</v>
      </c>
      <c r="Z418" t="s">
        <v>87</v>
      </c>
      <c r="AA418" t="s">
        <v>162</v>
      </c>
      <c r="AB418" t="s">
        <v>3790</v>
      </c>
      <c r="AC418" t="s">
        <v>88</v>
      </c>
      <c r="AD418" t="s">
        <v>223</v>
      </c>
      <c r="AE418" s="1">
        <v>40705</v>
      </c>
      <c r="AF418">
        <v>20</v>
      </c>
      <c r="AG418" t="s">
        <v>91</v>
      </c>
      <c r="AH418" t="s">
        <v>3791</v>
      </c>
      <c r="AI418">
        <v>18</v>
      </c>
      <c r="AJ418" t="s">
        <v>1044</v>
      </c>
      <c r="AK418">
        <v>18</v>
      </c>
      <c r="AL418">
        <v>8</v>
      </c>
      <c r="AM418">
        <v>554</v>
      </c>
      <c r="AN418">
        <v>64</v>
      </c>
      <c r="AO418">
        <v>5</v>
      </c>
      <c r="AP418" t="s">
        <v>93</v>
      </c>
      <c r="AQ418" t="s">
        <v>89</v>
      </c>
      <c r="AR418" t="s">
        <v>89</v>
      </c>
      <c r="AS418" t="s">
        <v>93</v>
      </c>
      <c r="AT418" t="s">
        <v>89</v>
      </c>
      <c r="AU418" t="s">
        <v>89</v>
      </c>
      <c r="AV418" t="s">
        <v>89</v>
      </c>
      <c r="AW418">
        <v>16</v>
      </c>
      <c r="AX418">
        <v>24</v>
      </c>
      <c r="AY418" t="s">
        <v>93</v>
      </c>
      <c r="AZ418">
        <v>0</v>
      </c>
      <c r="BA418">
        <v>0</v>
      </c>
      <c r="BB418">
        <v>0</v>
      </c>
      <c r="BC418">
        <v>0</v>
      </c>
      <c r="BD418">
        <v>444</v>
      </c>
      <c r="BE418">
        <v>37477</v>
      </c>
      <c r="BF418">
        <v>25</v>
      </c>
      <c r="BG418" t="s">
        <v>89</v>
      </c>
      <c r="BH418">
        <v>444</v>
      </c>
      <c r="BI418">
        <v>37477</v>
      </c>
      <c r="BJ418">
        <v>25</v>
      </c>
      <c r="BK418">
        <f t="shared" si="56"/>
        <v>444</v>
      </c>
      <c r="BL418">
        <f t="shared" si="57"/>
        <v>37477</v>
      </c>
      <c r="BM418">
        <f t="shared" si="58"/>
        <v>25</v>
      </c>
      <c r="BN418">
        <f t="shared" si="59"/>
        <v>0</v>
      </c>
      <c r="BO418">
        <f t="shared" si="60"/>
        <v>0</v>
      </c>
      <c r="BP418">
        <f t="shared" si="61"/>
        <v>0</v>
      </c>
      <c r="BQ418" t="s">
        <v>235</v>
      </c>
      <c r="BR418" t="s">
        <v>140</v>
      </c>
      <c r="BS418" s="1">
        <v>33378</v>
      </c>
      <c r="BT418">
        <v>34</v>
      </c>
      <c r="BU418" t="s">
        <v>89</v>
      </c>
      <c r="BV418" t="s">
        <v>89</v>
      </c>
      <c r="BW418">
        <v>16</v>
      </c>
      <c r="BX418">
        <v>1991</v>
      </c>
      <c r="BY418">
        <v>16</v>
      </c>
      <c r="BZ418">
        <f t="shared" si="62"/>
        <v>0</v>
      </c>
      <c r="CA418">
        <f t="shared" si="63"/>
        <v>0</v>
      </c>
      <c r="CB418" t="b">
        <f t="shared" si="64"/>
        <v>1</v>
      </c>
    </row>
    <row r="419" spans="1:80" x14ac:dyDescent="0.3">
      <c r="A419" t="s">
        <v>3792</v>
      </c>
      <c r="B419" t="s">
        <v>2301</v>
      </c>
      <c r="C419" t="s">
        <v>3793</v>
      </c>
      <c r="D419">
        <v>32</v>
      </c>
      <c r="E419">
        <v>34070</v>
      </c>
      <c r="F419" t="s">
        <v>89</v>
      </c>
      <c r="G419" t="s">
        <v>400</v>
      </c>
      <c r="H419" t="s">
        <v>2303</v>
      </c>
      <c r="I419" t="s">
        <v>437</v>
      </c>
      <c r="J419" t="s">
        <v>78</v>
      </c>
      <c r="K419" t="s">
        <v>89</v>
      </c>
      <c r="L419" t="s">
        <v>762</v>
      </c>
      <c r="M419">
        <v>21</v>
      </c>
      <c r="N419" t="s">
        <v>1858</v>
      </c>
      <c r="O419">
        <v>2014</v>
      </c>
      <c r="P419" t="s">
        <v>3794</v>
      </c>
      <c r="Q419" t="s">
        <v>3795</v>
      </c>
      <c r="R419">
        <v>177065</v>
      </c>
      <c r="S419" t="s">
        <v>3792</v>
      </c>
      <c r="T419" s="1">
        <v>34277</v>
      </c>
      <c r="U419">
        <v>1993</v>
      </c>
      <c r="V419" t="s">
        <v>3796</v>
      </c>
      <c r="W419">
        <v>1.81</v>
      </c>
      <c r="X419" t="s">
        <v>3797</v>
      </c>
      <c r="Y419" t="s">
        <v>123</v>
      </c>
      <c r="Z419" t="s">
        <v>87</v>
      </c>
      <c r="AA419" t="s">
        <v>2841</v>
      </c>
      <c r="AB419" s="1">
        <v>45302</v>
      </c>
      <c r="AC419" t="s">
        <v>170</v>
      </c>
      <c r="AD419" t="s">
        <v>89</v>
      </c>
      <c r="AE419" s="1">
        <v>42125</v>
      </c>
      <c r="AF419">
        <v>21</v>
      </c>
      <c r="AG419" t="s">
        <v>91</v>
      </c>
      <c r="AH419" t="s">
        <v>3798</v>
      </c>
      <c r="AI419">
        <v>22</v>
      </c>
      <c r="AJ419" t="s">
        <v>110</v>
      </c>
      <c r="AK419">
        <v>21</v>
      </c>
      <c r="AL419">
        <v>7</v>
      </c>
      <c r="AM419">
        <v>476</v>
      </c>
      <c r="AN419">
        <v>72</v>
      </c>
      <c r="AO419">
        <v>4</v>
      </c>
      <c r="AP419" t="s">
        <v>93</v>
      </c>
      <c r="AQ419" t="s">
        <v>89</v>
      </c>
      <c r="AR419" t="s">
        <v>89</v>
      </c>
      <c r="AS419" t="s">
        <v>93</v>
      </c>
      <c r="AT419" t="s">
        <v>89</v>
      </c>
      <c r="AU419" t="s">
        <v>89</v>
      </c>
      <c r="AV419" t="s">
        <v>89</v>
      </c>
      <c r="AW419">
        <v>11</v>
      </c>
      <c r="AX419">
        <v>10</v>
      </c>
      <c r="AY419" t="s">
        <v>111</v>
      </c>
      <c r="AZ419">
        <v>7</v>
      </c>
      <c r="BA419">
        <v>25</v>
      </c>
      <c r="BB419">
        <v>1220</v>
      </c>
      <c r="BC419">
        <v>2</v>
      </c>
      <c r="BD419">
        <v>231</v>
      </c>
      <c r="BE419">
        <v>14021</v>
      </c>
      <c r="BF419">
        <v>60</v>
      </c>
      <c r="BG419" t="s">
        <v>89</v>
      </c>
      <c r="BH419">
        <v>256</v>
      </c>
      <c r="BI419">
        <v>15241</v>
      </c>
      <c r="BJ419">
        <v>62</v>
      </c>
      <c r="BK419">
        <f t="shared" si="56"/>
        <v>256</v>
      </c>
      <c r="BL419">
        <f t="shared" si="57"/>
        <v>15241</v>
      </c>
      <c r="BM419">
        <f t="shared" si="58"/>
        <v>62</v>
      </c>
      <c r="BN419">
        <f t="shared" si="59"/>
        <v>0</v>
      </c>
      <c r="BO419">
        <f t="shared" si="60"/>
        <v>0</v>
      </c>
      <c r="BP419">
        <f t="shared" si="61"/>
        <v>0</v>
      </c>
      <c r="BQ419" t="s">
        <v>123</v>
      </c>
      <c r="BR419" t="s">
        <v>112</v>
      </c>
      <c r="BS419" s="1">
        <v>34070</v>
      </c>
      <c r="BT419">
        <v>32</v>
      </c>
      <c r="BU419" t="s">
        <v>89</v>
      </c>
      <c r="BV419" t="s">
        <v>89</v>
      </c>
      <c r="BW419">
        <v>11</v>
      </c>
      <c r="BX419">
        <v>1993</v>
      </c>
      <c r="BY419">
        <v>11</v>
      </c>
      <c r="BZ419">
        <f t="shared" si="62"/>
        <v>0</v>
      </c>
      <c r="CA419">
        <f t="shared" si="63"/>
        <v>0</v>
      </c>
      <c r="CB419" t="b">
        <f t="shared" si="64"/>
        <v>1</v>
      </c>
    </row>
    <row r="420" spans="1:80" x14ac:dyDescent="0.3">
      <c r="A420" t="s">
        <v>3799</v>
      </c>
      <c r="B420" t="s">
        <v>3800</v>
      </c>
      <c r="C420" t="s">
        <v>3801</v>
      </c>
      <c r="D420">
        <v>36</v>
      </c>
      <c r="E420" s="1">
        <v>32590</v>
      </c>
      <c r="F420" t="s">
        <v>89</v>
      </c>
      <c r="G420" t="s">
        <v>97</v>
      </c>
      <c r="H420" t="s">
        <v>3802</v>
      </c>
      <c r="I420" t="s">
        <v>750</v>
      </c>
      <c r="J420" t="s">
        <v>78</v>
      </c>
      <c r="K420" t="s">
        <v>89</v>
      </c>
      <c r="L420" t="s">
        <v>278</v>
      </c>
      <c r="M420">
        <v>22</v>
      </c>
      <c r="N420" t="s">
        <v>279</v>
      </c>
      <c r="O420">
        <v>2011</v>
      </c>
      <c r="P420" t="s">
        <v>3803</v>
      </c>
      <c r="Q420" t="s">
        <v>3804</v>
      </c>
      <c r="R420">
        <v>98313</v>
      </c>
      <c r="S420" t="s">
        <v>3799</v>
      </c>
      <c r="T420" t="s">
        <v>3805</v>
      </c>
      <c r="U420">
        <v>1989</v>
      </c>
      <c r="V420" t="s">
        <v>3806</v>
      </c>
      <c r="W420">
        <v>1.83</v>
      </c>
      <c r="X420" t="s">
        <v>3807</v>
      </c>
      <c r="Y420" t="s">
        <v>494</v>
      </c>
      <c r="Z420" t="s">
        <v>87</v>
      </c>
      <c r="AA420" t="s">
        <v>3808</v>
      </c>
      <c r="AB420">
        <v>45664</v>
      </c>
      <c r="AC420" t="s">
        <v>108</v>
      </c>
      <c r="AD420" t="s">
        <v>89</v>
      </c>
      <c r="AE420" t="s">
        <v>3809</v>
      </c>
      <c r="AF420">
        <v>22</v>
      </c>
      <c r="AG420" t="s">
        <v>91</v>
      </c>
      <c r="AH420" t="s">
        <v>2675</v>
      </c>
      <c r="AI420">
        <v>23</v>
      </c>
      <c r="AJ420" t="s">
        <v>110</v>
      </c>
      <c r="AK420">
        <v>22</v>
      </c>
      <c r="AL420" t="s">
        <v>89</v>
      </c>
      <c r="AM420" t="s">
        <v>89</v>
      </c>
      <c r="AN420" t="s">
        <v>89</v>
      </c>
      <c r="AO420">
        <v>0</v>
      </c>
      <c r="AP420" t="s">
        <v>93</v>
      </c>
      <c r="AQ420" t="s">
        <v>89</v>
      </c>
      <c r="AR420" t="s">
        <v>89</v>
      </c>
      <c r="AS420" t="s">
        <v>93</v>
      </c>
      <c r="AT420" t="s">
        <v>89</v>
      </c>
      <c r="AU420" t="s">
        <v>89</v>
      </c>
      <c r="AV420" t="s">
        <v>89</v>
      </c>
      <c r="AW420">
        <v>14</v>
      </c>
      <c r="AX420" t="s">
        <v>89</v>
      </c>
      <c r="AY420" t="s">
        <v>93</v>
      </c>
      <c r="AZ420">
        <v>0</v>
      </c>
      <c r="BA420">
        <v>0</v>
      </c>
      <c r="BB420">
        <v>0</v>
      </c>
      <c r="BC420">
        <v>0</v>
      </c>
      <c r="BD420">
        <v>51</v>
      </c>
      <c r="BE420">
        <v>1793</v>
      </c>
      <c r="BF420">
        <v>2</v>
      </c>
      <c r="BG420" t="s">
        <v>89</v>
      </c>
      <c r="BH420">
        <v>51</v>
      </c>
      <c r="BI420">
        <v>1793</v>
      </c>
      <c r="BJ420">
        <v>2</v>
      </c>
      <c r="BK420">
        <f t="shared" si="56"/>
        <v>51</v>
      </c>
      <c r="BL420">
        <f t="shared" si="57"/>
        <v>1793</v>
      </c>
      <c r="BM420">
        <f t="shared" si="58"/>
        <v>2</v>
      </c>
      <c r="BN420">
        <f t="shared" si="59"/>
        <v>0</v>
      </c>
      <c r="BO420">
        <f t="shared" si="60"/>
        <v>0</v>
      </c>
      <c r="BP420">
        <f t="shared" si="61"/>
        <v>0</v>
      </c>
      <c r="BQ420" t="s">
        <v>494</v>
      </c>
      <c r="BR420" t="s">
        <v>112</v>
      </c>
      <c r="BS420" t="s">
        <v>89</v>
      </c>
      <c r="BT420">
        <v>37</v>
      </c>
      <c r="BU420" t="s">
        <v>89</v>
      </c>
      <c r="BV420" t="s">
        <v>89</v>
      </c>
      <c r="BW420">
        <v>15</v>
      </c>
      <c r="BX420">
        <v>1989</v>
      </c>
      <c r="BY420">
        <v>14</v>
      </c>
      <c r="BZ420">
        <f t="shared" si="62"/>
        <v>-1</v>
      </c>
      <c r="CA420">
        <f t="shared" si="63"/>
        <v>1</v>
      </c>
      <c r="CB420" t="b">
        <f t="shared" si="64"/>
        <v>0</v>
      </c>
    </row>
    <row r="421" spans="1:80" x14ac:dyDescent="0.3">
      <c r="A421" t="s">
        <v>3810</v>
      </c>
      <c r="B421" t="s">
        <v>3811</v>
      </c>
      <c r="C421" t="s">
        <v>3812</v>
      </c>
      <c r="D421">
        <v>47</v>
      </c>
      <c r="E421" s="1">
        <v>28370</v>
      </c>
      <c r="F421" t="s">
        <v>89</v>
      </c>
      <c r="G421" t="s">
        <v>2881</v>
      </c>
      <c r="H421" t="s">
        <v>3813</v>
      </c>
      <c r="I421" t="s">
        <v>437</v>
      </c>
      <c r="J421" t="s">
        <v>89</v>
      </c>
      <c r="K421" t="s">
        <v>89</v>
      </c>
      <c r="L421" t="s">
        <v>1919</v>
      </c>
      <c r="M421">
        <v>19</v>
      </c>
      <c r="N421" t="s">
        <v>201</v>
      </c>
      <c r="O421">
        <v>1997</v>
      </c>
      <c r="P421" t="s">
        <v>3814</v>
      </c>
      <c r="Q421" t="s">
        <v>3815</v>
      </c>
      <c r="R421">
        <v>3700</v>
      </c>
      <c r="S421" t="s">
        <v>3810</v>
      </c>
      <c r="T421">
        <v>28165</v>
      </c>
      <c r="U421">
        <v>1977</v>
      </c>
      <c r="V421" t="s">
        <v>3816</v>
      </c>
      <c r="W421">
        <v>1.92</v>
      </c>
      <c r="X421" t="s">
        <v>593</v>
      </c>
      <c r="Y421" t="s">
        <v>123</v>
      </c>
      <c r="Z421" t="s">
        <v>87</v>
      </c>
      <c r="AA421" t="s">
        <v>3817</v>
      </c>
      <c r="AB421" t="s">
        <v>3818</v>
      </c>
      <c r="AC421" t="s">
        <v>108</v>
      </c>
      <c r="AD421" t="s">
        <v>89</v>
      </c>
      <c r="AE421">
        <v>35469</v>
      </c>
      <c r="AF421">
        <v>19</v>
      </c>
      <c r="AG421" t="s">
        <v>206</v>
      </c>
      <c r="AH421" t="s">
        <v>92</v>
      </c>
      <c r="AI421" t="s">
        <v>89</v>
      </c>
      <c r="AJ421" t="s">
        <v>92</v>
      </c>
      <c r="AK421">
        <v>19</v>
      </c>
      <c r="AL421">
        <v>4</v>
      </c>
      <c r="AM421">
        <v>65</v>
      </c>
      <c r="AN421">
        <v>13</v>
      </c>
      <c r="AO421">
        <v>4</v>
      </c>
      <c r="AP421" t="s">
        <v>93</v>
      </c>
      <c r="AQ421" t="s">
        <v>89</v>
      </c>
      <c r="AR421" t="s">
        <v>89</v>
      </c>
      <c r="AS421" t="s">
        <v>111</v>
      </c>
      <c r="AT421" t="s">
        <v>3818</v>
      </c>
      <c r="AU421">
        <v>2013</v>
      </c>
      <c r="AV421">
        <v>16</v>
      </c>
      <c r="AW421">
        <v>16</v>
      </c>
      <c r="AX421" t="s">
        <v>89</v>
      </c>
      <c r="AY421" t="s">
        <v>111</v>
      </c>
      <c r="AZ421">
        <v>1</v>
      </c>
      <c r="BA421">
        <v>3</v>
      </c>
      <c r="BB421">
        <v>200</v>
      </c>
      <c r="BC421">
        <v>2</v>
      </c>
      <c r="BD421">
        <v>447</v>
      </c>
      <c r="BE421">
        <v>30853</v>
      </c>
      <c r="BF421">
        <v>167</v>
      </c>
      <c r="BG421">
        <v>36</v>
      </c>
      <c r="BH421">
        <v>450</v>
      </c>
      <c r="BI421">
        <v>31053</v>
      </c>
      <c r="BJ421">
        <v>169</v>
      </c>
      <c r="BK421">
        <f t="shared" si="56"/>
        <v>450</v>
      </c>
      <c r="BL421">
        <f t="shared" si="57"/>
        <v>31053</v>
      </c>
      <c r="BM421">
        <f t="shared" si="58"/>
        <v>169</v>
      </c>
      <c r="BN421">
        <f t="shared" si="59"/>
        <v>0</v>
      </c>
      <c r="BO421">
        <f t="shared" si="60"/>
        <v>0</v>
      </c>
      <c r="BP421">
        <f t="shared" si="61"/>
        <v>0</v>
      </c>
      <c r="BQ421" t="s">
        <v>123</v>
      </c>
      <c r="BR421" t="s">
        <v>112</v>
      </c>
      <c r="BS421" t="s">
        <v>89</v>
      </c>
      <c r="BT421">
        <v>49</v>
      </c>
      <c r="BU421" t="s">
        <v>3818</v>
      </c>
      <c r="BV421" s="1">
        <v>41639</v>
      </c>
      <c r="BW421">
        <v>17</v>
      </c>
      <c r="BX421">
        <v>1977</v>
      </c>
      <c r="BY421">
        <v>17</v>
      </c>
      <c r="BZ421">
        <f t="shared" si="62"/>
        <v>-1</v>
      </c>
      <c r="CA421">
        <f t="shared" si="63"/>
        <v>0</v>
      </c>
      <c r="CB421" t="b">
        <f t="shared" si="64"/>
        <v>0</v>
      </c>
    </row>
    <row r="422" spans="1:80" x14ac:dyDescent="0.3">
      <c r="A422" t="s">
        <v>3819</v>
      </c>
      <c r="B422" t="s">
        <v>71</v>
      </c>
      <c r="C422" t="s">
        <v>3820</v>
      </c>
      <c r="D422">
        <v>35</v>
      </c>
      <c r="E422" s="1">
        <v>32936</v>
      </c>
      <c r="F422" t="s">
        <v>89</v>
      </c>
      <c r="G422" t="s">
        <v>143</v>
      </c>
      <c r="H422" t="s">
        <v>76</v>
      </c>
      <c r="I422" t="s">
        <v>288</v>
      </c>
      <c r="J422" t="s">
        <v>300</v>
      </c>
      <c r="K422" t="s">
        <v>89</v>
      </c>
      <c r="L422" t="s">
        <v>180</v>
      </c>
      <c r="M422">
        <v>17</v>
      </c>
      <c r="N422" t="s">
        <v>1365</v>
      </c>
      <c r="O422">
        <v>2007</v>
      </c>
      <c r="P422" t="s">
        <v>3821</v>
      </c>
      <c r="Q422" t="s">
        <v>3822</v>
      </c>
      <c r="R422">
        <v>42920</v>
      </c>
      <c r="S422" t="s">
        <v>3819</v>
      </c>
      <c r="T422">
        <v>32966</v>
      </c>
      <c r="U422">
        <v>1990</v>
      </c>
      <c r="V422" t="s">
        <v>644</v>
      </c>
      <c r="W422">
        <v>1.73</v>
      </c>
      <c r="X422" t="s">
        <v>76</v>
      </c>
      <c r="Y422" t="s">
        <v>86</v>
      </c>
      <c r="Z422" t="s">
        <v>152</v>
      </c>
      <c r="AA422" t="s">
        <v>337</v>
      </c>
      <c r="AB422" t="s">
        <v>3823</v>
      </c>
      <c r="AC422" t="s">
        <v>108</v>
      </c>
      <c r="AD422" t="s">
        <v>89</v>
      </c>
      <c r="AE422" s="1">
        <v>39875</v>
      </c>
      <c r="AF422">
        <v>18</v>
      </c>
      <c r="AG422" t="s">
        <v>1653</v>
      </c>
      <c r="AH422" t="s">
        <v>2146</v>
      </c>
      <c r="AI422">
        <v>17</v>
      </c>
      <c r="AJ422" t="s">
        <v>110</v>
      </c>
      <c r="AK422">
        <v>17</v>
      </c>
      <c r="AL422">
        <v>7</v>
      </c>
      <c r="AM422">
        <v>167</v>
      </c>
      <c r="AN422">
        <v>23</v>
      </c>
      <c r="AO422">
        <v>5</v>
      </c>
      <c r="AP422" t="s">
        <v>93</v>
      </c>
      <c r="AQ422" t="s">
        <v>89</v>
      </c>
      <c r="AR422" t="s">
        <v>89</v>
      </c>
      <c r="AS422" t="s">
        <v>111</v>
      </c>
      <c r="AT422" t="s">
        <v>3823</v>
      </c>
      <c r="AU422">
        <v>2024</v>
      </c>
      <c r="AV422">
        <v>17</v>
      </c>
      <c r="AW422">
        <v>17</v>
      </c>
      <c r="AX422" t="s">
        <v>89</v>
      </c>
      <c r="AY422" t="s">
        <v>93</v>
      </c>
      <c r="AZ422">
        <v>0</v>
      </c>
      <c r="BA422">
        <v>0</v>
      </c>
      <c r="BB422">
        <v>0</v>
      </c>
      <c r="BC422">
        <v>0</v>
      </c>
      <c r="BD422">
        <v>316</v>
      </c>
      <c r="BE422">
        <v>18880</v>
      </c>
      <c r="BF422">
        <v>28</v>
      </c>
      <c r="BG422">
        <v>34</v>
      </c>
      <c r="BH422">
        <v>316</v>
      </c>
      <c r="BI422">
        <v>18880</v>
      </c>
      <c r="BJ422">
        <v>28</v>
      </c>
      <c r="BK422">
        <f t="shared" si="56"/>
        <v>316</v>
      </c>
      <c r="BL422">
        <f t="shared" si="57"/>
        <v>18880</v>
      </c>
      <c r="BM422">
        <f t="shared" si="58"/>
        <v>28</v>
      </c>
      <c r="BN422">
        <f t="shared" si="59"/>
        <v>0</v>
      </c>
      <c r="BO422">
        <f t="shared" si="60"/>
        <v>0</v>
      </c>
      <c r="BP422">
        <f t="shared" si="61"/>
        <v>0</v>
      </c>
      <c r="BQ422" t="s">
        <v>86</v>
      </c>
      <c r="BR422" t="s">
        <v>94</v>
      </c>
      <c r="BS422" t="s">
        <v>89</v>
      </c>
      <c r="BT422">
        <v>36</v>
      </c>
      <c r="BU422" t="s">
        <v>3823</v>
      </c>
      <c r="BV422" s="1">
        <v>45560</v>
      </c>
      <c r="BW422">
        <v>17</v>
      </c>
      <c r="BX422">
        <v>1990</v>
      </c>
      <c r="BY422">
        <v>17</v>
      </c>
      <c r="BZ422">
        <f t="shared" si="62"/>
        <v>0</v>
      </c>
      <c r="CA422">
        <f t="shared" si="63"/>
        <v>0</v>
      </c>
      <c r="CB422" t="b">
        <f t="shared" si="64"/>
        <v>1</v>
      </c>
    </row>
    <row r="423" spans="1:80" x14ac:dyDescent="0.3">
      <c r="A423" t="s">
        <v>3824</v>
      </c>
      <c r="B423" t="s">
        <v>71</v>
      </c>
      <c r="C423" t="s">
        <v>3825</v>
      </c>
      <c r="D423">
        <v>37</v>
      </c>
      <c r="E423" s="1">
        <v>31992</v>
      </c>
      <c r="F423" t="s">
        <v>89</v>
      </c>
      <c r="G423" t="s">
        <v>75</v>
      </c>
      <c r="H423" t="s">
        <v>89</v>
      </c>
      <c r="I423" t="s">
        <v>750</v>
      </c>
      <c r="J423" t="s">
        <v>78</v>
      </c>
      <c r="K423" t="s">
        <v>89</v>
      </c>
      <c r="L423" t="s">
        <v>278</v>
      </c>
      <c r="M423">
        <v>23</v>
      </c>
      <c r="N423" t="s">
        <v>229</v>
      </c>
      <c r="O423">
        <v>2011</v>
      </c>
      <c r="P423" t="s">
        <v>3826</v>
      </c>
      <c r="Q423" t="s">
        <v>3827</v>
      </c>
      <c r="R423">
        <v>63689</v>
      </c>
      <c r="S423" t="s">
        <v>3824</v>
      </c>
      <c r="T423">
        <v>31844</v>
      </c>
      <c r="U423">
        <v>1987</v>
      </c>
      <c r="V423" t="s">
        <v>3828</v>
      </c>
      <c r="W423">
        <v>1.78</v>
      </c>
      <c r="X423" t="s">
        <v>76</v>
      </c>
      <c r="Y423" t="s">
        <v>86</v>
      </c>
      <c r="Z423" t="s">
        <v>87</v>
      </c>
      <c r="AA423" t="s">
        <v>3041</v>
      </c>
      <c r="AB423" t="s">
        <v>3829</v>
      </c>
      <c r="AC423" t="s">
        <v>108</v>
      </c>
      <c r="AD423" t="s">
        <v>89</v>
      </c>
      <c r="AE423" t="s">
        <v>3830</v>
      </c>
      <c r="AF423">
        <v>24</v>
      </c>
      <c r="AG423" t="s">
        <v>91</v>
      </c>
      <c r="AH423" s="1">
        <v>43683</v>
      </c>
      <c r="AI423">
        <v>31</v>
      </c>
      <c r="AJ423" t="s">
        <v>110</v>
      </c>
      <c r="AK423">
        <v>24</v>
      </c>
      <c r="AL423">
        <v>6</v>
      </c>
      <c r="AM423">
        <v>1531</v>
      </c>
      <c r="AN423">
        <v>172</v>
      </c>
      <c r="AO423">
        <v>4</v>
      </c>
      <c r="AP423" t="s">
        <v>93</v>
      </c>
      <c r="AQ423" t="s">
        <v>89</v>
      </c>
      <c r="AR423" t="s">
        <v>89</v>
      </c>
      <c r="AS423" t="s">
        <v>111</v>
      </c>
      <c r="AT423" t="s">
        <v>3829</v>
      </c>
      <c r="AU423">
        <v>2019</v>
      </c>
      <c r="AV423">
        <v>8</v>
      </c>
      <c r="AW423">
        <v>8</v>
      </c>
      <c r="AX423" t="s">
        <v>89</v>
      </c>
      <c r="AY423" t="s">
        <v>93</v>
      </c>
      <c r="AZ423">
        <v>0</v>
      </c>
      <c r="BA423">
        <v>0</v>
      </c>
      <c r="BB423">
        <v>0</v>
      </c>
      <c r="BC423">
        <v>0</v>
      </c>
      <c r="BD423">
        <v>137</v>
      </c>
      <c r="BE423">
        <v>9465</v>
      </c>
      <c r="BF423">
        <v>12</v>
      </c>
      <c r="BG423">
        <v>32</v>
      </c>
      <c r="BH423">
        <v>137</v>
      </c>
      <c r="BI423">
        <v>9465</v>
      </c>
      <c r="BJ423">
        <v>12</v>
      </c>
      <c r="BK423">
        <f t="shared" si="56"/>
        <v>137</v>
      </c>
      <c r="BL423">
        <f t="shared" si="57"/>
        <v>9465</v>
      </c>
      <c r="BM423">
        <f t="shared" si="58"/>
        <v>12</v>
      </c>
      <c r="BN423">
        <f t="shared" si="59"/>
        <v>0</v>
      </c>
      <c r="BO423">
        <f t="shared" si="60"/>
        <v>0</v>
      </c>
      <c r="BP423">
        <f t="shared" si="61"/>
        <v>0</v>
      </c>
      <c r="BQ423" t="s">
        <v>86</v>
      </c>
      <c r="BR423" t="s">
        <v>94</v>
      </c>
      <c r="BS423" t="s">
        <v>89</v>
      </c>
      <c r="BT423">
        <v>39</v>
      </c>
      <c r="BU423" t="s">
        <v>3829</v>
      </c>
      <c r="BV423" s="1">
        <v>43662</v>
      </c>
      <c r="BW423">
        <v>8</v>
      </c>
      <c r="BX423">
        <v>1987</v>
      </c>
      <c r="BY423">
        <v>8</v>
      </c>
      <c r="BZ423">
        <f t="shared" si="62"/>
        <v>0</v>
      </c>
      <c r="CA423">
        <f t="shared" si="63"/>
        <v>0</v>
      </c>
      <c r="CB423" t="b">
        <f t="shared" si="64"/>
        <v>1</v>
      </c>
    </row>
    <row r="424" spans="1:80" x14ac:dyDescent="0.3">
      <c r="A424" t="s">
        <v>3831</v>
      </c>
      <c r="B424" t="s">
        <v>71</v>
      </c>
      <c r="C424" t="s">
        <v>3832</v>
      </c>
      <c r="D424">
        <v>30</v>
      </c>
      <c r="E424" s="1">
        <v>34809</v>
      </c>
      <c r="F424" t="s">
        <v>89</v>
      </c>
      <c r="G424" t="s">
        <v>374</v>
      </c>
      <c r="H424" t="s">
        <v>89</v>
      </c>
      <c r="I424" t="s">
        <v>1747</v>
      </c>
      <c r="J424" t="s">
        <v>89</v>
      </c>
      <c r="K424" t="s">
        <v>89</v>
      </c>
      <c r="L424" t="s">
        <v>762</v>
      </c>
      <c r="M424">
        <v>19</v>
      </c>
      <c r="N424" t="s">
        <v>1858</v>
      </c>
      <c r="O424">
        <v>2014</v>
      </c>
      <c r="P424" t="s">
        <v>3833</v>
      </c>
      <c r="Q424" t="s">
        <v>3834</v>
      </c>
      <c r="R424">
        <v>309007</v>
      </c>
      <c r="S424" t="s">
        <v>3831</v>
      </c>
      <c r="T424" t="s">
        <v>3835</v>
      </c>
      <c r="U424">
        <v>1995</v>
      </c>
      <c r="V424" t="s">
        <v>1858</v>
      </c>
      <c r="W424">
        <v>1.92</v>
      </c>
      <c r="X424" t="s">
        <v>76</v>
      </c>
      <c r="Y424" t="s">
        <v>235</v>
      </c>
      <c r="Z424" t="s">
        <v>89</v>
      </c>
      <c r="AA424" t="s">
        <v>476</v>
      </c>
      <c r="AB424" s="1">
        <v>45931</v>
      </c>
      <c r="AC424" t="s">
        <v>108</v>
      </c>
      <c r="AD424" t="s">
        <v>89</v>
      </c>
      <c r="AE424" t="s">
        <v>3836</v>
      </c>
      <c r="AF424">
        <v>20</v>
      </c>
      <c r="AG424" t="s">
        <v>91</v>
      </c>
      <c r="AH424" t="s">
        <v>92</v>
      </c>
      <c r="AI424" t="s">
        <v>89</v>
      </c>
      <c r="AJ424" t="s">
        <v>92</v>
      </c>
      <c r="AK424">
        <v>20</v>
      </c>
      <c r="AL424" t="s">
        <v>89</v>
      </c>
      <c r="AM424" t="s">
        <v>89</v>
      </c>
      <c r="AN424" t="s">
        <v>89</v>
      </c>
      <c r="AO424">
        <v>0</v>
      </c>
      <c r="AP424" t="s">
        <v>93</v>
      </c>
      <c r="AQ424" t="s">
        <v>89</v>
      </c>
      <c r="AR424" t="s">
        <v>89</v>
      </c>
      <c r="AS424" t="s">
        <v>93</v>
      </c>
      <c r="AT424" t="s">
        <v>89</v>
      </c>
      <c r="AU424" t="s">
        <v>89</v>
      </c>
      <c r="AV424" t="s">
        <v>89</v>
      </c>
      <c r="AW424">
        <v>11</v>
      </c>
      <c r="AX424" t="s">
        <v>89</v>
      </c>
      <c r="AY424" t="s">
        <v>93</v>
      </c>
      <c r="AZ424">
        <v>0</v>
      </c>
      <c r="BA424">
        <v>0</v>
      </c>
      <c r="BB424">
        <v>0</v>
      </c>
      <c r="BC424">
        <v>0</v>
      </c>
      <c r="BD424">
        <v>4</v>
      </c>
      <c r="BE424">
        <v>286</v>
      </c>
      <c r="BF424">
        <v>0</v>
      </c>
      <c r="BG424" t="s">
        <v>89</v>
      </c>
      <c r="BH424">
        <v>4</v>
      </c>
      <c r="BI424">
        <v>286</v>
      </c>
      <c r="BJ424">
        <v>0</v>
      </c>
      <c r="BK424">
        <f t="shared" si="56"/>
        <v>4</v>
      </c>
      <c r="BL424">
        <f t="shared" si="57"/>
        <v>286</v>
      </c>
      <c r="BM424">
        <f t="shared" si="58"/>
        <v>0</v>
      </c>
      <c r="BN424">
        <f t="shared" si="59"/>
        <v>0</v>
      </c>
      <c r="BO424">
        <f t="shared" si="60"/>
        <v>0</v>
      </c>
      <c r="BP424">
        <f t="shared" si="61"/>
        <v>0</v>
      </c>
      <c r="BQ424" t="s">
        <v>235</v>
      </c>
      <c r="BR424" t="s">
        <v>140</v>
      </c>
      <c r="BS424" s="1">
        <v>34809</v>
      </c>
      <c r="BT424">
        <v>30</v>
      </c>
      <c r="BU424" t="s">
        <v>89</v>
      </c>
      <c r="BV424" t="s">
        <v>89</v>
      </c>
      <c r="BW424">
        <v>10</v>
      </c>
      <c r="BX424">
        <v>1995</v>
      </c>
      <c r="BY424">
        <v>10</v>
      </c>
      <c r="BZ424">
        <f t="shared" si="62"/>
        <v>1</v>
      </c>
      <c r="CA424">
        <f t="shared" si="63"/>
        <v>0</v>
      </c>
      <c r="CB424" t="b">
        <f t="shared" si="64"/>
        <v>0</v>
      </c>
    </row>
    <row r="425" spans="1:80" x14ac:dyDescent="0.3">
      <c r="A425" t="s">
        <v>3837</v>
      </c>
      <c r="B425" t="s">
        <v>71</v>
      </c>
      <c r="C425" t="s">
        <v>3838</v>
      </c>
      <c r="D425">
        <v>33</v>
      </c>
      <c r="E425" s="1">
        <v>33676</v>
      </c>
      <c r="F425" t="s">
        <v>89</v>
      </c>
      <c r="G425" t="s">
        <v>115</v>
      </c>
      <c r="H425" t="s">
        <v>89</v>
      </c>
      <c r="I425" t="s">
        <v>437</v>
      </c>
      <c r="J425" t="s">
        <v>78</v>
      </c>
      <c r="K425" t="s">
        <v>89</v>
      </c>
      <c r="L425" t="s">
        <v>80</v>
      </c>
      <c r="M425">
        <v>20</v>
      </c>
      <c r="N425" t="s">
        <v>3839</v>
      </c>
      <c r="O425">
        <v>2012</v>
      </c>
      <c r="P425" t="s">
        <v>3840</v>
      </c>
      <c r="Q425" t="s">
        <v>3841</v>
      </c>
      <c r="R425">
        <v>164292</v>
      </c>
      <c r="S425" t="s">
        <v>3837</v>
      </c>
      <c r="T425" t="s">
        <v>3842</v>
      </c>
      <c r="U425">
        <v>1992</v>
      </c>
      <c r="V425" t="s">
        <v>122</v>
      </c>
      <c r="W425">
        <v>1.82</v>
      </c>
      <c r="X425" t="s">
        <v>76</v>
      </c>
      <c r="Y425" t="s">
        <v>123</v>
      </c>
      <c r="Z425" t="s">
        <v>87</v>
      </c>
      <c r="AA425" t="s">
        <v>3843</v>
      </c>
      <c r="AB425" t="s">
        <v>3844</v>
      </c>
      <c r="AC425" t="s">
        <v>88</v>
      </c>
      <c r="AD425" t="s">
        <v>442</v>
      </c>
      <c r="AE425" t="s">
        <v>3845</v>
      </c>
      <c r="AF425">
        <v>23</v>
      </c>
      <c r="AG425" t="s">
        <v>91</v>
      </c>
      <c r="AH425" t="s">
        <v>927</v>
      </c>
      <c r="AI425">
        <v>20</v>
      </c>
      <c r="AJ425" t="s">
        <v>110</v>
      </c>
      <c r="AK425">
        <v>20</v>
      </c>
      <c r="AL425">
        <v>5</v>
      </c>
      <c r="AM425">
        <v>181</v>
      </c>
      <c r="AN425">
        <v>27</v>
      </c>
      <c r="AO425">
        <v>4</v>
      </c>
      <c r="AP425" t="s">
        <v>93</v>
      </c>
      <c r="AQ425" t="s">
        <v>89</v>
      </c>
      <c r="AR425" t="s">
        <v>89</v>
      </c>
      <c r="AS425" t="s">
        <v>93</v>
      </c>
      <c r="AT425" t="s">
        <v>89</v>
      </c>
      <c r="AU425" t="s">
        <v>89</v>
      </c>
      <c r="AV425" t="s">
        <v>89</v>
      </c>
      <c r="AW425">
        <v>13</v>
      </c>
      <c r="AX425">
        <v>19</v>
      </c>
      <c r="AY425" t="s">
        <v>93</v>
      </c>
      <c r="AZ425">
        <v>0</v>
      </c>
      <c r="BA425">
        <v>0</v>
      </c>
      <c r="BB425">
        <v>0</v>
      </c>
      <c r="BC425">
        <v>0</v>
      </c>
      <c r="BD425">
        <v>219</v>
      </c>
      <c r="BE425">
        <v>13598</v>
      </c>
      <c r="BF425">
        <v>62</v>
      </c>
      <c r="BG425" t="s">
        <v>89</v>
      </c>
      <c r="BH425">
        <v>219</v>
      </c>
      <c r="BI425">
        <v>13598</v>
      </c>
      <c r="BJ425">
        <v>62</v>
      </c>
      <c r="BK425">
        <f t="shared" si="56"/>
        <v>219</v>
      </c>
      <c r="BL425">
        <f t="shared" si="57"/>
        <v>13598</v>
      </c>
      <c r="BM425">
        <f t="shared" si="58"/>
        <v>62</v>
      </c>
      <c r="BN425">
        <f t="shared" si="59"/>
        <v>0</v>
      </c>
      <c r="BO425">
        <f t="shared" si="60"/>
        <v>0</v>
      </c>
      <c r="BP425">
        <f t="shared" si="61"/>
        <v>0</v>
      </c>
      <c r="BQ425" t="s">
        <v>123</v>
      </c>
      <c r="BR425" t="s">
        <v>112</v>
      </c>
      <c r="BS425" s="1">
        <v>33676</v>
      </c>
      <c r="BT425">
        <v>33</v>
      </c>
      <c r="BU425" t="s">
        <v>89</v>
      </c>
      <c r="BV425" t="s">
        <v>89</v>
      </c>
      <c r="BW425">
        <v>13</v>
      </c>
      <c r="BX425">
        <v>1992</v>
      </c>
      <c r="BY425">
        <v>13</v>
      </c>
      <c r="BZ425">
        <f t="shared" si="62"/>
        <v>0</v>
      </c>
      <c r="CA425">
        <f t="shared" si="63"/>
        <v>0</v>
      </c>
      <c r="CB425" t="b">
        <f t="shared" si="64"/>
        <v>1</v>
      </c>
    </row>
    <row r="426" spans="1:80" x14ac:dyDescent="0.3">
      <c r="A426" t="s">
        <v>3846</v>
      </c>
      <c r="B426" t="s">
        <v>71</v>
      </c>
      <c r="C426" t="s">
        <v>3847</v>
      </c>
      <c r="D426">
        <v>34</v>
      </c>
      <c r="E426" t="s">
        <v>3848</v>
      </c>
      <c r="F426" t="s">
        <v>3849</v>
      </c>
      <c r="G426" t="s">
        <v>321</v>
      </c>
      <c r="H426" t="s">
        <v>89</v>
      </c>
      <c r="I426" t="s">
        <v>2874</v>
      </c>
      <c r="J426" t="s">
        <v>78</v>
      </c>
      <c r="K426" t="s">
        <v>1137</v>
      </c>
      <c r="L426" t="s">
        <v>254</v>
      </c>
      <c r="M426">
        <v>18</v>
      </c>
      <c r="N426" t="s">
        <v>1831</v>
      </c>
      <c r="O426">
        <v>2009</v>
      </c>
      <c r="P426" t="s">
        <v>3850</v>
      </c>
      <c r="Q426" t="s">
        <v>3851</v>
      </c>
      <c r="R426">
        <v>147078</v>
      </c>
      <c r="S426" t="s">
        <v>3846</v>
      </c>
      <c r="T426" t="s">
        <v>3852</v>
      </c>
      <c r="U426">
        <v>1991</v>
      </c>
      <c r="V426" t="s">
        <v>3853</v>
      </c>
      <c r="W426">
        <v>1.82</v>
      </c>
      <c r="X426" t="s">
        <v>76</v>
      </c>
      <c r="Y426" t="s">
        <v>235</v>
      </c>
      <c r="Z426" t="s">
        <v>87</v>
      </c>
      <c r="AA426" t="s">
        <v>896</v>
      </c>
      <c r="AB426" t="s">
        <v>1776</v>
      </c>
      <c r="AC426" t="s">
        <v>170</v>
      </c>
      <c r="AD426" t="s">
        <v>89</v>
      </c>
      <c r="AE426" t="s">
        <v>3854</v>
      </c>
      <c r="AF426">
        <v>22</v>
      </c>
      <c r="AG426" t="s">
        <v>91</v>
      </c>
      <c r="AH426">
        <v>40455</v>
      </c>
      <c r="AI426">
        <v>18</v>
      </c>
      <c r="AJ426" t="s">
        <v>110</v>
      </c>
      <c r="AK426">
        <v>18</v>
      </c>
      <c r="AL426">
        <v>13</v>
      </c>
      <c r="AM426">
        <v>388</v>
      </c>
      <c r="AN426">
        <v>50</v>
      </c>
      <c r="AO426">
        <v>6</v>
      </c>
      <c r="AP426" t="s">
        <v>93</v>
      </c>
      <c r="AQ426" t="s">
        <v>89</v>
      </c>
      <c r="AR426" t="s">
        <v>89</v>
      </c>
      <c r="AS426" t="s">
        <v>93</v>
      </c>
      <c r="AT426" t="s">
        <v>89</v>
      </c>
      <c r="AU426" t="s">
        <v>89</v>
      </c>
      <c r="AV426" t="s">
        <v>89</v>
      </c>
      <c r="AW426">
        <v>16</v>
      </c>
      <c r="AX426">
        <v>15</v>
      </c>
      <c r="AY426" t="s">
        <v>93</v>
      </c>
      <c r="AZ426">
        <v>0</v>
      </c>
      <c r="BA426">
        <v>0</v>
      </c>
      <c r="BB426">
        <v>0</v>
      </c>
      <c r="BC426">
        <v>0</v>
      </c>
      <c r="BD426">
        <v>248</v>
      </c>
      <c r="BE426">
        <v>18779</v>
      </c>
      <c r="BF426">
        <v>10</v>
      </c>
      <c r="BG426" t="s">
        <v>89</v>
      </c>
      <c r="BH426">
        <v>248</v>
      </c>
      <c r="BI426">
        <v>18779</v>
      </c>
      <c r="BJ426">
        <v>10</v>
      </c>
      <c r="BK426">
        <f t="shared" si="56"/>
        <v>248</v>
      </c>
      <c r="BL426">
        <f t="shared" si="57"/>
        <v>18779</v>
      </c>
      <c r="BM426">
        <f t="shared" si="58"/>
        <v>10</v>
      </c>
      <c r="BN426">
        <f t="shared" si="59"/>
        <v>0</v>
      </c>
      <c r="BO426">
        <f t="shared" si="60"/>
        <v>0</v>
      </c>
      <c r="BP426">
        <f t="shared" si="61"/>
        <v>0</v>
      </c>
      <c r="BQ426" t="s">
        <v>235</v>
      </c>
      <c r="BR426" t="s">
        <v>140</v>
      </c>
      <c r="BS426" s="1">
        <v>33412</v>
      </c>
      <c r="BT426">
        <v>34</v>
      </c>
      <c r="BU426" t="s">
        <v>89</v>
      </c>
      <c r="BV426" t="s">
        <v>89</v>
      </c>
      <c r="BW426">
        <v>16</v>
      </c>
      <c r="BX426">
        <v>1991</v>
      </c>
      <c r="BY426">
        <v>16</v>
      </c>
      <c r="BZ426">
        <f t="shared" si="62"/>
        <v>0</v>
      </c>
      <c r="CA426">
        <f t="shared" si="63"/>
        <v>0</v>
      </c>
      <c r="CB426" t="b">
        <f t="shared" si="64"/>
        <v>1</v>
      </c>
    </row>
    <row r="427" spans="1:80" x14ac:dyDescent="0.3">
      <c r="A427" t="s">
        <v>3855</v>
      </c>
      <c r="B427" t="s">
        <v>71</v>
      </c>
      <c r="C427" t="s">
        <v>3856</v>
      </c>
      <c r="D427">
        <v>50</v>
      </c>
      <c r="E427" s="1">
        <v>27537</v>
      </c>
      <c r="F427" t="s">
        <v>89</v>
      </c>
      <c r="G427" t="s">
        <v>226</v>
      </c>
      <c r="H427" t="s">
        <v>76</v>
      </c>
      <c r="I427" t="s">
        <v>178</v>
      </c>
      <c r="J427" t="s">
        <v>89</v>
      </c>
      <c r="K427" t="s">
        <v>89</v>
      </c>
      <c r="L427" t="s">
        <v>3857</v>
      </c>
      <c r="M427">
        <v>21</v>
      </c>
      <c r="N427" t="s">
        <v>644</v>
      </c>
      <c r="O427">
        <v>1996</v>
      </c>
      <c r="P427" t="s">
        <v>3858</v>
      </c>
      <c r="Q427" t="s">
        <v>3859</v>
      </c>
      <c r="R427">
        <v>7770</v>
      </c>
      <c r="S427" t="s">
        <v>3855</v>
      </c>
      <c r="T427" t="s">
        <v>3860</v>
      </c>
      <c r="U427">
        <v>1975</v>
      </c>
      <c r="V427" t="s">
        <v>3861</v>
      </c>
      <c r="W427">
        <v>1.86</v>
      </c>
      <c r="X427" t="s">
        <v>76</v>
      </c>
      <c r="Y427" t="s">
        <v>186</v>
      </c>
      <c r="Z427" t="s">
        <v>87</v>
      </c>
      <c r="AA427" t="s">
        <v>89</v>
      </c>
      <c r="AB427" t="s">
        <v>89</v>
      </c>
      <c r="AC427" t="s">
        <v>89</v>
      </c>
      <c r="AD427" t="s">
        <v>89</v>
      </c>
      <c r="AE427" s="1">
        <v>35319</v>
      </c>
      <c r="AF427">
        <v>21</v>
      </c>
      <c r="AG427" t="s">
        <v>91</v>
      </c>
      <c r="AH427">
        <v>34767</v>
      </c>
      <c r="AI427">
        <v>20</v>
      </c>
      <c r="AJ427" t="s">
        <v>110</v>
      </c>
      <c r="AK427">
        <v>20</v>
      </c>
      <c r="AL427" t="s">
        <v>89</v>
      </c>
      <c r="AM427" t="s">
        <v>89</v>
      </c>
      <c r="AN427" t="s">
        <v>89</v>
      </c>
      <c r="AO427">
        <v>0</v>
      </c>
      <c r="AP427" t="s">
        <v>111</v>
      </c>
      <c r="AQ427" t="s">
        <v>3862</v>
      </c>
      <c r="AR427">
        <v>46</v>
      </c>
      <c r="AS427" t="s">
        <v>93</v>
      </c>
      <c r="AT427" t="s">
        <v>89</v>
      </c>
      <c r="AU427" t="s">
        <v>89</v>
      </c>
      <c r="AV427">
        <v>25</v>
      </c>
      <c r="AW427">
        <v>25</v>
      </c>
      <c r="AX427" t="s">
        <v>89</v>
      </c>
      <c r="AY427" t="s">
        <v>93</v>
      </c>
      <c r="AZ427">
        <v>0</v>
      </c>
      <c r="BA427">
        <v>0</v>
      </c>
      <c r="BB427">
        <v>0</v>
      </c>
      <c r="BC427">
        <v>0</v>
      </c>
      <c r="BD427">
        <v>161</v>
      </c>
      <c r="BE427">
        <v>14109</v>
      </c>
      <c r="BF427">
        <v>0</v>
      </c>
      <c r="BG427" t="s">
        <v>89</v>
      </c>
      <c r="BH427">
        <v>161</v>
      </c>
      <c r="BI427">
        <v>14109</v>
      </c>
      <c r="BJ427">
        <v>0</v>
      </c>
      <c r="BK427">
        <f t="shared" si="56"/>
        <v>161</v>
      </c>
      <c r="BL427">
        <f t="shared" si="57"/>
        <v>14109</v>
      </c>
      <c r="BM427">
        <f t="shared" si="58"/>
        <v>0</v>
      </c>
      <c r="BN427">
        <f t="shared" si="59"/>
        <v>0</v>
      </c>
      <c r="BO427">
        <f t="shared" si="60"/>
        <v>0</v>
      </c>
      <c r="BP427">
        <f t="shared" si="61"/>
        <v>0</v>
      </c>
      <c r="BQ427" t="s">
        <v>186</v>
      </c>
      <c r="BR427" t="s">
        <v>186</v>
      </c>
      <c r="BS427" s="1">
        <v>27476</v>
      </c>
      <c r="BT427">
        <v>50</v>
      </c>
      <c r="BU427" t="s">
        <v>89</v>
      </c>
      <c r="BV427" t="s">
        <v>89</v>
      </c>
      <c r="BW427">
        <v>26</v>
      </c>
      <c r="BX427">
        <v>1975</v>
      </c>
      <c r="BY427">
        <v>26</v>
      </c>
      <c r="BZ427">
        <f t="shared" si="62"/>
        <v>-1</v>
      </c>
      <c r="CA427">
        <f t="shared" si="63"/>
        <v>0</v>
      </c>
      <c r="CB427" t="b">
        <f t="shared" si="64"/>
        <v>0</v>
      </c>
    </row>
    <row r="428" spans="1:80" x14ac:dyDescent="0.3">
      <c r="A428" t="s">
        <v>3863</v>
      </c>
      <c r="B428" t="s">
        <v>71</v>
      </c>
      <c r="C428" t="s">
        <v>3864</v>
      </c>
      <c r="D428">
        <v>43</v>
      </c>
      <c r="E428">
        <v>29937</v>
      </c>
      <c r="F428" t="s">
        <v>89</v>
      </c>
      <c r="G428" t="s">
        <v>115</v>
      </c>
      <c r="H428" t="s">
        <v>89</v>
      </c>
      <c r="I428" t="s">
        <v>596</v>
      </c>
      <c r="J428" t="s">
        <v>89</v>
      </c>
      <c r="K428" t="s">
        <v>89</v>
      </c>
      <c r="L428" t="s">
        <v>657</v>
      </c>
      <c r="M428">
        <v>21</v>
      </c>
      <c r="N428" t="s">
        <v>255</v>
      </c>
      <c r="O428">
        <v>2003</v>
      </c>
      <c r="P428" t="s">
        <v>3865</v>
      </c>
      <c r="Q428" t="s">
        <v>3866</v>
      </c>
      <c r="R428">
        <v>29156</v>
      </c>
      <c r="S428" t="s">
        <v>3867</v>
      </c>
      <c r="T428" t="s">
        <v>3868</v>
      </c>
      <c r="U428">
        <v>1981</v>
      </c>
      <c r="V428" t="s">
        <v>3869</v>
      </c>
      <c r="W428">
        <v>1.78</v>
      </c>
      <c r="X428" t="s">
        <v>76</v>
      </c>
      <c r="Y428" t="s">
        <v>136</v>
      </c>
      <c r="Z428" t="s">
        <v>87</v>
      </c>
      <c r="AA428" t="s">
        <v>370</v>
      </c>
      <c r="AB428" s="1">
        <v>42376</v>
      </c>
      <c r="AC428" t="s">
        <v>108</v>
      </c>
      <c r="AD428" t="s">
        <v>89</v>
      </c>
      <c r="AE428" t="s">
        <v>138</v>
      </c>
      <c r="AF428">
        <v>27</v>
      </c>
      <c r="AG428" t="s">
        <v>91</v>
      </c>
      <c r="AH428" t="s">
        <v>3870</v>
      </c>
      <c r="AI428">
        <v>18</v>
      </c>
      <c r="AJ428" t="s">
        <v>110</v>
      </c>
      <c r="AK428">
        <v>18</v>
      </c>
      <c r="AL428">
        <v>1</v>
      </c>
      <c r="AM428">
        <v>153</v>
      </c>
      <c r="AN428">
        <v>21</v>
      </c>
      <c r="AO428">
        <v>1</v>
      </c>
      <c r="AP428" t="s">
        <v>93</v>
      </c>
      <c r="AQ428" t="s">
        <v>89</v>
      </c>
      <c r="AR428" t="s">
        <v>89</v>
      </c>
      <c r="AS428" t="s">
        <v>111</v>
      </c>
      <c r="AT428">
        <v>42376</v>
      </c>
      <c r="AU428">
        <v>2016</v>
      </c>
      <c r="AV428">
        <v>13</v>
      </c>
      <c r="AW428">
        <v>13</v>
      </c>
      <c r="AX428" t="s">
        <v>89</v>
      </c>
      <c r="AY428" t="s">
        <v>93</v>
      </c>
      <c r="AZ428">
        <v>0</v>
      </c>
      <c r="BA428">
        <v>0</v>
      </c>
      <c r="BB428">
        <v>0</v>
      </c>
      <c r="BC428">
        <v>0</v>
      </c>
      <c r="BD428">
        <v>288</v>
      </c>
      <c r="BE428">
        <v>21929</v>
      </c>
      <c r="BF428">
        <v>3</v>
      </c>
      <c r="BG428">
        <v>35</v>
      </c>
      <c r="BH428">
        <v>288</v>
      </c>
      <c r="BI428">
        <v>21929</v>
      </c>
      <c r="BJ428">
        <v>3</v>
      </c>
      <c r="BK428">
        <f t="shared" si="56"/>
        <v>288</v>
      </c>
      <c r="BL428">
        <f t="shared" si="57"/>
        <v>21929</v>
      </c>
      <c r="BM428">
        <f t="shared" si="58"/>
        <v>3</v>
      </c>
      <c r="BN428">
        <f t="shared" si="59"/>
        <v>0</v>
      </c>
      <c r="BO428">
        <f t="shared" si="60"/>
        <v>0</v>
      </c>
      <c r="BP428">
        <f t="shared" si="61"/>
        <v>0</v>
      </c>
      <c r="BQ428" t="s">
        <v>136</v>
      </c>
      <c r="BR428" t="s">
        <v>140</v>
      </c>
      <c r="BS428" t="s">
        <v>89</v>
      </c>
      <c r="BT428">
        <v>45</v>
      </c>
      <c r="BU428">
        <v>42376</v>
      </c>
      <c r="BV428" t="s">
        <v>89</v>
      </c>
      <c r="BW428">
        <v>17</v>
      </c>
      <c r="BX428">
        <v>1981</v>
      </c>
      <c r="BY428">
        <v>17</v>
      </c>
      <c r="BZ428">
        <f t="shared" si="62"/>
        <v>-4</v>
      </c>
      <c r="CA428">
        <f t="shared" si="63"/>
        <v>0</v>
      </c>
      <c r="CB428" t="b">
        <f t="shared" si="64"/>
        <v>0</v>
      </c>
    </row>
    <row r="429" spans="1:80" x14ac:dyDescent="0.3">
      <c r="A429" t="s">
        <v>3871</v>
      </c>
      <c r="B429" t="s">
        <v>71</v>
      </c>
      <c r="C429" t="s">
        <v>3872</v>
      </c>
      <c r="D429">
        <v>35</v>
      </c>
      <c r="E429" t="s">
        <v>3873</v>
      </c>
      <c r="F429" t="s">
        <v>2645</v>
      </c>
      <c r="G429" t="s">
        <v>1946</v>
      </c>
      <c r="H429" t="s">
        <v>89</v>
      </c>
      <c r="I429" t="s">
        <v>3874</v>
      </c>
      <c r="J429" t="s">
        <v>78</v>
      </c>
      <c r="K429" t="s">
        <v>1609</v>
      </c>
      <c r="L429" t="s">
        <v>254</v>
      </c>
      <c r="M429">
        <v>19</v>
      </c>
      <c r="N429" t="s">
        <v>1047</v>
      </c>
      <c r="O429">
        <v>2009</v>
      </c>
      <c r="P429" t="s">
        <v>3875</v>
      </c>
      <c r="Q429" t="s">
        <v>3876</v>
      </c>
      <c r="R429">
        <v>138803</v>
      </c>
      <c r="S429" t="s">
        <v>3871</v>
      </c>
      <c r="T429" t="s">
        <v>3877</v>
      </c>
      <c r="U429">
        <v>1990</v>
      </c>
      <c r="V429" t="s">
        <v>1047</v>
      </c>
      <c r="W429">
        <v>1.69</v>
      </c>
      <c r="X429" t="s">
        <v>76</v>
      </c>
      <c r="Y429" t="s">
        <v>494</v>
      </c>
      <c r="Z429" t="s">
        <v>87</v>
      </c>
      <c r="AA429" t="s">
        <v>3878</v>
      </c>
      <c r="AB429" t="s">
        <v>2910</v>
      </c>
      <c r="AC429" t="s">
        <v>170</v>
      </c>
      <c r="AD429" t="s">
        <v>89</v>
      </c>
      <c r="AE429" t="s">
        <v>3879</v>
      </c>
      <c r="AF429">
        <v>19</v>
      </c>
      <c r="AG429" t="s">
        <v>91</v>
      </c>
      <c r="AH429" t="s">
        <v>1026</v>
      </c>
      <c r="AI429">
        <v>24</v>
      </c>
      <c r="AJ429" t="s">
        <v>110</v>
      </c>
      <c r="AK429">
        <v>19</v>
      </c>
      <c r="AL429">
        <v>1</v>
      </c>
      <c r="AM429">
        <v>16</v>
      </c>
      <c r="AN429">
        <v>1</v>
      </c>
      <c r="AO429">
        <v>1</v>
      </c>
      <c r="AP429" t="s">
        <v>93</v>
      </c>
      <c r="AQ429" t="s">
        <v>89</v>
      </c>
      <c r="AR429" t="s">
        <v>89</v>
      </c>
      <c r="AS429" t="s">
        <v>93</v>
      </c>
      <c r="AT429" t="s">
        <v>89</v>
      </c>
      <c r="AU429" t="s">
        <v>89</v>
      </c>
      <c r="AV429" t="s">
        <v>89</v>
      </c>
      <c r="AW429">
        <v>16</v>
      </c>
      <c r="AX429">
        <v>20</v>
      </c>
      <c r="AY429" t="s">
        <v>93</v>
      </c>
      <c r="AZ429">
        <v>0</v>
      </c>
      <c r="BA429">
        <v>0</v>
      </c>
      <c r="BB429">
        <v>0</v>
      </c>
      <c r="BC429">
        <v>0</v>
      </c>
      <c r="BD429">
        <v>402</v>
      </c>
      <c r="BE429">
        <v>23335</v>
      </c>
      <c r="BF429">
        <v>20</v>
      </c>
      <c r="BG429" t="s">
        <v>89</v>
      </c>
      <c r="BH429">
        <v>402</v>
      </c>
      <c r="BI429">
        <v>23335</v>
      </c>
      <c r="BJ429">
        <v>20</v>
      </c>
      <c r="BK429">
        <f t="shared" si="56"/>
        <v>402</v>
      </c>
      <c r="BL429">
        <f t="shared" si="57"/>
        <v>23335</v>
      </c>
      <c r="BM429">
        <f t="shared" si="58"/>
        <v>20</v>
      </c>
      <c r="BN429">
        <f t="shared" si="59"/>
        <v>0</v>
      </c>
      <c r="BO429">
        <f t="shared" si="60"/>
        <v>0</v>
      </c>
      <c r="BP429">
        <f t="shared" si="61"/>
        <v>0</v>
      </c>
      <c r="BQ429" t="s">
        <v>494</v>
      </c>
      <c r="BR429" t="s">
        <v>112</v>
      </c>
      <c r="BS429" s="1">
        <v>33037</v>
      </c>
      <c r="BT429">
        <v>35</v>
      </c>
      <c r="BU429" t="s">
        <v>89</v>
      </c>
      <c r="BV429" t="s">
        <v>89</v>
      </c>
      <c r="BW429">
        <v>16</v>
      </c>
      <c r="BX429">
        <v>1990</v>
      </c>
      <c r="BY429">
        <v>16</v>
      </c>
      <c r="BZ429">
        <f t="shared" si="62"/>
        <v>0</v>
      </c>
      <c r="CA429">
        <f t="shared" si="63"/>
        <v>0</v>
      </c>
      <c r="CB429" t="b">
        <f t="shared" si="64"/>
        <v>1</v>
      </c>
    </row>
    <row r="430" spans="1:80" x14ac:dyDescent="0.3">
      <c r="A430" t="s">
        <v>3880</v>
      </c>
      <c r="B430" t="s">
        <v>71</v>
      </c>
      <c r="C430" t="s">
        <v>3881</v>
      </c>
      <c r="D430">
        <v>49</v>
      </c>
      <c r="E430" s="1">
        <v>27643</v>
      </c>
      <c r="F430" t="s">
        <v>89</v>
      </c>
      <c r="G430" t="s">
        <v>321</v>
      </c>
      <c r="H430" t="s">
        <v>89</v>
      </c>
      <c r="I430" t="s">
        <v>253</v>
      </c>
      <c r="J430" t="s">
        <v>89</v>
      </c>
      <c r="K430" t="s">
        <v>89</v>
      </c>
      <c r="L430" t="s">
        <v>99</v>
      </c>
      <c r="M430">
        <v>25</v>
      </c>
      <c r="N430" t="s">
        <v>820</v>
      </c>
      <c r="O430">
        <v>2001</v>
      </c>
      <c r="P430" t="s">
        <v>3882</v>
      </c>
      <c r="Q430" t="s">
        <v>3883</v>
      </c>
      <c r="R430">
        <v>7739</v>
      </c>
      <c r="S430" t="s">
        <v>3884</v>
      </c>
      <c r="T430">
        <v>27554</v>
      </c>
      <c r="U430">
        <v>1975</v>
      </c>
      <c r="V430" t="s">
        <v>1185</v>
      </c>
      <c r="W430">
        <v>1.79</v>
      </c>
      <c r="X430" t="s">
        <v>76</v>
      </c>
      <c r="Y430" t="s">
        <v>259</v>
      </c>
      <c r="Z430" t="s">
        <v>87</v>
      </c>
      <c r="AA430" t="s">
        <v>3885</v>
      </c>
      <c r="AB430" s="1">
        <v>41646</v>
      </c>
      <c r="AC430" t="s">
        <v>108</v>
      </c>
      <c r="AD430" t="s">
        <v>89</v>
      </c>
      <c r="AE430" t="s">
        <v>2088</v>
      </c>
      <c r="AF430">
        <v>25</v>
      </c>
      <c r="AG430" t="s">
        <v>91</v>
      </c>
      <c r="AH430" s="1">
        <v>35774</v>
      </c>
      <c r="AI430">
        <v>22</v>
      </c>
      <c r="AJ430" t="s">
        <v>110</v>
      </c>
      <c r="AK430">
        <v>22</v>
      </c>
      <c r="AL430">
        <v>2</v>
      </c>
      <c r="AM430">
        <v>38</v>
      </c>
      <c r="AN430">
        <v>6</v>
      </c>
      <c r="AO430">
        <v>2</v>
      </c>
      <c r="AP430" t="s">
        <v>93</v>
      </c>
      <c r="AQ430" t="s">
        <v>89</v>
      </c>
      <c r="AR430" t="s">
        <v>89</v>
      </c>
      <c r="AS430" t="s">
        <v>111</v>
      </c>
      <c r="AT430">
        <v>41646</v>
      </c>
      <c r="AU430">
        <v>2014</v>
      </c>
      <c r="AV430">
        <v>13</v>
      </c>
      <c r="AW430">
        <v>13</v>
      </c>
      <c r="AX430" t="s">
        <v>89</v>
      </c>
      <c r="AY430" t="s">
        <v>93</v>
      </c>
      <c r="AZ430">
        <v>0</v>
      </c>
      <c r="BA430">
        <v>0</v>
      </c>
      <c r="BB430">
        <v>0</v>
      </c>
      <c r="BC430">
        <v>0</v>
      </c>
      <c r="BD430">
        <v>431</v>
      </c>
      <c r="BE430">
        <v>34204</v>
      </c>
      <c r="BF430">
        <v>24</v>
      </c>
      <c r="BG430">
        <v>39</v>
      </c>
      <c r="BH430">
        <v>431</v>
      </c>
      <c r="BI430">
        <v>34204</v>
      </c>
      <c r="BJ430">
        <v>24</v>
      </c>
      <c r="BK430">
        <f t="shared" si="56"/>
        <v>431</v>
      </c>
      <c r="BL430">
        <f t="shared" si="57"/>
        <v>34204</v>
      </c>
      <c r="BM430">
        <f t="shared" si="58"/>
        <v>24</v>
      </c>
      <c r="BN430">
        <f t="shared" si="59"/>
        <v>0</v>
      </c>
      <c r="BO430">
        <f t="shared" si="60"/>
        <v>0</v>
      </c>
      <c r="BP430">
        <f t="shared" si="61"/>
        <v>0</v>
      </c>
      <c r="BQ430" t="s">
        <v>259</v>
      </c>
      <c r="BR430" t="s">
        <v>94</v>
      </c>
      <c r="BS430" t="s">
        <v>89</v>
      </c>
      <c r="BT430">
        <v>51</v>
      </c>
      <c r="BU430">
        <v>41646</v>
      </c>
      <c r="BV430" t="s">
        <v>89</v>
      </c>
      <c r="BW430">
        <v>17</v>
      </c>
      <c r="BX430">
        <v>1975</v>
      </c>
      <c r="BY430">
        <v>17</v>
      </c>
      <c r="BZ430">
        <f t="shared" si="62"/>
        <v>-4</v>
      </c>
      <c r="CA430">
        <f t="shared" si="63"/>
        <v>0</v>
      </c>
      <c r="CB430" t="b">
        <f t="shared" si="64"/>
        <v>0</v>
      </c>
    </row>
    <row r="431" spans="1:80" x14ac:dyDescent="0.3">
      <c r="A431" t="s">
        <v>3886</v>
      </c>
      <c r="B431" t="s">
        <v>71</v>
      </c>
      <c r="C431" t="s">
        <v>3887</v>
      </c>
      <c r="D431">
        <v>48</v>
      </c>
      <c r="E431" s="1">
        <v>28084</v>
      </c>
      <c r="F431" t="s">
        <v>89</v>
      </c>
      <c r="G431" t="s">
        <v>75</v>
      </c>
      <c r="H431" t="s">
        <v>76</v>
      </c>
      <c r="I431" t="s">
        <v>3874</v>
      </c>
      <c r="J431" t="s">
        <v>89</v>
      </c>
      <c r="K431" t="s">
        <v>89</v>
      </c>
      <c r="L431" t="s">
        <v>2852</v>
      </c>
      <c r="M431">
        <v>18</v>
      </c>
      <c r="N431" t="s">
        <v>644</v>
      </c>
      <c r="O431">
        <v>1995</v>
      </c>
      <c r="P431" t="s">
        <v>3888</v>
      </c>
      <c r="Q431" t="s">
        <v>3889</v>
      </c>
      <c r="R431">
        <v>7580</v>
      </c>
      <c r="S431" t="s">
        <v>3886</v>
      </c>
      <c r="T431" t="s">
        <v>3890</v>
      </c>
      <c r="U431">
        <v>1976</v>
      </c>
      <c r="V431" t="s">
        <v>3891</v>
      </c>
      <c r="W431" t="s">
        <v>89</v>
      </c>
      <c r="X431" t="s">
        <v>76</v>
      </c>
      <c r="Y431" t="s">
        <v>494</v>
      </c>
      <c r="Z431" t="s">
        <v>89</v>
      </c>
      <c r="AA431" t="s">
        <v>3843</v>
      </c>
      <c r="AB431">
        <v>40550</v>
      </c>
      <c r="AC431" t="s">
        <v>108</v>
      </c>
      <c r="AD431" t="s">
        <v>89</v>
      </c>
      <c r="AE431" t="s">
        <v>3892</v>
      </c>
      <c r="AF431">
        <v>19</v>
      </c>
      <c r="AG431" t="s">
        <v>91</v>
      </c>
      <c r="AH431">
        <v>34890</v>
      </c>
      <c r="AI431">
        <v>18</v>
      </c>
      <c r="AJ431" t="s">
        <v>110</v>
      </c>
      <c r="AK431">
        <v>18</v>
      </c>
      <c r="AL431" t="s">
        <v>89</v>
      </c>
      <c r="AM431" t="s">
        <v>89</v>
      </c>
      <c r="AN431" t="s">
        <v>89</v>
      </c>
      <c r="AO431">
        <v>0</v>
      </c>
      <c r="AP431" t="s">
        <v>93</v>
      </c>
      <c r="AQ431" t="s">
        <v>89</v>
      </c>
      <c r="AR431" t="s">
        <v>89</v>
      </c>
      <c r="AS431" t="s">
        <v>111</v>
      </c>
      <c r="AT431">
        <v>40550</v>
      </c>
      <c r="AU431">
        <v>2011</v>
      </c>
      <c r="AV431">
        <v>16</v>
      </c>
      <c r="AW431">
        <v>16</v>
      </c>
      <c r="AX431" t="s">
        <v>89</v>
      </c>
      <c r="AY431" t="s">
        <v>93</v>
      </c>
      <c r="AZ431">
        <v>0</v>
      </c>
      <c r="BA431">
        <v>0</v>
      </c>
      <c r="BB431">
        <v>0</v>
      </c>
      <c r="BC431">
        <v>0</v>
      </c>
      <c r="BD431">
        <v>346</v>
      </c>
      <c r="BE431">
        <v>22531</v>
      </c>
      <c r="BF431">
        <v>29</v>
      </c>
      <c r="BG431">
        <v>35</v>
      </c>
      <c r="BH431">
        <v>346</v>
      </c>
      <c r="BI431">
        <v>22531</v>
      </c>
      <c r="BJ431">
        <v>29</v>
      </c>
      <c r="BK431">
        <f t="shared" si="56"/>
        <v>346</v>
      </c>
      <c r="BL431">
        <f t="shared" si="57"/>
        <v>22531</v>
      </c>
      <c r="BM431">
        <f t="shared" si="58"/>
        <v>29</v>
      </c>
      <c r="BN431">
        <f t="shared" si="59"/>
        <v>0</v>
      </c>
      <c r="BO431">
        <f t="shared" si="60"/>
        <v>0</v>
      </c>
      <c r="BP431">
        <f t="shared" si="61"/>
        <v>0</v>
      </c>
      <c r="BQ431" t="s">
        <v>494</v>
      </c>
      <c r="BR431" t="s">
        <v>112</v>
      </c>
      <c r="BS431" s="1">
        <v>28084</v>
      </c>
      <c r="BT431">
        <v>49</v>
      </c>
      <c r="BU431">
        <v>40550</v>
      </c>
      <c r="BV431" t="s">
        <v>89</v>
      </c>
      <c r="BW431">
        <v>17</v>
      </c>
      <c r="BX431">
        <v>1976</v>
      </c>
      <c r="BY431">
        <v>17</v>
      </c>
      <c r="BZ431">
        <f t="shared" si="62"/>
        <v>-1</v>
      </c>
      <c r="CA431">
        <f t="shared" si="63"/>
        <v>0</v>
      </c>
      <c r="CB431" t="b">
        <f t="shared" si="64"/>
        <v>0</v>
      </c>
    </row>
    <row r="432" spans="1:80" x14ac:dyDescent="0.3">
      <c r="A432" t="s">
        <v>3893</v>
      </c>
      <c r="B432" t="s">
        <v>1089</v>
      </c>
      <c r="C432" t="s">
        <v>3894</v>
      </c>
      <c r="D432">
        <v>39</v>
      </c>
      <c r="E432" s="1">
        <v>31454</v>
      </c>
      <c r="F432" t="s">
        <v>89</v>
      </c>
      <c r="G432" t="s">
        <v>75</v>
      </c>
      <c r="H432" t="s">
        <v>1093</v>
      </c>
      <c r="I432" t="s">
        <v>243</v>
      </c>
      <c r="J432" t="s">
        <v>78</v>
      </c>
      <c r="K432" t="s">
        <v>89</v>
      </c>
      <c r="L432" t="s">
        <v>80</v>
      </c>
      <c r="M432">
        <v>26</v>
      </c>
      <c r="N432" t="s">
        <v>820</v>
      </c>
      <c r="O432">
        <v>2012</v>
      </c>
      <c r="P432" t="s">
        <v>3895</v>
      </c>
      <c r="Q432" t="s">
        <v>3896</v>
      </c>
      <c r="R432">
        <v>84870</v>
      </c>
      <c r="S432" t="s">
        <v>3893</v>
      </c>
      <c r="T432" s="1">
        <v>31718</v>
      </c>
      <c r="U432">
        <v>1986</v>
      </c>
      <c r="V432" t="s">
        <v>3897</v>
      </c>
      <c r="W432">
        <v>1.78</v>
      </c>
      <c r="X432" t="s">
        <v>1093</v>
      </c>
      <c r="Y432" t="s">
        <v>259</v>
      </c>
      <c r="Z432" t="s">
        <v>87</v>
      </c>
      <c r="AA432" t="s">
        <v>3898</v>
      </c>
      <c r="AB432" s="1">
        <v>45658</v>
      </c>
      <c r="AC432" t="s">
        <v>170</v>
      </c>
      <c r="AD432" t="s">
        <v>89</v>
      </c>
      <c r="AE432" s="1">
        <v>2008</v>
      </c>
      <c r="AF432">
        <v>22</v>
      </c>
      <c r="AG432" t="s">
        <v>1099</v>
      </c>
      <c r="AH432" s="1">
        <v>2014</v>
      </c>
      <c r="AI432">
        <v>28</v>
      </c>
      <c r="AJ432">
        <v>0</v>
      </c>
      <c r="AK432">
        <v>22</v>
      </c>
      <c r="AL432">
        <v>13</v>
      </c>
      <c r="AM432">
        <v>487</v>
      </c>
      <c r="AN432">
        <v>63</v>
      </c>
      <c r="AO432">
        <v>5</v>
      </c>
      <c r="AP432" t="s">
        <v>93</v>
      </c>
      <c r="AQ432" t="s">
        <v>89</v>
      </c>
      <c r="AR432" t="s">
        <v>89</v>
      </c>
      <c r="AS432" t="s">
        <v>93</v>
      </c>
      <c r="AT432" t="s">
        <v>89</v>
      </c>
      <c r="AU432" t="s">
        <v>89</v>
      </c>
      <c r="AV432" t="s">
        <v>89</v>
      </c>
      <c r="AW432">
        <v>13</v>
      </c>
      <c r="AX432" t="s">
        <v>89</v>
      </c>
      <c r="AY432" t="s">
        <v>111</v>
      </c>
      <c r="AZ432">
        <v>8</v>
      </c>
      <c r="BA432">
        <v>24</v>
      </c>
      <c r="BB432">
        <v>1524</v>
      </c>
      <c r="BC432">
        <v>0</v>
      </c>
      <c r="BD432">
        <v>189</v>
      </c>
      <c r="BE432">
        <v>13516</v>
      </c>
      <c r="BF432">
        <v>8</v>
      </c>
      <c r="BG432" t="s">
        <v>89</v>
      </c>
      <c r="BH432">
        <v>213</v>
      </c>
      <c r="BI432">
        <v>15040</v>
      </c>
      <c r="BJ432">
        <v>8</v>
      </c>
      <c r="BK432">
        <f t="shared" si="56"/>
        <v>213</v>
      </c>
      <c r="BL432">
        <f t="shared" si="57"/>
        <v>15040</v>
      </c>
      <c r="BM432">
        <f t="shared" si="58"/>
        <v>8</v>
      </c>
      <c r="BN432">
        <f t="shared" si="59"/>
        <v>0</v>
      </c>
      <c r="BO432">
        <f t="shared" si="60"/>
        <v>0</v>
      </c>
      <c r="BP432">
        <f t="shared" si="61"/>
        <v>0</v>
      </c>
      <c r="BQ432" t="s">
        <v>259</v>
      </c>
      <c r="BR432" t="s">
        <v>94</v>
      </c>
      <c r="BS432" s="1">
        <v>31454</v>
      </c>
      <c r="BT432">
        <v>40</v>
      </c>
      <c r="BU432" t="s">
        <v>89</v>
      </c>
      <c r="BV432" t="s">
        <v>89</v>
      </c>
      <c r="BW432">
        <v>18</v>
      </c>
      <c r="BX432">
        <v>1986</v>
      </c>
      <c r="BY432">
        <v>17</v>
      </c>
      <c r="BZ432">
        <f t="shared" si="62"/>
        <v>-5</v>
      </c>
      <c r="CA432">
        <f t="shared" si="63"/>
        <v>1</v>
      </c>
      <c r="CB432" t="b">
        <f t="shared" si="64"/>
        <v>0</v>
      </c>
    </row>
    <row r="433" spans="1:80" x14ac:dyDescent="0.3">
      <c r="A433" t="s">
        <v>3899</v>
      </c>
      <c r="B433" t="s">
        <v>71</v>
      </c>
      <c r="C433" t="s">
        <v>3900</v>
      </c>
      <c r="D433">
        <v>40</v>
      </c>
      <c r="E433" s="1">
        <v>31037</v>
      </c>
      <c r="F433" t="s">
        <v>89</v>
      </c>
      <c r="G433" t="s">
        <v>687</v>
      </c>
      <c r="H433" t="s">
        <v>89</v>
      </c>
      <c r="I433" t="s">
        <v>3901</v>
      </c>
      <c r="J433" t="s">
        <v>89</v>
      </c>
      <c r="K433" t="s">
        <v>89</v>
      </c>
      <c r="L433" t="s">
        <v>130</v>
      </c>
      <c r="M433">
        <v>23</v>
      </c>
      <c r="N433" t="s">
        <v>1181</v>
      </c>
      <c r="O433">
        <v>2008</v>
      </c>
      <c r="P433" t="s">
        <v>3902</v>
      </c>
      <c r="Q433" t="s">
        <v>3903</v>
      </c>
      <c r="R433">
        <v>71211</v>
      </c>
      <c r="S433" t="s">
        <v>3904</v>
      </c>
      <c r="T433" t="s">
        <v>3905</v>
      </c>
      <c r="U433">
        <v>1984</v>
      </c>
      <c r="V433" t="s">
        <v>3906</v>
      </c>
      <c r="W433">
        <v>1.72</v>
      </c>
      <c r="X433" t="s">
        <v>76</v>
      </c>
      <c r="Y433" t="s">
        <v>106</v>
      </c>
      <c r="Z433" t="s">
        <v>152</v>
      </c>
      <c r="AA433" t="s">
        <v>3907</v>
      </c>
      <c r="AB433">
        <v>44203</v>
      </c>
      <c r="AC433" t="s">
        <v>108</v>
      </c>
      <c r="AD433" t="s">
        <v>89</v>
      </c>
      <c r="AE433" t="s">
        <v>237</v>
      </c>
      <c r="AF433">
        <v>25</v>
      </c>
      <c r="AG433" t="s">
        <v>91</v>
      </c>
      <c r="AH433" t="s">
        <v>3908</v>
      </c>
      <c r="AI433">
        <v>23</v>
      </c>
      <c r="AJ433" t="s">
        <v>110</v>
      </c>
      <c r="AK433">
        <v>23</v>
      </c>
      <c r="AL433">
        <v>6</v>
      </c>
      <c r="AM433">
        <v>187</v>
      </c>
      <c r="AN433">
        <v>25</v>
      </c>
      <c r="AO433">
        <v>2</v>
      </c>
      <c r="AP433" t="s">
        <v>93</v>
      </c>
      <c r="AQ433" t="s">
        <v>89</v>
      </c>
      <c r="AR433" t="s">
        <v>89</v>
      </c>
      <c r="AS433" t="s">
        <v>111</v>
      </c>
      <c r="AT433">
        <v>44203</v>
      </c>
      <c r="AU433">
        <v>2021</v>
      </c>
      <c r="AV433">
        <v>13</v>
      </c>
      <c r="AW433">
        <v>13</v>
      </c>
      <c r="AX433" t="s">
        <v>89</v>
      </c>
      <c r="AY433" t="s">
        <v>93</v>
      </c>
      <c r="AZ433">
        <v>0</v>
      </c>
      <c r="BA433">
        <v>0</v>
      </c>
      <c r="BB433">
        <v>0</v>
      </c>
      <c r="BC433">
        <v>0</v>
      </c>
      <c r="BD433">
        <v>118</v>
      </c>
      <c r="BE433">
        <v>6669</v>
      </c>
      <c r="BF433">
        <v>7</v>
      </c>
      <c r="BG433">
        <v>37</v>
      </c>
      <c r="BH433">
        <v>118</v>
      </c>
      <c r="BI433">
        <v>6669</v>
      </c>
      <c r="BJ433">
        <v>7</v>
      </c>
      <c r="BK433">
        <f t="shared" si="56"/>
        <v>118</v>
      </c>
      <c r="BL433">
        <f t="shared" si="57"/>
        <v>6669</v>
      </c>
      <c r="BM433">
        <f t="shared" si="58"/>
        <v>7</v>
      </c>
      <c r="BN433">
        <f t="shared" si="59"/>
        <v>0</v>
      </c>
      <c r="BO433">
        <f t="shared" si="60"/>
        <v>0</v>
      </c>
      <c r="BP433">
        <f t="shared" si="61"/>
        <v>0</v>
      </c>
      <c r="BQ433" t="s">
        <v>106</v>
      </c>
      <c r="BR433" t="s">
        <v>112</v>
      </c>
      <c r="BS433" s="1">
        <v>31037</v>
      </c>
      <c r="BT433">
        <v>41</v>
      </c>
      <c r="BU433">
        <v>44203</v>
      </c>
      <c r="BV433" t="s">
        <v>89</v>
      </c>
      <c r="BW433">
        <v>14</v>
      </c>
      <c r="BX433">
        <v>1984</v>
      </c>
      <c r="BY433">
        <v>14</v>
      </c>
      <c r="BZ433">
        <f t="shared" si="62"/>
        <v>-1</v>
      </c>
      <c r="CA433">
        <f t="shared" si="63"/>
        <v>0</v>
      </c>
      <c r="CB433" t="b">
        <f t="shared" si="64"/>
        <v>0</v>
      </c>
    </row>
    <row r="434" spans="1:80" x14ac:dyDescent="0.3">
      <c r="A434" t="s">
        <v>3909</v>
      </c>
      <c r="B434" t="s">
        <v>156</v>
      </c>
      <c r="C434" t="s">
        <v>3910</v>
      </c>
      <c r="D434">
        <v>32</v>
      </c>
      <c r="E434" t="s">
        <v>3911</v>
      </c>
      <c r="F434" t="s">
        <v>3912</v>
      </c>
      <c r="G434" t="s">
        <v>858</v>
      </c>
      <c r="H434" t="s">
        <v>177</v>
      </c>
      <c r="I434" t="s">
        <v>386</v>
      </c>
      <c r="J434" t="s">
        <v>78</v>
      </c>
      <c r="K434" t="s">
        <v>3913</v>
      </c>
      <c r="L434" t="s">
        <v>762</v>
      </c>
      <c r="M434">
        <v>21</v>
      </c>
      <c r="N434" t="s">
        <v>402</v>
      </c>
      <c r="O434">
        <v>2014</v>
      </c>
      <c r="P434" t="s">
        <v>3914</v>
      </c>
      <c r="Q434" t="s">
        <v>3915</v>
      </c>
      <c r="R434">
        <v>226005</v>
      </c>
      <c r="S434" t="s">
        <v>3909</v>
      </c>
      <c r="T434" s="1">
        <v>34122</v>
      </c>
      <c r="U434">
        <v>1993</v>
      </c>
      <c r="V434" t="s">
        <v>3916</v>
      </c>
      <c r="W434">
        <v>1.67</v>
      </c>
      <c r="X434" t="s">
        <v>169</v>
      </c>
      <c r="Y434" t="s">
        <v>391</v>
      </c>
      <c r="Z434" t="s">
        <v>87</v>
      </c>
      <c r="AA434" t="s">
        <v>3917</v>
      </c>
      <c r="AB434">
        <v>45809</v>
      </c>
      <c r="AC434" t="s">
        <v>188</v>
      </c>
      <c r="AD434" t="s">
        <v>89</v>
      </c>
      <c r="AE434">
        <v>41498</v>
      </c>
      <c r="AF434">
        <v>20</v>
      </c>
      <c r="AG434" t="s">
        <v>189</v>
      </c>
      <c r="AH434" t="s">
        <v>92</v>
      </c>
      <c r="AI434" t="s">
        <v>89</v>
      </c>
      <c r="AJ434" t="s">
        <v>92</v>
      </c>
      <c r="AK434">
        <v>20</v>
      </c>
      <c r="AL434">
        <v>2</v>
      </c>
      <c r="AM434">
        <v>88</v>
      </c>
      <c r="AN434">
        <v>14</v>
      </c>
      <c r="AO434">
        <v>2</v>
      </c>
      <c r="AP434" t="s">
        <v>93</v>
      </c>
      <c r="AQ434" t="s">
        <v>89</v>
      </c>
      <c r="AR434" t="s">
        <v>89</v>
      </c>
      <c r="AS434" t="s">
        <v>93</v>
      </c>
      <c r="AT434" t="s">
        <v>89</v>
      </c>
      <c r="AU434" t="s">
        <v>89</v>
      </c>
      <c r="AV434" t="s">
        <v>89</v>
      </c>
      <c r="AW434">
        <v>11</v>
      </c>
      <c r="AX434">
        <v>7</v>
      </c>
      <c r="AY434" t="s">
        <v>93</v>
      </c>
      <c r="AZ434">
        <v>0</v>
      </c>
      <c r="BA434">
        <v>0</v>
      </c>
      <c r="BB434">
        <v>0</v>
      </c>
      <c r="BC434">
        <v>0</v>
      </c>
      <c r="BD434">
        <v>283</v>
      </c>
      <c r="BE434">
        <v>17658</v>
      </c>
      <c r="BF434">
        <v>34</v>
      </c>
      <c r="BG434" t="s">
        <v>89</v>
      </c>
      <c r="BH434">
        <v>283</v>
      </c>
      <c r="BI434">
        <v>17658</v>
      </c>
      <c r="BJ434">
        <v>34</v>
      </c>
      <c r="BK434">
        <f t="shared" si="56"/>
        <v>283</v>
      </c>
      <c r="BL434">
        <f t="shared" si="57"/>
        <v>17658</v>
      </c>
      <c r="BM434">
        <f t="shared" si="58"/>
        <v>34</v>
      </c>
      <c r="BN434">
        <f t="shared" si="59"/>
        <v>0</v>
      </c>
      <c r="BO434">
        <f t="shared" si="60"/>
        <v>0</v>
      </c>
      <c r="BP434">
        <f t="shared" si="61"/>
        <v>0</v>
      </c>
      <c r="BQ434" t="s">
        <v>391</v>
      </c>
      <c r="BR434" t="s">
        <v>112</v>
      </c>
      <c r="BS434" s="1">
        <v>34006</v>
      </c>
      <c r="BT434">
        <v>33</v>
      </c>
      <c r="BU434" t="s">
        <v>89</v>
      </c>
      <c r="BV434" t="s">
        <v>89</v>
      </c>
      <c r="BW434">
        <v>13</v>
      </c>
      <c r="BX434">
        <v>1993</v>
      </c>
      <c r="BY434">
        <v>12</v>
      </c>
      <c r="BZ434">
        <f t="shared" si="62"/>
        <v>-2</v>
      </c>
      <c r="CA434">
        <f t="shared" si="63"/>
        <v>1</v>
      </c>
      <c r="CB434" t="b">
        <f t="shared" si="64"/>
        <v>0</v>
      </c>
    </row>
    <row r="435" spans="1:80" x14ac:dyDescent="0.3">
      <c r="A435" t="s">
        <v>3918</v>
      </c>
      <c r="B435" t="s">
        <v>156</v>
      </c>
      <c r="C435" t="s">
        <v>3919</v>
      </c>
      <c r="D435">
        <v>37</v>
      </c>
      <c r="E435" t="s">
        <v>3920</v>
      </c>
      <c r="F435" t="s">
        <v>3921</v>
      </c>
      <c r="G435" t="s">
        <v>321</v>
      </c>
      <c r="H435" t="s">
        <v>177</v>
      </c>
      <c r="I435" t="s">
        <v>437</v>
      </c>
      <c r="J435" t="s">
        <v>78</v>
      </c>
      <c r="K435" t="s">
        <v>3922</v>
      </c>
      <c r="L435" t="s">
        <v>228</v>
      </c>
      <c r="M435">
        <v>22</v>
      </c>
      <c r="N435" t="s">
        <v>490</v>
      </c>
      <c r="O435">
        <v>2010</v>
      </c>
      <c r="P435" t="s">
        <v>3923</v>
      </c>
      <c r="Q435" t="s">
        <v>3924</v>
      </c>
      <c r="R435">
        <v>75035</v>
      </c>
      <c r="S435" t="s">
        <v>3918</v>
      </c>
      <c r="T435" t="s">
        <v>3925</v>
      </c>
      <c r="U435">
        <v>1988</v>
      </c>
      <c r="V435" t="s">
        <v>3926</v>
      </c>
      <c r="W435">
        <v>1.81</v>
      </c>
      <c r="X435" t="s">
        <v>177</v>
      </c>
      <c r="Y435" t="s">
        <v>123</v>
      </c>
      <c r="Z435" t="s">
        <v>87</v>
      </c>
      <c r="AA435" t="s">
        <v>3922</v>
      </c>
      <c r="AB435" s="1">
        <v>45231</v>
      </c>
      <c r="AC435" t="s">
        <v>222</v>
      </c>
      <c r="AD435" t="s">
        <v>89</v>
      </c>
      <c r="AE435" t="s">
        <v>3670</v>
      </c>
      <c r="AF435">
        <v>19</v>
      </c>
      <c r="AG435" t="s">
        <v>171</v>
      </c>
      <c r="AH435" t="s">
        <v>92</v>
      </c>
      <c r="AI435" t="s">
        <v>89</v>
      </c>
      <c r="AJ435" t="s">
        <v>92</v>
      </c>
      <c r="AK435">
        <v>19</v>
      </c>
      <c r="AL435">
        <v>8</v>
      </c>
      <c r="AM435">
        <v>181</v>
      </c>
      <c r="AN435">
        <v>29</v>
      </c>
      <c r="AO435">
        <v>5</v>
      </c>
      <c r="AP435" t="s">
        <v>93</v>
      </c>
      <c r="AQ435" t="s">
        <v>89</v>
      </c>
      <c r="AR435" t="s">
        <v>89</v>
      </c>
      <c r="AS435" t="s">
        <v>93</v>
      </c>
      <c r="AT435" t="s">
        <v>89</v>
      </c>
      <c r="AU435" t="s">
        <v>89</v>
      </c>
      <c r="AV435" t="s">
        <v>89</v>
      </c>
      <c r="AW435">
        <v>15</v>
      </c>
      <c r="AX435">
        <v>29</v>
      </c>
      <c r="AY435" t="s">
        <v>93</v>
      </c>
      <c r="AZ435">
        <v>0</v>
      </c>
      <c r="BA435">
        <v>0</v>
      </c>
      <c r="BB435">
        <v>0</v>
      </c>
      <c r="BC435">
        <v>0</v>
      </c>
      <c r="BD435">
        <v>371</v>
      </c>
      <c r="BE435">
        <v>23127</v>
      </c>
      <c r="BF435">
        <v>122</v>
      </c>
      <c r="BG435" t="s">
        <v>89</v>
      </c>
      <c r="BH435">
        <v>371</v>
      </c>
      <c r="BI435">
        <v>23127</v>
      </c>
      <c r="BJ435">
        <v>122</v>
      </c>
      <c r="BK435">
        <f t="shared" si="56"/>
        <v>371</v>
      </c>
      <c r="BL435">
        <f t="shared" si="57"/>
        <v>23127</v>
      </c>
      <c r="BM435">
        <f t="shared" si="58"/>
        <v>122</v>
      </c>
      <c r="BN435">
        <f t="shared" si="59"/>
        <v>0</v>
      </c>
      <c r="BO435">
        <f t="shared" si="60"/>
        <v>0</v>
      </c>
      <c r="BP435">
        <f t="shared" si="61"/>
        <v>0</v>
      </c>
      <c r="BQ435" t="s">
        <v>123</v>
      </c>
      <c r="BR435" t="s">
        <v>112</v>
      </c>
      <c r="BS435" s="1">
        <v>32339</v>
      </c>
      <c r="BT435">
        <v>37</v>
      </c>
      <c r="BU435" t="s">
        <v>89</v>
      </c>
      <c r="BV435" t="s">
        <v>89</v>
      </c>
      <c r="BW435">
        <v>18</v>
      </c>
      <c r="BX435">
        <v>1988</v>
      </c>
      <c r="BY435">
        <v>18</v>
      </c>
      <c r="BZ435">
        <f t="shared" si="62"/>
        <v>-3</v>
      </c>
      <c r="CA435">
        <f t="shared" si="63"/>
        <v>0</v>
      </c>
      <c r="CB435" t="b">
        <f t="shared" si="64"/>
        <v>0</v>
      </c>
    </row>
    <row r="436" spans="1:80" x14ac:dyDescent="0.3">
      <c r="A436" t="s">
        <v>3927</v>
      </c>
      <c r="B436" t="s">
        <v>156</v>
      </c>
      <c r="C436" t="s">
        <v>3928</v>
      </c>
      <c r="D436">
        <v>36</v>
      </c>
      <c r="E436" s="1">
        <v>32561</v>
      </c>
      <c r="F436" t="s">
        <v>3929</v>
      </c>
      <c r="G436" t="s">
        <v>819</v>
      </c>
      <c r="H436" t="s">
        <v>3930</v>
      </c>
      <c r="I436" t="s">
        <v>3931</v>
      </c>
      <c r="J436" t="s">
        <v>300</v>
      </c>
      <c r="K436" t="s">
        <v>3932</v>
      </c>
      <c r="L436" t="s">
        <v>278</v>
      </c>
      <c r="M436">
        <v>22</v>
      </c>
      <c r="N436" t="s">
        <v>3933</v>
      </c>
      <c r="O436">
        <v>2011</v>
      </c>
      <c r="P436" t="s">
        <v>3934</v>
      </c>
      <c r="Q436" t="s">
        <v>3935</v>
      </c>
      <c r="R436">
        <v>76163</v>
      </c>
      <c r="S436" t="s">
        <v>3927</v>
      </c>
      <c r="T436" t="s">
        <v>3936</v>
      </c>
      <c r="U436">
        <v>1989</v>
      </c>
      <c r="V436" t="s">
        <v>3937</v>
      </c>
      <c r="W436">
        <v>1.87</v>
      </c>
      <c r="X436" t="s">
        <v>169</v>
      </c>
      <c r="Y436" t="s">
        <v>106</v>
      </c>
      <c r="Z436" t="s">
        <v>152</v>
      </c>
      <c r="AA436" t="s">
        <v>3932</v>
      </c>
      <c r="AB436" t="s">
        <v>1873</v>
      </c>
      <c r="AC436" t="s">
        <v>170</v>
      </c>
      <c r="AD436" t="s">
        <v>89</v>
      </c>
      <c r="AE436">
        <v>41122</v>
      </c>
      <c r="AF436">
        <v>22</v>
      </c>
      <c r="AG436" t="s">
        <v>573</v>
      </c>
      <c r="AH436" t="s">
        <v>3938</v>
      </c>
      <c r="AI436">
        <v>20</v>
      </c>
      <c r="AJ436" t="s">
        <v>2210</v>
      </c>
      <c r="AK436">
        <v>20</v>
      </c>
      <c r="AL436">
        <v>1</v>
      </c>
      <c r="AM436">
        <v>32</v>
      </c>
      <c r="AN436">
        <v>7</v>
      </c>
      <c r="AO436">
        <v>1</v>
      </c>
      <c r="AP436" t="s">
        <v>93</v>
      </c>
      <c r="AQ436" t="s">
        <v>89</v>
      </c>
      <c r="AR436" t="s">
        <v>89</v>
      </c>
      <c r="AS436" t="s">
        <v>93</v>
      </c>
      <c r="AT436" t="s">
        <v>89</v>
      </c>
      <c r="AU436" t="s">
        <v>89</v>
      </c>
      <c r="AV436" t="s">
        <v>89</v>
      </c>
      <c r="AW436">
        <v>14</v>
      </c>
      <c r="AX436">
        <v>20</v>
      </c>
      <c r="AY436" t="s">
        <v>111</v>
      </c>
      <c r="AZ436">
        <v>3</v>
      </c>
      <c r="BA436">
        <v>5</v>
      </c>
      <c r="BB436">
        <v>162</v>
      </c>
      <c r="BC436">
        <v>0</v>
      </c>
      <c r="BD436">
        <v>467</v>
      </c>
      <c r="BE436">
        <v>30833</v>
      </c>
      <c r="BF436">
        <v>88</v>
      </c>
      <c r="BG436" t="s">
        <v>89</v>
      </c>
      <c r="BH436">
        <v>472</v>
      </c>
      <c r="BI436">
        <v>30995</v>
      </c>
      <c r="BJ436">
        <v>88</v>
      </c>
      <c r="BK436">
        <f t="shared" si="56"/>
        <v>472</v>
      </c>
      <c r="BL436">
        <f t="shared" si="57"/>
        <v>30995</v>
      </c>
      <c r="BM436">
        <f t="shared" si="58"/>
        <v>88</v>
      </c>
      <c r="BN436">
        <f t="shared" si="59"/>
        <v>0</v>
      </c>
      <c r="BO436">
        <f t="shared" si="60"/>
        <v>0</v>
      </c>
      <c r="BP436">
        <f t="shared" si="61"/>
        <v>0</v>
      </c>
      <c r="BQ436" t="s">
        <v>106</v>
      </c>
      <c r="BR436" t="s">
        <v>112</v>
      </c>
      <c r="BS436" s="1">
        <v>32561</v>
      </c>
      <c r="BT436">
        <v>36</v>
      </c>
      <c r="BU436" t="s">
        <v>89</v>
      </c>
      <c r="BV436" t="s">
        <v>89</v>
      </c>
      <c r="BW436">
        <v>16</v>
      </c>
      <c r="BX436">
        <v>1989</v>
      </c>
      <c r="BY436">
        <v>16</v>
      </c>
      <c r="BZ436">
        <f t="shared" si="62"/>
        <v>-2</v>
      </c>
      <c r="CA436">
        <f t="shared" si="63"/>
        <v>0</v>
      </c>
      <c r="CB436" t="b">
        <f t="shared" si="64"/>
        <v>0</v>
      </c>
    </row>
    <row r="437" spans="1:80" x14ac:dyDescent="0.3">
      <c r="A437" t="s">
        <v>3939</v>
      </c>
      <c r="B437" t="s">
        <v>156</v>
      </c>
      <c r="C437" t="s">
        <v>3940</v>
      </c>
      <c r="D437">
        <v>34</v>
      </c>
      <c r="E437" s="1">
        <v>33121</v>
      </c>
      <c r="F437" t="s">
        <v>89</v>
      </c>
      <c r="G437" t="s">
        <v>298</v>
      </c>
      <c r="H437" t="s">
        <v>177</v>
      </c>
      <c r="I437" t="s">
        <v>253</v>
      </c>
      <c r="J437" t="s">
        <v>78</v>
      </c>
      <c r="K437" t="s">
        <v>89</v>
      </c>
      <c r="L437" t="s">
        <v>254</v>
      </c>
      <c r="M437">
        <v>18</v>
      </c>
      <c r="N437" t="s">
        <v>3941</v>
      </c>
      <c r="O437">
        <v>2009</v>
      </c>
      <c r="P437" t="s">
        <v>3942</v>
      </c>
      <c r="Q437" t="s">
        <v>3943</v>
      </c>
      <c r="R437">
        <v>73083</v>
      </c>
      <c r="S437" t="s">
        <v>3939</v>
      </c>
      <c r="T437">
        <v>33002</v>
      </c>
      <c r="U437">
        <v>1990</v>
      </c>
      <c r="V437" t="s">
        <v>3944</v>
      </c>
      <c r="W437">
        <v>1.76</v>
      </c>
      <c r="X437" t="s">
        <v>169</v>
      </c>
      <c r="Y437" t="s">
        <v>86</v>
      </c>
      <c r="Z437" t="s">
        <v>87</v>
      </c>
      <c r="AA437" t="s">
        <v>3945</v>
      </c>
      <c r="AB437" s="1">
        <v>45298</v>
      </c>
      <c r="AC437" t="s">
        <v>108</v>
      </c>
      <c r="AD437" t="s">
        <v>89</v>
      </c>
      <c r="AE437" t="s">
        <v>747</v>
      </c>
      <c r="AF437">
        <v>17</v>
      </c>
      <c r="AG437" t="s">
        <v>171</v>
      </c>
      <c r="AH437" t="s">
        <v>3946</v>
      </c>
      <c r="AI437">
        <v>23</v>
      </c>
      <c r="AJ437" t="s">
        <v>575</v>
      </c>
      <c r="AK437">
        <v>17</v>
      </c>
      <c r="AL437">
        <v>5</v>
      </c>
      <c r="AM437">
        <v>1031</v>
      </c>
      <c r="AN437">
        <v>115</v>
      </c>
      <c r="AO437">
        <v>4</v>
      </c>
      <c r="AP437" t="s">
        <v>93</v>
      </c>
      <c r="AQ437" t="s">
        <v>89</v>
      </c>
      <c r="AR437" t="s">
        <v>89</v>
      </c>
      <c r="AS437" t="s">
        <v>111</v>
      </c>
      <c r="AT437" s="1">
        <v>45298</v>
      </c>
      <c r="AU437">
        <v>2024</v>
      </c>
      <c r="AV437">
        <v>15</v>
      </c>
      <c r="AW437">
        <v>15</v>
      </c>
      <c r="AX437" t="s">
        <v>89</v>
      </c>
      <c r="AY437" t="s">
        <v>93</v>
      </c>
      <c r="AZ437">
        <v>0</v>
      </c>
      <c r="BA437">
        <v>0</v>
      </c>
      <c r="BB437">
        <v>0</v>
      </c>
      <c r="BC437">
        <v>0</v>
      </c>
      <c r="BD437">
        <v>167</v>
      </c>
      <c r="BE437">
        <v>8066</v>
      </c>
      <c r="BF437">
        <v>8</v>
      </c>
      <c r="BG437">
        <v>34</v>
      </c>
      <c r="BH437">
        <v>167</v>
      </c>
      <c r="BI437">
        <v>8066</v>
      </c>
      <c r="BJ437">
        <v>8</v>
      </c>
      <c r="BK437">
        <f t="shared" si="56"/>
        <v>167</v>
      </c>
      <c r="BL437">
        <f t="shared" si="57"/>
        <v>8066</v>
      </c>
      <c r="BM437">
        <f t="shared" si="58"/>
        <v>8</v>
      </c>
      <c r="BN437">
        <f t="shared" si="59"/>
        <v>0</v>
      </c>
      <c r="BO437">
        <f t="shared" si="60"/>
        <v>0</v>
      </c>
      <c r="BP437">
        <f t="shared" si="61"/>
        <v>0</v>
      </c>
      <c r="BQ437" t="s">
        <v>86</v>
      </c>
      <c r="BR437" t="s">
        <v>94</v>
      </c>
      <c r="BS437" t="s">
        <v>89</v>
      </c>
      <c r="BT437">
        <v>36</v>
      </c>
      <c r="BU437" s="1">
        <v>45298</v>
      </c>
      <c r="BV437" s="1">
        <v>45474</v>
      </c>
      <c r="BW437">
        <v>17</v>
      </c>
      <c r="BX437">
        <v>1990</v>
      </c>
      <c r="BY437">
        <v>17</v>
      </c>
      <c r="BZ437">
        <f t="shared" si="62"/>
        <v>-2</v>
      </c>
      <c r="CA437">
        <f t="shared" si="63"/>
        <v>0</v>
      </c>
      <c r="CB437" t="b">
        <f t="shared" si="64"/>
        <v>0</v>
      </c>
    </row>
    <row r="438" spans="1:80" x14ac:dyDescent="0.3">
      <c r="A438" t="s">
        <v>3947</v>
      </c>
      <c r="B438" t="s">
        <v>617</v>
      </c>
      <c r="C438" t="s">
        <v>3948</v>
      </c>
      <c r="D438">
        <v>35</v>
      </c>
      <c r="E438" t="s">
        <v>3949</v>
      </c>
      <c r="F438" t="s">
        <v>3125</v>
      </c>
      <c r="G438" t="s">
        <v>75</v>
      </c>
      <c r="H438" t="s">
        <v>619</v>
      </c>
      <c r="I438" t="s">
        <v>3295</v>
      </c>
      <c r="J438" t="s">
        <v>300</v>
      </c>
      <c r="K438" t="s">
        <v>2365</v>
      </c>
      <c r="L438" t="s">
        <v>762</v>
      </c>
      <c r="M438">
        <v>24</v>
      </c>
      <c r="N438" t="s">
        <v>181</v>
      </c>
      <c r="O438">
        <v>2014</v>
      </c>
      <c r="P438" t="s">
        <v>3950</v>
      </c>
      <c r="Q438" t="s">
        <v>3951</v>
      </c>
      <c r="R438">
        <v>208715</v>
      </c>
      <c r="S438" t="s">
        <v>3947</v>
      </c>
      <c r="T438">
        <v>32997</v>
      </c>
      <c r="U438">
        <v>1990</v>
      </c>
      <c r="V438" t="s">
        <v>3130</v>
      </c>
      <c r="W438">
        <v>1.78</v>
      </c>
      <c r="X438" t="s">
        <v>619</v>
      </c>
      <c r="Y438" t="s">
        <v>391</v>
      </c>
      <c r="Z438" t="s">
        <v>152</v>
      </c>
      <c r="AA438" t="s">
        <v>3952</v>
      </c>
      <c r="AB438">
        <v>45292</v>
      </c>
      <c r="AC438" t="s">
        <v>222</v>
      </c>
      <c r="AD438" t="s">
        <v>89</v>
      </c>
      <c r="AE438" s="1">
        <v>40552</v>
      </c>
      <c r="AF438">
        <v>21</v>
      </c>
      <c r="AG438" t="s">
        <v>1943</v>
      </c>
      <c r="AH438" t="s">
        <v>3953</v>
      </c>
      <c r="AI438">
        <v>25</v>
      </c>
      <c r="AJ438" t="s">
        <v>110</v>
      </c>
      <c r="AK438">
        <v>21</v>
      </c>
      <c r="AL438">
        <v>1</v>
      </c>
      <c r="AM438">
        <v>9</v>
      </c>
      <c r="AN438">
        <v>2</v>
      </c>
      <c r="AO438">
        <v>1</v>
      </c>
      <c r="AP438" t="s">
        <v>93</v>
      </c>
      <c r="AQ438" t="s">
        <v>89</v>
      </c>
      <c r="AR438" t="s">
        <v>89</v>
      </c>
      <c r="AS438" t="s">
        <v>93</v>
      </c>
      <c r="AT438" t="s">
        <v>89</v>
      </c>
      <c r="AU438" t="s">
        <v>89</v>
      </c>
      <c r="AV438" t="s">
        <v>89</v>
      </c>
      <c r="AW438">
        <v>11</v>
      </c>
      <c r="AX438">
        <v>8</v>
      </c>
      <c r="AY438" t="s">
        <v>111</v>
      </c>
      <c r="AZ438">
        <v>2</v>
      </c>
      <c r="BA438">
        <v>2</v>
      </c>
      <c r="BB438">
        <v>91</v>
      </c>
      <c r="BC438">
        <v>0</v>
      </c>
      <c r="BD438">
        <v>366</v>
      </c>
      <c r="BE438">
        <v>25985</v>
      </c>
      <c r="BF438">
        <v>24</v>
      </c>
      <c r="BG438" t="s">
        <v>89</v>
      </c>
      <c r="BH438">
        <v>368</v>
      </c>
      <c r="BI438">
        <v>26076</v>
      </c>
      <c r="BJ438">
        <v>24</v>
      </c>
      <c r="BK438">
        <f t="shared" si="56"/>
        <v>368</v>
      </c>
      <c r="BL438">
        <f t="shared" si="57"/>
        <v>26076</v>
      </c>
      <c r="BM438">
        <f t="shared" si="58"/>
        <v>24</v>
      </c>
      <c r="BN438">
        <f t="shared" si="59"/>
        <v>0</v>
      </c>
      <c r="BO438">
        <f t="shared" si="60"/>
        <v>0</v>
      </c>
      <c r="BP438">
        <f t="shared" si="61"/>
        <v>0</v>
      </c>
      <c r="BQ438" t="s">
        <v>391</v>
      </c>
      <c r="BR438" t="s">
        <v>112</v>
      </c>
      <c r="BS438" t="s">
        <v>89</v>
      </c>
      <c r="BT438">
        <v>36</v>
      </c>
      <c r="BU438" t="s">
        <v>89</v>
      </c>
      <c r="BV438" t="s">
        <v>89</v>
      </c>
      <c r="BW438">
        <v>15</v>
      </c>
      <c r="BX438">
        <v>1990</v>
      </c>
      <c r="BY438">
        <v>14</v>
      </c>
      <c r="BZ438">
        <f t="shared" si="62"/>
        <v>-4</v>
      </c>
      <c r="CA438">
        <f t="shared" si="63"/>
        <v>1</v>
      </c>
      <c r="CB438" t="b">
        <f t="shared" si="64"/>
        <v>0</v>
      </c>
    </row>
    <row r="439" spans="1:80" x14ac:dyDescent="0.3">
      <c r="A439" t="s">
        <v>3954</v>
      </c>
      <c r="B439" t="s">
        <v>2121</v>
      </c>
      <c r="C439" t="s">
        <v>3955</v>
      </c>
      <c r="D439">
        <v>34</v>
      </c>
      <c r="E439" t="s">
        <v>3956</v>
      </c>
      <c r="F439" t="s">
        <v>3957</v>
      </c>
      <c r="G439" t="s">
        <v>687</v>
      </c>
      <c r="H439" t="s">
        <v>3958</v>
      </c>
      <c r="I439" t="s">
        <v>116</v>
      </c>
      <c r="J439" t="s">
        <v>300</v>
      </c>
      <c r="K439" t="s">
        <v>3959</v>
      </c>
      <c r="L439" t="s">
        <v>254</v>
      </c>
      <c r="M439">
        <v>18</v>
      </c>
      <c r="N439" t="s">
        <v>3960</v>
      </c>
      <c r="O439">
        <v>2009</v>
      </c>
      <c r="P439" t="s">
        <v>3961</v>
      </c>
      <c r="Q439" t="s">
        <v>3962</v>
      </c>
      <c r="R439">
        <v>74297</v>
      </c>
      <c r="S439" t="s">
        <v>3954</v>
      </c>
      <c r="T439" t="s">
        <v>3963</v>
      </c>
      <c r="U439">
        <v>1991</v>
      </c>
      <c r="V439" t="s">
        <v>678</v>
      </c>
      <c r="W439">
        <v>1.73</v>
      </c>
      <c r="X439" t="s">
        <v>3964</v>
      </c>
      <c r="Y439" t="s">
        <v>106</v>
      </c>
      <c r="Z439" t="s">
        <v>152</v>
      </c>
      <c r="AA439" t="s">
        <v>3959</v>
      </c>
      <c r="AB439" s="1">
        <v>45902</v>
      </c>
      <c r="AC439" t="s">
        <v>170</v>
      </c>
      <c r="AD439" t="s">
        <v>223</v>
      </c>
      <c r="AE439" t="s">
        <v>963</v>
      </c>
      <c r="AF439">
        <v>18</v>
      </c>
      <c r="AG439" t="s">
        <v>1653</v>
      </c>
      <c r="AH439">
        <v>44783</v>
      </c>
      <c r="AI439">
        <v>31</v>
      </c>
      <c r="AJ439" t="s">
        <v>1044</v>
      </c>
      <c r="AK439">
        <v>18</v>
      </c>
      <c r="AL439">
        <v>25</v>
      </c>
      <c r="AM439">
        <v>603</v>
      </c>
      <c r="AN439">
        <v>115</v>
      </c>
      <c r="AO439">
        <v>11</v>
      </c>
      <c r="AP439" t="s">
        <v>93</v>
      </c>
      <c r="AQ439" t="s">
        <v>89</v>
      </c>
      <c r="AR439" t="s">
        <v>89</v>
      </c>
      <c r="AS439" t="s">
        <v>93</v>
      </c>
      <c r="AT439" t="s">
        <v>89</v>
      </c>
      <c r="AU439" t="s">
        <v>89</v>
      </c>
      <c r="AV439" t="s">
        <v>89</v>
      </c>
      <c r="AW439">
        <v>16</v>
      </c>
      <c r="AX439">
        <v>10</v>
      </c>
      <c r="AY439" t="s">
        <v>111</v>
      </c>
      <c r="AZ439">
        <v>11</v>
      </c>
      <c r="BA439">
        <v>25</v>
      </c>
      <c r="BB439">
        <v>1596</v>
      </c>
      <c r="BC439">
        <v>3</v>
      </c>
      <c r="BD439">
        <v>347</v>
      </c>
      <c r="BE439">
        <v>23272</v>
      </c>
      <c r="BF439">
        <v>52</v>
      </c>
      <c r="BG439" t="s">
        <v>89</v>
      </c>
      <c r="BH439">
        <v>372</v>
      </c>
      <c r="BI439">
        <v>24868</v>
      </c>
      <c r="BJ439">
        <v>55</v>
      </c>
      <c r="BK439">
        <f t="shared" si="56"/>
        <v>372</v>
      </c>
      <c r="BL439">
        <f t="shared" si="57"/>
        <v>24868</v>
      </c>
      <c r="BM439">
        <f t="shared" si="58"/>
        <v>55</v>
      </c>
      <c r="BN439">
        <f t="shared" si="59"/>
        <v>0</v>
      </c>
      <c r="BO439">
        <f t="shared" si="60"/>
        <v>0</v>
      </c>
      <c r="BP439">
        <f t="shared" si="61"/>
        <v>0</v>
      </c>
      <c r="BQ439" t="s">
        <v>106</v>
      </c>
      <c r="BR439" t="s">
        <v>112</v>
      </c>
      <c r="BS439" s="1">
        <v>33410</v>
      </c>
      <c r="BT439">
        <v>34</v>
      </c>
      <c r="BU439" t="s">
        <v>89</v>
      </c>
      <c r="BV439" t="s">
        <v>89</v>
      </c>
      <c r="BW439">
        <v>16</v>
      </c>
      <c r="BX439">
        <v>1991</v>
      </c>
      <c r="BY439">
        <v>16</v>
      </c>
      <c r="BZ439">
        <f t="shared" si="62"/>
        <v>0</v>
      </c>
      <c r="CA439">
        <f t="shared" si="63"/>
        <v>0</v>
      </c>
      <c r="CB439" t="b">
        <f t="shared" si="64"/>
        <v>1</v>
      </c>
    </row>
    <row r="440" spans="1:80" x14ac:dyDescent="0.3">
      <c r="A440" t="s">
        <v>3965</v>
      </c>
      <c r="B440" t="s">
        <v>71</v>
      </c>
      <c r="C440" t="s">
        <v>3966</v>
      </c>
      <c r="D440">
        <v>42</v>
      </c>
      <c r="E440" s="1">
        <v>30507</v>
      </c>
      <c r="F440" t="s">
        <v>89</v>
      </c>
      <c r="G440" t="s">
        <v>115</v>
      </c>
      <c r="H440" t="s">
        <v>76</v>
      </c>
      <c r="I440" t="s">
        <v>288</v>
      </c>
      <c r="J440" t="s">
        <v>78</v>
      </c>
      <c r="K440" t="s">
        <v>89</v>
      </c>
      <c r="L440" t="s">
        <v>657</v>
      </c>
      <c r="M440">
        <v>20</v>
      </c>
      <c r="N440" t="s">
        <v>81</v>
      </c>
      <c r="O440">
        <v>2003</v>
      </c>
      <c r="P440" t="s">
        <v>3967</v>
      </c>
      <c r="Q440" t="s">
        <v>3968</v>
      </c>
      <c r="R440">
        <v>22969</v>
      </c>
      <c r="S440" t="s">
        <v>3965</v>
      </c>
      <c r="T440" t="s">
        <v>3969</v>
      </c>
      <c r="U440">
        <v>1983</v>
      </c>
      <c r="V440" t="s">
        <v>122</v>
      </c>
      <c r="W440">
        <v>1.81</v>
      </c>
      <c r="X440" t="s">
        <v>76</v>
      </c>
      <c r="Y440" t="s">
        <v>86</v>
      </c>
      <c r="Z440" t="s">
        <v>87</v>
      </c>
      <c r="AA440" t="s">
        <v>3970</v>
      </c>
      <c r="AB440" s="1">
        <v>43837</v>
      </c>
      <c r="AC440" t="s">
        <v>108</v>
      </c>
      <c r="AD440" t="s">
        <v>89</v>
      </c>
      <c r="AE440">
        <v>38170</v>
      </c>
      <c r="AF440">
        <v>20</v>
      </c>
      <c r="AG440" t="s">
        <v>91</v>
      </c>
      <c r="AH440" t="s">
        <v>3971</v>
      </c>
      <c r="AI440">
        <v>25</v>
      </c>
      <c r="AJ440" t="s">
        <v>110</v>
      </c>
      <c r="AK440">
        <v>20</v>
      </c>
      <c r="AL440">
        <v>1</v>
      </c>
      <c r="AM440">
        <v>9</v>
      </c>
      <c r="AN440">
        <v>1</v>
      </c>
      <c r="AO440">
        <v>1</v>
      </c>
      <c r="AP440" t="s">
        <v>93</v>
      </c>
      <c r="AQ440" t="s">
        <v>89</v>
      </c>
      <c r="AR440" t="s">
        <v>89</v>
      </c>
      <c r="AS440" t="s">
        <v>111</v>
      </c>
      <c r="AT440">
        <v>43837</v>
      </c>
      <c r="AU440">
        <v>2020</v>
      </c>
      <c r="AV440">
        <v>17</v>
      </c>
      <c r="AW440">
        <v>17</v>
      </c>
      <c r="AX440" t="s">
        <v>89</v>
      </c>
      <c r="AY440" t="s">
        <v>93</v>
      </c>
      <c r="AZ440">
        <v>0</v>
      </c>
      <c r="BA440">
        <v>0</v>
      </c>
      <c r="BB440">
        <v>0</v>
      </c>
      <c r="BC440">
        <v>0</v>
      </c>
      <c r="BD440">
        <v>552</v>
      </c>
      <c r="BE440">
        <v>42628</v>
      </c>
      <c r="BF440">
        <v>27</v>
      </c>
      <c r="BG440">
        <v>37</v>
      </c>
      <c r="BH440">
        <v>552</v>
      </c>
      <c r="BI440">
        <v>42628</v>
      </c>
      <c r="BJ440">
        <v>27</v>
      </c>
      <c r="BK440">
        <f t="shared" si="56"/>
        <v>552</v>
      </c>
      <c r="BL440">
        <f t="shared" si="57"/>
        <v>42628</v>
      </c>
      <c r="BM440">
        <f t="shared" si="58"/>
        <v>27</v>
      </c>
      <c r="BN440">
        <f t="shared" si="59"/>
        <v>0</v>
      </c>
      <c r="BO440">
        <f t="shared" si="60"/>
        <v>0</v>
      </c>
      <c r="BP440">
        <f t="shared" si="61"/>
        <v>0</v>
      </c>
      <c r="BQ440" t="s">
        <v>86</v>
      </c>
      <c r="BR440" t="s">
        <v>94</v>
      </c>
      <c r="BS440" t="s">
        <v>89</v>
      </c>
      <c r="BT440">
        <v>43</v>
      </c>
      <c r="BU440">
        <v>43837</v>
      </c>
      <c r="BV440" t="s">
        <v>89</v>
      </c>
      <c r="BW440">
        <v>17</v>
      </c>
      <c r="BX440">
        <v>1983</v>
      </c>
      <c r="BY440">
        <v>17</v>
      </c>
      <c r="BZ440">
        <f t="shared" si="62"/>
        <v>0</v>
      </c>
      <c r="CA440">
        <f t="shared" si="63"/>
        <v>0</v>
      </c>
      <c r="CB440" t="b">
        <f t="shared" si="64"/>
        <v>1</v>
      </c>
    </row>
    <row r="441" spans="1:80" x14ac:dyDescent="0.3">
      <c r="A441" t="s">
        <v>3972</v>
      </c>
      <c r="B441" t="s">
        <v>156</v>
      </c>
      <c r="C441" t="s">
        <v>3973</v>
      </c>
      <c r="D441">
        <v>44</v>
      </c>
      <c r="E441" s="1">
        <v>29471</v>
      </c>
      <c r="F441" t="s">
        <v>89</v>
      </c>
      <c r="G441" t="s">
        <v>321</v>
      </c>
      <c r="H441" t="s">
        <v>177</v>
      </c>
      <c r="I441" t="s">
        <v>227</v>
      </c>
      <c r="J441" t="s">
        <v>89</v>
      </c>
      <c r="K441" t="s">
        <v>89</v>
      </c>
      <c r="L441" t="s">
        <v>657</v>
      </c>
      <c r="M441">
        <v>22</v>
      </c>
      <c r="N441" t="s">
        <v>508</v>
      </c>
      <c r="O441">
        <v>2003</v>
      </c>
      <c r="P441" t="s">
        <v>3974</v>
      </c>
      <c r="Q441" t="s">
        <v>3975</v>
      </c>
      <c r="R441">
        <v>7968</v>
      </c>
      <c r="S441" t="s">
        <v>3972</v>
      </c>
      <c r="T441" s="1">
        <v>29411</v>
      </c>
      <c r="U441">
        <v>1980</v>
      </c>
      <c r="V441" t="s">
        <v>3976</v>
      </c>
      <c r="W441">
        <v>1.79</v>
      </c>
      <c r="X441" t="s">
        <v>169</v>
      </c>
      <c r="Y441" t="s">
        <v>235</v>
      </c>
      <c r="Z441" t="s">
        <v>152</v>
      </c>
      <c r="AA441" t="s">
        <v>3977</v>
      </c>
      <c r="AB441">
        <v>40915</v>
      </c>
      <c r="AC441" t="s">
        <v>108</v>
      </c>
      <c r="AD441" t="s">
        <v>89</v>
      </c>
      <c r="AE441" t="s">
        <v>3978</v>
      </c>
      <c r="AF441">
        <v>18</v>
      </c>
      <c r="AG441" t="s">
        <v>189</v>
      </c>
      <c r="AH441" t="s">
        <v>92</v>
      </c>
      <c r="AI441" t="s">
        <v>89</v>
      </c>
      <c r="AJ441" t="s">
        <v>92</v>
      </c>
      <c r="AK441">
        <v>18</v>
      </c>
      <c r="AL441">
        <v>6</v>
      </c>
      <c r="AM441">
        <v>1025</v>
      </c>
      <c r="AN441">
        <v>196</v>
      </c>
      <c r="AO441">
        <v>5</v>
      </c>
      <c r="AP441" t="s">
        <v>93</v>
      </c>
      <c r="AQ441" t="s">
        <v>89</v>
      </c>
      <c r="AR441" t="s">
        <v>89</v>
      </c>
      <c r="AS441" t="s">
        <v>111</v>
      </c>
      <c r="AT441">
        <v>40915</v>
      </c>
      <c r="AU441">
        <v>2012</v>
      </c>
      <c r="AV441">
        <v>9</v>
      </c>
      <c r="AW441">
        <v>9</v>
      </c>
      <c r="AX441" t="s">
        <v>89</v>
      </c>
      <c r="AY441" t="s">
        <v>111</v>
      </c>
      <c r="AZ441">
        <v>2</v>
      </c>
      <c r="BA441">
        <v>2</v>
      </c>
      <c r="BB441">
        <v>155</v>
      </c>
      <c r="BC441">
        <v>0</v>
      </c>
      <c r="BD441">
        <v>213</v>
      </c>
      <c r="BE441">
        <v>17827</v>
      </c>
      <c r="BF441">
        <v>6</v>
      </c>
      <c r="BG441">
        <v>32</v>
      </c>
      <c r="BH441">
        <v>215</v>
      </c>
      <c r="BI441">
        <v>17982</v>
      </c>
      <c r="BJ441">
        <v>6</v>
      </c>
      <c r="BK441">
        <f t="shared" si="56"/>
        <v>215</v>
      </c>
      <c r="BL441">
        <f t="shared" si="57"/>
        <v>17982</v>
      </c>
      <c r="BM441">
        <f t="shared" si="58"/>
        <v>6</v>
      </c>
      <c r="BN441">
        <f t="shared" si="59"/>
        <v>0</v>
      </c>
      <c r="BO441">
        <f t="shared" si="60"/>
        <v>0</v>
      </c>
      <c r="BP441">
        <f t="shared" si="61"/>
        <v>0</v>
      </c>
      <c r="BQ441" t="s">
        <v>235</v>
      </c>
      <c r="BR441" t="s">
        <v>140</v>
      </c>
      <c r="BS441" s="1">
        <v>29471</v>
      </c>
      <c r="BT441">
        <v>45</v>
      </c>
      <c r="BU441">
        <v>40915</v>
      </c>
      <c r="BV441" t="s">
        <v>89</v>
      </c>
      <c r="BW441">
        <v>14</v>
      </c>
      <c r="BX441">
        <v>1980</v>
      </c>
      <c r="BY441">
        <v>14</v>
      </c>
      <c r="BZ441">
        <f t="shared" si="62"/>
        <v>-5</v>
      </c>
      <c r="CA441">
        <f t="shared" si="63"/>
        <v>0</v>
      </c>
      <c r="CB441" t="b">
        <f t="shared" si="64"/>
        <v>0</v>
      </c>
    </row>
    <row r="442" spans="1:80" x14ac:dyDescent="0.3">
      <c r="A442" t="s">
        <v>3979</v>
      </c>
      <c r="B442" t="s">
        <v>776</v>
      </c>
      <c r="C442" t="s">
        <v>3980</v>
      </c>
      <c r="D442">
        <v>34</v>
      </c>
      <c r="E442" t="s">
        <v>3981</v>
      </c>
      <c r="F442" t="s">
        <v>3982</v>
      </c>
      <c r="G442" t="s">
        <v>819</v>
      </c>
      <c r="H442" t="s">
        <v>89</v>
      </c>
      <c r="I442" t="s">
        <v>227</v>
      </c>
      <c r="J442" t="s">
        <v>78</v>
      </c>
      <c r="K442" t="s">
        <v>3983</v>
      </c>
      <c r="L442" t="s">
        <v>324</v>
      </c>
      <c r="M442">
        <v>22</v>
      </c>
      <c r="N442" t="s">
        <v>763</v>
      </c>
      <c r="O442">
        <v>2013</v>
      </c>
      <c r="P442" t="s">
        <v>3984</v>
      </c>
      <c r="Q442" t="s">
        <v>3985</v>
      </c>
      <c r="R442">
        <v>149498</v>
      </c>
      <c r="S442" t="s">
        <v>3979</v>
      </c>
      <c r="T442" t="s">
        <v>3986</v>
      </c>
      <c r="U442">
        <v>1990</v>
      </c>
      <c r="V442" t="s">
        <v>3033</v>
      </c>
      <c r="W442">
        <v>1.85</v>
      </c>
      <c r="X442" t="s">
        <v>783</v>
      </c>
      <c r="Y442" t="s">
        <v>235</v>
      </c>
      <c r="Z442" t="s">
        <v>87</v>
      </c>
      <c r="AA442" t="s">
        <v>3138</v>
      </c>
      <c r="AB442">
        <v>45298</v>
      </c>
      <c r="AC442" t="s">
        <v>88</v>
      </c>
      <c r="AD442" t="s">
        <v>442</v>
      </c>
      <c r="AE442" t="s">
        <v>1424</v>
      </c>
      <c r="AF442">
        <v>19</v>
      </c>
      <c r="AG442" t="s">
        <v>786</v>
      </c>
      <c r="AH442" t="s">
        <v>3987</v>
      </c>
      <c r="AI442">
        <v>20</v>
      </c>
      <c r="AJ442" t="s">
        <v>986</v>
      </c>
      <c r="AK442">
        <v>19</v>
      </c>
      <c r="AL442">
        <v>15</v>
      </c>
      <c r="AM442">
        <v>518</v>
      </c>
      <c r="AN442">
        <v>76</v>
      </c>
      <c r="AO442">
        <v>8</v>
      </c>
      <c r="AP442" t="s">
        <v>93</v>
      </c>
      <c r="AQ442" t="s">
        <v>89</v>
      </c>
      <c r="AR442" t="s">
        <v>89</v>
      </c>
      <c r="AS442" t="s">
        <v>93</v>
      </c>
      <c r="AT442" t="s">
        <v>89</v>
      </c>
      <c r="AU442" t="s">
        <v>89</v>
      </c>
      <c r="AV442" t="s">
        <v>89</v>
      </c>
      <c r="AW442">
        <v>12</v>
      </c>
      <c r="AX442">
        <v>3</v>
      </c>
      <c r="AY442" t="s">
        <v>93</v>
      </c>
      <c r="AZ442">
        <v>0</v>
      </c>
      <c r="BA442">
        <v>0</v>
      </c>
      <c r="BB442">
        <v>0</v>
      </c>
      <c r="BC442">
        <v>0</v>
      </c>
      <c r="BD442">
        <v>361</v>
      </c>
      <c r="BE442">
        <v>30122</v>
      </c>
      <c r="BF442">
        <v>10</v>
      </c>
      <c r="BG442" t="s">
        <v>89</v>
      </c>
      <c r="BH442">
        <v>361</v>
      </c>
      <c r="BI442">
        <v>30122</v>
      </c>
      <c r="BJ442">
        <v>10</v>
      </c>
      <c r="BK442">
        <f t="shared" si="56"/>
        <v>361</v>
      </c>
      <c r="BL442">
        <f t="shared" si="57"/>
        <v>30122</v>
      </c>
      <c r="BM442">
        <f t="shared" si="58"/>
        <v>10</v>
      </c>
      <c r="BN442">
        <f t="shared" si="59"/>
        <v>0</v>
      </c>
      <c r="BO442">
        <f t="shared" si="60"/>
        <v>0</v>
      </c>
      <c r="BP442">
        <f t="shared" si="61"/>
        <v>0</v>
      </c>
      <c r="BQ442" t="s">
        <v>235</v>
      </c>
      <c r="BR442" t="s">
        <v>140</v>
      </c>
      <c r="BS442" s="1">
        <v>33203</v>
      </c>
      <c r="BT442">
        <v>35</v>
      </c>
      <c r="BU442" t="s">
        <v>89</v>
      </c>
      <c r="BV442" t="s">
        <v>89</v>
      </c>
      <c r="BW442">
        <v>16</v>
      </c>
      <c r="BX442">
        <v>1990</v>
      </c>
      <c r="BY442">
        <v>15</v>
      </c>
      <c r="BZ442">
        <f t="shared" si="62"/>
        <v>-4</v>
      </c>
      <c r="CA442">
        <f t="shared" si="63"/>
        <v>1</v>
      </c>
      <c r="CB442" t="b">
        <f t="shared" si="64"/>
        <v>0</v>
      </c>
    </row>
    <row r="443" spans="1:80" x14ac:dyDescent="0.3">
      <c r="A443" t="s">
        <v>3988</v>
      </c>
      <c r="B443" t="s">
        <v>2301</v>
      </c>
      <c r="C443" t="s">
        <v>3989</v>
      </c>
      <c r="D443">
        <v>35</v>
      </c>
      <c r="E443" s="1">
        <v>32834</v>
      </c>
      <c r="F443" t="s">
        <v>89</v>
      </c>
      <c r="G443" t="s">
        <v>731</v>
      </c>
      <c r="H443" t="s">
        <v>2303</v>
      </c>
      <c r="I443" t="s">
        <v>668</v>
      </c>
      <c r="J443" t="s">
        <v>639</v>
      </c>
      <c r="K443" t="s">
        <v>89</v>
      </c>
      <c r="L443" t="s">
        <v>163</v>
      </c>
      <c r="M443">
        <v>16</v>
      </c>
      <c r="N443" t="s">
        <v>3990</v>
      </c>
      <c r="O443">
        <v>2006</v>
      </c>
      <c r="P443" t="s">
        <v>3991</v>
      </c>
      <c r="Q443" t="s">
        <v>3992</v>
      </c>
      <c r="R443">
        <v>47184</v>
      </c>
      <c r="S443" t="s">
        <v>3988</v>
      </c>
      <c r="T443" t="s">
        <v>3993</v>
      </c>
      <c r="U443">
        <v>1989</v>
      </c>
      <c r="V443" t="s">
        <v>3994</v>
      </c>
      <c r="W443">
        <v>1.67</v>
      </c>
      <c r="X443" t="s">
        <v>2303</v>
      </c>
      <c r="Y443" t="s">
        <v>494</v>
      </c>
      <c r="Z443" t="s">
        <v>392</v>
      </c>
      <c r="AA443" t="s">
        <v>476</v>
      </c>
      <c r="AB443" t="s">
        <v>2939</v>
      </c>
      <c r="AC443" t="s">
        <v>108</v>
      </c>
      <c r="AD443" t="s">
        <v>89</v>
      </c>
      <c r="AE443" t="s">
        <v>3995</v>
      </c>
      <c r="AF443">
        <v>16</v>
      </c>
      <c r="AG443" t="s">
        <v>2311</v>
      </c>
      <c r="AH443">
        <v>44318</v>
      </c>
      <c r="AI443">
        <v>31</v>
      </c>
      <c r="AJ443" t="s">
        <v>3996</v>
      </c>
      <c r="AK443">
        <v>16</v>
      </c>
      <c r="AL443">
        <v>7</v>
      </c>
      <c r="AM443">
        <v>135</v>
      </c>
      <c r="AN443">
        <v>17</v>
      </c>
      <c r="AO443">
        <v>5</v>
      </c>
      <c r="AP443" t="s">
        <v>93</v>
      </c>
      <c r="AQ443" t="s">
        <v>89</v>
      </c>
      <c r="AR443" t="s">
        <v>89</v>
      </c>
      <c r="AS443" t="s">
        <v>93</v>
      </c>
      <c r="AT443" t="s">
        <v>89</v>
      </c>
      <c r="AU443" t="s">
        <v>89</v>
      </c>
      <c r="AV443" t="s">
        <v>89</v>
      </c>
      <c r="AW443">
        <v>19</v>
      </c>
      <c r="AX443">
        <v>9</v>
      </c>
      <c r="AY443" t="s">
        <v>111</v>
      </c>
      <c r="AZ443">
        <v>9</v>
      </c>
      <c r="BA443">
        <v>42</v>
      </c>
      <c r="BB443">
        <v>2446</v>
      </c>
      <c r="BC443">
        <v>7</v>
      </c>
      <c r="BD443">
        <v>376</v>
      </c>
      <c r="BE443">
        <v>23648</v>
      </c>
      <c r="BF443">
        <v>48</v>
      </c>
      <c r="BG443" t="s">
        <v>89</v>
      </c>
      <c r="BH443">
        <v>418</v>
      </c>
      <c r="BI443">
        <v>26094</v>
      </c>
      <c r="BJ443">
        <v>55</v>
      </c>
      <c r="BK443">
        <f t="shared" si="56"/>
        <v>418</v>
      </c>
      <c r="BL443">
        <f t="shared" si="57"/>
        <v>26094</v>
      </c>
      <c r="BM443">
        <f t="shared" si="58"/>
        <v>55</v>
      </c>
      <c r="BN443">
        <f t="shared" si="59"/>
        <v>0</v>
      </c>
      <c r="BO443">
        <f t="shared" si="60"/>
        <v>0</v>
      </c>
      <c r="BP443">
        <f t="shared" si="61"/>
        <v>0</v>
      </c>
      <c r="BQ443" t="s">
        <v>494</v>
      </c>
      <c r="BR443" t="s">
        <v>112</v>
      </c>
      <c r="BS443" s="1">
        <v>32834</v>
      </c>
      <c r="BT443">
        <v>36</v>
      </c>
      <c r="BU443" t="s">
        <v>89</v>
      </c>
      <c r="BV443" t="s">
        <v>89</v>
      </c>
      <c r="BW443">
        <v>20</v>
      </c>
      <c r="BX443">
        <v>1989</v>
      </c>
      <c r="BY443">
        <v>19</v>
      </c>
      <c r="BZ443">
        <f t="shared" si="62"/>
        <v>-1</v>
      </c>
      <c r="CA443">
        <f t="shared" si="63"/>
        <v>1</v>
      </c>
      <c r="CB443" t="b">
        <f t="shared" si="64"/>
        <v>0</v>
      </c>
    </row>
    <row r="444" spans="1:80" x14ac:dyDescent="0.3">
      <c r="A444" t="s">
        <v>3997</v>
      </c>
      <c r="B444" t="s">
        <v>71</v>
      </c>
      <c r="C444" t="s">
        <v>3998</v>
      </c>
      <c r="D444">
        <v>40</v>
      </c>
      <c r="E444" s="1">
        <v>30903</v>
      </c>
      <c r="F444" t="s">
        <v>89</v>
      </c>
      <c r="G444" t="s">
        <v>400</v>
      </c>
      <c r="H444" t="s">
        <v>89</v>
      </c>
      <c r="I444" t="s">
        <v>401</v>
      </c>
      <c r="J444" t="s">
        <v>78</v>
      </c>
      <c r="K444" t="s">
        <v>89</v>
      </c>
      <c r="L444" t="s">
        <v>130</v>
      </c>
      <c r="M444">
        <v>23</v>
      </c>
      <c r="N444" t="s">
        <v>1181</v>
      </c>
      <c r="O444">
        <v>2008</v>
      </c>
      <c r="P444" t="s">
        <v>3999</v>
      </c>
      <c r="Q444" t="s">
        <v>4000</v>
      </c>
      <c r="R444">
        <v>71840</v>
      </c>
      <c r="S444" t="s">
        <v>3997</v>
      </c>
      <c r="T444">
        <v>30933</v>
      </c>
      <c r="U444">
        <v>1984</v>
      </c>
      <c r="V444" t="s">
        <v>824</v>
      </c>
      <c r="W444">
        <v>1.82</v>
      </c>
      <c r="X444" t="s">
        <v>76</v>
      </c>
      <c r="Y444" t="s">
        <v>369</v>
      </c>
      <c r="Z444" t="s">
        <v>87</v>
      </c>
      <c r="AA444" t="s">
        <v>1900</v>
      </c>
      <c r="AB444" s="1">
        <v>43472</v>
      </c>
      <c r="AC444" t="s">
        <v>108</v>
      </c>
      <c r="AD444" t="s">
        <v>2335</v>
      </c>
      <c r="AE444">
        <v>39904</v>
      </c>
      <c r="AF444">
        <v>24</v>
      </c>
      <c r="AG444" t="s">
        <v>91</v>
      </c>
      <c r="AH444" t="s">
        <v>719</v>
      </c>
      <c r="AI444">
        <v>24</v>
      </c>
      <c r="AJ444" t="s">
        <v>110</v>
      </c>
      <c r="AK444">
        <v>24</v>
      </c>
      <c r="AL444">
        <v>7</v>
      </c>
      <c r="AM444">
        <v>178</v>
      </c>
      <c r="AN444">
        <v>31</v>
      </c>
      <c r="AO444">
        <v>3</v>
      </c>
      <c r="AP444" t="s">
        <v>93</v>
      </c>
      <c r="AQ444" t="s">
        <v>89</v>
      </c>
      <c r="AR444" t="s">
        <v>89</v>
      </c>
      <c r="AS444" t="s">
        <v>111</v>
      </c>
      <c r="AT444">
        <v>43472</v>
      </c>
      <c r="AU444">
        <v>2019</v>
      </c>
      <c r="AV444">
        <v>11</v>
      </c>
      <c r="AW444">
        <v>11</v>
      </c>
      <c r="AX444" t="s">
        <v>89</v>
      </c>
      <c r="AY444" t="s">
        <v>93</v>
      </c>
      <c r="AZ444">
        <v>0</v>
      </c>
      <c r="BA444">
        <v>0</v>
      </c>
      <c r="BB444">
        <v>0</v>
      </c>
      <c r="BC444">
        <v>0</v>
      </c>
      <c r="BD444">
        <v>289</v>
      </c>
      <c r="BE444">
        <v>15916</v>
      </c>
      <c r="BF444">
        <v>42</v>
      </c>
      <c r="BG444">
        <v>35</v>
      </c>
      <c r="BH444">
        <v>289</v>
      </c>
      <c r="BI444">
        <v>15916</v>
      </c>
      <c r="BJ444">
        <v>42</v>
      </c>
      <c r="BK444">
        <f t="shared" si="56"/>
        <v>289</v>
      </c>
      <c r="BL444">
        <f t="shared" si="57"/>
        <v>15916</v>
      </c>
      <c r="BM444">
        <f t="shared" si="58"/>
        <v>42</v>
      </c>
      <c r="BN444">
        <f t="shared" si="59"/>
        <v>0</v>
      </c>
      <c r="BO444">
        <f t="shared" si="60"/>
        <v>0</v>
      </c>
      <c r="BP444">
        <f t="shared" si="61"/>
        <v>0</v>
      </c>
      <c r="BQ444" t="s">
        <v>369</v>
      </c>
      <c r="BR444" t="s">
        <v>112</v>
      </c>
      <c r="BS444" t="s">
        <v>89</v>
      </c>
      <c r="BT444">
        <v>42</v>
      </c>
      <c r="BU444">
        <v>43472</v>
      </c>
      <c r="BV444" t="s">
        <v>89</v>
      </c>
      <c r="BW444">
        <v>11</v>
      </c>
      <c r="BX444">
        <v>1984</v>
      </c>
      <c r="BY444">
        <v>11</v>
      </c>
      <c r="BZ444">
        <f t="shared" si="62"/>
        <v>0</v>
      </c>
      <c r="CA444">
        <f t="shared" si="63"/>
        <v>0</v>
      </c>
      <c r="CB444" t="b">
        <f t="shared" si="64"/>
        <v>1</v>
      </c>
    </row>
    <row r="445" spans="1:80" x14ac:dyDescent="0.3">
      <c r="A445" t="s">
        <v>4001</v>
      </c>
      <c r="B445" t="s">
        <v>4002</v>
      </c>
      <c r="C445" t="s">
        <v>4003</v>
      </c>
      <c r="D445">
        <v>36</v>
      </c>
      <c r="E445" s="1">
        <v>32705</v>
      </c>
      <c r="F445" t="s">
        <v>89</v>
      </c>
      <c r="G445" t="s">
        <v>226</v>
      </c>
      <c r="H445" t="s">
        <v>4004</v>
      </c>
      <c r="I445" t="s">
        <v>116</v>
      </c>
      <c r="J445" t="s">
        <v>300</v>
      </c>
      <c r="K445" t="s">
        <v>89</v>
      </c>
      <c r="L445" t="s">
        <v>117</v>
      </c>
      <c r="M445">
        <v>16</v>
      </c>
      <c r="N445" t="s">
        <v>4005</v>
      </c>
      <c r="O445">
        <v>2005</v>
      </c>
      <c r="P445" t="s">
        <v>4006</v>
      </c>
      <c r="Q445" t="s">
        <v>4007</v>
      </c>
      <c r="R445">
        <v>39381</v>
      </c>
      <c r="S445" t="s">
        <v>4001</v>
      </c>
      <c r="T445" t="s">
        <v>4008</v>
      </c>
      <c r="U445">
        <v>1989</v>
      </c>
      <c r="V445" t="s">
        <v>4009</v>
      </c>
      <c r="W445">
        <v>1.86</v>
      </c>
      <c r="X445" t="s">
        <v>4010</v>
      </c>
      <c r="Y445" t="s">
        <v>494</v>
      </c>
      <c r="Z445" t="s">
        <v>152</v>
      </c>
      <c r="AA445" t="s">
        <v>2071</v>
      </c>
      <c r="AB445">
        <v>45170</v>
      </c>
      <c r="AC445" t="s">
        <v>108</v>
      </c>
      <c r="AD445" t="s">
        <v>442</v>
      </c>
      <c r="AE445" t="s">
        <v>449</v>
      </c>
      <c r="AF445">
        <v>18</v>
      </c>
      <c r="AG445" t="s">
        <v>1653</v>
      </c>
      <c r="AH445" t="s">
        <v>4011</v>
      </c>
      <c r="AI445">
        <v>16</v>
      </c>
      <c r="AJ445" t="s">
        <v>855</v>
      </c>
      <c r="AK445">
        <v>16</v>
      </c>
      <c r="AL445">
        <v>43</v>
      </c>
      <c r="AM445">
        <v>1122</v>
      </c>
      <c r="AN445">
        <v>256</v>
      </c>
      <c r="AO445">
        <v>15</v>
      </c>
      <c r="AP445" t="s">
        <v>93</v>
      </c>
      <c r="AQ445" t="s">
        <v>89</v>
      </c>
      <c r="AR445" t="s">
        <v>89</v>
      </c>
      <c r="AS445" t="s">
        <v>111</v>
      </c>
      <c r="AT445">
        <v>45170</v>
      </c>
      <c r="AU445">
        <v>2023</v>
      </c>
      <c r="AV445">
        <v>18</v>
      </c>
      <c r="AW445">
        <v>18</v>
      </c>
      <c r="AX445" t="s">
        <v>89</v>
      </c>
      <c r="AY445" t="s">
        <v>111</v>
      </c>
      <c r="AZ445">
        <v>20</v>
      </c>
      <c r="BA445">
        <v>96</v>
      </c>
      <c r="BB445">
        <v>7503</v>
      </c>
      <c r="BC445">
        <v>34</v>
      </c>
      <c r="BD445">
        <v>505</v>
      </c>
      <c r="BE445">
        <v>36962</v>
      </c>
      <c r="BF445">
        <v>171</v>
      </c>
      <c r="BG445">
        <v>34</v>
      </c>
      <c r="BH445">
        <v>601</v>
      </c>
      <c r="BI445">
        <v>44465</v>
      </c>
      <c r="BJ445">
        <v>205</v>
      </c>
      <c r="BK445">
        <f t="shared" si="56"/>
        <v>601</v>
      </c>
      <c r="BL445">
        <f t="shared" si="57"/>
        <v>44465</v>
      </c>
      <c r="BM445">
        <f t="shared" si="58"/>
        <v>205</v>
      </c>
      <c r="BN445">
        <f t="shared" si="59"/>
        <v>0</v>
      </c>
      <c r="BO445">
        <f t="shared" si="60"/>
        <v>0</v>
      </c>
      <c r="BP445">
        <f t="shared" si="61"/>
        <v>0</v>
      </c>
      <c r="BQ445" t="s">
        <v>494</v>
      </c>
      <c r="BR445" t="s">
        <v>112</v>
      </c>
      <c r="BS445" s="1">
        <v>32705</v>
      </c>
      <c r="BT445">
        <v>36</v>
      </c>
      <c r="BU445">
        <v>45170</v>
      </c>
      <c r="BV445" t="s">
        <v>89</v>
      </c>
      <c r="BW445">
        <v>18</v>
      </c>
      <c r="BX445">
        <v>1989</v>
      </c>
      <c r="BY445">
        <v>18</v>
      </c>
      <c r="BZ445">
        <f t="shared" si="62"/>
        <v>0</v>
      </c>
      <c r="CA445">
        <f t="shared" si="63"/>
        <v>0</v>
      </c>
      <c r="CB445" t="b">
        <f t="shared" si="64"/>
        <v>1</v>
      </c>
    </row>
    <row r="446" spans="1:80" x14ac:dyDescent="0.3">
      <c r="A446" t="s">
        <v>4012</v>
      </c>
      <c r="B446" t="s">
        <v>1640</v>
      </c>
      <c r="C446" t="s">
        <v>4013</v>
      </c>
      <c r="D446">
        <v>34</v>
      </c>
      <c r="E446" t="s">
        <v>4014</v>
      </c>
      <c r="F446" t="s">
        <v>4015</v>
      </c>
      <c r="G446" t="s">
        <v>687</v>
      </c>
      <c r="H446" t="s">
        <v>4016</v>
      </c>
      <c r="I446" t="s">
        <v>116</v>
      </c>
      <c r="J446" t="s">
        <v>78</v>
      </c>
      <c r="K446" t="s">
        <v>4017</v>
      </c>
      <c r="L446" t="s">
        <v>80</v>
      </c>
      <c r="M446">
        <v>21</v>
      </c>
      <c r="N446" t="s">
        <v>4018</v>
      </c>
      <c r="O446">
        <v>2012</v>
      </c>
      <c r="P446" t="s">
        <v>4019</v>
      </c>
      <c r="Q446" t="s">
        <v>4020</v>
      </c>
      <c r="R446">
        <v>170895</v>
      </c>
      <c r="S446" t="s">
        <v>4012</v>
      </c>
      <c r="T446" t="s">
        <v>4021</v>
      </c>
      <c r="U446">
        <v>1990</v>
      </c>
      <c r="V446" t="s">
        <v>4022</v>
      </c>
      <c r="W446">
        <v>1.73</v>
      </c>
      <c r="X446" t="s">
        <v>4023</v>
      </c>
      <c r="Y446" t="s">
        <v>391</v>
      </c>
      <c r="Z446" t="s">
        <v>87</v>
      </c>
      <c r="AA446" t="s">
        <v>1810</v>
      </c>
      <c r="AB446">
        <v>45664</v>
      </c>
      <c r="AC446" t="s">
        <v>1811</v>
      </c>
      <c r="AD446" t="s">
        <v>89</v>
      </c>
      <c r="AE446">
        <v>41336</v>
      </c>
      <c r="AF446">
        <v>22</v>
      </c>
      <c r="AG446" t="s">
        <v>4024</v>
      </c>
      <c r="AH446" s="1">
        <v>41190</v>
      </c>
      <c r="AI446">
        <v>21</v>
      </c>
      <c r="AJ446" t="s">
        <v>4025</v>
      </c>
      <c r="AK446">
        <v>21</v>
      </c>
      <c r="AL446">
        <v>26</v>
      </c>
      <c r="AM446">
        <v>450</v>
      </c>
      <c r="AN446">
        <v>78</v>
      </c>
      <c r="AO446">
        <v>11</v>
      </c>
      <c r="AP446" t="s">
        <v>93</v>
      </c>
      <c r="AQ446" t="s">
        <v>89</v>
      </c>
      <c r="AR446" t="s">
        <v>89</v>
      </c>
      <c r="AS446" t="s">
        <v>93</v>
      </c>
      <c r="AT446" t="s">
        <v>89</v>
      </c>
      <c r="AU446" t="s">
        <v>89</v>
      </c>
      <c r="AV446" t="s">
        <v>89</v>
      </c>
      <c r="AW446">
        <v>13</v>
      </c>
      <c r="AX446">
        <v>10</v>
      </c>
      <c r="AY446" t="s">
        <v>111</v>
      </c>
      <c r="AZ446">
        <v>17</v>
      </c>
      <c r="BA446">
        <v>47</v>
      </c>
      <c r="BB446">
        <v>2821</v>
      </c>
      <c r="BC446">
        <v>7</v>
      </c>
      <c r="BD446">
        <v>350</v>
      </c>
      <c r="BE446">
        <v>22722</v>
      </c>
      <c r="BF446">
        <v>67</v>
      </c>
      <c r="BG446" t="s">
        <v>89</v>
      </c>
      <c r="BH446">
        <v>397</v>
      </c>
      <c r="BI446">
        <v>25543</v>
      </c>
      <c r="BJ446">
        <v>74</v>
      </c>
      <c r="BK446">
        <f t="shared" si="56"/>
        <v>397</v>
      </c>
      <c r="BL446">
        <f t="shared" si="57"/>
        <v>25543</v>
      </c>
      <c r="BM446">
        <f t="shared" si="58"/>
        <v>74</v>
      </c>
      <c r="BN446">
        <f t="shared" si="59"/>
        <v>0</v>
      </c>
      <c r="BO446">
        <f t="shared" si="60"/>
        <v>0</v>
      </c>
      <c r="BP446">
        <f t="shared" si="61"/>
        <v>0</v>
      </c>
      <c r="BQ446" t="s">
        <v>391</v>
      </c>
      <c r="BR446" t="s">
        <v>112</v>
      </c>
      <c r="BS446" s="1">
        <v>33204</v>
      </c>
      <c r="BT446">
        <v>35</v>
      </c>
      <c r="BU446" t="s">
        <v>89</v>
      </c>
      <c r="BV446" t="s">
        <v>89</v>
      </c>
      <c r="BW446">
        <v>14</v>
      </c>
      <c r="BX446">
        <v>1990</v>
      </c>
      <c r="BY446">
        <v>13</v>
      </c>
      <c r="BZ446">
        <f t="shared" si="62"/>
        <v>-1</v>
      </c>
      <c r="CA446">
        <f t="shared" si="63"/>
        <v>1</v>
      </c>
      <c r="CB446" t="b">
        <f t="shared" si="64"/>
        <v>0</v>
      </c>
    </row>
    <row r="447" spans="1:80" x14ac:dyDescent="0.3">
      <c r="A447" t="s">
        <v>4026</v>
      </c>
      <c r="B447" t="s">
        <v>1089</v>
      </c>
      <c r="C447" t="s">
        <v>4027</v>
      </c>
      <c r="D447">
        <v>37</v>
      </c>
      <c r="E447" t="s">
        <v>4028</v>
      </c>
      <c r="F447" t="s">
        <v>3264</v>
      </c>
      <c r="G447" t="s">
        <v>1289</v>
      </c>
      <c r="H447" t="s">
        <v>1093</v>
      </c>
      <c r="I447" t="s">
        <v>243</v>
      </c>
      <c r="J447" t="s">
        <v>78</v>
      </c>
      <c r="K447" t="s">
        <v>4029</v>
      </c>
      <c r="L447" t="s">
        <v>228</v>
      </c>
      <c r="M447">
        <v>22</v>
      </c>
      <c r="N447" t="s">
        <v>304</v>
      </c>
      <c r="O447">
        <v>2010</v>
      </c>
      <c r="P447" t="s">
        <v>4030</v>
      </c>
      <c r="Q447" t="s">
        <v>4031</v>
      </c>
      <c r="R447">
        <v>60889</v>
      </c>
      <c r="S447" t="s">
        <v>4026</v>
      </c>
      <c r="T447">
        <v>31844</v>
      </c>
      <c r="U447">
        <v>1987</v>
      </c>
      <c r="V447" t="s">
        <v>4032</v>
      </c>
      <c r="W447">
        <v>1.71</v>
      </c>
      <c r="X447" t="s">
        <v>1872</v>
      </c>
      <c r="Y447" t="s">
        <v>235</v>
      </c>
      <c r="Z447" t="s">
        <v>87</v>
      </c>
      <c r="AA447" t="s">
        <v>3544</v>
      </c>
      <c r="AB447">
        <v>45901</v>
      </c>
      <c r="AC447" t="s">
        <v>222</v>
      </c>
      <c r="AD447" t="s">
        <v>223</v>
      </c>
      <c r="AE447" t="s">
        <v>727</v>
      </c>
      <c r="AF447">
        <v>19</v>
      </c>
      <c r="AG447" t="s">
        <v>1099</v>
      </c>
      <c r="AH447" t="s">
        <v>92</v>
      </c>
      <c r="AI447" t="s">
        <v>89</v>
      </c>
      <c r="AJ447" t="s">
        <v>92</v>
      </c>
      <c r="AK447">
        <v>19</v>
      </c>
      <c r="AL447">
        <v>20</v>
      </c>
      <c r="AM447">
        <v>620</v>
      </c>
      <c r="AN447">
        <v>96</v>
      </c>
      <c r="AO447">
        <v>12</v>
      </c>
      <c r="AP447" t="s">
        <v>93</v>
      </c>
      <c r="AQ447" t="s">
        <v>89</v>
      </c>
      <c r="AR447" t="s">
        <v>89</v>
      </c>
      <c r="AS447" t="s">
        <v>93</v>
      </c>
      <c r="AT447" t="s">
        <v>89</v>
      </c>
      <c r="AU447" t="s">
        <v>89</v>
      </c>
      <c r="AV447" t="s">
        <v>89</v>
      </c>
      <c r="AW447">
        <v>15</v>
      </c>
      <c r="AX447">
        <v>17</v>
      </c>
      <c r="AY447" t="s">
        <v>111</v>
      </c>
      <c r="AZ447">
        <v>16</v>
      </c>
      <c r="BA447">
        <v>83</v>
      </c>
      <c r="BB447">
        <v>7126</v>
      </c>
      <c r="BC447">
        <v>2</v>
      </c>
      <c r="BD447">
        <v>440</v>
      </c>
      <c r="BE447">
        <v>34453</v>
      </c>
      <c r="BF447">
        <v>10</v>
      </c>
      <c r="BG447" t="s">
        <v>89</v>
      </c>
      <c r="BH447">
        <v>523</v>
      </c>
      <c r="BI447">
        <v>41579</v>
      </c>
      <c r="BJ447">
        <v>12</v>
      </c>
      <c r="BK447">
        <f t="shared" si="56"/>
        <v>523</v>
      </c>
      <c r="BL447">
        <f t="shared" si="57"/>
        <v>41579</v>
      </c>
      <c r="BM447">
        <f t="shared" si="58"/>
        <v>12</v>
      </c>
      <c r="BN447">
        <f t="shared" si="59"/>
        <v>0</v>
      </c>
      <c r="BO447">
        <f t="shared" si="60"/>
        <v>0</v>
      </c>
      <c r="BP447">
        <f t="shared" si="61"/>
        <v>0</v>
      </c>
      <c r="BQ447" t="s">
        <v>235</v>
      </c>
      <c r="BR447" t="s">
        <v>140</v>
      </c>
      <c r="BS447" t="s">
        <v>89</v>
      </c>
      <c r="BT447">
        <v>39</v>
      </c>
      <c r="BU447" t="s">
        <v>89</v>
      </c>
      <c r="BV447" t="s">
        <v>89</v>
      </c>
      <c r="BW447">
        <v>20</v>
      </c>
      <c r="BX447">
        <v>1987</v>
      </c>
      <c r="BY447">
        <v>18</v>
      </c>
      <c r="BZ447">
        <f t="shared" si="62"/>
        <v>-5</v>
      </c>
      <c r="CA447">
        <f t="shared" si="63"/>
        <v>2</v>
      </c>
      <c r="CB447" t="b">
        <f t="shared" si="64"/>
        <v>0</v>
      </c>
    </row>
    <row r="448" spans="1:80" x14ac:dyDescent="0.3">
      <c r="A448" t="s">
        <v>4033</v>
      </c>
      <c r="B448" t="s">
        <v>71</v>
      </c>
      <c r="C448" t="s">
        <v>4034</v>
      </c>
      <c r="D448">
        <v>27</v>
      </c>
      <c r="E448" s="1">
        <v>35773</v>
      </c>
      <c r="F448" t="s">
        <v>89</v>
      </c>
      <c r="G448" t="s">
        <v>535</v>
      </c>
      <c r="H448" t="s">
        <v>76</v>
      </c>
      <c r="I448" t="s">
        <v>1548</v>
      </c>
      <c r="J448" t="s">
        <v>300</v>
      </c>
      <c r="K448" t="s">
        <v>89</v>
      </c>
      <c r="L448" t="s">
        <v>762</v>
      </c>
      <c r="M448">
        <v>16</v>
      </c>
      <c r="N448" t="s">
        <v>527</v>
      </c>
      <c r="O448">
        <v>2014</v>
      </c>
      <c r="P448" t="s">
        <v>4035</v>
      </c>
      <c r="Q448" t="s">
        <v>4036</v>
      </c>
      <c r="R448">
        <v>251883</v>
      </c>
      <c r="S448" t="s">
        <v>4033</v>
      </c>
      <c r="T448">
        <v>35685</v>
      </c>
      <c r="U448">
        <v>1997</v>
      </c>
      <c r="V448" t="s">
        <v>4037</v>
      </c>
      <c r="W448">
        <v>1.65</v>
      </c>
      <c r="X448" t="s">
        <v>76</v>
      </c>
      <c r="Y448" t="s">
        <v>391</v>
      </c>
      <c r="Z448" t="s">
        <v>152</v>
      </c>
      <c r="AA448" t="s">
        <v>4038</v>
      </c>
      <c r="AB448" s="1">
        <v>45664</v>
      </c>
      <c r="AC448" t="s">
        <v>170</v>
      </c>
      <c r="AD448" t="s">
        <v>442</v>
      </c>
      <c r="AE448">
        <v>41982</v>
      </c>
      <c r="AF448">
        <v>16</v>
      </c>
      <c r="AG448" t="s">
        <v>91</v>
      </c>
      <c r="AH448" t="s">
        <v>4039</v>
      </c>
      <c r="AI448">
        <v>19</v>
      </c>
      <c r="AJ448" t="s">
        <v>110</v>
      </c>
      <c r="AK448">
        <v>16</v>
      </c>
      <c r="AL448">
        <v>3</v>
      </c>
      <c r="AM448">
        <v>216</v>
      </c>
      <c r="AN448">
        <v>23</v>
      </c>
      <c r="AO448">
        <v>2</v>
      </c>
      <c r="AP448" t="s">
        <v>93</v>
      </c>
      <c r="AQ448" t="s">
        <v>89</v>
      </c>
      <c r="AR448" t="s">
        <v>89</v>
      </c>
      <c r="AS448" t="s">
        <v>93</v>
      </c>
      <c r="AT448" t="s">
        <v>89</v>
      </c>
      <c r="AU448" t="s">
        <v>89</v>
      </c>
      <c r="AV448" t="s">
        <v>89</v>
      </c>
      <c r="AW448">
        <v>11</v>
      </c>
      <c r="AX448" t="s">
        <v>89</v>
      </c>
      <c r="AY448" t="s">
        <v>93</v>
      </c>
      <c r="AZ448">
        <v>0</v>
      </c>
      <c r="BA448">
        <v>0</v>
      </c>
      <c r="BB448">
        <v>0</v>
      </c>
      <c r="BC448">
        <v>0</v>
      </c>
      <c r="BD448">
        <v>70</v>
      </c>
      <c r="BE448">
        <v>3571</v>
      </c>
      <c r="BF448">
        <v>3</v>
      </c>
      <c r="BG448" t="s">
        <v>89</v>
      </c>
      <c r="BH448">
        <v>70</v>
      </c>
      <c r="BI448">
        <v>3571</v>
      </c>
      <c r="BJ448">
        <v>3</v>
      </c>
      <c r="BK448">
        <f t="shared" si="56"/>
        <v>70</v>
      </c>
      <c r="BL448">
        <f t="shared" si="57"/>
        <v>3571</v>
      </c>
      <c r="BM448">
        <f t="shared" si="58"/>
        <v>3</v>
      </c>
      <c r="BN448">
        <f t="shared" si="59"/>
        <v>0</v>
      </c>
      <c r="BO448">
        <f t="shared" si="60"/>
        <v>0</v>
      </c>
      <c r="BP448">
        <f t="shared" si="61"/>
        <v>0</v>
      </c>
      <c r="BQ448" t="s">
        <v>391</v>
      </c>
      <c r="BR448" t="s">
        <v>112</v>
      </c>
      <c r="BS448" t="s">
        <v>89</v>
      </c>
      <c r="BT448">
        <v>29</v>
      </c>
      <c r="BU448" t="s">
        <v>89</v>
      </c>
      <c r="BV448" t="s">
        <v>89</v>
      </c>
      <c r="BW448">
        <v>13</v>
      </c>
      <c r="BX448">
        <v>1997</v>
      </c>
      <c r="BY448">
        <v>11</v>
      </c>
      <c r="BZ448">
        <f t="shared" si="62"/>
        <v>-2</v>
      </c>
      <c r="CA448">
        <f t="shared" si="63"/>
        <v>2</v>
      </c>
      <c r="CB448" t="b">
        <f t="shared" si="64"/>
        <v>0</v>
      </c>
    </row>
    <row r="449" spans="1:80" x14ac:dyDescent="0.3">
      <c r="A449" t="s">
        <v>4040</v>
      </c>
      <c r="B449" t="s">
        <v>156</v>
      </c>
      <c r="C449" t="s">
        <v>4041</v>
      </c>
      <c r="D449">
        <v>40</v>
      </c>
      <c r="E449" s="1">
        <v>30960</v>
      </c>
      <c r="F449" t="s">
        <v>89</v>
      </c>
      <c r="G449" t="s">
        <v>321</v>
      </c>
      <c r="H449" t="s">
        <v>89</v>
      </c>
      <c r="I449" t="s">
        <v>401</v>
      </c>
      <c r="J449" t="s">
        <v>78</v>
      </c>
      <c r="K449" t="s">
        <v>89</v>
      </c>
      <c r="L449" t="s">
        <v>228</v>
      </c>
      <c r="M449">
        <v>25</v>
      </c>
      <c r="N449" t="s">
        <v>279</v>
      </c>
      <c r="O449">
        <v>2010</v>
      </c>
      <c r="P449" t="s">
        <v>4042</v>
      </c>
      <c r="Q449" t="s">
        <v>4043</v>
      </c>
      <c r="R449">
        <v>19999</v>
      </c>
      <c r="S449" t="s">
        <v>4040</v>
      </c>
      <c r="T449">
        <v>30812</v>
      </c>
      <c r="U449">
        <v>1984</v>
      </c>
      <c r="V449" t="s">
        <v>4044</v>
      </c>
      <c r="W449">
        <v>1.78</v>
      </c>
      <c r="X449" t="s">
        <v>177</v>
      </c>
      <c r="Y449" t="s">
        <v>494</v>
      </c>
      <c r="Z449" t="s">
        <v>87</v>
      </c>
      <c r="AA449" t="s">
        <v>4045</v>
      </c>
      <c r="AB449" s="1">
        <v>43472</v>
      </c>
      <c r="AC449" t="s">
        <v>108</v>
      </c>
      <c r="AD449" t="s">
        <v>89</v>
      </c>
      <c r="AE449">
        <v>38778</v>
      </c>
      <c r="AF449">
        <v>21</v>
      </c>
      <c r="AG449">
        <v>0</v>
      </c>
      <c r="AH449" t="s">
        <v>90</v>
      </c>
      <c r="AI449">
        <v>27</v>
      </c>
      <c r="AJ449" t="s">
        <v>110</v>
      </c>
      <c r="AK449">
        <v>21</v>
      </c>
      <c r="AL449">
        <v>2</v>
      </c>
      <c r="AM449">
        <v>69</v>
      </c>
      <c r="AN449">
        <v>5</v>
      </c>
      <c r="AO449">
        <v>2</v>
      </c>
      <c r="AP449" t="s">
        <v>93</v>
      </c>
      <c r="AQ449" t="s">
        <v>89</v>
      </c>
      <c r="AR449" t="s">
        <v>89</v>
      </c>
      <c r="AS449" t="s">
        <v>111</v>
      </c>
      <c r="AT449" s="1">
        <v>43472</v>
      </c>
      <c r="AU449">
        <v>2019</v>
      </c>
      <c r="AV449">
        <v>9</v>
      </c>
      <c r="AW449">
        <v>9</v>
      </c>
      <c r="AX449" t="s">
        <v>89</v>
      </c>
      <c r="AY449" t="s">
        <v>93</v>
      </c>
      <c r="AZ449">
        <v>0</v>
      </c>
      <c r="BA449">
        <v>0</v>
      </c>
      <c r="BB449">
        <v>0</v>
      </c>
      <c r="BC449">
        <v>0</v>
      </c>
      <c r="BD449">
        <v>81</v>
      </c>
      <c r="BE449">
        <v>4714</v>
      </c>
      <c r="BF449">
        <v>17</v>
      </c>
      <c r="BG449">
        <v>35</v>
      </c>
      <c r="BH449">
        <v>81</v>
      </c>
      <c r="BI449">
        <v>4714</v>
      </c>
      <c r="BJ449">
        <v>17</v>
      </c>
      <c r="BK449">
        <f t="shared" si="56"/>
        <v>81</v>
      </c>
      <c r="BL449">
        <f t="shared" si="57"/>
        <v>4714</v>
      </c>
      <c r="BM449">
        <f t="shared" si="58"/>
        <v>17</v>
      </c>
      <c r="BN449">
        <f t="shared" si="59"/>
        <v>0</v>
      </c>
      <c r="BO449">
        <f t="shared" si="60"/>
        <v>0</v>
      </c>
      <c r="BP449">
        <f t="shared" si="61"/>
        <v>0</v>
      </c>
      <c r="BQ449" t="s">
        <v>494</v>
      </c>
      <c r="BR449" t="s">
        <v>112</v>
      </c>
      <c r="BS449" t="s">
        <v>89</v>
      </c>
      <c r="BT449">
        <v>42</v>
      </c>
      <c r="BU449" s="1">
        <v>43472</v>
      </c>
      <c r="BV449" s="1">
        <v>43647</v>
      </c>
      <c r="BW449">
        <v>14</v>
      </c>
      <c r="BX449">
        <v>1984</v>
      </c>
      <c r="BY449">
        <v>14</v>
      </c>
      <c r="BZ449">
        <f t="shared" si="62"/>
        <v>-5</v>
      </c>
      <c r="CA449">
        <f t="shared" si="63"/>
        <v>0</v>
      </c>
      <c r="CB449" t="b">
        <f t="shared" si="64"/>
        <v>0</v>
      </c>
    </row>
    <row r="450" spans="1:80" x14ac:dyDescent="0.3">
      <c r="A450" t="s">
        <v>4046</v>
      </c>
      <c r="B450" t="s">
        <v>4047</v>
      </c>
      <c r="C450" t="s">
        <v>4048</v>
      </c>
      <c r="D450">
        <v>32</v>
      </c>
      <c r="E450" t="s">
        <v>4049</v>
      </c>
      <c r="F450" t="s">
        <v>4050</v>
      </c>
      <c r="G450" t="s">
        <v>277</v>
      </c>
      <c r="H450" t="s">
        <v>4051</v>
      </c>
      <c r="I450" t="s">
        <v>453</v>
      </c>
      <c r="J450" t="s">
        <v>300</v>
      </c>
      <c r="K450" t="s">
        <v>599</v>
      </c>
      <c r="L450" t="s">
        <v>228</v>
      </c>
      <c r="M450">
        <v>17</v>
      </c>
      <c r="N450" t="s">
        <v>1034</v>
      </c>
      <c r="O450">
        <v>2010</v>
      </c>
      <c r="P450" t="s">
        <v>4052</v>
      </c>
      <c r="Q450" t="s">
        <v>4053</v>
      </c>
      <c r="R450">
        <v>127189</v>
      </c>
      <c r="S450" t="s">
        <v>4046</v>
      </c>
      <c r="T450" t="s">
        <v>4054</v>
      </c>
      <c r="U450">
        <v>1993</v>
      </c>
      <c r="V450" t="s">
        <v>4055</v>
      </c>
      <c r="W450">
        <v>1.88</v>
      </c>
      <c r="X450" t="s">
        <v>4056</v>
      </c>
      <c r="Y450" t="s">
        <v>259</v>
      </c>
      <c r="Z450" t="s">
        <v>152</v>
      </c>
      <c r="AA450" t="s">
        <v>599</v>
      </c>
      <c r="AB450">
        <v>44933</v>
      </c>
      <c r="AC450" t="s">
        <v>88</v>
      </c>
      <c r="AD450" t="s">
        <v>89</v>
      </c>
      <c r="AE450" t="s">
        <v>4057</v>
      </c>
      <c r="AF450">
        <v>17</v>
      </c>
      <c r="AG450" t="s">
        <v>206</v>
      </c>
      <c r="AH450" t="s">
        <v>4058</v>
      </c>
      <c r="AI450">
        <v>18</v>
      </c>
      <c r="AJ450" t="s">
        <v>1044</v>
      </c>
      <c r="AK450">
        <v>17</v>
      </c>
      <c r="AL450">
        <v>30</v>
      </c>
      <c r="AM450">
        <v>628</v>
      </c>
      <c r="AN450">
        <v>109</v>
      </c>
      <c r="AO450">
        <v>13</v>
      </c>
      <c r="AP450" t="s">
        <v>93</v>
      </c>
      <c r="AQ450" t="s">
        <v>89</v>
      </c>
      <c r="AR450" t="s">
        <v>89</v>
      </c>
      <c r="AS450" t="s">
        <v>93</v>
      </c>
      <c r="AT450" t="s">
        <v>89</v>
      </c>
      <c r="AU450" t="s">
        <v>89</v>
      </c>
      <c r="AV450" t="s">
        <v>89</v>
      </c>
      <c r="AW450">
        <v>15</v>
      </c>
      <c r="AX450">
        <v>19</v>
      </c>
      <c r="AY450" t="s">
        <v>111</v>
      </c>
      <c r="AZ450">
        <v>10</v>
      </c>
      <c r="BA450">
        <v>24</v>
      </c>
      <c r="BB450">
        <v>1988</v>
      </c>
      <c r="BC450">
        <v>3</v>
      </c>
      <c r="BD450">
        <v>449</v>
      </c>
      <c r="BE450">
        <v>30581</v>
      </c>
      <c r="BF450">
        <v>16</v>
      </c>
      <c r="BG450" t="s">
        <v>89</v>
      </c>
      <c r="BH450">
        <v>473</v>
      </c>
      <c r="BI450">
        <v>32569</v>
      </c>
      <c r="BJ450">
        <v>19</v>
      </c>
      <c r="BK450">
        <f t="shared" si="56"/>
        <v>473</v>
      </c>
      <c r="BL450">
        <f t="shared" si="57"/>
        <v>32569</v>
      </c>
      <c r="BM450">
        <f t="shared" si="58"/>
        <v>19</v>
      </c>
      <c r="BN450">
        <f t="shared" si="59"/>
        <v>0</v>
      </c>
      <c r="BO450">
        <f t="shared" si="60"/>
        <v>0</v>
      </c>
      <c r="BP450">
        <f t="shared" si="61"/>
        <v>0</v>
      </c>
      <c r="BQ450" t="s">
        <v>259</v>
      </c>
      <c r="BR450" t="s">
        <v>94</v>
      </c>
      <c r="BS450" s="1">
        <v>34015</v>
      </c>
      <c r="BT450">
        <v>33</v>
      </c>
      <c r="BU450" t="s">
        <v>89</v>
      </c>
      <c r="BV450" t="s">
        <v>89</v>
      </c>
      <c r="BW450">
        <v>16</v>
      </c>
      <c r="BX450">
        <v>1993</v>
      </c>
      <c r="BY450">
        <v>15</v>
      </c>
      <c r="BZ450">
        <f t="shared" si="62"/>
        <v>-1</v>
      </c>
      <c r="CA450">
        <f t="shared" si="63"/>
        <v>1</v>
      </c>
      <c r="CB450" t="b">
        <f t="shared" si="64"/>
        <v>0</v>
      </c>
    </row>
    <row r="451" spans="1:80" x14ac:dyDescent="0.3">
      <c r="A451" t="s">
        <v>4059</v>
      </c>
      <c r="B451" t="s">
        <v>156</v>
      </c>
      <c r="C451" t="s">
        <v>4060</v>
      </c>
      <c r="D451">
        <v>33</v>
      </c>
      <c r="E451" t="s">
        <v>4061</v>
      </c>
      <c r="F451" t="s">
        <v>4062</v>
      </c>
      <c r="G451" t="s">
        <v>374</v>
      </c>
      <c r="H451" t="s">
        <v>177</v>
      </c>
      <c r="I451" t="s">
        <v>178</v>
      </c>
      <c r="J451" t="s">
        <v>78</v>
      </c>
      <c r="K451" t="s">
        <v>599</v>
      </c>
      <c r="L451" t="s">
        <v>762</v>
      </c>
      <c r="M451">
        <v>22</v>
      </c>
      <c r="N451" t="s">
        <v>1365</v>
      </c>
      <c r="O451">
        <v>2014</v>
      </c>
      <c r="P451" t="s">
        <v>4063</v>
      </c>
      <c r="Q451" t="s">
        <v>4064</v>
      </c>
      <c r="R451">
        <v>229604</v>
      </c>
      <c r="S451" t="s">
        <v>4059</v>
      </c>
      <c r="T451" t="s">
        <v>4065</v>
      </c>
      <c r="U451">
        <v>1992</v>
      </c>
      <c r="V451" t="s">
        <v>4066</v>
      </c>
      <c r="W451">
        <v>1.89</v>
      </c>
      <c r="X451" t="s">
        <v>169</v>
      </c>
      <c r="Y451" t="s">
        <v>186</v>
      </c>
      <c r="Z451" t="s">
        <v>87</v>
      </c>
      <c r="AA451" t="s">
        <v>599</v>
      </c>
      <c r="AB451" s="1">
        <v>45604</v>
      </c>
      <c r="AC451" t="s">
        <v>88</v>
      </c>
      <c r="AD451" t="s">
        <v>89</v>
      </c>
      <c r="AE451">
        <v>2013</v>
      </c>
      <c r="AF451">
        <v>21</v>
      </c>
      <c r="AG451" t="s">
        <v>189</v>
      </c>
      <c r="AH451">
        <v>2024</v>
      </c>
      <c r="AI451">
        <v>31</v>
      </c>
      <c r="AJ451">
        <v>0</v>
      </c>
      <c r="AK451">
        <v>21</v>
      </c>
      <c r="AL451">
        <v>3</v>
      </c>
      <c r="AM451">
        <v>231</v>
      </c>
      <c r="AN451">
        <v>46</v>
      </c>
      <c r="AO451">
        <v>3</v>
      </c>
      <c r="AP451" t="s">
        <v>93</v>
      </c>
      <c r="AQ451" t="s">
        <v>89</v>
      </c>
      <c r="AR451" t="s">
        <v>89</v>
      </c>
      <c r="AS451" t="s">
        <v>93</v>
      </c>
      <c r="AT451" t="s">
        <v>89</v>
      </c>
      <c r="AU451" t="s">
        <v>89</v>
      </c>
      <c r="AV451" t="s">
        <v>89</v>
      </c>
      <c r="AW451">
        <v>11</v>
      </c>
      <c r="AX451">
        <v>1</v>
      </c>
      <c r="AY451" t="s">
        <v>111</v>
      </c>
      <c r="AZ451">
        <v>11</v>
      </c>
      <c r="BA451">
        <v>6</v>
      </c>
      <c r="BB451">
        <v>508</v>
      </c>
      <c r="BC451">
        <v>0</v>
      </c>
      <c r="BD451">
        <v>350</v>
      </c>
      <c r="BE451">
        <v>31315</v>
      </c>
      <c r="BF451">
        <v>0</v>
      </c>
      <c r="BG451" t="s">
        <v>89</v>
      </c>
      <c r="BH451">
        <v>356</v>
      </c>
      <c r="BI451">
        <v>31823</v>
      </c>
      <c r="BJ451">
        <v>0</v>
      </c>
      <c r="BK451">
        <f t="shared" ref="BK451:BK514" si="65">+BA451+BD451</f>
        <v>356</v>
      </c>
      <c r="BL451">
        <f t="shared" ref="BL451:BL514" si="66">+BB451+BE451</f>
        <v>31823</v>
      </c>
      <c r="BM451">
        <f t="shared" ref="BM451:BM514" si="67">+BC451+BF451</f>
        <v>0</v>
      </c>
      <c r="BN451">
        <f t="shared" ref="BN451:BN514" si="68">+BK451-BH451</f>
        <v>0</v>
      </c>
      <c r="BO451">
        <f t="shared" ref="BO451:BO514" si="69">+BL451-BI451</f>
        <v>0</v>
      </c>
      <c r="BP451">
        <f t="shared" ref="BP451:BP514" si="70">+BM451-BJ451</f>
        <v>0</v>
      </c>
      <c r="BQ451" t="s">
        <v>186</v>
      </c>
      <c r="BR451" t="s">
        <v>186</v>
      </c>
      <c r="BS451" s="1">
        <v>33744</v>
      </c>
      <c r="BT451">
        <v>33</v>
      </c>
      <c r="BU451" t="s">
        <v>89</v>
      </c>
      <c r="BV451" t="s">
        <v>89</v>
      </c>
      <c r="BW451">
        <v>12</v>
      </c>
      <c r="BX451">
        <v>1992</v>
      </c>
      <c r="BY451">
        <v>12</v>
      </c>
      <c r="BZ451">
        <f t="shared" ref="BZ451:BZ514" si="71">+AW451-BW451</f>
        <v>-1</v>
      </c>
      <c r="CA451">
        <f t="shared" ref="CA451:CA514" si="72">+BW451-BY451</f>
        <v>0</v>
      </c>
      <c r="CB451" t="b">
        <f t="shared" ref="CB451:CB514" si="73">+BW451=AW451</f>
        <v>0</v>
      </c>
    </row>
    <row r="452" spans="1:80" x14ac:dyDescent="0.3">
      <c r="A452" t="s">
        <v>4067</v>
      </c>
      <c r="B452" t="s">
        <v>71</v>
      </c>
      <c r="C452" t="s">
        <v>4068</v>
      </c>
      <c r="D452">
        <v>43</v>
      </c>
      <c r="E452" s="1">
        <v>29840</v>
      </c>
      <c r="F452" t="s">
        <v>89</v>
      </c>
      <c r="G452" t="s">
        <v>160</v>
      </c>
      <c r="H452" t="s">
        <v>89</v>
      </c>
      <c r="I452" t="s">
        <v>340</v>
      </c>
      <c r="J452" t="s">
        <v>89</v>
      </c>
      <c r="K452" t="s">
        <v>89</v>
      </c>
      <c r="L452" t="s">
        <v>845</v>
      </c>
      <c r="M452">
        <v>20</v>
      </c>
      <c r="N452" t="s">
        <v>640</v>
      </c>
      <c r="O452">
        <v>2002</v>
      </c>
      <c r="P452" t="s">
        <v>4069</v>
      </c>
      <c r="Q452" t="s">
        <v>4070</v>
      </c>
      <c r="R452">
        <v>73204</v>
      </c>
      <c r="S452" t="s">
        <v>4067</v>
      </c>
      <c r="T452">
        <v>29899</v>
      </c>
      <c r="U452">
        <v>1981</v>
      </c>
      <c r="V452" t="s">
        <v>2771</v>
      </c>
      <c r="W452">
        <v>1.77</v>
      </c>
      <c r="X452" t="s">
        <v>76</v>
      </c>
      <c r="Y452" t="s">
        <v>123</v>
      </c>
      <c r="Z452" t="s">
        <v>87</v>
      </c>
      <c r="AA452" t="s">
        <v>2771</v>
      </c>
      <c r="AB452" s="1">
        <v>42742</v>
      </c>
      <c r="AC452" t="s">
        <v>108</v>
      </c>
      <c r="AD452" t="s">
        <v>89</v>
      </c>
      <c r="AE452">
        <v>40553</v>
      </c>
      <c r="AF452">
        <v>30</v>
      </c>
      <c r="AG452" t="s">
        <v>91</v>
      </c>
      <c r="AH452" t="s">
        <v>4071</v>
      </c>
      <c r="AI452">
        <v>21</v>
      </c>
      <c r="AJ452" t="s">
        <v>110</v>
      </c>
      <c r="AK452">
        <v>21</v>
      </c>
      <c r="AL452">
        <v>1</v>
      </c>
      <c r="AM452">
        <v>63</v>
      </c>
      <c r="AN452">
        <v>4</v>
      </c>
      <c r="AO452">
        <v>1</v>
      </c>
      <c r="AP452" t="s">
        <v>93</v>
      </c>
      <c r="AQ452" t="s">
        <v>89</v>
      </c>
      <c r="AR452" t="s">
        <v>89</v>
      </c>
      <c r="AS452" t="s">
        <v>111</v>
      </c>
      <c r="AT452" s="1">
        <v>42742</v>
      </c>
      <c r="AU452">
        <v>2017</v>
      </c>
      <c r="AV452">
        <v>15</v>
      </c>
      <c r="AW452">
        <v>15</v>
      </c>
      <c r="AX452" t="s">
        <v>89</v>
      </c>
      <c r="AY452" t="s">
        <v>93</v>
      </c>
      <c r="AZ452">
        <v>0</v>
      </c>
      <c r="BA452">
        <v>0</v>
      </c>
      <c r="BB452">
        <v>0</v>
      </c>
      <c r="BC452">
        <v>0</v>
      </c>
      <c r="BD452">
        <v>145</v>
      </c>
      <c r="BE452">
        <v>8462</v>
      </c>
      <c r="BF452">
        <v>27</v>
      </c>
      <c r="BG452">
        <v>36</v>
      </c>
      <c r="BH452">
        <v>145</v>
      </c>
      <c r="BI452">
        <v>8462</v>
      </c>
      <c r="BJ452">
        <v>27</v>
      </c>
      <c r="BK452">
        <f t="shared" si="65"/>
        <v>145</v>
      </c>
      <c r="BL452">
        <f t="shared" si="66"/>
        <v>8462</v>
      </c>
      <c r="BM452">
        <f t="shared" si="67"/>
        <v>27</v>
      </c>
      <c r="BN452">
        <f t="shared" si="68"/>
        <v>0</v>
      </c>
      <c r="BO452">
        <f t="shared" si="69"/>
        <v>0</v>
      </c>
      <c r="BP452">
        <f t="shared" si="70"/>
        <v>0</v>
      </c>
      <c r="BQ452" t="s">
        <v>123</v>
      </c>
      <c r="BR452" t="s">
        <v>112</v>
      </c>
      <c r="BS452" t="s">
        <v>89</v>
      </c>
      <c r="BT452">
        <v>45</v>
      </c>
      <c r="BU452" s="1">
        <v>42742</v>
      </c>
      <c r="BV452" s="1">
        <v>42917</v>
      </c>
      <c r="BW452">
        <v>15</v>
      </c>
      <c r="BX452">
        <v>1981</v>
      </c>
      <c r="BY452">
        <v>15</v>
      </c>
      <c r="BZ452">
        <f t="shared" si="71"/>
        <v>0</v>
      </c>
      <c r="CA452">
        <f t="shared" si="72"/>
        <v>0</v>
      </c>
      <c r="CB452" t="b">
        <f t="shared" si="73"/>
        <v>1</v>
      </c>
    </row>
    <row r="453" spans="1:80" x14ac:dyDescent="0.3">
      <c r="A453" t="s">
        <v>4072</v>
      </c>
      <c r="B453" t="s">
        <v>71</v>
      </c>
      <c r="C453" t="s">
        <v>4073</v>
      </c>
      <c r="D453">
        <v>31</v>
      </c>
      <c r="E453" s="1">
        <v>34406</v>
      </c>
      <c r="F453" t="s">
        <v>89</v>
      </c>
      <c r="G453" t="s">
        <v>298</v>
      </c>
      <c r="H453" t="s">
        <v>76</v>
      </c>
      <c r="I453" t="s">
        <v>340</v>
      </c>
      <c r="J453" t="s">
        <v>78</v>
      </c>
      <c r="K453" t="s">
        <v>89</v>
      </c>
      <c r="L453" t="s">
        <v>228</v>
      </c>
      <c r="M453">
        <v>16</v>
      </c>
      <c r="N453" t="s">
        <v>649</v>
      </c>
      <c r="O453">
        <v>2010</v>
      </c>
      <c r="P453" t="s">
        <v>4074</v>
      </c>
      <c r="Q453" t="s">
        <v>4075</v>
      </c>
      <c r="R453">
        <v>129476</v>
      </c>
      <c r="S453" t="s">
        <v>4072</v>
      </c>
      <c r="T453" t="s">
        <v>4076</v>
      </c>
      <c r="U453">
        <v>1994</v>
      </c>
      <c r="V453" t="s">
        <v>4077</v>
      </c>
      <c r="W453">
        <v>1.77</v>
      </c>
      <c r="X453" t="s">
        <v>76</v>
      </c>
      <c r="Y453" t="s">
        <v>123</v>
      </c>
      <c r="Z453" t="s">
        <v>87</v>
      </c>
      <c r="AA453" t="s">
        <v>476</v>
      </c>
      <c r="AB453" t="s">
        <v>4078</v>
      </c>
      <c r="AC453" t="s">
        <v>108</v>
      </c>
      <c r="AD453" t="s">
        <v>223</v>
      </c>
      <c r="AE453" t="s">
        <v>407</v>
      </c>
      <c r="AF453">
        <v>17</v>
      </c>
      <c r="AG453" t="s">
        <v>91</v>
      </c>
      <c r="AH453" s="1">
        <v>40546</v>
      </c>
      <c r="AI453">
        <v>16</v>
      </c>
      <c r="AJ453" t="s">
        <v>110</v>
      </c>
      <c r="AK453">
        <v>16</v>
      </c>
      <c r="AL453">
        <v>15</v>
      </c>
      <c r="AM453">
        <v>1653</v>
      </c>
      <c r="AN453">
        <v>162</v>
      </c>
      <c r="AO453">
        <v>7</v>
      </c>
      <c r="AP453" t="s">
        <v>93</v>
      </c>
      <c r="AQ453" t="s">
        <v>89</v>
      </c>
      <c r="AR453" t="s">
        <v>89</v>
      </c>
      <c r="AS453" t="s">
        <v>93</v>
      </c>
      <c r="AT453" t="s">
        <v>89</v>
      </c>
      <c r="AU453" t="s">
        <v>89</v>
      </c>
      <c r="AV453" t="s">
        <v>89</v>
      </c>
      <c r="AW453">
        <v>15</v>
      </c>
      <c r="AX453" t="s">
        <v>89</v>
      </c>
      <c r="AY453" t="s">
        <v>111</v>
      </c>
      <c r="AZ453">
        <v>3</v>
      </c>
      <c r="BA453">
        <v>4</v>
      </c>
      <c r="BB453">
        <v>105</v>
      </c>
      <c r="BC453">
        <v>1</v>
      </c>
      <c r="BD453">
        <v>345</v>
      </c>
      <c r="BE453">
        <v>21034</v>
      </c>
      <c r="BF453">
        <v>78</v>
      </c>
      <c r="BG453" t="s">
        <v>89</v>
      </c>
      <c r="BH453">
        <v>349</v>
      </c>
      <c r="BI453">
        <v>21139</v>
      </c>
      <c r="BJ453">
        <v>79</v>
      </c>
      <c r="BK453">
        <f t="shared" si="65"/>
        <v>349</v>
      </c>
      <c r="BL453">
        <f t="shared" si="66"/>
        <v>21139</v>
      </c>
      <c r="BM453">
        <f t="shared" si="67"/>
        <v>79</v>
      </c>
      <c r="BN453">
        <f t="shared" si="68"/>
        <v>0</v>
      </c>
      <c r="BO453">
        <f t="shared" si="69"/>
        <v>0</v>
      </c>
      <c r="BP453">
        <f t="shared" si="70"/>
        <v>0</v>
      </c>
      <c r="BQ453" t="s">
        <v>123</v>
      </c>
      <c r="BR453" t="s">
        <v>112</v>
      </c>
      <c r="BS453" s="1">
        <v>34406</v>
      </c>
      <c r="BT453">
        <v>31</v>
      </c>
      <c r="BU453" t="s">
        <v>89</v>
      </c>
      <c r="BV453" t="s">
        <v>89</v>
      </c>
      <c r="BW453">
        <v>15</v>
      </c>
      <c r="BX453">
        <v>1994</v>
      </c>
      <c r="BY453">
        <v>15</v>
      </c>
      <c r="BZ453">
        <f t="shared" si="71"/>
        <v>0</v>
      </c>
      <c r="CA453">
        <f t="shared" si="72"/>
        <v>0</v>
      </c>
      <c r="CB453" t="b">
        <f t="shared" si="73"/>
        <v>1</v>
      </c>
    </row>
    <row r="454" spans="1:80" x14ac:dyDescent="0.3">
      <c r="A454" t="s">
        <v>4079</v>
      </c>
      <c r="B454" t="s">
        <v>71</v>
      </c>
      <c r="C454" t="s">
        <v>4080</v>
      </c>
      <c r="D454">
        <v>33</v>
      </c>
      <c r="E454" t="s">
        <v>4081</v>
      </c>
      <c r="F454" t="s">
        <v>4082</v>
      </c>
      <c r="G454" t="s">
        <v>160</v>
      </c>
      <c r="H454" t="s">
        <v>76</v>
      </c>
      <c r="I454" t="s">
        <v>401</v>
      </c>
      <c r="J454" t="s">
        <v>300</v>
      </c>
      <c r="K454" t="s">
        <v>763</v>
      </c>
      <c r="L454" t="s">
        <v>228</v>
      </c>
      <c r="M454">
        <v>18</v>
      </c>
      <c r="N454" t="s">
        <v>2060</v>
      </c>
      <c r="O454">
        <v>2010</v>
      </c>
      <c r="P454" t="s">
        <v>4083</v>
      </c>
      <c r="Q454" t="s">
        <v>4084</v>
      </c>
      <c r="R454">
        <v>177467</v>
      </c>
      <c r="S454" t="s">
        <v>4079</v>
      </c>
      <c r="T454">
        <v>33789</v>
      </c>
      <c r="U454">
        <v>1992</v>
      </c>
      <c r="V454" t="s">
        <v>4085</v>
      </c>
      <c r="W454">
        <v>1.8</v>
      </c>
      <c r="X454" t="s">
        <v>76</v>
      </c>
      <c r="Y454" t="s">
        <v>123</v>
      </c>
      <c r="Z454" t="s">
        <v>152</v>
      </c>
      <c r="AA454" t="s">
        <v>763</v>
      </c>
      <c r="AB454" s="1">
        <v>43107</v>
      </c>
      <c r="AC454" t="s">
        <v>88</v>
      </c>
      <c r="AD454" t="s">
        <v>89</v>
      </c>
      <c r="AE454" t="s">
        <v>330</v>
      </c>
      <c r="AF454">
        <v>22</v>
      </c>
      <c r="AG454" t="s">
        <v>91</v>
      </c>
      <c r="AH454">
        <v>40666</v>
      </c>
      <c r="AI454">
        <v>18</v>
      </c>
      <c r="AJ454" t="s">
        <v>110</v>
      </c>
      <c r="AK454">
        <v>18</v>
      </c>
      <c r="AL454">
        <v>12</v>
      </c>
      <c r="AM454">
        <v>438</v>
      </c>
      <c r="AN454">
        <v>82</v>
      </c>
      <c r="AO454">
        <v>7</v>
      </c>
      <c r="AP454" t="s">
        <v>93</v>
      </c>
      <c r="AQ454" t="s">
        <v>89</v>
      </c>
      <c r="AR454" t="s">
        <v>89</v>
      </c>
      <c r="AS454" t="s">
        <v>93</v>
      </c>
      <c r="AT454" t="s">
        <v>89</v>
      </c>
      <c r="AU454" t="s">
        <v>89</v>
      </c>
      <c r="AV454" t="s">
        <v>89</v>
      </c>
      <c r="AW454">
        <v>15</v>
      </c>
      <c r="AX454">
        <v>7</v>
      </c>
      <c r="AY454" t="s">
        <v>111</v>
      </c>
      <c r="AZ454">
        <v>7</v>
      </c>
      <c r="BA454">
        <v>18</v>
      </c>
      <c r="BB454">
        <v>945</v>
      </c>
      <c r="BC454">
        <v>5</v>
      </c>
      <c r="BD454">
        <v>450</v>
      </c>
      <c r="BE454">
        <v>31613</v>
      </c>
      <c r="BF454">
        <v>169</v>
      </c>
      <c r="BG454" t="s">
        <v>89</v>
      </c>
      <c r="BH454">
        <v>468</v>
      </c>
      <c r="BI454">
        <v>32558</v>
      </c>
      <c r="BJ454">
        <v>174</v>
      </c>
      <c r="BK454">
        <f t="shared" si="65"/>
        <v>468</v>
      </c>
      <c r="BL454">
        <f t="shared" si="66"/>
        <v>32558</v>
      </c>
      <c r="BM454">
        <f t="shared" si="67"/>
        <v>174</v>
      </c>
      <c r="BN454">
        <f t="shared" si="68"/>
        <v>0</v>
      </c>
      <c r="BO454">
        <f t="shared" si="69"/>
        <v>0</v>
      </c>
      <c r="BP454">
        <f t="shared" si="70"/>
        <v>0</v>
      </c>
      <c r="BQ454" t="s">
        <v>123</v>
      </c>
      <c r="BR454" t="s">
        <v>112</v>
      </c>
      <c r="BS454" t="s">
        <v>89</v>
      </c>
      <c r="BT454">
        <v>34</v>
      </c>
      <c r="BU454" t="s">
        <v>89</v>
      </c>
      <c r="BV454" t="s">
        <v>89</v>
      </c>
      <c r="BW454">
        <v>16</v>
      </c>
      <c r="BX454">
        <v>1992</v>
      </c>
      <c r="BY454">
        <v>15</v>
      </c>
      <c r="BZ454">
        <f t="shared" si="71"/>
        <v>-1</v>
      </c>
      <c r="CA454">
        <f t="shared" si="72"/>
        <v>1</v>
      </c>
      <c r="CB454" t="b">
        <f t="shared" si="73"/>
        <v>0</v>
      </c>
    </row>
    <row r="455" spans="1:80" x14ac:dyDescent="0.3">
      <c r="A455" t="s">
        <v>4086</v>
      </c>
      <c r="B455" t="s">
        <v>71</v>
      </c>
      <c r="C455" t="s">
        <v>4087</v>
      </c>
      <c r="D455">
        <v>38</v>
      </c>
      <c r="E455">
        <v>31810</v>
      </c>
      <c r="F455" t="s">
        <v>89</v>
      </c>
      <c r="G455" t="s">
        <v>334</v>
      </c>
      <c r="H455" t="s">
        <v>76</v>
      </c>
      <c r="I455" t="s">
        <v>414</v>
      </c>
      <c r="J455" t="s">
        <v>78</v>
      </c>
      <c r="K455" t="s">
        <v>89</v>
      </c>
      <c r="L455" t="s">
        <v>117</v>
      </c>
      <c r="M455">
        <v>18</v>
      </c>
      <c r="N455" t="s">
        <v>1646</v>
      </c>
      <c r="O455">
        <v>2005</v>
      </c>
      <c r="P455" t="s">
        <v>4088</v>
      </c>
      <c r="Q455" t="s">
        <v>4089</v>
      </c>
      <c r="R455">
        <v>18944</v>
      </c>
      <c r="S455" t="s">
        <v>4086</v>
      </c>
      <c r="T455" s="1">
        <v>31810</v>
      </c>
      <c r="U455">
        <v>1987</v>
      </c>
      <c r="V455" t="s">
        <v>644</v>
      </c>
      <c r="W455">
        <v>1.94</v>
      </c>
      <c r="X455" t="s">
        <v>76</v>
      </c>
      <c r="Y455" t="s">
        <v>235</v>
      </c>
      <c r="Z455" t="s">
        <v>87</v>
      </c>
      <c r="AA455" t="s">
        <v>644</v>
      </c>
      <c r="AB455" s="1">
        <v>44927</v>
      </c>
      <c r="AC455" t="s">
        <v>108</v>
      </c>
      <c r="AD455" t="s">
        <v>223</v>
      </c>
      <c r="AE455" t="s">
        <v>4090</v>
      </c>
      <c r="AF455">
        <v>18</v>
      </c>
      <c r="AG455" t="s">
        <v>1653</v>
      </c>
      <c r="AH455" t="s">
        <v>92</v>
      </c>
      <c r="AI455" t="s">
        <v>89</v>
      </c>
      <c r="AJ455" t="s">
        <v>92</v>
      </c>
      <c r="AK455">
        <v>18</v>
      </c>
      <c r="AL455">
        <v>21</v>
      </c>
      <c r="AM455">
        <v>476</v>
      </c>
      <c r="AN455">
        <v>99</v>
      </c>
      <c r="AO455">
        <v>7</v>
      </c>
      <c r="AP455" t="s">
        <v>93</v>
      </c>
      <c r="AQ455" t="s">
        <v>89</v>
      </c>
      <c r="AR455" t="s">
        <v>89</v>
      </c>
      <c r="AS455" t="s">
        <v>111</v>
      </c>
      <c r="AT455">
        <v>44927</v>
      </c>
      <c r="AU455">
        <v>2023</v>
      </c>
      <c r="AV455">
        <v>18</v>
      </c>
      <c r="AW455">
        <v>18</v>
      </c>
      <c r="AX455" t="s">
        <v>89</v>
      </c>
      <c r="AY455" t="s">
        <v>111</v>
      </c>
      <c r="AZ455">
        <v>17</v>
      </c>
      <c r="BA455">
        <v>82</v>
      </c>
      <c r="BB455">
        <v>7005</v>
      </c>
      <c r="BC455">
        <v>4</v>
      </c>
      <c r="BD455">
        <v>609</v>
      </c>
      <c r="BE455">
        <v>50594</v>
      </c>
      <c r="BF455">
        <v>54</v>
      </c>
      <c r="BG455">
        <v>36</v>
      </c>
      <c r="BH455">
        <v>691</v>
      </c>
      <c r="BI455">
        <v>57599</v>
      </c>
      <c r="BJ455">
        <v>58</v>
      </c>
      <c r="BK455">
        <f t="shared" si="65"/>
        <v>691</v>
      </c>
      <c r="BL455">
        <f t="shared" si="66"/>
        <v>57599</v>
      </c>
      <c r="BM455">
        <f t="shared" si="67"/>
        <v>58</v>
      </c>
      <c r="BN455">
        <f t="shared" si="68"/>
        <v>0</v>
      </c>
      <c r="BO455">
        <f t="shared" si="69"/>
        <v>0</v>
      </c>
      <c r="BP455">
        <f t="shared" si="70"/>
        <v>0</v>
      </c>
      <c r="BQ455" t="s">
        <v>235</v>
      </c>
      <c r="BR455" t="s">
        <v>140</v>
      </c>
      <c r="BS455" s="1">
        <v>31810</v>
      </c>
      <c r="BT455">
        <v>39</v>
      </c>
      <c r="BU455">
        <v>44927</v>
      </c>
      <c r="BV455" t="s">
        <v>89</v>
      </c>
      <c r="BW455">
        <v>18</v>
      </c>
      <c r="BX455">
        <v>1987</v>
      </c>
      <c r="BY455">
        <v>18</v>
      </c>
      <c r="BZ455">
        <f t="shared" si="71"/>
        <v>0</v>
      </c>
      <c r="CA455">
        <f t="shared" si="72"/>
        <v>0</v>
      </c>
      <c r="CB455" t="b">
        <f t="shared" si="73"/>
        <v>1</v>
      </c>
    </row>
    <row r="456" spans="1:80" x14ac:dyDescent="0.3">
      <c r="A456" t="s">
        <v>4091</v>
      </c>
      <c r="B456" t="s">
        <v>156</v>
      </c>
      <c r="C456" t="s">
        <v>4092</v>
      </c>
      <c r="D456">
        <v>43</v>
      </c>
      <c r="E456">
        <v>30109</v>
      </c>
      <c r="F456" t="s">
        <v>89</v>
      </c>
      <c r="G456" t="s">
        <v>413</v>
      </c>
      <c r="H456" t="s">
        <v>177</v>
      </c>
      <c r="I456" t="s">
        <v>178</v>
      </c>
      <c r="J456" t="s">
        <v>78</v>
      </c>
      <c r="K456" t="s">
        <v>89</v>
      </c>
      <c r="L456" t="s">
        <v>180</v>
      </c>
      <c r="M456">
        <v>25</v>
      </c>
      <c r="N456" t="s">
        <v>164</v>
      </c>
      <c r="O456">
        <v>2007</v>
      </c>
      <c r="P456" t="s">
        <v>4093</v>
      </c>
      <c r="Q456" t="s">
        <v>4094</v>
      </c>
      <c r="R456">
        <v>19979</v>
      </c>
      <c r="S456" t="s">
        <v>4091</v>
      </c>
      <c r="T456">
        <v>30109</v>
      </c>
      <c r="U456">
        <v>1982</v>
      </c>
      <c r="V456" t="s">
        <v>4095</v>
      </c>
      <c r="W456">
        <v>1.85</v>
      </c>
      <c r="X456" t="s">
        <v>169</v>
      </c>
      <c r="Y456" t="s">
        <v>186</v>
      </c>
      <c r="Z456" t="s">
        <v>87</v>
      </c>
      <c r="AA456" t="s">
        <v>3450</v>
      </c>
      <c r="AB456" s="1">
        <v>44562</v>
      </c>
      <c r="AC456" t="s">
        <v>108</v>
      </c>
      <c r="AD456" t="s">
        <v>89</v>
      </c>
      <c r="AE456">
        <v>37631</v>
      </c>
      <c r="AF456">
        <v>21</v>
      </c>
      <c r="AG456" t="s">
        <v>189</v>
      </c>
      <c r="AH456">
        <v>41065</v>
      </c>
      <c r="AI456">
        <v>29</v>
      </c>
      <c r="AJ456" t="s">
        <v>110</v>
      </c>
      <c r="AK456">
        <v>21</v>
      </c>
      <c r="AL456">
        <v>5</v>
      </c>
      <c r="AM456">
        <v>228</v>
      </c>
      <c r="AN456">
        <v>29</v>
      </c>
      <c r="AO456">
        <v>4</v>
      </c>
      <c r="AP456" t="s">
        <v>93</v>
      </c>
      <c r="AQ456" t="s">
        <v>89</v>
      </c>
      <c r="AR456" t="s">
        <v>89</v>
      </c>
      <c r="AS456" t="s">
        <v>111</v>
      </c>
      <c r="AT456">
        <v>44562</v>
      </c>
      <c r="AU456">
        <v>2022</v>
      </c>
      <c r="AV456">
        <v>15</v>
      </c>
      <c r="AW456">
        <v>15</v>
      </c>
      <c r="AX456" t="s">
        <v>89</v>
      </c>
      <c r="AY456" t="s">
        <v>111</v>
      </c>
      <c r="AZ456">
        <v>1</v>
      </c>
      <c r="BA456">
        <v>5</v>
      </c>
      <c r="BB456">
        <v>480</v>
      </c>
      <c r="BC456">
        <v>0</v>
      </c>
      <c r="BD456">
        <v>157</v>
      </c>
      <c r="BE456">
        <v>13459</v>
      </c>
      <c r="BF456">
        <v>0</v>
      </c>
      <c r="BG456">
        <v>40</v>
      </c>
      <c r="BH456">
        <v>162</v>
      </c>
      <c r="BI456">
        <v>13939</v>
      </c>
      <c r="BJ456">
        <v>0</v>
      </c>
      <c r="BK456">
        <f t="shared" si="65"/>
        <v>162</v>
      </c>
      <c r="BL456">
        <f t="shared" si="66"/>
        <v>13939</v>
      </c>
      <c r="BM456">
        <f t="shared" si="67"/>
        <v>0</v>
      </c>
      <c r="BN456">
        <f t="shared" si="68"/>
        <v>0</v>
      </c>
      <c r="BO456">
        <f t="shared" si="69"/>
        <v>0</v>
      </c>
      <c r="BP456">
        <f t="shared" si="70"/>
        <v>0</v>
      </c>
      <c r="BQ456" t="s">
        <v>186</v>
      </c>
      <c r="BR456" t="s">
        <v>186</v>
      </c>
      <c r="BS456" t="s">
        <v>89</v>
      </c>
      <c r="BT456">
        <v>44</v>
      </c>
      <c r="BU456">
        <v>44562</v>
      </c>
      <c r="BV456" t="s">
        <v>89</v>
      </c>
      <c r="BW456">
        <v>19</v>
      </c>
      <c r="BX456">
        <v>1982</v>
      </c>
      <c r="BY456">
        <v>19</v>
      </c>
      <c r="BZ456">
        <f t="shared" si="71"/>
        <v>-4</v>
      </c>
      <c r="CA456">
        <f t="shared" si="72"/>
        <v>0</v>
      </c>
      <c r="CB456" t="b">
        <f t="shared" si="73"/>
        <v>0</v>
      </c>
    </row>
    <row r="457" spans="1:80" x14ac:dyDescent="0.3">
      <c r="A457" t="s">
        <v>4096</v>
      </c>
      <c r="B457" t="s">
        <v>71</v>
      </c>
      <c r="C457" t="s">
        <v>4097</v>
      </c>
      <c r="D457">
        <v>32</v>
      </c>
      <c r="E457" t="s">
        <v>4098</v>
      </c>
      <c r="F457" t="s">
        <v>399</v>
      </c>
      <c r="G457" t="s">
        <v>374</v>
      </c>
      <c r="H457" t="s">
        <v>89</v>
      </c>
      <c r="I457" t="s">
        <v>178</v>
      </c>
      <c r="J457" t="s">
        <v>89</v>
      </c>
      <c r="K457" t="s">
        <v>2401</v>
      </c>
      <c r="L457" t="s">
        <v>324</v>
      </c>
      <c r="M457">
        <v>20</v>
      </c>
      <c r="N457" t="s">
        <v>146</v>
      </c>
      <c r="O457">
        <v>2013</v>
      </c>
      <c r="P457" t="s">
        <v>4099</v>
      </c>
      <c r="Q457" t="s">
        <v>4100</v>
      </c>
      <c r="R457">
        <v>126746</v>
      </c>
      <c r="S457" t="s">
        <v>4096</v>
      </c>
      <c r="T457" t="s">
        <v>4101</v>
      </c>
      <c r="U457">
        <v>1993</v>
      </c>
      <c r="V457" t="s">
        <v>402</v>
      </c>
      <c r="W457">
        <v>1.91</v>
      </c>
      <c r="X457" t="s">
        <v>76</v>
      </c>
      <c r="Y457" t="s">
        <v>186</v>
      </c>
      <c r="Z457" t="s">
        <v>87</v>
      </c>
      <c r="AA457" t="s">
        <v>260</v>
      </c>
      <c r="AB457">
        <v>44933</v>
      </c>
      <c r="AC457" t="s">
        <v>170</v>
      </c>
      <c r="AD457" t="s">
        <v>89</v>
      </c>
      <c r="AE457" s="1">
        <v>41794</v>
      </c>
      <c r="AF457">
        <v>21</v>
      </c>
      <c r="AG457" t="s">
        <v>91</v>
      </c>
      <c r="AH457" t="s">
        <v>4102</v>
      </c>
      <c r="AI457">
        <v>21</v>
      </c>
      <c r="AJ457" t="s">
        <v>110</v>
      </c>
      <c r="AK457">
        <v>21</v>
      </c>
      <c r="AL457">
        <v>1</v>
      </c>
      <c r="AM457">
        <v>183</v>
      </c>
      <c r="AN457">
        <v>22</v>
      </c>
      <c r="AO457">
        <v>1</v>
      </c>
      <c r="AP457" t="s">
        <v>93</v>
      </c>
      <c r="AQ457" t="s">
        <v>89</v>
      </c>
      <c r="AR457" t="s">
        <v>89</v>
      </c>
      <c r="AS457" t="s">
        <v>93</v>
      </c>
      <c r="AT457" t="s">
        <v>89</v>
      </c>
      <c r="AU457" t="s">
        <v>89</v>
      </c>
      <c r="AV457" t="s">
        <v>89</v>
      </c>
      <c r="AW457">
        <v>12</v>
      </c>
      <c r="AX457">
        <v>1</v>
      </c>
      <c r="AY457" t="s">
        <v>93</v>
      </c>
      <c r="AZ457">
        <v>0</v>
      </c>
      <c r="BA457">
        <v>0</v>
      </c>
      <c r="BB457">
        <v>0</v>
      </c>
      <c r="BC457">
        <v>0</v>
      </c>
      <c r="BD457">
        <v>76</v>
      </c>
      <c r="BE457">
        <v>6896</v>
      </c>
      <c r="BF457">
        <v>0</v>
      </c>
      <c r="BG457" t="s">
        <v>89</v>
      </c>
      <c r="BH457">
        <v>76</v>
      </c>
      <c r="BI457">
        <v>6896</v>
      </c>
      <c r="BJ457">
        <v>0</v>
      </c>
      <c r="BK457">
        <f t="shared" si="65"/>
        <v>76</v>
      </c>
      <c r="BL457">
        <f t="shared" si="66"/>
        <v>6896</v>
      </c>
      <c r="BM457">
        <f t="shared" si="67"/>
        <v>0</v>
      </c>
      <c r="BN457">
        <f t="shared" si="68"/>
        <v>0</v>
      </c>
      <c r="BO457">
        <f t="shared" si="69"/>
        <v>0</v>
      </c>
      <c r="BP457">
        <f t="shared" si="70"/>
        <v>0</v>
      </c>
      <c r="BQ457" t="s">
        <v>186</v>
      </c>
      <c r="BR457" t="s">
        <v>186</v>
      </c>
      <c r="BS457" s="1">
        <v>34016</v>
      </c>
      <c r="BT457">
        <v>33</v>
      </c>
      <c r="BU457" t="s">
        <v>89</v>
      </c>
      <c r="BV457" t="s">
        <v>89</v>
      </c>
      <c r="BW457">
        <v>12</v>
      </c>
      <c r="BX457">
        <v>1993</v>
      </c>
      <c r="BY457">
        <v>11</v>
      </c>
      <c r="BZ457">
        <f t="shared" si="71"/>
        <v>0</v>
      </c>
      <c r="CA457">
        <f t="shared" si="72"/>
        <v>1</v>
      </c>
      <c r="CB457" t="b">
        <f t="shared" si="73"/>
        <v>1</v>
      </c>
    </row>
    <row r="458" spans="1:80" x14ac:dyDescent="0.3">
      <c r="A458" t="s">
        <v>4103</v>
      </c>
      <c r="B458" t="s">
        <v>4104</v>
      </c>
      <c r="C458" t="s">
        <v>4105</v>
      </c>
      <c r="D458">
        <v>38</v>
      </c>
      <c r="E458" s="1">
        <v>31776</v>
      </c>
      <c r="F458" t="s">
        <v>89</v>
      </c>
      <c r="G458" t="s">
        <v>321</v>
      </c>
      <c r="H458" t="s">
        <v>4106</v>
      </c>
      <c r="I458" t="s">
        <v>357</v>
      </c>
      <c r="J458" t="s">
        <v>78</v>
      </c>
      <c r="K458" t="s">
        <v>89</v>
      </c>
      <c r="L458" t="s">
        <v>145</v>
      </c>
      <c r="M458">
        <v>17</v>
      </c>
      <c r="N458" t="s">
        <v>4107</v>
      </c>
      <c r="O458">
        <v>2004</v>
      </c>
      <c r="P458" t="s">
        <v>4108</v>
      </c>
      <c r="Q458" t="s">
        <v>4109</v>
      </c>
      <c r="R458">
        <v>27304</v>
      </c>
      <c r="S458" t="s">
        <v>4103</v>
      </c>
      <c r="T458" t="s">
        <v>4110</v>
      </c>
      <c r="U458">
        <v>1986</v>
      </c>
      <c r="V458" t="s">
        <v>4022</v>
      </c>
      <c r="W458">
        <v>1.78</v>
      </c>
      <c r="X458" t="s">
        <v>4111</v>
      </c>
      <c r="Y458" t="s">
        <v>235</v>
      </c>
      <c r="Z458" t="s">
        <v>87</v>
      </c>
      <c r="AA458" t="s">
        <v>4112</v>
      </c>
      <c r="AB458" s="1">
        <v>44203</v>
      </c>
      <c r="AC458" t="s">
        <v>108</v>
      </c>
      <c r="AD458" t="s">
        <v>89</v>
      </c>
      <c r="AE458" t="s">
        <v>4113</v>
      </c>
      <c r="AF458">
        <v>17</v>
      </c>
      <c r="AG458" t="s">
        <v>4114</v>
      </c>
      <c r="AH458">
        <v>40033</v>
      </c>
      <c r="AI458">
        <v>22</v>
      </c>
      <c r="AJ458" t="s">
        <v>855</v>
      </c>
      <c r="AK458">
        <v>17</v>
      </c>
      <c r="AL458">
        <v>12</v>
      </c>
      <c r="AM458">
        <v>398</v>
      </c>
      <c r="AN458">
        <v>53</v>
      </c>
      <c r="AO458">
        <v>6</v>
      </c>
      <c r="AP458" t="s">
        <v>93</v>
      </c>
      <c r="AQ458" t="s">
        <v>89</v>
      </c>
      <c r="AR458" t="s">
        <v>89</v>
      </c>
      <c r="AS458" t="s">
        <v>111</v>
      </c>
      <c r="AT458" s="1">
        <v>44203</v>
      </c>
      <c r="AU458">
        <v>2021</v>
      </c>
      <c r="AV458">
        <v>17</v>
      </c>
      <c r="AW458">
        <v>17</v>
      </c>
      <c r="AX458" t="s">
        <v>89</v>
      </c>
      <c r="AY458" t="s">
        <v>93</v>
      </c>
      <c r="AZ458">
        <v>0</v>
      </c>
      <c r="BA458">
        <v>0</v>
      </c>
      <c r="BB458">
        <v>0</v>
      </c>
      <c r="BC458">
        <v>0</v>
      </c>
      <c r="BD458">
        <v>339</v>
      </c>
      <c r="BE458">
        <v>26609</v>
      </c>
      <c r="BF458">
        <v>13</v>
      </c>
      <c r="BG458">
        <v>35</v>
      </c>
      <c r="BH458">
        <v>339</v>
      </c>
      <c r="BI458">
        <v>26609</v>
      </c>
      <c r="BJ458">
        <v>13</v>
      </c>
      <c r="BK458">
        <f t="shared" si="65"/>
        <v>339</v>
      </c>
      <c r="BL458">
        <f t="shared" si="66"/>
        <v>26609</v>
      </c>
      <c r="BM458">
        <f t="shared" si="67"/>
        <v>13</v>
      </c>
      <c r="BN458">
        <f t="shared" si="68"/>
        <v>0</v>
      </c>
      <c r="BO458">
        <f t="shared" si="69"/>
        <v>0</v>
      </c>
      <c r="BP458">
        <f t="shared" si="70"/>
        <v>0</v>
      </c>
      <c r="BQ458" t="s">
        <v>235</v>
      </c>
      <c r="BR458" t="s">
        <v>140</v>
      </c>
      <c r="BS458" s="1">
        <v>31776</v>
      </c>
      <c r="BT458">
        <v>39</v>
      </c>
      <c r="BU458" s="1">
        <v>44203</v>
      </c>
      <c r="BV458" s="1">
        <v>44378</v>
      </c>
      <c r="BW458">
        <v>18</v>
      </c>
      <c r="BX458">
        <v>1986</v>
      </c>
      <c r="BY458">
        <v>18</v>
      </c>
      <c r="BZ458">
        <f t="shared" si="71"/>
        <v>-1</v>
      </c>
      <c r="CA458">
        <f t="shared" si="72"/>
        <v>0</v>
      </c>
      <c r="CB458" t="b">
        <f t="shared" si="73"/>
        <v>0</v>
      </c>
    </row>
    <row r="459" spans="1:80" x14ac:dyDescent="0.3">
      <c r="A459" t="s">
        <v>4115</v>
      </c>
      <c r="B459" t="s">
        <v>617</v>
      </c>
      <c r="C459" t="s">
        <v>4116</v>
      </c>
      <c r="D459">
        <v>38</v>
      </c>
      <c r="E459">
        <v>31804</v>
      </c>
      <c r="F459" t="s">
        <v>89</v>
      </c>
      <c r="G459" t="s">
        <v>115</v>
      </c>
      <c r="H459" t="s">
        <v>619</v>
      </c>
      <c r="I459" t="s">
        <v>1190</v>
      </c>
      <c r="J459" t="s">
        <v>78</v>
      </c>
      <c r="K459" t="s">
        <v>89</v>
      </c>
      <c r="L459" t="s">
        <v>324</v>
      </c>
      <c r="M459">
        <v>26</v>
      </c>
      <c r="N459" t="s">
        <v>100</v>
      </c>
      <c r="O459">
        <v>2013</v>
      </c>
      <c r="P459" t="s">
        <v>4117</v>
      </c>
      <c r="Q459" t="s">
        <v>4118</v>
      </c>
      <c r="R459">
        <v>77207</v>
      </c>
      <c r="S459" t="s">
        <v>4115</v>
      </c>
      <c r="T459" t="s">
        <v>4119</v>
      </c>
      <c r="U459">
        <v>1987</v>
      </c>
      <c r="V459" t="s">
        <v>4120</v>
      </c>
      <c r="W459">
        <v>1.8</v>
      </c>
      <c r="X459" t="s">
        <v>619</v>
      </c>
      <c r="Y459" t="s">
        <v>136</v>
      </c>
      <c r="Z459" t="s">
        <v>87</v>
      </c>
      <c r="AA459" t="s">
        <v>4121</v>
      </c>
      <c r="AB459" s="1">
        <v>44933</v>
      </c>
      <c r="AC459" t="s">
        <v>108</v>
      </c>
      <c r="AD459" t="s">
        <v>89</v>
      </c>
      <c r="AE459" s="1">
        <v>39880</v>
      </c>
      <c r="AF459">
        <v>22</v>
      </c>
      <c r="AG459" t="s">
        <v>1943</v>
      </c>
      <c r="AH459" t="s">
        <v>92</v>
      </c>
      <c r="AI459" t="s">
        <v>89</v>
      </c>
      <c r="AJ459" t="s">
        <v>92</v>
      </c>
      <c r="AK459">
        <v>22</v>
      </c>
      <c r="AL459">
        <v>1</v>
      </c>
      <c r="AM459">
        <v>63</v>
      </c>
      <c r="AN459">
        <v>0</v>
      </c>
      <c r="AO459">
        <v>1</v>
      </c>
      <c r="AP459" t="s">
        <v>93</v>
      </c>
      <c r="AQ459" t="s">
        <v>89</v>
      </c>
      <c r="AR459" t="s">
        <v>89</v>
      </c>
      <c r="AS459" t="s">
        <v>111</v>
      </c>
      <c r="AT459">
        <v>44933</v>
      </c>
      <c r="AU459">
        <v>2023</v>
      </c>
      <c r="AV459">
        <v>10</v>
      </c>
      <c r="AW459">
        <v>10</v>
      </c>
      <c r="AX459" t="s">
        <v>89</v>
      </c>
      <c r="AY459" t="s">
        <v>93</v>
      </c>
      <c r="AZ459">
        <v>0</v>
      </c>
      <c r="BA459">
        <v>0</v>
      </c>
      <c r="BB459">
        <v>0</v>
      </c>
      <c r="BC459">
        <v>0</v>
      </c>
      <c r="BD459">
        <v>224</v>
      </c>
      <c r="BE459">
        <v>17044</v>
      </c>
      <c r="BF459">
        <v>10</v>
      </c>
      <c r="BG459">
        <v>36</v>
      </c>
      <c r="BH459">
        <v>224</v>
      </c>
      <c r="BI459">
        <v>17044</v>
      </c>
      <c r="BJ459">
        <v>10</v>
      </c>
      <c r="BK459">
        <f t="shared" si="65"/>
        <v>224</v>
      </c>
      <c r="BL459">
        <f t="shared" si="66"/>
        <v>17044</v>
      </c>
      <c r="BM459">
        <f t="shared" si="67"/>
        <v>10</v>
      </c>
      <c r="BN459">
        <f t="shared" si="68"/>
        <v>0</v>
      </c>
      <c r="BO459">
        <f t="shared" si="69"/>
        <v>0</v>
      </c>
      <c r="BP459">
        <f t="shared" si="70"/>
        <v>0</v>
      </c>
      <c r="BQ459" t="s">
        <v>136</v>
      </c>
      <c r="BR459" t="s">
        <v>140</v>
      </c>
      <c r="BS459" s="1">
        <v>31804</v>
      </c>
      <c r="BT459">
        <v>39</v>
      </c>
      <c r="BU459">
        <v>44933</v>
      </c>
      <c r="BV459" t="s">
        <v>89</v>
      </c>
      <c r="BW459">
        <v>14</v>
      </c>
      <c r="BX459">
        <v>1987</v>
      </c>
      <c r="BY459">
        <v>14</v>
      </c>
      <c r="BZ459">
        <f t="shared" si="71"/>
        <v>-4</v>
      </c>
      <c r="CA459">
        <f t="shared" si="72"/>
        <v>0</v>
      </c>
      <c r="CB459" t="b">
        <f t="shared" si="73"/>
        <v>0</v>
      </c>
    </row>
    <row r="460" spans="1:80" x14ac:dyDescent="0.3">
      <c r="A460" t="s">
        <v>4122</v>
      </c>
      <c r="B460" t="s">
        <v>1274</v>
      </c>
      <c r="C460" t="s">
        <v>4123</v>
      </c>
      <c r="D460">
        <v>36</v>
      </c>
      <c r="E460">
        <v>32639</v>
      </c>
      <c r="F460" t="s">
        <v>89</v>
      </c>
      <c r="G460" t="s">
        <v>143</v>
      </c>
      <c r="H460" t="s">
        <v>1276</v>
      </c>
      <c r="I460" t="s">
        <v>116</v>
      </c>
      <c r="J460" t="s">
        <v>300</v>
      </c>
      <c r="K460" t="s">
        <v>89</v>
      </c>
      <c r="L460" t="s">
        <v>180</v>
      </c>
      <c r="M460">
        <v>18</v>
      </c>
      <c r="N460" t="s">
        <v>644</v>
      </c>
      <c r="O460">
        <v>2007</v>
      </c>
      <c r="P460" t="s">
        <v>4124</v>
      </c>
      <c r="Q460" t="s">
        <v>4125</v>
      </c>
      <c r="R460">
        <v>44674</v>
      </c>
      <c r="S460" t="s">
        <v>4122</v>
      </c>
      <c r="T460">
        <v>32817</v>
      </c>
      <c r="U460">
        <v>1989</v>
      </c>
      <c r="V460" t="s">
        <v>79</v>
      </c>
      <c r="W460">
        <v>1.75</v>
      </c>
      <c r="X460" t="s">
        <v>1283</v>
      </c>
      <c r="Y460" t="s">
        <v>369</v>
      </c>
      <c r="Z460" t="s">
        <v>152</v>
      </c>
      <c r="AA460" t="s">
        <v>185</v>
      </c>
      <c r="AB460" s="1">
        <v>44933</v>
      </c>
      <c r="AC460" t="s">
        <v>108</v>
      </c>
      <c r="AD460" t="s">
        <v>223</v>
      </c>
      <c r="AE460">
        <v>39122</v>
      </c>
      <c r="AF460">
        <v>18</v>
      </c>
      <c r="AG460" t="s">
        <v>91</v>
      </c>
      <c r="AH460" t="s">
        <v>4126</v>
      </c>
      <c r="AI460">
        <v>19</v>
      </c>
      <c r="AJ460" t="s">
        <v>855</v>
      </c>
      <c r="AK460">
        <v>18</v>
      </c>
      <c r="AL460">
        <v>13</v>
      </c>
      <c r="AM460">
        <v>378</v>
      </c>
      <c r="AN460">
        <v>73</v>
      </c>
      <c r="AO460">
        <v>8</v>
      </c>
      <c r="AP460" t="s">
        <v>93</v>
      </c>
      <c r="AQ460" t="s">
        <v>89</v>
      </c>
      <c r="AR460" t="s">
        <v>89</v>
      </c>
      <c r="AS460" t="s">
        <v>111</v>
      </c>
      <c r="AT460">
        <v>44933</v>
      </c>
      <c r="AU460">
        <v>2023</v>
      </c>
      <c r="AV460">
        <v>16</v>
      </c>
      <c r="AW460">
        <v>16</v>
      </c>
      <c r="AX460" t="s">
        <v>89</v>
      </c>
      <c r="AY460" t="s">
        <v>111</v>
      </c>
      <c r="AZ460">
        <v>14</v>
      </c>
      <c r="BA460">
        <v>60</v>
      </c>
      <c r="BB460">
        <v>3754</v>
      </c>
      <c r="BC460">
        <v>7</v>
      </c>
      <c r="BD460">
        <v>309</v>
      </c>
      <c r="BE460">
        <v>19342</v>
      </c>
      <c r="BF460">
        <v>66</v>
      </c>
      <c r="BG460">
        <v>34</v>
      </c>
      <c r="BH460">
        <v>369</v>
      </c>
      <c r="BI460">
        <v>23096</v>
      </c>
      <c r="BJ460">
        <v>73</v>
      </c>
      <c r="BK460">
        <f t="shared" si="65"/>
        <v>369</v>
      </c>
      <c r="BL460">
        <f t="shared" si="66"/>
        <v>23096</v>
      </c>
      <c r="BM460">
        <f t="shared" si="67"/>
        <v>73</v>
      </c>
      <c r="BN460">
        <f t="shared" si="68"/>
        <v>0</v>
      </c>
      <c r="BO460">
        <f t="shared" si="69"/>
        <v>0</v>
      </c>
      <c r="BP460">
        <f t="shared" si="70"/>
        <v>0</v>
      </c>
      <c r="BQ460" t="s">
        <v>369</v>
      </c>
      <c r="BR460" t="s">
        <v>112</v>
      </c>
      <c r="BS460" t="s">
        <v>89</v>
      </c>
      <c r="BT460">
        <v>37</v>
      </c>
      <c r="BU460">
        <v>44933</v>
      </c>
      <c r="BV460" t="s">
        <v>89</v>
      </c>
      <c r="BW460">
        <v>16</v>
      </c>
      <c r="BX460">
        <v>1989</v>
      </c>
      <c r="BY460">
        <v>16</v>
      </c>
      <c r="BZ460">
        <f t="shared" si="71"/>
        <v>0</v>
      </c>
      <c r="CA460">
        <f t="shared" si="72"/>
        <v>0</v>
      </c>
      <c r="CB460" t="b">
        <f t="shared" si="73"/>
        <v>1</v>
      </c>
    </row>
    <row r="461" spans="1:80" x14ac:dyDescent="0.3">
      <c r="A461" t="s">
        <v>4127</v>
      </c>
      <c r="B461" t="s">
        <v>1008</v>
      </c>
      <c r="C461" t="s">
        <v>4128</v>
      </c>
      <c r="D461">
        <v>38</v>
      </c>
      <c r="E461" s="1">
        <v>31809</v>
      </c>
      <c r="F461" t="s">
        <v>89</v>
      </c>
      <c r="G461" t="s">
        <v>211</v>
      </c>
      <c r="H461" t="s">
        <v>4129</v>
      </c>
      <c r="I461" t="s">
        <v>437</v>
      </c>
      <c r="J461" t="s">
        <v>639</v>
      </c>
      <c r="K461" t="s">
        <v>89</v>
      </c>
      <c r="L461" t="s">
        <v>117</v>
      </c>
      <c r="M461">
        <v>18</v>
      </c>
      <c r="N461" t="s">
        <v>1646</v>
      </c>
      <c r="O461">
        <v>2005</v>
      </c>
      <c r="P461" t="s">
        <v>4130</v>
      </c>
      <c r="Q461" t="s">
        <v>4131</v>
      </c>
      <c r="R461">
        <v>19104</v>
      </c>
      <c r="S461" t="s">
        <v>4127</v>
      </c>
      <c r="T461">
        <v>31779</v>
      </c>
      <c r="U461">
        <v>1987</v>
      </c>
      <c r="V461" t="s">
        <v>4132</v>
      </c>
      <c r="W461">
        <v>1.73</v>
      </c>
      <c r="X461" t="s">
        <v>4133</v>
      </c>
      <c r="Y461" t="s">
        <v>123</v>
      </c>
      <c r="Z461" t="s">
        <v>152</v>
      </c>
      <c r="AA461" t="s">
        <v>3945</v>
      </c>
      <c r="AB461" t="s">
        <v>4134</v>
      </c>
      <c r="AC461" t="s">
        <v>108</v>
      </c>
      <c r="AD461" t="s">
        <v>89</v>
      </c>
      <c r="AE461" s="1">
        <v>2005</v>
      </c>
      <c r="AF461">
        <v>18</v>
      </c>
      <c r="AG461" t="s">
        <v>1653</v>
      </c>
      <c r="AH461">
        <v>2021</v>
      </c>
      <c r="AI461">
        <v>34</v>
      </c>
      <c r="AJ461">
        <v>0</v>
      </c>
      <c r="AK461">
        <v>18</v>
      </c>
      <c r="AL461">
        <v>11</v>
      </c>
      <c r="AM461">
        <v>1263</v>
      </c>
      <c r="AN461">
        <v>226</v>
      </c>
      <c r="AO461">
        <v>7</v>
      </c>
      <c r="AP461" t="s">
        <v>93</v>
      </c>
      <c r="AQ461" t="s">
        <v>89</v>
      </c>
      <c r="AR461" t="s">
        <v>89</v>
      </c>
      <c r="AS461" t="s">
        <v>111</v>
      </c>
      <c r="AT461" t="s">
        <v>4134</v>
      </c>
      <c r="AU461">
        <v>2023</v>
      </c>
      <c r="AV461">
        <v>18</v>
      </c>
      <c r="AW461">
        <v>18</v>
      </c>
      <c r="AX461" t="s">
        <v>89</v>
      </c>
      <c r="AY461" t="s">
        <v>111</v>
      </c>
      <c r="AZ461">
        <v>5</v>
      </c>
      <c r="BA461">
        <v>16</v>
      </c>
      <c r="BB461">
        <v>788</v>
      </c>
      <c r="BC461">
        <v>3</v>
      </c>
      <c r="BD461">
        <v>329</v>
      </c>
      <c r="BE461">
        <v>20390</v>
      </c>
      <c r="BF461">
        <v>116</v>
      </c>
      <c r="BG461">
        <v>36</v>
      </c>
      <c r="BH461">
        <v>345</v>
      </c>
      <c r="BI461">
        <v>21178</v>
      </c>
      <c r="BJ461">
        <v>119</v>
      </c>
      <c r="BK461">
        <f t="shared" si="65"/>
        <v>345</v>
      </c>
      <c r="BL461">
        <f t="shared" si="66"/>
        <v>21178</v>
      </c>
      <c r="BM461">
        <f t="shared" si="67"/>
        <v>119</v>
      </c>
      <c r="BN461">
        <f t="shared" si="68"/>
        <v>0</v>
      </c>
      <c r="BO461">
        <f t="shared" si="69"/>
        <v>0</v>
      </c>
      <c r="BP461">
        <f t="shared" si="70"/>
        <v>0</v>
      </c>
      <c r="BQ461" t="s">
        <v>123</v>
      </c>
      <c r="BR461" t="s">
        <v>112</v>
      </c>
      <c r="BS461" t="s">
        <v>89</v>
      </c>
      <c r="BT461">
        <v>39</v>
      </c>
      <c r="BU461" t="s">
        <v>4134</v>
      </c>
      <c r="BV461" s="1">
        <v>45129</v>
      </c>
      <c r="BW461">
        <v>18</v>
      </c>
      <c r="BX461">
        <v>1987</v>
      </c>
      <c r="BY461">
        <v>18</v>
      </c>
      <c r="BZ461">
        <f t="shared" si="71"/>
        <v>0</v>
      </c>
      <c r="CA461">
        <f t="shared" si="72"/>
        <v>0</v>
      </c>
      <c r="CB461" t="b">
        <f t="shared" si="73"/>
        <v>1</v>
      </c>
    </row>
    <row r="462" spans="1:80" x14ac:dyDescent="0.3">
      <c r="A462" t="s">
        <v>4135</v>
      </c>
      <c r="B462" t="s">
        <v>4104</v>
      </c>
      <c r="C462" t="s">
        <v>4136</v>
      </c>
      <c r="D462">
        <v>41</v>
      </c>
      <c r="E462" s="1">
        <v>30611</v>
      </c>
      <c r="F462" t="s">
        <v>89</v>
      </c>
      <c r="G462" t="s">
        <v>277</v>
      </c>
      <c r="H462" t="s">
        <v>4106</v>
      </c>
      <c r="I462" t="s">
        <v>227</v>
      </c>
      <c r="J462" t="s">
        <v>78</v>
      </c>
      <c r="K462" t="s">
        <v>89</v>
      </c>
      <c r="L462" t="s">
        <v>99</v>
      </c>
      <c r="M462">
        <v>17</v>
      </c>
      <c r="N462" t="s">
        <v>4107</v>
      </c>
      <c r="O462">
        <v>2001</v>
      </c>
      <c r="P462" t="s">
        <v>4137</v>
      </c>
      <c r="Q462" t="s">
        <v>4138</v>
      </c>
      <c r="R462">
        <v>4371</v>
      </c>
      <c r="S462" t="s">
        <v>4135</v>
      </c>
      <c r="T462" t="s">
        <v>4139</v>
      </c>
      <c r="U462">
        <v>1983</v>
      </c>
      <c r="V462" t="s">
        <v>4140</v>
      </c>
      <c r="W462">
        <v>1.88</v>
      </c>
      <c r="X462" t="s">
        <v>4106</v>
      </c>
      <c r="Y462" t="s">
        <v>235</v>
      </c>
      <c r="Z462" t="s">
        <v>87</v>
      </c>
      <c r="AA462" t="s">
        <v>4141</v>
      </c>
      <c r="AB462" t="s">
        <v>4142</v>
      </c>
      <c r="AC462" t="s">
        <v>108</v>
      </c>
      <c r="AD462" t="s">
        <v>89</v>
      </c>
      <c r="AE462" t="s">
        <v>4143</v>
      </c>
      <c r="AF462">
        <v>18</v>
      </c>
      <c r="AG462" t="s">
        <v>4114</v>
      </c>
      <c r="AH462" t="s">
        <v>4144</v>
      </c>
      <c r="AI462">
        <v>19</v>
      </c>
      <c r="AJ462" t="s">
        <v>4025</v>
      </c>
      <c r="AK462">
        <v>18</v>
      </c>
      <c r="AL462">
        <v>2</v>
      </c>
      <c r="AM462">
        <v>98</v>
      </c>
      <c r="AN462">
        <v>19</v>
      </c>
      <c r="AO462">
        <v>2</v>
      </c>
      <c r="AP462" t="s">
        <v>93</v>
      </c>
      <c r="AQ462" t="s">
        <v>89</v>
      </c>
      <c r="AR462" t="s">
        <v>89</v>
      </c>
      <c r="AS462" t="s">
        <v>111</v>
      </c>
      <c r="AT462" t="s">
        <v>4142</v>
      </c>
      <c r="AU462">
        <v>2019</v>
      </c>
      <c r="AV462">
        <v>18</v>
      </c>
      <c r="AW462">
        <v>18</v>
      </c>
      <c r="AX462" t="s">
        <v>89</v>
      </c>
      <c r="AY462" t="s">
        <v>93</v>
      </c>
      <c r="AZ462">
        <v>0</v>
      </c>
      <c r="BA462">
        <v>0</v>
      </c>
      <c r="BB462">
        <v>0</v>
      </c>
      <c r="BC462">
        <v>0</v>
      </c>
      <c r="BD462">
        <v>388</v>
      </c>
      <c r="BE462">
        <v>30962</v>
      </c>
      <c r="BF462">
        <v>12</v>
      </c>
      <c r="BG462">
        <v>36</v>
      </c>
      <c r="BH462">
        <v>388</v>
      </c>
      <c r="BI462">
        <v>30962</v>
      </c>
      <c r="BJ462">
        <v>12</v>
      </c>
      <c r="BK462">
        <f t="shared" si="65"/>
        <v>388</v>
      </c>
      <c r="BL462">
        <f t="shared" si="66"/>
        <v>30962</v>
      </c>
      <c r="BM462">
        <f t="shared" si="67"/>
        <v>12</v>
      </c>
      <c r="BN462">
        <f t="shared" si="68"/>
        <v>0</v>
      </c>
      <c r="BO462">
        <f t="shared" si="69"/>
        <v>0</v>
      </c>
      <c r="BP462">
        <f t="shared" si="70"/>
        <v>0</v>
      </c>
      <c r="BQ462" t="s">
        <v>235</v>
      </c>
      <c r="BR462" t="s">
        <v>140</v>
      </c>
      <c r="BS462" s="1">
        <v>30611</v>
      </c>
      <c r="BT462">
        <v>42</v>
      </c>
      <c r="BU462" t="s">
        <v>4142</v>
      </c>
      <c r="BV462" s="1">
        <v>43699</v>
      </c>
      <c r="BW462">
        <v>18</v>
      </c>
      <c r="BX462">
        <v>1983</v>
      </c>
      <c r="BY462">
        <v>18</v>
      </c>
      <c r="BZ462">
        <f t="shared" si="71"/>
        <v>0</v>
      </c>
      <c r="CA462">
        <f t="shared" si="72"/>
        <v>0</v>
      </c>
      <c r="CB462" t="b">
        <f t="shared" si="73"/>
        <v>1</v>
      </c>
    </row>
    <row r="463" spans="1:80" x14ac:dyDescent="0.3">
      <c r="A463" t="s">
        <v>4145</v>
      </c>
      <c r="B463" t="s">
        <v>156</v>
      </c>
      <c r="C463" t="s">
        <v>4146</v>
      </c>
      <c r="D463">
        <v>37</v>
      </c>
      <c r="E463">
        <v>31999</v>
      </c>
      <c r="F463" t="s">
        <v>3304</v>
      </c>
      <c r="G463" t="s">
        <v>321</v>
      </c>
      <c r="H463" t="s">
        <v>89</v>
      </c>
      <c r="I463" t="s">
        <v>722</v>
      </c>
      <c r="J463" t="s">
        <v>89</v>
      </c>
      <c r="K463" t="s">
        <v>4147</v>
      </c>
      <c r="L463" t="s">
        <v>228</v>
      </c>
      <c r="M463">
        <v>22</v>
      </c>
      <c r="N463" t="s">
        <v>2060</v>
      </c>
      <c r="O463">
        <v>2010</v>
      </c>
      <c r="P463" t="s">
        <v>4148</v>
      </c>
      <c r="Q463" t="s">
        <v>4149</v>
      </c>
      <c r="R463">
        <v>87840</v>
      </c>
      <c r="S463" t="s">
        <v>4145</v>
      </c>
      <c r="T463">
        <v>32058</v>
      </c>
      <c r="U463">
        <v>1987</v>
      </c>
      <c r="V463" t="s">
        <v>982</v>
      </c>
      <c r="W463">
        <v>1.85</v>
      </c>
      <c r="X463" t="s">
        <v>177</v>
      </c>
      <c r="Y463" t="s">
        <v>86</v>
      </c>
      <c r="Z463" t="s">
        <v>87</v>
      </c>
      <c r="AA463" t="s">
        <v>4150</v>
      </c>
      <c r="AB463" t="s">
        <v>3748</v>
      </c>
      <c r="AC463" t="s">
        <v>108</v>
      </c>
      <c r="AD463" t="s">
        <v>89</v>
      </c>
      <c r="AE463" t="s">
        <v>4151</v>
      </c>
      <c r="AF463">
        <v>24</v>
      </c>
      <c r="AG463" t="s">
        <v>91</v>
      </c>
      <c r="AH463">
        <v>39699</v>
      </c>
      <c r="AI463">
        <v>20</v>
      </c>
      <c r="AJ463" t="s">
        <v>2210</v>
      </c>
      <c r="AK463">
        <v>20</v>
      </c>
      <c r="AL463" t="s">
        <v>89</v>
      </c>
      <c r="AM463" t="s">
        <v>89</v>
      </c>
      <c r="AN463" t="s">
        <v>89</v>
      </c>
      <c r="AO463">
        <v>0</v>
      </c>
      <c r="AP463" t="s">
        <v>93</v>
      </c>
      <c r="AQ463" t="s">
        <v>89</v>
      </c>
      <c r="AR463" t="s">
        <v>89</v>
      </c>
      <c r="AS463" t="s">
        <v>93</v>
      </c>
      <c r="AT463" t="s">
        <v>89</v>
      </c>
      <c r="AU463" t="s">
        <v>89</v>
      </c>
      <c r="AV463" t="s">
        <v>89</v>
      </c>
      <c r="AW463">
        <v>15</v>
      </c>
      <c r="AX463">
        <v>25</v>
      </c>
      <c r="AY463" t="s">
        <v>93</v>
      </c>
      <c r="AZ463">
        <v>0</v>
      </c>
      <c r="BA463">
        <v>0</v>
      </c>
      <c r="BB463">
        <v>0</v>
      </c>
      <c r="BC463">
        <v>0</v>
      </c>
      <c r="BD463">
        <v>329</v>
      </c>
      <c r="BE463">
        <v>19739</v>
      </c>
      <c r="BF463">
        <v>14</v>
      </c>
      <c r="BG463" t="s">
        <v>89</v>
      </c>
      <c r="BH463">
        <v>329</v>
      </c>
      <c r="BI463">
        <v>19739</v>
      </c>
      <c r="BJ463">
        <v>14</v>
      </c>
      <c r="BK463">
        <f t="shared" si="65"/>
        <v>329</v>
      </c>
      <c r="BL463">
        <f t="shared" si="66"/>
        <v>19739</v>
      </c>
      <c r="BM463">
        <f t="shared" si="67"/>
        <v>14</v>
      </c>
      <c r="BN463">
        <f t="shared" si="68"/>
        <v>0</v>
      </c>
      <c r="BO463">
        <f t="shared" si="69"/>
        <v>0</v>
      </c>
      <c r="BP463">
        <f t="shared" si="70"/>
        <v>0</v>
      </c>
      <c r="BQ463" t="s">
        <v>86</v>
      </c>
      <c r="BR463" t="s">
        <v>94</v>
      </c>
      <c r="BS463" t="s">
        <v>89</v>
      </c>
      <c r="BT463">
        <v>39</v>
      </c>
      <c r="BU463" t="s">
        <v>89</v>
      </c>
      <c r="BV463" t="s">
        <v>89</v>
      </c>
      <c r="BW463">
        <v>19</v>
      </c>
      <c r="BX463">
        <v>1987</v>
      </c>
      <c r="BY463">
        <v>17</v>
      </c>
      <c r="BZ463">
        <f t="shared" si="71"/>
        <v>-4</v>
      </c>
      <c r="CA463">
        <f t="shared" si="72"/>
        <v>2</v>
      </c>
      <c r="CB463" t="b">
        <f t="shared" si="73"/>
        <v>0</v>
      </c>
    </row>
    <row r="464" spans="1:80" x14ac:dyDescent="0.3">
      <c r="A464" t="s">
        <v>4152</v>
      </c>
      <c r="B464" t="s">
        <v>71</v>
      </c>
      <c r="C464" t="s">
        <v>4153</v>
      </c>
      <c r="D464">
        <v>46</v>
      </c>
      <c r="E464" s="1">
        <v>28986</v>
      </c>
      <c r="F464" t="s">
        <v>89</v>
      </c>
      <c r="G464" t="s">
        <v>226</v>
      </c>
      <c r="H464" t="s">
        <v>76</v>
      </c>
      <c r="I464" t="s">
        <v>555</v>
      </c>
      <c r="J464" t="s">
        <v>89</v>
      </c>
      <c r="K464" t="s">
        <v>89</v>
      </c>
      <c r="L464" t="s">
        <v>1919</v>
      </c>
      <c r="M464">
        <v>18</v>
      </c>
      <c r="N464" t="s">
        <v>416</v>
      </c>
      <c r="O464">
        <v>1997</v>
      </c>
      <c r="P464" t="s">
        <v>4154</v>
      </c>
      <c r="Q464" t="s">
        <v>4155</v>
      </c>
      <c r="R464">
        <v>7813</v>
      </c>
      <c r="S464" t="s">
        <v>4152</v>
      </c>
      <c r="T464">
        <v>28890</v>
      </c>
      <c r="U464">
        <v>1979</v>
      </c>
      <c r="V464" t="s">
        <v>4156</v>
      </c>
      <c r="W464">
        <v>1.85</v>
      </c>
      <c r="X464" t="s">
        <v>76</v>
      </c>
      <c r="Y464" t="s">
        <v>259</v>
      </c>
      <c r="Z464" t="s">
        <v>87</v>
      </c>
      <c r="AA464" t="s">
        <v>1983</v>
      </c>
      <c r="AB464" t="s">
        <v>4157</v>
      </c>
      <c r="AC464" t="s">
        <v>108</v>
      </c>
      <c r="AD464" t="s">
        <v>89</v>
      </c>
      <c r="AE464" t="s">
        <v>4158</v>
      </c>
      <c r="AF464">
        <v>18</v>
      </c>
      <c r="AG464" t="s">
        <v>91</v>
      </c>
      <c r="AH464" t="s">
        <v>4159</v>
      </c>
      <c r="AI464">
        <v>19</v>
      </c>
      <c r="AJ464" t="s">
        <v>110</v>
      </c>
      <c r="AK464">
        <v>18</v>
      </c>
      <c r="AL464">
        <v>2</v>
      </c>
      <c r="AM464">
        <v>78</v>
      </c>
      <c r="AN464">
        <v>5</v>
      </c>
      <c r="AO464">
        <v>1</v>
      </c>
      <c r="AP464" t="s">
        <v>93</v>
      </c>
      <c r="AQ464" t="s">
        <v>89</v>
      </c>
      <c r="AR464" t="s">
        <v>89</v>
      </c>
      <c r="AS464" t="s">
        <v>111</v>
      </c>
      <c r="AT464" t="s">
        <v>4157</v>
      </c>
      <c r="AU464">
        <v>2013</v>
      </c>
      <c r="AV464">
        <v>16</v>
      </c>
      <c r="AW464">
        <v>16</v>
      </c>
      <c r="AX464" t="s">
        <v>89</v>
      </c>
      <c r="AY464" t="s">
        <v>93</v>
      </c>
      <c r="AZ464">
        <v>0</v>
      </c>
      <c r="BA464">
        <v>0</v>
      </c>
      <c r="BB464">
        <v>0</v>
      </c>
      <c r="BC464">
        <v>0</v>
      </c>
      <c r="BD464">
        <v>371</v>
      </c>
      <c r="BE464">
        <v>27082</v>
      </c>
      <c r="BF464">
        <v>30</v>
      </c>
      <c r="BG464">
        <v>34</v>
      </c>
      <c r="BH464">
        <v>371</v>
      </c>
      <c r="BI464">
        <v>27082</v>
      </c>
      <c r="BJ464">
        <v>30</v>
      </c>
      <c r="BK464">
        <f t="shared" si="65"/>
        <v>371</v>
      </c>
      <c r="BL464">
        <f t="shared" si="66"/>
        <v>27082</v>
      </c>
      <c r="BM464">
        <f t="shared" si="67"/>
        <v>30</v>
      </c>
      <c r="BN464">
        <f t="shared" si="68"/>
        <v>0</v>
      </c>
      <c r="BO464">
        <f t="shared" si="69"/>
        <v>0</v>
      </c>
      <c r="BP464">
        <f t="shared" si="70"/>
        <v>0</v>
      </c>
      <c r="BQ464" t="s">
        <v>259</v>
      </c>
      <c r="BR464" t="s">
        <v>94</v>
      </c>
      <c r="BS464" t="s">
        <v>89</v>
      </c>
      <c r="BT464">
        <v>47</v>
      </c>
      <c r="BU464" t="s">
        <v>4157</v>
      </c>
      <c r="BV464" s="1">
        <v>41290</v>
      </c>
      <c r="BW464">
        <v>16</v>
      </c>
      <c r="BX464">
        <v>1979</v>
      </c>
      <c r="BY464">
        <v>16</v>
      </c>
      <c r="BZ464">
        <f t="shared" si="71"/>
        <v>0</v>
      </c>
      <c r="CA464">
        <f t="shared" si="72"/>
        <v>0</v>
      </c>
      <c r="CB464" t="b">
        <f t="shared" si="73"/>
        <v>1</v>
      </c>
    </row>
    <row r="465" spans="1:80" x14ac:dyDescent="0.3">
      <c r="A465" t="s">
        <v>4160</v>
      </c>
      <c r="B465" t="s">
        <v>156</v>
      </c>
      <c r="C465" t="s">
        <v>4161</v>
      </c>
      <c r="D465">
        <v>37</v>
      </c>
      <c r="E465" s="1">
        <v>32121</v>
      </c>
      <c r="F465" t="s">
        <v>89</v>
      </c>
      <c r="G465" t="s">
        <v>176</v>
      </c>
      <c r="H465" t="s">
        <v>4162</v>
      </c>
      <c r="I465" t="s">
        <v>340</v>
      </c>
      <c r="J465" t="s">
        <v>78</v>
      </c>
      <c r="K465" t="s">
        <v>89</v>
      </c>
      <c r="L465" t="s">
        <v>163</v>
      </c>
      <c r="M465">
        <v>18</v>
      </c>
      <c r="N465" t="s">
        <v>268</v>
      </c>
      <c r="O465">
        <v>2006</v>
      </c>
      <c r="P465" t="s">
        <v>4163</v>
      </c>
      <c r="Q465" t="s">
        <v>4164</v>
      </c>
      <c r="R465">
        <v>39153</v>
      </c>
      <c r="S465" t="s">
        <v>4160</v>
      </c>
      <c r="T465" s="1">
        <v>32062</v>
      </c>
      <c r="U465">
        <v>1987</v>
      </c>
      <c r="V465" t="s">
        <v>1038</v>
      </c>
      <c r="W465">
        <v>1.84</v>
      </c>
      <c r="X465" t="s">
        <v>4165</v>
      </c>
      <c r="Y465" t="s">
        <v>123</v>
      </c>
      <c r="Z465" t="s">
        <v>87</v>
      </c>
      <c r="AA465" t="s">
        <v>187</v>
      </c>
      <c r="AB465" s="1">
        <v>44927</v>
      </c>
      <c r="AC465" t="s">
        <v>108</v>
      </c>
      <c r="AD465" t="s">
        <v>223</v>
      </c>
      <c r="AE465" t="s">
        <v>4166</v>
      </c>
      <c r="AF465">
        <v>17</v>
      </c>
      <c r="AG465" t="s">
        <v>171</v>
      </c>
      <c r="AH465" t="s">
        <v>92</v>
      </c>
      <c r="AI465" t="s">
        <v>89</v>
      </c>
      <c r="AJ465" t="s">
        <v>92</v>
      </c>
      <c r="AK465">
        <v>17</v>
      </c>
      <c r="AL465">
        <v>18</v>
      </c>
      <c r="AM465">
        <v>374</v>
      </c>
      <c r="AN465">
        <v>74</v>
      </c>
      <c r="AO465">
        <v>11</v>
      </c>
      <c r="AP465" t="s">
        <v>93</v>
      </c>
      <c r="AQ465" t="s">
        <v>89</v>
      </c>
      <c r="AR465" t="s">
        <v>89</v>
      </c>
      <c r="AS465" t="s">
        <v>111</v>
      </c>
      <c r="AT465" s="1">
        <v>44927</v>
      </c>
      <c r="AU465">
        <v>2023</v>
      </c>
      <c r="AV465">
        <v>17</v>
      </c>
      <c r="AW465">
        <v>17</v>
      </c>
      <c r="AX465" t="s">
        <v>89</v>
      </c>
      <c r="AY465" t="s">
        <v>111</v>
      </c>
      <c r="AZ465">
        <v>9</v>
      </c>
      <c r="BA465">
        <v>43</v>
      </c>
      <c r="BB465">
        <v>3133</v>
      </c>
      <c r="BC465">
        <v>18</v>
      </c>
      <c r="BD465">
        <v>634</v>
      </c>
      <c r="BE465">
        <v>44058</v>
      </c>
      <c r="BF465">
        <v>309</v>
      </c>
      <c r="BG465">
        <v>36</v>
      </c>
      <c r="BH465">
        <v>677</v>
      </c>
      <c r="BI465">
        <v>47191</v>
      </c>
      <c r="BJ465">
        <v>327</v>
      </c>
      <c r="BK465">
        <f t="shared" si="65"/>
        <v>677</v>
      </c>
      <c r="BL465">
        <f t="shared" si="66"/>
        <v>47191</v>
      </c>
      <c r="BM465">
        <f t="shared" si="67"/>
        <v>327</v>
      </c>
      <c r="BN465">
        <f t="shared" si="68"/>
        <v>0</v>
      </c>
      <c r="BO465">
        <f t="shared" si="69"/>
        <v>0</v>
      </c>
      <c r="BP465">
        <f t="shared" si="70"/>
        <v>0</v>
      </c>
      <c r="BQ465" t="s">
        <v>123</v>
      </c>
      <c r="BR465" t="s">
        <v>112</v>
      </c>
      <c r="BS465" s="1">
        <v>32121</v>
      </c>
      <c r="BT465">
        <v>38</v>
      </c>
      <c r="BU465" s="1">
        <v>44927</v>
      </c>
      <c r="BV465" s="1">
        <v>44927</v>
      </c>
      <c r="BW465">
        <v>19</v>
      </c>
      <c r="BX465">
        <v>1987</v>
      </c>
      <c r="BY465">
        <v>19</v>
      </c>
      <c r="BZ465">
        <f t="shared" si="71"/>
        <v>-2</v>
      </c>
      <c r="CA465">
        <f t="shared" si="72"/>
        <v>0</v>
      </c>
      <c r="CB465" t="b">
        <f t="shared" si="73"/>
        <v>0</v>
      </c>
    </row>
    <row r="466" spans="1:80" x14ac:dyDescent="0.3">
      <c r="A466" t="s">
        <v>4167</v>
      </c>
      <c r="B466" t="s">
        <v>156</v>
      </c>
      <c r="C466" t="s">
        <v>4168</v>
      </c>
      <c r="D466">
        <v>41</v>
      </c>
      <c r="E466" s="1">
        <v>30782</v>
      </c>
      <c r="F466" t="s">
        <v>89</v>
      </c>
      <c r="G466" t="s">
        <v>400</v>
      </c>
      <c r="H466" t="s">
        <v>177</v>
      </c>
      <c r="I466" t="s">
        <v>227</v>
      </c>
      <c r="J466" t="s">
        <v>78</v>
      </c>
      <c r="K466" t="s">
        <v>89</v>
      </c>
      <c r="L466" t="s">
        <v>145</v>
      </c>
      <c r="M466">
        <v>20</v>
      </c>
      <c r="N466" t="s">
        <v>763</v>
      </c>
      <c r="O466">
        <v>2004</v>
      </c>
      <c r="P466" t="s">
        <v>4169</v>
      </c>
      <c r="Q466" t="s">
        <v>4170</v>
      </c>
      <c r="R466">
        <v>19998</v>
      </c>
      <c r="S466" t="s">
        <v>4167</v>
      </c>
      <c r="T466">
        <v>30959</v>
      </c>
      <c r="U466">
        <v>1984</v>
      </c>
      <c r="V466" t="s">
        <v>982</v>
      </c>
      <c r="W466">
        <v>1.82</v>
      </c>
      <c r="X466" t="s">
        <v>219</v>
      </c>
      <c r="Y466" t="s">
        <v>235</v>
      </c>
      <c r="Z466" t="s">
        <v>87</v>
      </c>
      <c r="AA466" t="s">
        <v>4171</v>
      </c>
      <c r="AB466" s="1">
        <v>43837</v>
      </c>
      <c r="AC466" t="s">
        <v>108</v>
      </c>
      <c r="AD466" t="s">
        <v>89</v>
      </c>
      <c r="AE466" t="s">
        <v>4172</v>
      </c>
      <c r="AF466">
        <v>18</v>
      </c>
      <c r="AG466" t="s">
        <v>189</v>
      </c>
      <c r="AH466" t="s">
        <v>92</v>
      </c>
      <c r="AI466" t="s">
        <v>89</v>
      </c>
      <c r="AJ466" t="s">
        <v>92</v>
      </c>
      <c r="AK466">
        <v>18</v>
      </c>
      <c r="AL466">
        <v>11</v>
      </c>
      <c r="AM466">
        <v>586</v>
      </c>
      <c r="AN466">
        <v>116</v>
      </c>
      <c r="AO466">
        <v>7</v>
      </c>
      <c r="AP466" t="s">
        <v>93</v>
      </c>
      <c r="AQ466" t="s">
        <v>89</v>
      </c>
      <c r="AR466" t="s">
        <v>89</v>
      </c>
      <c r="AS466" t="s">
        <v>111</v>
      </c>
      <c r="AT466" s="1">
        <v>43837</v>
      </c>
      <c r="AU466">
        <v>2020</v>
      </c>
      <c r="AV466">
        <v>16</v>
      </c>
      <c r="AW466">
        <v>16</v>
      </c>
      <c r="AX466" t="s">
        <v>89</v>
      </c>
      <c r="AY466" t="s">
        <v>111</v>
      </c>
      <c r="AZ466">
        <v>2</v>
      </c>
      <c r="BA466">
        <v>3</v>
      </c>
      <c r="BB466">
        <v>185</v>
      </c>
      <c r="BC466">
        <v>0</v>
      </c>
      <c r="BD466">
        <v>466</v>
      </c>
      <c r="BE466">
        <v>39693</v>
      </c>
      <c r="BF466">
        <v>36</v>
      </c>
      <c r="BG466">
        <v>36</v>
      </c>
      <c r="BH466">
        <v>469</v>
      </c>
      <c r="BI466">
        <v>39878</v>
      </c>
      <c r="BJ466">
        <v>36</v>
      </c>
      <c r="BK466">
        <f t="shared" si="65"/>
        <v>469</v>
      </c>
      <c r="BL466">
        <f t="shared" si="66"/>
        <v>39878</v>
      </c>
      <c r="BM466">
        <f t="shared" si="67"/>
        <v>36</v>
      </c>
      <c r="BN466">
        <f t="shared" si="68"/>
        <v>0</v>
      </c>
      <c r="BO466">
        <f t="shared" si="69"/>
        <v>0</v>
      </c>
      <c r="BP466">
        <f t="shared" si="70"/>
        <v>0</v>
      </c>
      <c r="BQ466" t="s">
        <v>235</v>
      </c>
      <c r="BR466" t="s">
        <v>140</v>
      </c>
      <c r="BS466" t="s">
        <v>89</v>
      </c>
      <c r="BT466">
        <v>42</v>
      </c>
      <c r="BU466" s="1">
        <v>43837</v>
      </c>
      <c r="BV466" s="1">
        <v>44013</v>
      </c>
      <c r="BW466">
        <v>18</v>
      </c>
      <c r="BX466">
        <v>1984</v>
      </c>
      <c r="BY466">
        <v>18</v>
      </c>
      <c r="BZ466">
        <f t="shared" si="71"/>
        <v>-2</v>
      </c>
      <c r="CA466">
        <f t="shared" si="72"/>
        <v>0</v>
      </c>
      <c r="CB466" t="b">
        <f t="shared" si="73"/>
        <v>0</v>
      </c>
    </row>
    <row r="467" spans="1:80" x14ac:dyDescent="0.3">
      <c r="A467" t="s">
        <v>4173</v>
      </c>
      <c r="B467" t="s">
        <v>71</v>
      </c>
      <c r="C467" t="s">
        <v>4174</v>
      </c>
      <c r="D467">
        <v>38</v>
      </c>
      <c r="E467">
        <v>31854</v>
      </c>
      <c r="F467" t="s">
        <v>89</v>
      </c>
      <c r="G467" t="s">
        <v>400</v>
      </c>
      <c r="H467" t="s">
        <v>76</v>
      </c>
      <c r="I467" t="s">
        <v>3208</v>
      </c>
      <c r="J467" t="s">
        <v>78</v>
      </c>
      <c r="K467" t="s">
        <v>89</v>
      </c>
      <c r="L467" t="s">
        <v>163</v>
      </c>
      <c r="M467">
        <v>19</v>
      </c>
      <c r="N467" t="s">
        <v>1365</v>
      </c>
      <c r="O467">
        <v>2006</v>
      </c>
      <c r="P467" t="s">
        <v>4175</v>
      </c>
      <c r="Q467" t="s">
        <v>4176</v>
      </c>
      <c r="R467">
        <v>47647</v>
      </c>
      <c r="S467" t="s">
        <v>4173</v>
      </c>
      <c r="T467" t="s">
        <v>4177</v>
      </c>
      <c r="U467">
        <v>1987</v>
      </c>
      <c r="V467" t="s">
        <v>1498</v>
      </c>
      <c r="W467">
        <v>1.84</v>
      </c>
      <c r="X467" t="s">
        <v>76</v>
      </c>
      <c r="Y467" t="s">
        <v>259</v>
      </c>
      <c r="Z467" t="s">
        <v>87</v>
      </c>
      <c r="AA467" t="s">
        <v>162</v>
      </c>
      <c r="AB467" s="1">
        <v>43472</v>
      </c>
      <c r="AC467" t="s">
        <v>108</v>
      </c>
      <c r="AD467" t="s">
        <v>89</v>
      </c>
      <c r="AE467" t="s">
        <v>4178</v>
      </c>
      <c r="AF467">
        <v>19</v>
      </c>
      <c r="AG467" t="s">
        <v>91</v>
      </c>
      <c r="AH467" s="1">
        <v>39243</v>
      </c>
      <c r="AI467">
        <v>20</v>
      </c>
      <c r="AJ467" t="s">
        <v>110</v>
      </c>
      <c r="AK467">
        <v>19</v>
      </c>
      <c r="AL467">
        <v>8</v>
      </c>
      <c r="AM467">
        <v>407</v>
      </c>
      <c r="AN467">
        <v>62</v>
      </c>
      <c r="AO467">
        <v>5</v>
      </c>
      <c r="AP467" t="s">
        <v>93</v>
      </c>
      <c r="AQ467" t="s">
        <v>89</v>
      </c>
      <c r="AR467" t="s">
        <v>89</v>
      </c>
      <c r="AS467" t="s">
        <v>111</v>
      </c>
      <c r="AT467">
        <v>43472</v>
      </c>
      <c r="AU467">
        <v>2019</v>
      </c>
      <c r="AV467">
        <v>13</v>
      </c>
      <c r="AW467">
        <v>13</v>
      </c>
      <c r="AX467" t="s">
        <v>89</v>
      </c>
      <c r="AY467" t="s">
        <v>93</v>
      </c>
      <c r="AZ467">
        <v>0</v>
      </c>
      <c r="BA467">
        <v>0</v>
      </c>
      <c r="BB467">
        <v>0</v>
      </c>
      <c r="BC467">
        <v>0</v>
      </c>
      <c r="BD467">
        <v>203</v>
      </c>
      <c r="BE467">
        <v>12614</v>
      </c>
      <c r="BF467">
        <v>9</v>
      </c>
      <c r="BG467">
        <v>32</v>
      </c>
      <c r="BH467">
        <v>203</v>
      </c>
      <c r="BI467">
        <v>12614</v>
      </c>
      <c r="BJ467">
        <v>9</v>
      </c>
      <c r="BK467">
        <f t="shared" si="65"/>
        <v>203</v>
      </c>
      <c r="BL467">
        <f t="shared" si="66"/>
        <v>12614</v>
      </c>
      <c r="BM467">
        <f t="shared" si="67"/>
        <v>9</v>
      </c>
      <c r="BN467">
        <f t="shared" si="68"/>
        <v>0</v>
      </c>
      <c r="BO467">
        <f t="shared" si="69"/>
        <v>0</v>
      </c>
      <c r="BP467">
        <f t="shared" si="70"/>
        <v>0</v>
      </c>
      <c r="BQ467" t="s">
        <v>259</v>
      </c>
      <c r="BR467" t="s">
        <v>94</v>
      </c>
      <c r="BS467" s="1">
        <v>31854</v>
      </c>
      <c r="BT467">
        <v>38</v>
      </c>
      <c r="BU467">
        <v>43472</v>
      </c>
      <c r="BV467" t="s">
        <v>89</v>
      </c>
      <c r="BW467">
        <v>13</v>
      </c>
      <c r="BX467">
        <v>1987</v>
      </c>
      <c r="BY467">
        <v>13</v>
      </c>
      <c r="BZ467">
        <f t="shared" si="71"/>
        <v>0</v>
      </c>
      <c r="CA467">
        <f t="shared" si="72"/>
        <v>0</v>
      </c>
      <c r="CB467" t="b">
        <f t="shared" si="73"/>
        <v>1</v>
      </c>
    </row>
    <row r="468" spans="1:80" x14ac:dyDescent="0.3">
      <c r="A468" t="s">
        <v>4179</v>
      </c>
      <c r="B468" t="s">
        <v>71</v>
      </c>
      <c r="C468" t="s">
        <v>4180</v>
      </c>
      <c r="D468">
        <v>44</v>
      </c>
      <c r="E468">
        <v>29651</v>
      </c>
      <c r="F468" t="s">
        <v>89</v>
      </c>
      <c r="G468" t="s">
        <v>334</v>
      </c>
      <c r="H468" t="s">
        <v>89</v>
      </c>
      <c r="I468" t="s">
        <v>178</v>
      </c>
      <c r="J468" t="s">
        <v>78</v>
      </c>
      <c r="K468" t="s">
        <v>89</v>
      </c>
      <c r="L468" t="s">
        <v>145</v>
      </c>
      <c r="M468">
        <v>23</v>
      </c>
      <c r="N468" t="s">
        <v>1181</v>
      </c>
      <c r="O468">
        <v>2004</v>
      </c>
      <c r="P468" t="s">
        <v>4181</v>
      </c>
      <c r="Q468" t="s">
        <v>4182</v>
      </c>
      <c r="R468">
        <v>7874</v>
      </c>
      <c r="S468" t="s">
        <v>4179</v>
      </c>
      <c r="T468" s="1">
        <v>29740</v>
      </c>
      <c r="U468">
        <v>1981</v>
      </c>
      <c r="V468" t="s">
        <v>1185</v>
      </c>
      <c r="W468">
        <v>1.91</v>
      </c>
      <c r="X468" t="s">
        <v>76</v>
      </c>
      <c r="Y468" t="s">
        <v>186</v>
      </c>
      <c r="Z468" t="s">
        <v>87</v>
      </c>
      <c r="AA468" t="s">
        <v>323</v>
      </c>
      <c r="AB468" s="1">
        <v>43472</v>
      </c>
      <c r="AC468" t="s">
        <v>108</v>
      </c>
      <c r="AD468" t="s">
        <v>2335</v>
      </c>
      <c r="AE468" t="s">
        <v>4183</v>
      </c>
      <c r="AF468">
        <v>24</v>
      </c>
      <c r="AG468" t="s">
        <v>91</v>
      </c>
      <c r="AH468" t="s">
        <v>505</v>
      </c>
      <c r="AI468">
        <v>23</v>
      </c>
      <c r="AJ468" t="s">
        <v>110</v>
      </c>
      <c r="AK468">
        <v>23</v>
      </c>
      <c r="AL468">
        <v>5</v>
      </c>
      <c r="AM468">
        <v>201</v>
      </c>
      <c r="AN468">
        <v>29</v>
      </c>
      <c r="AO468">
        <v>3</v>
      </c>
      <c r="AP468" t="s">
        <v>93</v>
      </c>
      <c r="AQ468" t="s">
        <v>89</v>
      </c>
      <c r="AR468" t="s">
        <v>89</v>
      </c>
      <c r="AS468" t="s">
        <v>111</v>
      </c>
      <c r="AT468">
        <v>43472</v>
      </c>
      <c r="AU468">
        <v>2019</v>
      </c>
      <c r="AV468">
        <v>15</v>
      </c>
      <c r="AW468">
        <v>15</v>
      </c>
      <c r="AX468" t="s">
        <v>89</v>
      </c>
      <c r="AY468" t="s">
        <v>93</v>
      </c>
      <c r="AZ468">
        <v>0</v>
      </c>
      <c r="BA468">
        <v>0</v>
      </c>
      <c r="BB468">
        <v>0</v>
      </c>
      <c r="BC468">
        <v>0</v>
      </c>
      <c r="BD468">
        <v>465</v>
      </c>
      <c r="BE468">
        <v>41545</v>
      </c>
      <c r="BF468">
        <v>0</v>
      </c>
      <c r="BG468">
        <v>38</v>
      </c>
      <c r="BH468">
        <v>465</v>
      </c>
      <c r="BI468">
        <v>41545</v>
      </c>
      <c r="BJ468">
        <v>0</v>
      </c>
      <c r="BK468">
        <f t="shared" si="65"/>
        <v>465</v>
      </c>
      <c r="BL468">
        <f t="shared" si="66"/>
        <v>41545</v>
      </c>
      <c r="BM468">
        <f t="shared" si="67"/>
        <v>0</v>
      </c>
      <c r="BN468">
        <f t="shared" si="68"/>
        <v>0</v>
      </c>
      <c r="BO468">
        <f t="shared" si="69"/>
        <v>0</v>
      </c>
      <c r="BP468">
        <f t="shared" si="70"/>
        <v>0</v>
      </c>
      <c r="BQ468" t="s">
        <v>186</v>
      </c>
      <c r="BR468" t="s">
        <v>186</v>
      </c>
      <c r="BS468" s="1">
        <v>29651</v>
      </c>
      <c r="BT468">
        <v>44</v>
      </c>
      <c r="BU468">
        <v>43472</v>
      </c>
      <c r="BV468" t="s">
        <v>89</v>
      </c>
      <c r="BW468">
        <v>15</v>
      </c>
      <c r="BX468">
        <v>1981</v>
      </c>
      <c r="BY468">
        <v>15</v>
      </c>
      <c r="BZ468">
        <f t="shared" si="71"/>
        <v>0</v>
      </c>
      <c r="CA468">
        <f t="shared" si="72"/>
        <v>0</v>
      </c>
      <c r="CB468" t="b">
        <f t="shared" si="73"/>
        <v>1</v>
      </c>
    </row>
    <row r="469" spans="1:80" x14ac:dyDescent="0.3">
      <c r="A469" t="s">
        <v>4184</v>
      </c>
      <c r="B469" t="s">
        <v>71</v>
      </c>
      <c r="C469" t="s">
        <v>4185</v>
      </c>
      <c r="D469">
        <v>41</v>
      </c>
      <c r="E469" s="1">
        <v>30779</v>
      </c>
      <c r="F469" t="s">
        <v>89</v>
      </c>
      <c r="G469" t="s">
        <v>400</v>
      </c>
      <c r="H469" t="s">
        <v>76</v>
      </c>
      <c r="I469" t="s">
        <v>555</v>
      </c>
      <c r="J469" t="s">
        <v>89</v>
      </c>
      <c r="K469" t="s">
        <v>89</v>
      </c>
      <c r="L469" t="s">
        <v>657</v>
      </c>
      <c r="M469">
        <v>19</v>
      </c>
      <c r="N469" t="s">
        <v>1365</v>
      </c>
      <c r="O469">
        <v>2003</v>
      </c>
      <c r="P469" t="s">
        <v>4186</v>
      </c>
      <c r="Q469" t="s">
        <v>4187</v>
      </c>
      <c r="R469">
        <v>35563</v>
      </c>
      <c r="S469" t="s">
        <v>4184</v>
      </c>
      <c r="T469" s="1">
        <v>30867</v>
      </c>
      <c r="U469">
        <v>1984</v>
      </c>
      <c r="V469" t="s">
        <v>3398</v>
      </c>
      <c r="W469">
        <v>1.84</v>
      </c>
      <c r="X469" t="s">
        <v>76</v>
      </c>
      <c r="Y469" t="s">
        <v>86</v>
      </c>
      <c r="Z469" t="s">
        <v>87</v>
      </c>
      <c r="AA469" t="s">
        <v>4188</v>
      </c>
      <c r="AB469" s="1">
        <v>42736</v>
      </c>
      <c r="AC469" t="s">
        <v>108</v>
      </c>
      <c r="AD469" t="s">
        <v>89</v>
      </c>
      <c r="AE469" t="s">
        <v>4189</v>
      </c>
      <c r="AF469">
        <v>20</v>
      </c>
      <c r="AG469" t="s">
        <v>91</v>
      </c>
      <c r="AH469" t="s">
        <v>4190</v>
      </c>
      <c r="AI469">
        <v>22</v>
      </c>
      <c r="AJ469" t="s">
        <v>110</v>
      </c>
      <c r="AK469">
        <v>20</v>
      </c>
      <c r="AL469">
        <v>1</v>
      </c>
      <c r="AM469">
        <v>32</v>
      </c>
      <c r="AN469">
        <v>4</v>
      </c>
      <c r="AO469">
        <v>1</v>
      </c>
      <c r="AP469" t="s">
        <v>93</v>
      </c>
      <c r="AQ469" t="s">
        <v>89</v>
      </c>
      <c r="AR469" t="s">
        <v>89</v>
      </c>
      <c r="AS469" t="s">
        <v>111</v>
      </c>
      <c r="AT469">
        <v>42736</v>
      </c>
      <c r="AU469">
        <v>2017</v>
      </c>
      <c r="AV469">
        <v>14</v>
      </c>
      <c r="AW469">
        <v>14</v>
      </c>
      <c r="AX469" t="s">
        <v>89</v>
      </c>
      <c r="AY469" t="s">
        <v>93</v>
      </c>
      <c r="AZ469">
        <v>0</v>
      </c>
      <c r="BA469">
        <v>0</v>
      </c>
      <c r="BB469">
        <v>0</v>
      </c>
      <c r="BC469">
        <v>0</v>
      </c>
      <c r="BD469">
        <v>150</v>
      </c>
      <c r="BE469">
        <v>6917</v>
      </c>
      <c r="BF469">
        <v>4</v>
      </c>
      <c r="BG469">
        <v>33</v>
      </c>
      <c r="BH469">
        <v>150</v>
      </c>
      <c r="BI469">
        <v>6917</v>
      </c>
      <c r="BJ469">
        <v>4</v>
      </c>
      <c r="BK469">
        <f t="shared" si="65"/>
        <v>150</v>
      </c>
      <c r="BL469">
        <f t="shared" si="66"/>
        <v>6917</v>
      </c>
      <c r="BM469">
        <f t="shared" si="67"/>
        <v>4</v>
      </c>
      <c r="BN469">
        <f t="shared" si="68"/>
        <v>0</v>
      </c>
      <c r="BO469">
        <f t="shared" si="69"/>
        <v>0</v>
      </c>
      <c r="BP469">
        <f t="shared" si="70"/>
        <v>0</v>
      </c>
      <c r="BQ469" t="s">
        <v>86</v>
      </c>
      <c r="BR469" t="s">
        <v>94</v>
      </c>
      <c r="BS469" s="1">
        <v>30779</v>
      </c>
      <c r="BT469">
        <v>41</v>
      </c>
      <c r="BU469">
        <v>42736</v>
      </c>
      <c r="BV469" t="s">
        <v>89</v>
      </c>
      <c r="BW469">
        <v>13</v>
      </c>
      <c r="BX469">
        <v>1984</v>
      </c>
      <c r="BY469">
        <v>13</v>
      </c>
      <c r="BZ469">
        <f t="shared" si="71"/>
        <v>1</v>
      </c>
      <c r="CA469">
        <f t="shared" si="72"/>
        <v>0</v>
      </c>
      <c r="CB469" t="b">
        <f t="shared" si="73"/>
        <v>0</v>
      </c>
    </row>
    <row r="470" spans="1:80" x14ac:dyDescent="0.3">
      <c r="A470" t="s">
        <v>4191</v>
      </c>
      <c r="B470" t="s">
        <v>4192</v>
      </c>
      <c r="C470" t="s">
        <v>4193</v>
      </c>
      <c r="D470">
        <v>44</v>
      </c>
      <c r="E470" s="1">
        <v>29535</v>
      </c>
      <c r="F470" t="s">
        <v>89</v>
      </c>
      <c r="G470" t="s">
        <v>819</v>
      </c>
      <c r="H470" t="s">
        <v>89</v>
      </c>
      <c r="I470" t="s">
        <v>227</v>
      </c>
      <c r="J470" t="s">
        <v>89</v>
      </c>
      <c r="K470" t="s">
        <v>89</v>
      </c>
      <c r="L470" t="s">
        <v>145</v>
      </c>
      <c r="M470">
        <v>23</v>
      </c>
      <c r="N470" t="s">
        <v>3199</v>
      </c>
      <c r="O470">
        <v>2004</v>
      </c>
      <c r="P470" t="s">
        <v>4194</v>
      </c>
      <c r="Q470" t="s">
        <v>4195</v>
      </c>
      <c r="R470">
        <v>25825</v>
      </c>
      <c r="S470" t="s">
        <v>4191</v>
      </c>
      <c r="T470" s="1">
        <v>29505</v>
      </c>
      <c r="U470">
        <v>1980</v>
      </c>
      <c r="V470" t="s">
        <v>4196</v>
      </c>
      <c r="W470">
        <v>1.87</v>
      </c>
      <c r="X470" t="s">
        <v>4197</v>
      </c>
      <c r="Y470" t="s">
        <v>235</v>
      </c>
      <c r="Z470" t="s">
        <v>87</v>
      </c>
      <c r="AA470" t="s">
        <v>717</v>
      </c>
      <c r="AB470" s="1">
        <v>42736</v>
      </c>
      <c r="AC470" t="s">
        <v>108</v>
      </c>
      <c r="AD470" t="s">
        <v>89</v>
      </c>
      <c r="AE470" t="s">
        <v>1999</v>
      </c>
      <c r="AF470">
        <v>23</v>
      </c>
      <c r="AG470" t="s">
        <v>613</v>
      </c>
      <c r="AH470" t="s">
        <v>90</v>
      </c>
      <c r="AI470">
        <v>31</v>
      </c>
      <c r="AJ470" t="s">
        <v>110</v>
      </c>
      <c r="AK470">
        <v>23</v>
      </c>
      <c r="AL470">
        <v>1</v>
      </c>
      <c r="AM470">
        <v>46</v>
      </c>
      <c r="AN470">
        <v>11</v>
      </c>
      <c r="AO470">
        <v>1</v>
      </c>
      <c r="AP470" t="s">
        <v>93</v>
      </c>
      <c r="AQ470" t="s">
        <v>89</v>
      </c>
      <c r="AR470" t="s">
        <v>89</v>
      </c>
      <c r="AS470" t="s">
        <v>111</v>
      </c>
      <c r="AT470" s="1">
        <v>42736</v>
      </c>
      <c r="AU470">
        <v>2017</v>
      </c>
      <c r="AV470">
        <v>13</v>
      </c>
      <c r="AW470">
        <v>13</v>
      </c>
      <c r="AX470" t="s">
        <v>89</v>
      </c>
      <c r="AY470" t="s">
        <v>93</v>
      </c>
      <c r="AZ470">
        <v>0</v>
      </c>
      <c r="BA470">
        <v>0</v>
      </c>
      <c r="BB470">
        <v>0</v>
      </c>
      <c r="BC470">
        <v>0</v>
      </c>
      <c r="BD470">
        <v>246</v>
      </c>
      <c r="BE470">
        <v>20502</v>
      </c>
      <c r="BF470">
        <v>18</v>
      </c>
      <c r="BG470">
        <v>37</v>
      </c>
      <c r="BH470">
        <v>246</v>
      </c>
      <c r="BI470">
        <v>20502</v>
      </c>
      <c r="BJ470">
        <v>18</v>
      </c>
      <c r="BK470">
        <f t="shared" si="65"/>
        <v>246</v>
      </c>
      <c r="BL470">
        <f t="shared" si="66"/>
        <v>20502</v>
      </c>
      <c r="BM470">
        <f t="shared" si="67"/>
        <v>18</v>
      </c>
      <c r="BN470">
        <f t="shared" si="68"/>
        <v>0</v>
      </c>
      <c r="BO470">
        <f t="shared" si="69"/>
        <v>0</v>
      </c>
      <c r="BP470">
        <f t="shared" si="70"/>
        <v>0</v>
      </c>
      <c r="BQ470" t="s">
        <v>235</v>
      </c>
      <c r="BR470" t="s">
        <v>140</v>
      </c>
      <c r="BS470" s="1">
        <v>29535</v>
      </c>
      <c r="BT470">
        <v>45</v>
      </c>
      <c r="BU470" s="1">
        <v>42736</v>
      </c>
      <c r="BV470" s="1">
        <v>42736</v>
      </c>
      <c r="BW470">
        <v>14</v>
      </c>
      <c r="BX470">
        <v>1980</v>
      </c>
      <c r="BY470">
        <v>14</v>
      </c>
      <c r="BZ470">
        <f t="shared" si="71"/>
        <v>-1</v>
      </c>
      <c r="CA470">
        <f t="shared" si="72"/>
        <v>0</v>
      </c>
      <c r="CB470" t="b">
        <f t="shared" si="73"/>
        <v>0</v>
      </c>
    </row>
    <row r="471" spans="1:80" x14ac:dyDescent="0.3">
      <c r="A471" t="s">
        <v>4198</v>
      </c>
      <c r="B471" t="s">
        <v>1618</v>
      </c>
      <c r="C471" t="s">
        <v>4199</v>
      </c>
      <c r="D471">
        <v>35</v>
      </c>
      <c r="E471">
        <v>32902</v>
      </c>
      <c r="F471" t="s">
        <v>89</v>
      </c>
      <c r="G471" t="s">
        <v>193</v>
      </c>
      <c r="H471" t="s">
        <v>1622</v>
      </c>
      <c r="I471" t="s">
        <v>288</v>
      </c>
      <c r="J471" t="s">
        <v>78</v>
      </c>
      <c r="K471" t="s">
        <v>89</v>
      </c>
      <c r="L471" t="s">
        <v>228</v>
      </c>
      <c r="M471">
        <v>20</v>
      </c>
      <c r="N471" t="s">
        <v>4200</v>
      </c>
      <c r="O471">
        <v>2010</v>
      </c>
      <c r="P471" t="s">
        <v>4201</v>
      </c>
      <c r="Q471" t="s">
        <v>4202</v>
      </c>
      <c r="R471">
        <v>45184</v>
      </c>
      <c r="S471" t="s">
        <v>4198</v>
      </c>
      <c r="T471" t="s">
        <v>4203</v>
      </c>
      <c r="U471">
        <v>1990</v>
      </c>
      <c r="V471" t="s">
        <v>4204</v>
      </c>
      <c r="W471">
        <v>1.87</v>
      </c>
      <c r="X471" t="s">
        <v>1622</v>
      </c>
      <c r="Y471" t="s">
        <v>259</v>
      </c>
      <c r="Z471" t="s">
        <v>87</v>
      </c>
      <c r="AA471" t="s">
        <v>4205</v>
      </c>
      <c r="AB471" t="s">
        <v>4206</v>
      </c>
      <c r="AC471" t="s">
        <v>108</v>
      </c>
      <c r="AD471" t="s">
        <v>442</v>
      </c>
      <c r="AE471" t="s">
        <v>2330</v>
      </c>
      <c r="AF471">
        <v>21</v>
      </c>
      <c r="AG471" t="s">
        <v>206</v>
      </c>
      <c r="AH471">
        <v>40337</v>
      </c>
      <c r="AI471">
        <v>20</v>
      </c>
      <c r="AJ471" t="s">
        <v>1044</v>
      </c>
      <c r="AK471">
        <v>20</v>
      </c>
      <c r="AL471">
        <v>9</v>
      </c>
      <c r="AM471">
        <v>149</v>
      </c>
      <c r="AN471">
        <v>34</v>
      </c>
      <c r="AO471">
        <v>7</v>
      </c>
      <c r="AP471" t="s">
        <v>93</v>
      </c>
      <c r="AQ471" t="s">
        <v>89</v>
      </c>
      <c r="AR471" t="s">
        <v>89</v>
      </c>
      <c r="AS471" t="s">
        <v>111</v>
      </c>
      <c r="AT471" t="s">
        <v>4206</v>
      </c>
      <c r="AU471">
        <v>2025</v>
      </c>
      <c r="AV471">
        <v>15</v>
      </c>
      <c r="AW471">
        <v>15</v>
      </c>
      <c r="AX471" t="s">
        <v>89</v>
      </c>
      <c r="AY471" t="s">
        <v>111</v>
      </c>
      <c r="AZ471">
        <v>21</v>
      </c>
      <c r="BA471">
        <v>92</v>
      </c>
      <c r="BB471">
        <v>7598</v>
      </c>
      <c r="BC471">
        <v>5</v>
      </c>
      <c r="BD471">
        <v>450</v>
      </c>
      <c r="BE471">
        <v>37198</v>
      </c>
      <c r="BF471">
        <v>55</v>
      </c>
      <c r="BG471">
        <v>35</v>
      </c>
      <c r="BH471">
        <v>542</v>
      </c>
      <c r="BI471">
        <v>44796</v>
      </c>
      <c r="BJ471">
        <v>60</v>
      </c>
      <c r="BK471">
        <f t="shared" si="65"/>
        <v>542</v>
      </c>
      <c r="BL471">
        <f t="shared" si="66"/>
        <v>44796</v>
      </c>
      <c r="BM471">
        <f t="shared" si="67"/>
        <v>60</v>
      </c>
      <c r="BN471">
        <f t="shared" si="68"/>
        <v>0</v>
      </c>
      <c r="BO471">
        <f t="shared" si="69"/>
        <v>0</v>
      </c>
      <c r="BP471">
        <f t="shared" si="70"/>
        <v>0</v>
      </c>
      <c r="BQ471" t="s">
        <v>259</v>
      </c>
      <c r="BR471" t="s">
        <v>94</v>
      </c>
      <c r="BS471" s="1">
        <v>32902</v>
      </c>
      <c r="BT471">
        <v>36</v>
      </c>
      <c r="BU471" t="s">
        <v>4206</v>
      </c>
      <c r="BV471" s="1">
        <v>45957</v>
      </c>
      <c r="BW471">
        <v>15</v>
      </c>
      <c r="BX471">
        <v>1990</v>
      </c>
      <c r="BY471">
        <v>15</v>
      </c>
      <c r="BZ471">
        <f t="shared" si="71"/>
        <v>0</v>
      </c>
      <c r="CA471">
        <f t="shared" si="72"/>
        <v>0</v>
      </c>
      <c r="CB471" t="b">
        <f t="shared" si="73"/>
        <v>1</v>
      </c>
    </row>
    <row r="472" spans="1:80" x14ac:dyDescent="0.3">
      <c r="A472" t="s">
        <v>4207</v>
      </c>
      <c r="B472" t="s">
        <v>776</v>
      </c>
      <c r="C472" t="s">
        <v>4208</v>
      </c>
      <c r="D472">
        <v>39</v>
      </c>
      <c r="E472">
        <v>31530</v>
      </c>
      <c r="F472" t="s">
        <v>89</v>
      </c>
      <c r="G472" t="s">
        <v>413</v>
      </c>
      <c r="H472" t="s">
        <v>89</v>
      </c>
      <c r="I472" t="s">
        <v>299</v>
      </c>
      <c r="J472" t="s">
        <v>300</v>
      </c>
      <c r="K472" t="s">
        <v>89</v>
      </c>
      <c r="L472" t="s">
        <v>163</v>
      </c>
      <c r="M472">
        <v>20</v>
      </c>
      <c r="N472" t="s">
        <v>620</v>
      </c>
      <c r="O472">
        <v>2006</v>
      </c>
      <c r="P472" t="s">
        <v>4209</v>
      </c>
      <c r="Q472" t="s">
        <v>4210</v>
      </c>
      <c r="R472">
        <v>44373</v>
      </c>
      <c r="S472" t="s">
        <v>4207</v>
      </c>
      <c r="T472" t="s">
        <v>4211</v>
      </c>
      <c r="U472">
        <v>1986</v>
      </c>
      <c r="V472" t="s">
        <v>4212</v>
      </c>
      <c r="W472">
        <v>1.82</v>
      </c>
      <c r="X472" t="s">
        <v>2292</v>
      </c>
      <c r="Y472" t="s">
        <v>203</v>
      </c>
      <c r="Z472" t="s">
        <v>152</v>
      </c>
      <c r="AA472" t="s">
        <v>1370</v>
      </c>
      <c r="AB472" t="s">
        <v>4213</v>
      </c>
      <c r="AC472" t="s">
        <v>108</v>
      </c>
      <c r="AD472" t="s">
        <v>89</v>
      </c>
      <c r="AE472" s="1">
        <v>38999</v>
      </c>
      <c r="AF472">
        <v>20</v>
      </c>
      <c r="AG472" t="s">
        <v>573</v>
      </c>
      <c r="AH472" s="1">
        <v>39792</v>
      </c>
      <c r="AI472">
        <v>22</v>
      </c>
      <c r="AJ472" t="s">
        <v>575</v>
      </c>
      <c r="AK472">
        <v>20</v>
      </c>
      <c r="AL472">
        <v>5</v>
      </c>
      <c r="AM472">
        <v>129</v>
      </c>
      <c r="AN472">
        <v>15</v>
      </c>
      <c r="AO472">
        <v>2</v>
      </c>
      <c r="AP472" t="s">
        <v>93</v>
      </c>
      <c r="AQ472" t="s">
        <v>89</v>
      </c>
      <c r="AR472" t="s">
        <v>89</v>
      </c>
      <c r="AS472" t="s">
        <v>111</v>
      </c>
      <c r="AT472" t="s">
        <v>4213</v>
      </c>
      <c r="AU472">
        <v>2018</v>
      </c>
      <c r="AV472">
        <v>12</v>
      </c>
      <c r="AW472">
        <v>12</v>
      </c>
      <c r="AX472" t="s">
        <v>89</v>
      </c>
      <c r="AY472" t="s">
        <v>93</v>
      </c>
      <c r="AZ472">
        <v>0</v>
      </c>
      <c r="BA472">
        <v>0</v>
      </c>
      <c r="BB472">
        <v>0</v>
      </c>
      <c r="BC472">
        <v>0</v>
      </c>
      <c r="BD472">
        <v>243</v>
      </c>
      <c r="BE472">
        <v>17937</v>
      </c>
      <c r="BF472">
        <v>15</v>
      </c>
      <c r="BG472">
        <v>32</v>
      </c>
      <c r="BH472">
        <v>243</v>
      </c>
      <c r="BI472">
        <v>17937</v>
      </c>
      <c r="BJ472">
        <v>15</v>
      </c>
      <c r="BK472">
        <f t="shared" si="65"/>
        <v>243</v>
      </c>
      <c r="BL472">
        <f t="shared" si="66"/>
        <v>17937</v>
      </c>
      <c r="BM472">
        <f t="shared" si="67"/>
        <v>15</v>
      </c>
      <c r="BN472">
        <f t="shared" si="68"/>
        <v>0</v>
      </c>
      <c r="BO472">
        <f t="shared" si="69"/>
        <v>0</v>
      </c>
      <c r="BP472">
        <f t="shared" si="70"/>
        <v>0</v>
      </c>
      <c r="BQ472" t="s">
        <v>203</v>
      </c>
      <c r="BR472" t="s">
        <v>140</v>
      </c>
      <c r="BS472" s="1">
        <v>31530</v>
      </c>
      <c r="BT472">
        <v>39</v>
      </c>
      <c r="BU472" t="s">
        <v>4213</v>
      </c>
      <c r="BV472" s="1">
        <v>43341</v>
      </c>
      <c r="BW472">
        <v>12</v>
      </c>
      <c r="BX472">
        <v>1986</v>
      </c>
      <c r="BY472">
        <v>12</v>
      </c>
      <c r="BZ472">
        <f t="shared" si="71"/>
        <v>0</v>
      </c>
      <c r="CA472">
        <f t="shared" si="72"/>
        <v>0</v>
      </c>
      <c r="CB472" t="b">
        <f t="shared" si="73"/>
        <v>1</v>
      </c>
    </row>
    <row r="473" spans="1:80" x14ac:dyDescent="0.3">
      <c r="A473" t="s">
        <v>4214</v>
      </c>
      <c r="B473" t="s">
        <v>71</v>
      </c>
      <c r="C473" t="s">
        <v>4215</v>
      </c>
      <c r="D473">
        <v>32</v>
      </c>
      <c r="E473" t="s">
        <v>4216</v>
      </c>
      <c r="F473" t="s">
        <v>790</v>
      </c>
      <c r="G473" t="s">
        <v>97</v>
      </c>
      <c r="H473" t="s">
        <v>89</v>
      </c>
      <c r="I473" t="s">
        <v>437</v>
      </c>
      <c r="J473" t="s">
        <v>78</v>
      </c>
      <c r="K473" t="s">
        <v>4217</v>
      </c>
      <c r="L473" t="s">
        <v>324</v>
      </c>
      <c r="M473">
        <v>20</v>
      </c>
      <c r="N473" t="s">
        <v>137</v>
      </c>
      <c r="O473">
        <v>2013</v>
      </c>
      <c r="P473" t="s">
        <v>4218</v>
      </c>
      <c r="Q473" t="s">
        <v>4219</v>
      </c>
      <c r="R473">
        <v>142023</v>
      </c>
      <c r="S473" t="s">
        <v>4220</v>
      </c>
      <c r="T473" t="s">
        <v>4221</v>
      </c>
      <c r="U473">
        <v>1993</v>
      </c>
      <c r="V473" t="s">
        <v>795</v>
      </c>
      <c r="W473">
        <v>1.81</v>
      </c>
      <c r="X473" t="s">
        <v>76</v>
      </c>
      <c r="Y473" t="s">
        <v>123</v>
      </c>
      <c r="Z473" t="s">
        <v>87</v>
      </c>
      <c r="AA473" t="s">
        <v>476</v>
      </c>
      <c r="AB473" s="1">
        <v>45663</v>
      </c>
      <c r="AC473" t="s">
        <v>108</v>
      </c>
      <c r="AD473" t="s">
        <v>89</v>
      </c>
      <c r="AE473" s="1">
        <v>41528</v>
      </c>
      <c r="AF473">
        <v>20</v>
      </c>
      <c r="AG473" t="s">
        <v>91</v>
      </c>
      <c r="AH473" t="s">
        <v>3953</v>
      </c>
      <c r="AI473">
        <v>22</v>
      </c>
      <c r="AJ473" t="s">
        <v>110</v>
      </c>
      <c r="AK473">
        <v>20</v>
      </c>
      <c r="AL473">
        <v>4</v>
      </c>
      <c r="AM473">
        <v>110</v>
      </c>
      <c r="AN473">
        <v>23</v>
      </c>
      <c r="AO473">
        <v>2</v>
      </c>
      <c r="AP473" t="s">
        <v>93</v>
      </c>
      <c r="AQ473" t="s">
        <v>89</v>
      </c>
      <c r="AR473" t="s">
        <v>89</v>
      </c>
      <c r="AS473" t="s">
        <v>93</v>
      </c>
      <c r="AT473" t="s">
        <v>89</v>
      </c>
      <c r="AU473" t="s">
        <v>89</v>
      </c>
      <c r="AV473" t="s">
        <v>89</v>
      </c>
      <c r="AW473">
        <v>12</v>
      </c>
      <c r="AX473" t="s">
        <v>89</v>
      </c>
      <c r="AY473" t="s">
        <v>93</v>
      </c>
      <c r="AZ473">
        <v>0</v>
      </c>
      <c r="BA473">
        <v>0</v>
      </c>
      <c r="BB473">
        <v>0</v>
      </c>
      <c r="BC473">
        <v>0</v>
      </c>
      <c r="BD473">
        <v>257</v>
      </c>
      <c r="BE473">
        <v>13264</v>
      </c>
      <c r="BF473">
        <v>49</v>
      </c>
      <c r="BG473" t="s">
        <v>89</v>
      </c>
      <c r="BH473">
        <v>257</v>
      </c>
      <c r="BI473">
        <v>13264</v>
      </c>
      <c r="BJ473">
        <v>49</v>
      </c>
      <c r="BK473">
        <f t="shared" si="65"/>
        <v>257</v>
      </c>
      <c r="BL473">
        <f t="shared" si="66"/>
        <v>13264</v>
      </c>
      <c r="BM473">
        <f t="shared" si="67"/>
        <v>49</v>
      </c>
      <c r="BN473">
        <f t="shared" si="68"/>
        <v>0</v>
      </c>
      <c r="BO473">
        <f t="shared" si="69"/>
        <v>0</v>
      </c>
      <c r="BP473">
        <f t="shared" si="70"/>
        <v>0</v>
      </c>
      <c r="BQ473" t="s">
        <v>123</v>
      </c>
      <c r="BR473" t="s">
        <v>112</v>
      </c>
      <c r="BS473" t="s">
        <v>89</v>
      </c>
      <c r="BT473">
        <v>33</v>
      </c>
      <c r="BU473" t="s">
        <v>89</v>
      </c>
      <c r="BV473" t="s">
        <v>89</v>
      </c>
      <c r="BW473">
        <v>13</v>
      </c>
      <c r="BX473">
        <v>1993</v>
      </c>
      <c r="BY473">
        <v>12</v>
      </c>
      <c r="BZ473">
        <f t="shared" si="71"/>
        <v>-1</v>
      </c>
      <c r="CA473">
        <f t="shared" si="72"/>
        <v>1</v>
      </c>
      <c r="CB473" t="b">
        <f t="shared" si="73"/>
        <v>0</v>
      </c>
    </row>
    <row r="474" spans="1:80" x14ac:dyDescent="0.3">
      <c r="A474" t="s">
        <v>4222</v>
      </c>
      <c r="B474" t="s">
        <v>71</v>
      </c>
      <c r="C474" t="s">
        <v>4223</v>
      </c>
      <c r="D474">
        <v>33</v>
      </c>
      <c r="E474" s="1">
        <v>33634</v>
      </c>
      <c r="F474" t="s">
        <v>89</v>
      </c>
      <c r="G474" t="s">
        <v>160</v>
      </c>
      <c r="H474" t="s">
        <v>76</v>
      </c>
      <c r="I474" t="s">
        <v>437</v>
      </c>
      <c r="J474" t="s">
        <v>89</v>
      </c>
      <c r="K474" t="s">
        <v>89</v>
      </c>
      <c r="L474" t="s">
        <v>228</v>
      </c>
      <c r="M474">
        <v>18</v>
      </c>
      <c r="N474" t="s">
        <v>279</v>
      </c>
      <c r="O474">
        <v>2010</v>
      </c>
      <c r="P474" t="s">
        <v>4224</v>
      </c>
      <c r="Q474" t="s">
        <v>4225</v>
      </c>
      <c r="R474">
        <v>92952</v>
      </c>
      <c r="S474" t="s">
        <v>4222</v>
      </c>
      <c r="T474" t="s">
        <v>4226</v>
      </c>
      <c r="U474">
        <v>1992</v>
      </c>
      <c r="V474" t="s">
        <v>4227</v>
      </c>
      <c r="W474">
        <v>1.78</v>
      </c>
      <c r="X474" t="s">
        <v>76</v>
      </c>
      <c r="Y474" t="s">
        <v>494</v>
      </c>
      <c r="Z474" t="s">
        <v>87</v>
      </c>
      <c r="AA474" t="s">
        <v>4228</v>
      </c>
      <c r="AB474">
        <v>44568</v>
      </c>
      <c r="AC474" t="s">
        <v>108</v>
      </c>
      <c r="AD474" t="s">
        <v>89</v>
      </c>
      <c r="AE474" t="s">
        <v>4057</v>
      </c>
      <c r="AF474">
        <v>18</v>
      </c>
      <c r="AG474" t="s">
        <v>91</v>
      </c>
      <c r="AH474" t="s">
        <v>92</v>
      </c>
      <c r="AI474" t="s">
        <v>89</v>
      </c>
      <c r="AJ474" t="s">
        <v>89</v>
      </c>
      <c r="AK474">
        <v>18</v>
      </c>
      <c r="AL474" t="s">
        <v>89</v>
      </c>
      <c r="AM474" t="s">
        <v>89</v>
      </c>
      <c r="AN474" t="s">
        <v>89</v>
      </c>
      <c r="AO474">
        <v>0</v>
      </c>
      <c r="AP474" t="s">
        <v>93</v>
      </c>
      <c r="AQ474" t="s">
        <v>89</v>
      </c>
      <c r="AR474" t="s">
        <v>89</v>
      </c>
      <c r="AS474" t="s">
        <v>93</v>
      </c>
      <c r="AT474" t="s">
        <v>89</v>
      </c>
      <c r="AU474" t="s">
        <v>89</v>
      </c>
      <c r="AV474" t="s">
        <v>89</v>
      </c>
      <c r="AW474">
        <v>15</v>
      </c>
      <c r="AX474" t="s">
        <v>89</v>
      </c>
      <c r="AY474" t="s">
        <v>93</v>
      </c>
      <c r="AZ474">
        <v>0</v>
      </c>
      <c r="BA474">
        <v>0</v>
      </c>
      <c r="BB474">
        <v>0</v>
      </c>
      <c r="BC474">
        <v>0</v>
      </c>
      <c r="BD474">
        <v>2</v>
      </c>
      <c r="BE474">
        <v>71</v>
      </c>
      <c r="BF474">
        <v>0</v>
      </c>
      <c r="BG474" t="s">
        <v>89</v>
      </c>
      <c r="BH474">
        <v>2</v>
      </c>
      <c r="BI474">
        <v>71</v>
      </c>
      <c r="BJ474">
        <v>0</v>
      </c>
      <c r="BK474">
        <f t="shared" si="65"/>
        <v>2</v>
      </c>
      <c r="BL474">
        <f t="shared" si="66"/>
        <v>71</v>
      </c>
      <c r="BM474">
        <f t="shared" si="67"/>
        <v>0</v>
      </c>
      <c r="BN474">
        <f t="shared" si="68"/>
        <v>0</v>
      </c>
      <c r="BO474">
        <f t="shared" si="69"/>
        <v>0</v>
      </c>
      <c r="BP474">
        <f t="shared" si="70"/>
        <v>0</v>
      </c>
      <c r="BQ474" t="s">
        <v>494</v>
      </c>
      <c r="BR474" t="s">
        <v>112</v>
      </c>
      <c r="BS474" s="1">
        <v>33634</v>
      </c>
      <c r="BT474">
        <v>34</v>
      </c>
      <c r="BU474" t="s">
        <v>89</v>
      </c>
      <c r="BV474" t="s">
        <v>89</v>
      </c>
      <c r="BW474">
        <v>16</v>
      </c>
      <c r="BX474">
        <v>1992</v>
      </c>
      <c r="BY474">
        <v>15</v>
      </c>
      <c r="BZ474">
        <f t="shared" si="71"/>
        <v>-1</v>
      </c>
      <c r="CA474">
        <f t="shared" si="72"/>
        <v>1</v>
      </c>
      <c r="CB474" t="b">
        <f t="shared" si="73"/>
        <v>0</v>
      </c>
    </row>
    <row r="475" spans="1:80" x14ac:dyDescent="0.3">
      <c r="A475" t="s">
        <v>4229</v>
      </c>
      <c r="B475" t="s">
        <v>2630</v>
      </c>
      <c r="C475" t="s">
        <v>4230</v>
      </c>
      <c r="D475">
        <v>36</v>
      </c>
      <c r="E475">
        <v>32412</v>
      </c>
      <c r="F475" t="s">
        <v>89</v>
      </c>
      <c r="G475" t="s">
        <v>193</v>
      </c>
      <c r="H475" t="s">
        <v>4231</v>
      </c>
      <c r="I475" t="s">
        <v>116</v>
      </c>
      <c r="J475" t="s">
        <v>78</v>
      </c>
      <c r="K475" t="s">
        <v>89</v>
      </c>
      <c r="L475">
        <v>2006</v>
      </c>
      <c r="M475">
        <v>17</v>
      </c>
      <c r="N475" t="s">
        <v>4232</v>
      </c>
      <c r="O475">
        <v>2006</v>
      </c>
      <c r="P475" t="s">
        <v>4233</v>
      </c>
      <c r="Q475" t="s">
        <v>4234</v>
      </c>
      <c r="R475">
        <v>51457</v>
      </c>
      <c r="S475" t="s">
        <v>4229</v>
      </c>
      <c r="T475" t="s">
        <v>4235</v>
      </c>
      <c r="U475">
        <v>1988</v>
      </c>
      <c r="V475" t="s">
        <v>736</v>
      </c>
      <c r="W475">
        <v>1.86</v>
      </c>
      <c r="X475" t="s">
        <v>4236</v>
      </c>
      <c r="Y475" t="s">
        <v>123</v>
      </c>
      <c r="Z475" t="s">
        <v>87</v>
      </c>
      <c r="AA475" t="s">
        <v>4237</v>
      </c>
      <c r="AB475" s="1">
        <v>45210</v>
      </c>
      <c r="AC475" t="s">
        <v>108</v>
      </c>
      <c r="AD475" t="s">
        <v>89</v>
      </c>
      <c r="AE475" t="s">
        <v>4238</v>
      </c>
      <c r="AF475">
        <v>18</v>
      </c>
      <c r="AG475" t="s">
        <v>2639</v>
      </c>
      <c r="AH475" t="s">
        <v>4239</v>
      </c>
      <c r="AI475">
        <v>27</v>
      </c>
      <c r="AJ475" t="s">
        <v>4240</v>
      </c>
      <c r="AK475">
        <v>18</v>
      </c>
      <c r="AL475">
        <v>3</v>
      </c>
      <c r="AM475">
        <v>582</v>
      </c>
      <c r="AN475">
        <v>94</v>
      </c>
      <c r="AO475">
        <v>3</v>
      </c>
      <c r="AP475" t="s">
        <v>93</v>
      </c>
      <c r="AQ475" t="s">
        <v>89</v>
      </c>
      <c r="AR475" t="s">
        <v>89</v>
      </c>
      <c r="AS475" t="s">
        <v>111</v>
      </c>
      <c r="AT475">
        <v>45210</v>
      </c>
      <c r="AU475">
        <v>2023</v>
      </c>
      <c r="AV475">
        <v>17</v>
      </c>
      <c r="AW475">
        <v>19</v>
      </c>
      <c r="AX475" t="s">
        <v>89</v>
      </c>
      <c r="AY475" t="s">
        <v>111</v>
      </c>
      <c r="AZ475">
        <v>1</v>
      </c>
      <c r="BA475">
        <v>2</v>
      </c>
      <c r="BB475">
        <v>115</v>
      </c>
      <c r="BC475">
        <v>1</v>
      </c>
      <c r="BD475">
        <v>262</v>
      </c>
      <c r="BE475">
        <v>14618</v>
      </c>
      <c r="BF475">
        <v>55</v>
      </c>
      <c r="BG475">
        <v>35</v>
      </c>
      <c r="BH475">
        <v>264</v>
      </c>
      <c r="BI475">
        <v>14733</v>
      </c>
      <c r="BJ475">
        <v>56</v>
      </c>
      <c r="BK475">
        <f t="shared" si="65"/>
        <v>264</v>
      </c>
      <c r="BL475">
        <f t="shared" si="66"/>
        <v>14733</v>
      </c>
      <c r="BM475">
        <f t="shared" si="67"/>
        <v>56</v>
      </c>
      <c r="BN475">
        <f t="shared" si="68"/>
        <v>0</v>
      </c>
      <c r="BO475">
        <f t="shared" si="69"/>
        <v>0</v>
      </c>
      <c r="BP475">
        <f t="shared" si="70"/>
        <v>0</v>
      </c>
      <c r="BQ475" t="s">
        <v>123</v>
      </c>
      <c r="BR475" t="s">
        <v>112</v>
      </c>
      <c r="BS475" s="1">
        <v>32412</v>
      </c>
      <c r="BT475">
        <v>37</v>
      </c>
      <c r="BU475">
        <v>45210</v>
      </c>
      <c r="BV475" t="s">
        <v>89</v>
      </c>
      <c r="BW475">
        <v>17</v>
      </c>
      <c r="BX475">
        <v>1988</v>
      </c>
      <c r="BY475">
        <v>17</v>
      </c>
      <c r="BZ475">
        <f t="shared" si="71"/>
        <v>2</v>
      </c>
      <c r="CA475">
        <f t="shared" si="72"/>
        <v>0</v>
      </c>
      <c r="CB475" t="b">
        <f t="shared" si="73"/>
        <v>0</v>
      </c>
    </row>
    <row r="476" spans="1:80" x14ac:dyDescent="0.3">
      <c r="A476" t="s">
        <v>4241</v>
      </c>
      <c r="B476" t="s">
        <v>156</v>
      </c>
      <c r="C476" t="s">
        <v>4242</v>
      </c>
      <c r="D476">
        <v>37</v>
      </c>
      <c r="E476" s="1">
        <v>32050</v>
      </c>
      <c r="F476" t="s">
        <v>89</v>
      </c>
      <c r="G476" t="s">
        <v>400</v>
      </c>
      <c r="H476" t="s">
        <v>177</v>
      </c>
      <c r="I476" t="s">
        <v>178</v>
      </c>
      <c r="J476" t="s">
        <v>78</v>
      </c>
      <c r="K476" t="s">
        <v>89</v>
      </c>
      <c r="L476" t="s">
        <v>324</v>
      </c>
      <c r="M476">
        <v>25</v>
      </c>
      <c r="N476" t="s">
        <v>301</v>
      </c>
      <c r="O476">
        <v>2013</v>
      </c>
      <c r="P476" t="s">
        <v>4243</v>
      </c>
      <c r="Q476" t="s">
        <v>4244</v>
      </c>
      <c r="R476">
        <v>87409</v>
      </c>
      <c r="S476" t="s">
        <v>4241</v>
      </c>
      <c r="T476" t="s">
        <v>4245</v>
      </c>
      <c r="U476">
        <v>1987</v>
      </c>
      <c r="V476" t="s">
        <v>4246</v>
      </c>
      <c r="W476">
        <v>1.84</v>
      </c>
      <c r="X476" t="s">
        <v>169</v>
      </c>
      <c r="Y476" t="s">
        <v>186</v>
      </c>
      <c r="Z476" t="s">
        <v>87</v>
      </c>
      <c r="AA476" t="s">
        <v>4247</v>
      </c>
      <c r="AB476" s="1">
        <v>44562</v>
      </c>
      <c r="AC476" t="s">
        <v>108</v>
      </c>
      <c r="AD476" t="s">
        <v>89</v>
      </c>
      <c r="AE476">
        <v>41245</v>
      </c>
      <c r="AF476">
        <v>24</v>
      </c>
      <c r="AG476" t="s">
        <v>171</v>
      </c>
      <c r="AH476" t="s">
        <v>4248</v>
      </c>
      <c r="AI476">
        <v>21</v>
      </c>
      <c r="AJ476" t="s">
        <v>2210</v>
      </c>
      <c r="AK476">
        <v>21</v>
      </c>
      <c r="AL476">
        <v>2</v>
      </c>
      <c r="AM476">
        <v>188</v>
      </c>
      <c r="AN476">
        <v>17</v>
      </c>
      <c r="AO476">
        <v>2</v>
      </c>
      <c r="AP476" t="s">
        <v>93</v>
      </c>
      <c r="AQ476" t="s">
        <v>89</v>
      </c>
      <c r="AR476" t="s">
        <v>89</v>
      </c>
      <c r="AS476" t="s">
        <v>111</v>
      </c>
      <c r="AT476" s="1">
        <v>44562</v>
      </c>
      <c r="AU476">
        <v>2022</v>
      </c>
      <c r="AV476">
        <v>9</v>
      </c>
      <c r="AW476">
        <v>9</v>
      </c>
      <c r="AX476" t="s">
        <v>89</v>
      </c>
      <c r="AY476" t="s">
        <v>93</v>
      </c>
      <c r="AZ476">
        <v>0</v>
      </c>
      <c r="BA476">
        <v>0</v>
      </c>
      <c r="BB476">
        <v>0</v>
      </c>
      <c r="BC476">
        <v>0</v>
      </c>
      <c r="BD476">
        <v>53</v>
      </c>
      <c r="BE476">
        <v>4505</v>
      </c>
      <c r="BF476">
        <v>0</v>
      </c>
      <c r="BG476">
        <v>35</v>
      </c>
      <c r="BH476">
        <v>53</v>
      </c>
      <c r="BI476">
        <v>4505</v>
      </c>
      <c r="BJ476">
        <v>0</v>
      </c>
      <c r="BK476">
        <f t="shared" si="65"/>
        <v>53</v>
      </c>
      <c r="BL476">
        <f t="shared" si="66"/>
        <v>4505</v>
      </c>
      <c r="BM476">
        <f t="shared" si="67"/>
        <v>0</v>
      </c>
      <c r="BN476">
        <f t="shared" si="68"/>
        <v>0</v>
      </c>
      <c r="BO476">
        <f t="shared" si="69"/>
        <v>0</v>
      </c>
      <c r="BP476">
        <f t="shared" si="70"/>
        <v>0</v>
      </c>
      <c r="BQ476" t="s">
        <v>186</v>
      </c>
      <c r="BR476" t="s">
        <v>186</v>
      </c>
      <c r="BS476" s="1">
        <v>32050</v>
      </c>
      <c r="BT476">
        <v>38</v>
      </c>
      <c r="BU476" s="1">
        <v>44562</v>
      </c>
      <c r="BV476" s="1">
        <v>44562</v>
      </c>
      <c r="BW476">
        <v>14</v>
      </c>
      <c r="BX476">
        <v>1987</v>
      </c>
      <c r="BY476">
        <v>14</v>
      </c>
      <c r="BZ476">
        <f t="shared" si="71"/>
        <v>-5</v>
      </c>
      <c r="CA476">
        <f t="shared" si="72"/>
        <v>0</v>
      </c>
      <c r="CB476" t="b">
        <f t="shared" si="73"/>
        <v>0</v>
      </c>
    </row>
    <row r="477" spans="1:80" x14ac:dyDescent="0.3">
      <c r="A477" t="s">
        <v>4249</v>
      </c>
      <c r="B477" t="s">
        <v>603</v>
      </c>
      <c r="C477" t="s">
        <v>4250</v>
      </c>
      <c r="D477">
        <v>41</v>
      </c>
      <c r="E477" s="1">
        <v>30796</v>
      </c>
      <c r="F477" t="s">
        <v>89</v>
      </c>
      <c r="G477" t="s">
        <v>241</v>
      </c>
      <c r="H477" t="s">
        <v>606</v>
      </c>
      <c r="I477" t="s">
        <v>243</v>
      </c>
      <c r="J477" t="s">
        <v>300</v>
      </c>
      <c r="K477" t="s">
        <v>89</v>
      </c>
      <c r="L477" t="s">
        <v>845</v>
      </c>
      <c r="M477">
        <v>18</v>
      </c>
      <c r="N477" t="s">
        <v>1696</v>
      </c>
      <c r="O477">
        <v>2002</v>
      </c>
      <c r="P477" t="s">
        <v>4251</v>
      </c>
      <c r="Q477" t="s">
        <v>4252</v>
      </c>
      <c r="R477">
        <v>12515</v>
      </c>
      <c r="S477" t="s">
        <v>4249</v>
      </c>
      <c r="T477" t="s">
        <v>121</v>
      </c>
      <c r="U477">
        <v>1984</v>
      </c>
      <c r="V477" t="s">
        <v>4253</v>
      </c>
      <c r="W477">
        <v>1.89</v>
      </c>
      <c r="X477" t="s">
        <v>4254</v>
      </c>
      <c r="Y477" t="s">
        <v>259</v>
      </c>
      <c r="Z477" t="s">
        <v>152</v>
      </c>
      <c r="AA477" t="s">
        <v>1034</v>
      </c>
      <c r="AB477" t="s">
        <v>4255</v>
      </c>
      <c r="AC477" t="s">
        <v>108</v>
      </c>
      <c r="AD477" t="s">
        <v>89</v>
      </c>
      <c r="AE477" t="s">
        <v>4256</v>
      </c>
      <c r="AF477">
        <v>18</v>
      </c>
      <c r="AG477" t="s">
        <v>206</v>
      </c>
      <c r="AH477" s="1">
        <v>40736</v>
      </c>
      <c r="AI477">
        <v>27</v>
      </c>
      <c r="AJ477" t="s">
        <v>855</v>
      </c>
      <c r="AK477">
        <v>18</v>
      </c>
      <c r="AL477" t="s">
        <v>89</v>
      </c>
      <c r="AM477" t="s">
        <v>89</v>
      </c>
      <c r="AN477" t="s">
        <v>89</v>
      </c>
      <c r="AO477">
        <v>0</v>
      </c>
      <c r="AP477" t="s">
        <v>93</v>
      </c>
      <c r="AQ477" t="s">
        <v>89</v>
      </c>
      <c r="AR477" t="s">
        <v>89</v>
      </c>
      <c r="AS477" t="s">
        <v>111</v>
      </c>
      <c r="AT477" t="s">
        <v>4255</v>
      </c>
      <c r="AU477">
        <v>2016</v>
      </c>
      <c r="AV477">
        <v>14</v>
      </c>
      <c r="AW477">
        <v>14</v>
      </c>
      <c r="AX477" t="s">
        <v>89</v>
      </c>
      <c r="AY477" t="s">
        <v>111</v>
      </c>
      <c r="AZ477">
        <v>1</v>
      </c>
      <c r="BA477">
        <v>2</v>
      </c>
      <c r="BB477">
        <v>180</v>
      </c>
      <c r="BC477">
        <v>0</v>
      </c>
      <c r="BD477">
        <v>324</v>
      </c>
      <c r="BE477">
        <v>25179</v>
      </c>
      <c r="BF477">
        <v>13</v>
      </c>
      <c r="BG477">
        <v>32</v>
      </c>
      <c r="BH477">
        <v>326</v>
      </c>
      <c r="BI477">
        <v>25359</v>
      </c>
      <c r="BJ477">
        <v>13</v>
      </c>
      <c r="BK477">
        <f t="shared" si="65"/>
        <v>326</v>
      </c>
      <c r="BL477">
        <f t="shared" si="66"/>
        <v>25359</v>
      </c>
      <c r="BM477">
        <f t="shared" si="67"/>
        <v>13</v>
      </c>
      <c r="BN477">
        <f t="shared" si="68"/>
        <v>0</v>
      </c>
      <c r="BO477">
        <f t="shared" si="69"/>
        <v>0</v>
      </c>
      <c r="BP477">
        <f t="shared" si="70"/>
        <v>0</v>
      </c>
      <c r="BQ477" t="s">
        <v>259</v>
      </c>
      <c r="BR477" t="s">
        <v>94</v>
      </c>
      <c r="BS477" s="1">
        <v>30796</v>
      </c>
      <c r="BT477">
        <v>41</v>
      </c>
      <c r="BU477" t="s">
        <v>4255</v>
      </c>
      <c r="BV477" s="1">
        <v>42663</v>
      </c>
      <c r="BW477">
        <v>14</v>
      </c>
      <c r="BX477">
        <v>1984</v>
      </c>
      <c r="BY477">
        <v>14</v>
      </c>
      <c r="BZ477">
        <f t="shared" si="71"/>
        <v>0</v>
      </c>
      <c r="CA477">
        <f t="shared" si="72"/>
        <v>0</v>
      </c>
      <c r="CB477" t="b">
        <f t="shared" si="73"/>
        <v>1</v>
      </c>
    </row>
    <row r="478" spans="1:80" x14ac:dyDescent="0.3">
      <c r="A478" t="s">
        <v>4257</v>
      </c>
      <c r="B478" t="s">
        <v>156</v>
      </c>
      <c r="C478" t="s">
        <v>4258</v>
      </c>
      <c r="D478">
        <v>39</v>
      </c>
      <c r="E478" t="s">
        <v>4259</v>
      </c>
      <c r="F478" t="s">
        <v>4260</v>
      </c>
      <c r="G478" t="s">
        <v>400</v>
      </c>
      <c r="H478" t="s">
        <v>177</v>
      </c>
      <c r="I478" t="s">
        <v>414</v>
      </c>
      <c r="J478" t="s">
        <v>78</v>
      </c>
      <c r="K478" t="s">
        <v>89</v>
      </c>
      <c r="L478" t="s">
        <v>228</v>
      </c>
      <c r="M478">
        <v>24</v>
      </c>
      <c r="N478" t="s">
        <v>4261</v>
      </c>
      <c r="O478">
        <v>2010</v>
      </c>
      <c r="P478" t="s">
        <v>4262</v>
      </c>
      <c r="Q478" t="s">
        <v>4263</v>
      </c>
      <c r="R478">
        <v>30677</v>
      </c>
      <c r="S478" t="s">
        <v>4257</v>
      </c>
      <c r="T478" t="s">
        <v>4264</v>
      </c>
      <c r="U478">
        <v>1985</v>
      </c>
      <c r="V478" t="s">
        <v>4265</v>
      </c>
      <c r="W478">
        <v>1.84</v>
      </c>
      <c r="X478" t="s">
        <v>219</v>
      </c>
      <c r="Y478" t="s">
        <v>235</v>
      </c>
      <c r="Z478" t="s">
        <v>87</v>
      </c>
      <c r="AA478" t="s">
        <v>4266</v>
      </c>
      <c r="AB478" s="1">
        <v>43472</v>
      </c>
      <c r="AC478" t="s">
        <v>108</v>
      </c>
      <c r="AD478" t="s">
        <v>223</v>
      </c>
      <c r="AE478" s="1">
        <v>2004</v>
      </c>
      <c r="AF478">
        <v>18</v>
      </c>
      <c r="AG478" t="s">
        <v>171</v>
      </c>
      <c r="AH478" t="s">
        <v>89</v>
      </c>
      <c r="AI478" t="s">
        <v>89</v>
      </c>
      <c r="AJ478" t="s">
        <v>89</v>
      </c>
      <c r="AK478">
        <v>18</v>
      </c>
      <c r="AL478">
        <v>3</v>
      </c>
      <c r="AM478">
        <v>55</v>
      </c>
      <c r="AN478">
        <v>11</v>
      </c>
      <c r="AO478">
        <v>3</v>
      </c>
      <c r="AP478" t="s">
        <v>93</v>
      </c>
      <c r="AQ478" t="s">
        <v>89</v>
      </c>
      <c r="AR478" t="s">
        <v>89</v>
      </c>
      <c r="AS478" t="s">
        <v>93</v>
      </c>
      <c r="AT478" t="s">
        <v>89</v>
      </c>
      <c r="AU478" t="s">
        <v>89</v>
      </c>
      <c r="AV478" t="s">
        <v>89</v>
      </c>
      <c r="AW478">
        <v>15</v>
      </c>
      <c r="AX478">
        <v>22</v>
      </c>
      <c r="AY478" t="s">
        <v>93</v>
      </c>
      <c r="AZ478">
        <v>0</v>
      </c>
      <c r="BA478">
        <v>0</v>
      </c>
      <c r="BB478">
        <v>0</v>
      </c>
      <c r="BC478">
        <v>0</v>
      </c>
      <c r="BD478">
        <v>441</v>
      </c>
      <c r="BE478">
        <v>37624</v>
      </c>
      <c r="BF478">
        <v>17</v>
      </c>
      <c r="BG478" t="s">
        <v>89</v>
      </c>
      <c r="BH478">
        <v>441</v>
      </c>
      <c r="BI478">
        <v>37624</v>
      </c>
      <c r="BJ478">
        <v>17</v>
      </c>
      <c r="BK478">
        <f t="shared" si="65"/>
        <v>441</v>
      </c>
      <c r="BL478">
        <f t="shared" si="66"/>
        <v>37624</v>
      </c>
      <c r="BM478">
        <f t="shared" si="67"/>
        <v>17</v>
      </c>
      <c r="BN478">
        <f t="shared" si="68"/>
        <v>0</v>
      </c>
      <c r="BO478">
        <f t="shared" si="69"/>
        <v>0</v>
      </c>
      <c r="BP478">
        <f t="shared" si="70"/>
        <v>0</v>
      </c>
      <c r="BQ478" t="s">
        <v>235</v>
      </c>
      <c r="BR478" t="s">
        <v>140</v>
      </c>
      <c r="BS478" s="1">
        <v>31334</v>
      </c>
      <c r="BT478">
        <v>40</v>
      </c>
      <c r="BU478" t="s">
        <v>89</v>
      </c>
      <c r="BV478" t="s">
        <v>89</v>
      </c>
      <c r="BW478">
        <v>22</v>
      </c>
      <c r="BX478">
        <v>1985</v>
      </c>
      <c r="BY478">
        <v>21</v>
      </c>
      <c r="BZ478">
        <f t="shared" si="71"/>
        <v>-7</v>
      </c>
      <c r="CA478">
        <f t="shared" si="72"/>
        <v>1</v>
      </c>
      <c r="CB478" t="b">
        <f t="shared" si="73"/>
        <v>0</v>
      </c>
    </row>
    <row r="479" spans="1:80" x14ac:dyDescent="0.3">
      <c r="A479" t="s">
        <v>4267</v>
      </c>
      <c r="B479" t="s">
        <v>729</v>
      </c>
      <c r="C479" t="s">
        <v>4268</v>
      </c>
      <c r="D479">
        <v>47</v>
      </c>
      <c r="E479" s="1">
        <v>28517</v>
      </c>
      <c r="F479" t="s">
        <v>89</v>
      </c>
      <c r="G479" t="s">
        <v>374</v>
      </c>
      <c r="H479" t="s">
        <v>732</v>
      </c>
      <c r="I479" t="s">
        <v>178</v>
      </c>
      <c r="J479" t="s">
        <v>89</v>
      </c>
      <c r="K479" t="s">
        <v>89</v>
      </c>
      <c r="L479" t="s">
        <v>657</v>
      </c>
      <c r="M479">
        <v>25</v>
      </c>
      <c r="N479" t="s">
        <v>741</v>
      </c>
      <c r="O479">
        <v>2003</v>
      </c>
      <c r="P479" t="s">
        <v>4269</v>
      </c>
      <c r="Q479" t="s">
        <v>4270</v>
      </c>
      <c r="R479">
        <v>9091</v>
      </c>
      <c r="S479" t="s">
        <v>4267</v>
      </c>
      <c r="T479" t="s">
        <v>4271</v>
      </c>
      <c r="U479">
        <v>1978</v>
      </c>
      <c r="V479" t="s">
        <v>736</v>
      </c>
      <c r="W479">
        <v>1.88</v>
      </c>
      <c r="X479" t="s">
        <v>2217</v>
      </c>
      <c r="Y479" t="s">
        <v>186</v>
      </c>
      <c r="Z479" t="s">
        <v>87</v>
      </c>
      <c r="AA479" t="s">
        <v>4272</v>
      </c>
      <c r="AB479" s="1">
        <v>42011</v>
      </c>
      <c r="AC479" t="s">
        <v>108</v>
      </c>
      <c r="AD479" t="s">
        <v>89</v>
      </c>
      <c r="AE479" t="s">
        <v>4273</v>
      </c>
      <c r="AF479">
        <v>26</v>
      </c>
      <c r="AG479" t="s">
        <v>91</v>
      </c>
      <c r="AH479" t="s">
        <v>92</v>
      </c>
      <c r="AI479" t="s">
        <v>89</v>
      </c>
      <c r="AJ479" t="s">
        <v>92</v>
      </c>
      <c r="AK479">
        <v>26</v>
      </c>
      <c r="AL479">
        <v>1</v>
      </c>
      <c r="AM479">
        <v>26</v>
      </c>
      <c r="AN479">
        <v>3</v>
      </c>
      <c r="AO479">
        <v>1</v>
      </c>
      <c r="AP479" t="s">
        <v>93</v>
      </c>
      <c r="AQ479" t="s">
        <v>89</v>
      </c>
      <c r="AR479" t="s">
        <v>89</v>
      </c>
      <c r="AS479" t="s">
        <v>111</v>
      </c>
      <c r="AT479" s="1">
        <v>42011</v>
      </c>
      <c r="AU479">
        <v>2015</v>
      </c>
      <c r="AV479">
        <v>12</v>
      </c>
      <c r="AW479">
        <v>12</v>
      </c>
      <c r="AX479" t="s">
        <v>89</v>
      </c>
      <c r="AY479" t="s">
        <v>93</v>
      </c>
      <c r="AZ479">
        <v>0</v>
      </c>
      <c r="BA479">
        <v>0</v>
      </c>
      <c r="BB479">
        <v>0</v>
      </c>
      <c r="BC479">
        <v>0</v>
      </c>
      <c r="BD479">
        <v>181</v>
      </c>
      <c r="BE479">
        <v>16158</v>
      </c>
      <c r="BF479">
        <v>0</v>
      </c>
      <c r="BG479">
        <v>37</v>
      </c>
      <c r="BH479">
        <v>181</v>
      </c>
      <c r="BI479">
        <v>16158</v>
      </c>
      <c r="BJ479">
        <v>0</v>
      </c>
      <c r="BK479">
        <f t="shared" si="65"/>
        <v>181</v>
      </c>
      <c r="BL479">
        <f t="shared" si="66"/>
        <v>16158</v>
      </c>
      <c r="BM479">
        <f t="shared" si="67"/>
        <v>0</v>
      </c>
      <c r="BN479">
        <f t="shared" si="68"/>
        <v>0</v>
      </c>
      <c r="BO479">
        <f t="shared" si="69"/>
        <v>0</v>
      </c>
      <c r="BP479">
        <f t="shared" si="70"/>
        <v>0</v>
      </c>
      <c r="BQ479" t="s">
        <v>186</v>
      </c>
      <c r="BR479" t="s">
        <v>186</v>
      </c>
      <c r="BS479" s="1">
        <v>28517</v>
      </c>
      <c r="BT479">
        <v>48</v>
      </c>
      <c r="BU479" s="1">
        <v>42011</v>
      </c>
      <c r="BV479" s="1">
        <v>42186</v>
      </c>
      <c r="BW479">
        <v>11</v>
      </c>
      <c r="BX479">
        <v>1978</v>
      </c>
      <c r="BY479">
        <v>11</v>
      </c>
      <c r="BZ479">
        <f t="shared" si="71"/>
        <v>1</v>
      </c>
      <c r="CA479">
        <f t="shared" si="72"/>
        <v>0</v>
      </c>
      <c r="CB479" t="b">
        <f t="shared" si="73"/>
        <v>0</v>
      </c>
    </row>
    <row r="480" spans="1:80" x14ac:dyDescent="0.3">
      <c r="A480" t="s">
        <v>4274</v>
      </c>
      <c r="B480" t="s">
        <v>71</v>
      </c>
      <c r="C480" t="s">
        <v>4275</v>
      </c>
      <c r="D480">
        <v>29</v>
      </c>
      <c r="E480" t="s">
        <v>4276</v>
      </c>
      <c r="F480" t="s">
        <v>2400</v>
      </c>
      <c r="G480" t="s">
        <v>115</v>
      </c>
      <c r="H480" t="s">
        <v>76</v>
      </c>
      <c r="I480" t="s">
        <v>4277</v>
      </c>
      <c r="J480" t="s">
        <v>78</v>
      </c>
      <c r="K480" t="s">
        <v>4278</v>
      </c>
      <c r="L480" t="s">
        <v>762</v>
      </c>
      <c r="M480">
        <v>18</v>
      </c>
      <c r="N480" t="s">
        <v>81</v>
      </c>
      <c r="O480">
        <v>2014</v>
      </c>
      <c r="P480" t="s">
        <v>4279</v>
      </c>
      <c r="Q480" t="s">
        <v>4280</v>
      </c>
      <c r="R480">
        <v>273738</v>
      </c>
      <c r="S480" t="s">
        <v>4281</v>
      </c>
      <c r="T480" t="s">
        <v>4282</v>
      </c>
      <c r="U480">
        <v>1995</v>
      </c>
      <c r="V480" t="s">
        <v>502</v>
      </c>
      <c r="W480">
        <v>1.8</v>
      </c>
      <c r="X480" t="s">
        <v>76</v>
      </c>
      <c r="Y480" t="s">
        <v>123</v>
      </c>
      <c r="Z480" t="s">
        <v>87</v>
      </c>
      <c r="AA480" t="s">
        <v>4278</v>
      </c>
      <c r="AB480" t="s">
        <v>4283</v>
      </c>
      <c r="AC480" t="s">
        <v>188</v>
      </c>
      <c r="AD480" t="s">
        <v>89</v>
      </c>
      <c r="AE480" t="s">
        <v>1506</v>
      </c>
      <c r="AF480">
        <v>18</v>
      </c>
      <c r="AG480" t="s">
        <v>91</v>
      </c>
      <c r="AH480" t="s">
        <v>3953</v>
      </c>
      <c r="AI480">
        <v>19</v>
      </c>
      <c r="AJ480" t="s">
        <v>110</v>
      </c>
      <c r="AK480">
        <v>18</v>
      </c>
      <c r="AL480">
        <v>5</v>
      </c>
      <c r="AM480">
        <v>230</v>
      </c>
      <c r="AN480">
        <v>33</v>
      </c>
      <c r="AO480">
        <v>4</v>
      </c>
      <c r="AP480" t="s">
        <v>93</v>
      </c>
      <c r="AQ480" t="s">
        <v>89</v>
      </c>
      <c r="AR480" t="s">
        <v>89</v>
      </c>
      <c r="AS480" t="s">
        <v>93</v>
      </c>
      <c r="AT480" t="s">
        <v>89</v>
      </c>
      <c r="AU480" t="s">
        <v>89</v>
      </c>
      <c r="AV480" t="s">
        <v>89</v>
      </c>
      <c r="AW480">
        <v>11</v>
      </c>
      <c r="AX480">
        <v>22</v>
      </c>
      <c r="AY480" t="s">
        <v>93</v>
      </c>
      <c r="AZ480">
        <v>0</v>
      </c>
      <c r="BA480">
        <v>0</v>
      </c>
      <c r="BB480">
        <v>0</v>
      </c>
      <c r="BC480">
        <v>0</v>
      </c>
      <c r="BD480">
        <v>155</v>
      </c>
      <c r="BE480">
        <v>8747</v>
      </c>
      <c r="BF480">
        <v>30</v>
      </c>
      <c r="BG480" t="s">
        <v>89</v>
      </c>
      <c r="BH480">
        <v>155</v>
      </c>
      <c r="BI480">
        <v>8747</v>
      </c>
      <c r="BJ480">
        <v>30</v>
      </c>
      <c r="BK480">
        <f t="shared" si="65"/>
        <v>155</v>
      </c>
      <c r="BL480">
        <f t="shared" si="66"/>
        <v>8747</v>
      </c>
      <c r="BM480">
        <f t="shared" si="67"/>
        <v>30</v>
      </c>
      <c r="BN480">
        <f t="shared" si="68"/>
        <v>0</v>
      </c>
      <c r="BO480">
        <f t="shared" si="69"/>
        <v>0</v>
      </c>
      <c r="BP480">
        <f t="shared" si="70"/>
        <v>0</v>
      </c>
      <c r="BQ480" t="s">
        <v>123</v>
      </c>
      <c r="BR480" t="s">
        <v>112</v>
      </c>
      <c r="BS480" t="s">
        <v>89</v>
      </c>
      <c r="BT480">
        <v>31</v>
      </c>
      <c r="BU480" t="s">
        <v>89</v>
      </c>
      <c r="BV480" t="s">
        <v>89</v>
      </c>
      <c r="BW480">
        <v>13</v>
      </c>
      <c r="BX480">
        <v>1995</v>
      </c>
      <c r="BY480">
        <v>11</v>
      </c>
      <c r="BZ480">
        <f t="shared" si="71"/>
        <v>-2</v>
      </c>
      <c r="CA480">
        <f t="shared" si="72"/>
        <v>2</v>
      </c>
      <c r="CB480" t="b">
        <f t="shared" si="73"/>
        <v>0</v>
      </c>
    </row>
    <row r="481" spans="1:80" x14ac:dyDescent="0.3">
      <c r="A481" t="s">
        <v>4281</v>
      </c>
      <c r="B481" t="s">
        <v>71</v>
      </c>
      <c r="C481" t="s">
        <v>4284</v>
      </c>
      <c r="D481">
        <v>34</v>
      </c>
      <c r="E481" t="s">
        <v>4285</v>
      </c>
      <c r="F481" t="s">
        <v>4286</v>
      </c>
      <c r="G481" t="s">
        <v>687</v>
      </c>
      <c r="H481" t="s">
        <v>89</v>
      </c>
      <c r="I481" t="s">
        <v>195</v>
      </c>
      <c r="J481" t="s">
        <v>300</v>
      </c>
      <c r="K481" t="s">
        <v>2168</v>
      </c>
      <c r="L481" t="s">
        <v>80</v>
      </c>
      <c r="M481">
        <v>21</v>
      </c>
      <c r="N481" t="s">
        <v>508</v>
      </c>
      <c r="O481">
        <v>2012</v>
      </c>
      <c r="P481" t="s">
        <v>4287</v>
      </c>
      <c r="Q481" t="s">
        <v>4280</v>
      </c>
      <c r="R481">
        <v>221986</v>
      </c>
      <c r="S481" t="s">
        <v>4281</v>
      </c>
      <c r="T481" t="s">
        <v>4288</v>
      </c>
      <c r="U481">
        <v>1991</v>
      </c>
      <c r="V481" t="s">
        <v>100</v>
      </c>
      <c r="W481">
        <v>1.71</v>
      </c>
      <c r="X481" t="s">
        <v>76</v>
      </c>
      <c r="Y481" t="s">
        <v>203</v>
      </c>
      <c r="Z481" t="s">
        <v>152</v>
      </c>
      <c r="AA481" t="s">
        <v>476</v>
      </c>
      <c r="AB481" s="1">
        <v>45664</v>
      </c>
      <c r="AC481" t="s">
        <v>108</v>
      </c>
      <c r="AD481" t="s">
        <v>89</v>
      </c>
      <c r="AE481" s="1">
        <v>41549</v>
      </c>
      <c r="AF481">
        <v>21</v>
      </c>
      <c r="AG481" t="s">
        <v>91</v>
      </c>
      <c r="AH481" t="s">
        <v>4289</v>
      </c>
      <c r="AI481">
        <v>27</v>
      </c>
      <c r="AJ481" t="s">
        <v>110</v>
      </c>
      <c r="AK481">
        <v>21</v>
      </c>
      <c r="AL481">
        <v>3</v>
      </c>
      <c r="AM481">
        <v>316</v>
      </c>
      <c r="AN481">
        <v>47</v>
      </c>
      <c r="AO481">
        <v>2</v>
      </c>
      <c r="AP481" t="s">
        <v>93</v>
      </c>
      <c r="AQ481" t="s">
        <v>89</v>
      </c>
      <c r="AR481" t="s">
        <v>89</v>
      </c>
      <c r="AS481" t="s">
        <v>93</v>
      </c>
      <c r="AT481" t="s">
        <v>89</v>
      </c>
      <c r="AU481" t="s">
        <v>89</v>
      </c>
      <c r="AV481" t="s">
        <v>89</v>
      </c>
      <c r="AW481">
        <v>13</v>
      </c>
      <c r="AX481" t="s">
        <v>89</v>
      </c>
      <c r="AY481" t="s">
        <v>93</v>
      </c>
      <c r="AZ481">
        <v>0</v>
      </c>
      <c r="BA481">
        <v>0</v>
      </c>
      <c r="BB481">
        <v>0</v>
      </c>
      <c r="BC481">
        <v>0</v>
      </c>
      <c r="BD481">
        <v>86</v>
      </c>
      <c r="BE481">
        <v>5968</v>
      </c>
      <c r="BF481">
        <v>2</v>
      </c>
      <c r="BG481" t="s">
        <v>89</v>
      </c>
      <c r="BH481">
        <v>86</v>
      </c>
      <c r="BI481">
        <v>5968</v>
      </c>
      <c r="BJ481">
        <v>2</v>
      </c>
      <c r="BK481">
        <f t="shared" si="65"/>
        <v>86</v>
      </c>
      <c r="BL481">
        <f t="shared" si="66"/>
        <v>5968</v>
      </c>
      <c r="BM481">
        <f t="shared" si="67"/>
        <v>2</v>
      </c>
      <c r="BN481">
        <f t="shared" si="68"/>
        <v>0</v>
      </c>
      <c r="BO481">
        <f t="shared" si="69"/>
        <v>0</v>
      </c>
      <c r="BP481">
        <f t="shared" si="70"/>
        <v>0</v>
      </c>
      <c r="BQ481" t="s">
        <v>203</v>
      </c>
      <c r="BR481" t="s">
        <v>140</v>
      </c>
      <c r="BS481" t="s">
        <v>89</v>
      </c>
      <c r="BT481">
        <v>35</v>
      </c>
      <c r="BU481" t="s">
        <v>89</v>
      </c>
      <c r="BV481" t="s">
        <v>89</v>
      </c>
      <c r="BW481">
        <v>14</v>
      </c>
      <c r="BX481">
        <v>1991</v>
      </c>
      <c r="BY481">
        <v>13</v>
      </c>
      <c r="BZ481">
        <f t="shared" si="71"/>
        <v>-1</v>
      </c>
      <c r="CA481">
        <f t="shared" si="72"/>
        <v>1</v>
      </c>
      <c r="CB481" t="b">
        <f t="shared" si="73"/>
        <v>0</v>
      </c>
    </row>
    <row r="482" spans="1:80" x14ac:dyDescent="0.3">
      <c r="A482" t="s">
        <v>4290</v>
      </c>
      <c r="B482" t="s">
        <v>1274</v>
      </c>
      <c r="C482" t="s">
        <v>4291</v>
      </c>
      <c r="D482">
        <v>37</v>
      </c>
      <c r="E482" t="s">
        <v>4292</v>
      </c>
      <c r="F482" t="s">
        <v>4293</v>
      </c>
      <c r="G482" t="s">
        <v>400</v>
      </c>
      <c r="H482" t="s">
        <v>1276</v>
      </c>
      <c r="I482" t="s">
        <v>375</v>
      </c>
      <c r="J482" t="s">
        <v>300</v>
      </c>
      <c r="K482" t="s">
        <v>79</v>
      </c>
      <c r="L482" t="s">
        <v>117</v>
      </c>
      <c r="M482">
        <v>17</v>
      </c>
      <c r="N482" t="s">
        <v>3274</v>
      </c>
      <c r="O482">
        <v>2005</v>
      </c>
      <c r="P482" t="s">
        <v>4294</v>
      </c>
      <c r="Q482" t="s">
        <v>4295</v>
      </c>
      <c r="R482">
        <v>51046</v>
      </c>
      <c r="S482" t="s">
        <v>4290</v>
      </c>
      <c r="T482" t="s">
        <v>4296</v>
      </c>
      <c r="U482">
        <v>1988</v>
      </c>
      <c r="V482" t="s">
        <v>4297</v>
      </c>
      <c r="W482">
        <v>1.86</v>
      </c>
      <c r="X482" t="s">
        <v>1283</v>
      </c>
      <c r="Y482" t="s">
        <v>235</v>
      </c>
      <c r="Z482" t="s">
        <v>152</v>
      </c>
      <c r="AA482" t="s">
        <v>79</v>
      </c>
      <c r="AB482">
        <v>44203</v>
      </c>
      <c r="AC482" t="s">
        <v>222</v>
      </c>
      <c r="AD482" t="s">
        <v>89</v>
      </c>
      <c r="AE482" t="s">
        <v>4298</v>
      </c>
      <c r="AF482">
        <v>18</v>
      </c>
      <c r="AG482" t="s">
        <v>1286</v>
      </c>
      <c r="AH482" t="s">
        <v>92</v>
      </c>
      <c r="AI482" t="s">
        <v>89</v>
      </c>
      <c r="AJ482" t="s">
        <v>92</v>
      </c>
      <c r="AK482">
        <v>18</v>
      </c>
      <c r="AL482">
        <v>10</v>
      </c>
      <c r="AM482">
        <v>336</v>
      </c>
      <c r="AN482">
        <v>49</v>
      </c>
      <c r="AO482">
        <v>7</v>
      </c>
      <c r="AP482" t="s">
        <v>93</v>
      </c>
      <c r="AQ482" t="s">
        <v>89</v>
      </c>
      <c r="AR482" t="s">
        <v>89</v>
      </c>
      <c r="AS482" t="s">
        <v>93</v>
      </c>
      <c r="AT482" t="s">
        <v>89</v>
      </c>
      <c r="AU482" t="s">
        <v>89</v>
      </c>
      <c r="AV482" t="s">
        <v>89</v>
      </c>
      <c r="AW482">
        <v>20</v>
      </c>
      <c r="AX482">
        <v>15</v>
      </c>
      <c r="AY482" t="s">
        <v>111</v>
      </c>
      <c r="AZ482">
        <v>21</v>
      </c>
      <c r="BA482">
        <v>87</v>
      </c>
      <c r="BB482">
        <v>7078</v>
      </c>
      <c r="BC482">
        <v>5</v>
      </c>
      <c r="BD482">
        <v>490</v>
      </c>
      <c r="BE482">
        <v>39613</v>
      </c>
      <c r="BF482">
        <v>29</v>
      </c>
      <c r="BG482" t="s">
        <v>89</v>
      </c>
      <c r="BH482">
        <v>577</v>
      </c>
      <c r="BI482">
        <v>46691</v>
      </c>
      <c r="BJ482">
        <v>34</v>
      </c>
      <c r="BK482">
        <f t="shared" si="65"/>
        <v>577</v>
      </c>
      <c r="BL482">
        <f t="shared" si="66"/>
        <v>46691</v>
      </c>
      <c r="BM482">
        <f t="shared" si="67"/>
        <v>34</v>
      </c>
      <c r="BN482">
        <f t="shared" si="68"/>
        <v>0</v>
      </c>
      <c r="BO482">
        <f t="shared" si="69"/>
        <v>0</v>
      </c>
      <c r="BP482">
        <f t="shared" si="70"/>
        <v>0</v>
      </c>
      <c r="BQ482" t="s">
        <v>235</v>
      </c>
      <c r="BR482" t="s">
        <v>140</v>
      </c>
      <c r="BS482" s="1">
        <v>32159</v>
      </c>
      <c r="BT482">
        <v>38</v>
      </c>
      <c r="BU482" t="s">
        <v>89</v>
      </c>
      <c r="BV482" t="s">
        <v>89</v>
      </c>
      <c r="BW482">
        <v>20</v>
      </c>
      <c r="BX482">
        <v>1988</v>
      </c>
      <c r="BY482">
        <v>19</v>
      </c>
      <c r="BZ482">
        <f t="shared" si="71"/>
        <v>0</v>
      </c>
      <c r="CA482">
        <f t="shared" si="72"/>
        <v>1</v>
      </c>
      <c r="CB482" t="b">
        <f t="shared" si="73"/>
        <v>1</v>
      </c>
    </row>
    <row r="483" spans="1:80" x14ac:dyDescent="0.3">
      <c r="A483" t="s">
        <v>4299</v>
      </c>
      <c r="B483" t="s">
        <v>71</v>
      </c>
      <c r="C483" t="s">
        <v>4300</v>
      </c>
      <c r="D483">
        <v>37</v>
      </c>
      <c r="E483" s="1">
        <v>32209</v>
      </c>
      <c r="F483" t="s">
        <v>89</v>
      </c>
      <c r="G483" t="s">
        <v>241</v>
      </c>
      <c r="H483" t="s">
        <v>89</v>
      </c>
      <c r="I483" t="s">
        <v>227</v>
      </c>
      <c r="J483" t="s">
        <v>78</v>
      </c>
      <c r="K483" t="s">
        <v>89</v>
      </c>
      <c r="L483" t="s">
        <v>130</v>
      </c>
      <c r="M483">
        <v>20</v>
      </c>
      <c r="N483" t="s">
        <v>751</v>
      </c>
      <c r="O483">
        <v>2008</v>
      </c>
      <c r="P483" t="s">
        <v>4301</v>
      </c>
      <c r="Q483" t="s">
        <v>4302</v>
      </c>
      <c r="R483">
        <v>72286</v>
      </c>
      <c r="S483" t="s">
        <v>4299</v>
      </c>
      <c r="T483">
        <v>32327</v>
      </c>
      <c r="U483">
        <v>1988</v>
      </c>
      <c r="V483" t="s">
        <v>214</v>
      </c>
      <c r="W483">
        <v>1.91</v>
      </c>
      <c r="X483" t="s">
        <v>76</v>
      </c>
      <c r="Y483" t="s">
        <v>235</v>
      </c>
      <c r="Z483" t="s">
        <v>87</v>
      </c>
      <c r="AA483" t="s">
        <v>4303</v>
      </c>
      <c r="AB483">
        <v>44933</v>
      </c>
      <c r="AC483" t="s">
        <v>108</v>
      </c>
      <c r="AD483" t="s">
        <v>89</v>
      </c>
      <c r="AE483">
        <v>2010</v>
      </c>
      <c r="AF483">
        <v>22</v>
      </c>
      <c r="AG483" t="s">
        <v>91</v>
      </c>
      <c r="AH483">
        <v>2009</v>
      </c>
      <c r="AI483">
        <v>21</v>
      </c>
      <c r="AJ483">
        <v>0</v>
      </c>
      <c r="AK483">
        <v>21</v>
      </c>
      <c r="AL483">
        <v>5</v>
      </c>
      <c r="AM483">
        <v>225</v>
      </c>
      <c r="AN483">
        <v>21</v>
      </c>
      <c r="AO483">
        <v>3</v>
      </c>
      <c r="AP483" t="s">
        <v>93</v>
      </c>
      <c r="AQ483" t="s">
        <v>89</v>
      </c>
      <c r="AR483" t="s">
        <v>89</v>
      </c>
      <c r="AS483" t="s">
        <v>111</v>
      </c>
      <c r="AT483">
        <v>44933</v>
      </c>
      <c r="AU483">
        <v>2023</v>
      </c>
      <c r="AV483">
        <v>15</v>
      </c>
      <c r="AW483">
        <v>15</v>
      </c>
      <c r="AX483" t="s">
        <v>89</v>
      </c>
      <c r="AY483" t="s">
        <v>93</v>
      </c>
      <c r="AZ483">
        <v>0</v>
      </c>
      <c r="BA483">
        <v>0</v>
      </c>
      <c r="BB483">
        <v>0</v>
      </c>
      <c r="BC483">
        <v>0</v>
      </c>
      <c r="BD483">
        <v>195</v>
      </c>
      <c r="BE483">
        <v>15077</v>
      </c>
      <c r="BF483">
        <v>9</v>
      </c>
      <c r="BG483">
        <v>35</v>
      </c>
      <c r="BH483">
        <v>195</v>
      </c>
      <c r="BI483">
        <v>15077</v>
      </c>
      <c r="BJ483">
        <v>9</v>
      </c>
      <c r="BK483">
        <f t="shared" si="65"/>
        <v>195</v>
      </c>
      <c r="BL483">
        <f t="shared" si="66"/>
        <v>15077</v>
      </c>
      <c r="BM483">
        <f t="shared" si="67"/>
        <v>9</v>
      </c>
      <c r="BN483">
        <f t="shared" si="68"/>
        <v>0</v>
      </c>
      <c r="BO483">
        <f t="shared" si="69"/>
        <v>0</v>
      </c>
      <c r="BP483">
        <f t="shared" si="70"/>
        <v>0</v>
      </c>
      <c r="BQ483" t="s">
        <v>235</v>
      </c>
      <c r="BR483" t="s">
        <v>140</v>
      </c>
      <c r="BS483" t="s">
        <v>89</v>
      </c>
      <c r="BT483">
        <v>38</v>
      </c>
      <c r="BU483">
        <v>44933</v>
      </c>
      <c r="BV483" t="s">
        <v>89</v>
      </c>
      <c r="BW483">
        <v>14</v>
      </c>
      <c r="BX483">
        <v>1988</v>
      </c>
      <c r="BY483">
        <v>14</v>
      </c>
      <c r="BZ483">
        <f t="shared" si="71"/>
        <v>1</v>
      </c>
      <c r="CA483">
        <f t="shared" si="72"/>
        <v>0</v>
      </c>
      <c r="CB483" t="b">
        <f t="shared" si="73"/>
        <v>0</v>
      </c>
    </row>
    <row r="484" spans="1:80" x14ac:dyDescent="0.3">
      <c r="A484" t="s">
        <v>4304</v>
      </c>
      <c r="B484" t="s">
        <v>71</v>
      </c>
      <c r="C484" t="s">
        <v>4305</v>
      </c>
      <c r="D484">
        <v>37</v>
      </c>
      <c r="E484" t="s">
        <v>4306</v>
      </c>
      <c r="F484" t="s">
        <v>4307</v>
      </c>
      <c r="G484" t="s">
        <v>241</v>
      </c>
      <c r="H484" t="s">
        <v>89</v>
      </c>
      <c r="I484" t="s">
        <v>243</v>
      </c>
      <c r="J484" t="s">
        <v>89</v>
      </c>
      <c r="K484" t="s">
        <v>4308</v>
      </c>
      <c r="L484" t="s">
        <v>254</v>
      </c>
      <c r="M484">
        <v>21</v>
      </c>
      <c r="N484" t="s">
        <v>1137</v>
      </c>
      <c r="O484">
        <v>2009</v>
      </c>
      <c r="P484" t="s">
        <v>4309</v>
      </c>
      <c r="Q484" t="s">
        <v>4310</v>
      </c>
      <c r="R484">
        <v>94414</v>
      </c>
      <c r="S484" t="s">
        <v>4304</v>
      </c>
      <c r="T484" s="1">
        <v>32478</v>
      </c>
      <c r="U484">
        <v>1988</v>
      </c>
      <c r="V484" t="s">
        <v>1137</v>
      </c>
      <c r="W484">
        <v>1.91</v>
      </c>
      <c r="X484" t="s">
        <v>76</v>
      </c>
      <c r="Y484" t="s">
        <v>235</v>
      </c>
      <c r="Z484" t="s">
        <v>87</v>
      </c>
      <c r="AA484" t="s">
        <v>476</v>
      </c>
      <c r="AB484">
        <v>45663</v>
      </c>
      <c r="AC484" t="s">
        <v>108</v>
      </c>
      <c r="AD484" t="s">
        <v>89</v>
      </c>
      <c r="AE484" t="s">
        <v>561</v>
      </c>
      <c r="AF484">
        <v>26</v>
      </c>
      <c r="AG484" t="s">
        <v>91</v>
      </c>
      <c r="AH484" s="1">
        <v>40156</v>
      </c>
      <c r="AI484">
        <v>21</v>
      </c>
      <c r="AJ484" t="s">
        <v>110</v>
      </c>
      <c r="AK484">
        <v>21</v>
      </c>
      <c r="AL484">
        <v>2</v>
      </c>
      <c r="AM484">
        <v>58</v>
      </c>
      <c r="AN484">
        <v>11</v>
      </c>
      <c r="AO484">
        <v>2</v>
      </c>
      <c r="AP484" t="s">
        <v>93</v>
      </c>
      <c r="AQ484" t="s">
        <v>89</v>
      </c>
      <c r="AR484" t="s">
        <v>89</v>
      </c>
      <c r="AS484" t="s">
        <v>93</v>
      </c>
      <c r="AT484" t="s">
        <v>89</v>
      </c>
      <c r="AU484" t="s">
        <v>89</v>
      </c>
      <c r="AV484" t="s">
        <v>89</v>
      </c>
      <c r="AW484">
        <v>16</v>
      </c>
      <c r="AX484" t="s">
        <v>89</v>
      </c>
      <c r="AY484" t="s">
        <v>93</v>
      </c>
      <c r="AZ484">
        <v>0</v>
      </c>
      <c r="BA484">
        <v>0</v>
      </c>
      <c r="BB484">
        <v>0</v>
      </c>
      <c r="BC484">
        <v>0</v>
      </c>
      <c r="BD484">
        <v>287</v>
      </c>
      <c r="BE484">
        <v>23223</v>
      </c>
      <c r="BF484">
        <v>5</v>
      </c>
      <c r="BG484" t="s">
        <v>89</v>
      </c>
      <c r="BH484">
        <v>287</v>
      </c>
      <c r="BI484">
        <v>23223</v>
      </c>
      <c r="BJ484">
        <v>5</v>
      </c>
      <c r="BK484">
        <f t="shared" si="65"/>
        <v>287</v>
      </c>
      <c r="BL484">
        <f t="shared" si="66"/>
        <v>23223</v>
      </c>
      <c r="BM484">
        <f t="shared" si="67"/>
        <v>5</v>
      </c>
      <c r="BN484">
        <f t="shared" si="68"/>
        <v>0</v>
      </c>
      <c r="BO484">
        <f t="shared" si="69"/>
        <v>0</v>
      </c>
      <c r="BP484">
        <f t="shared" si="70"/>
        <v>0</v>
      </c>
      <c r="BQ484" t="s">
        <v>235</v>
      </c>
      <c r="BR484" t="s">
        <v>140</v>
      </c>
      <c r="BS484" s="1">
        <v>32154</v>
      </c>
      <c r="BT484">
        <v>38</v>
      </c>
      <c r="BU484" t="s">
        <v>89</v>
      </c>
      <c r="BV484" t="s">
        <v>89</v>
      </c>
      <c r="BW484">
        <v>17</v>
      </c>
      <c r="BX484">
        <v>1988</v>
      </c>
      <c r="BY484">
        <v>16</v>
      </c>
      <c r="BZ484">
        <f t="shared" si="71"/>
        <v>-1</v>
      </c>
      <c r="CA484">
        <f t="shared" si="72"/>
        <v>1</v>
      </c>
      <c r="CB484" t="b">
        <f t="shared" si="73"/>
        <v>0</v>
      </c>
    </row>
    <row r="485" spans="1:80" x14ac:dyDescent="0.3">
      <c r="A485" t="s">
        <v>4311</v>
      </c>
      <c r="B485" t="s">
        <v>1231</v>
      </c>
      <c r="C485" t="s">
        <v>4312</v>
      </c>
      <c r="D485">
        <v>38</v>
      </c>
      <c r="E485" s="1">
        <v>31922</v>
      </c>
      <c r="F485" t="s">
        <v>89</v>
      </c>
      <c r="G485" t="s">
        <v>518</v>
      </c>
      <c r="H485" t="s">
        <v>1234</v>
      </c>
      <c r="I485" t="s">
        <v>340</v>
      </c>
      <c r="J485" t="s">
        <v>300</v>
      </c>
      <c r="K485" t="s">
        <v>89</v>
      </c>
      <c r="L485" t="s">
        <v>117</v>
      </c>
      <c r="M485">
        <v>18</v>
      </c>
      <c r="N485" t="s">
        <v>1236</v>
      </c>
      <c r="O485">
        <v>2005</v>
      </c>
      <c r="P485" t="s">
        <v>4313</v>
      </c>
      <c r="Q485" t="s">
        <v>4314</v>
      </c>
      <c r="R485">
        <v>39784</v>
      </c>
      <c r="S485" t="s">
        <v>4311</v>
      </c>
      <c r="T485" t="s">
        <v>4315</v>
      </c>
      <c r="U485">
        <v>1987</v>
      </c>
      <c r="V485" t="s">
        <v>4316</v>
      </c>
      <c r="W485">
        <v>1.72</v>
      </c>
      <c r="X485" t="s">
        <v>1234</v>
      </c>
      <c r="Y485" t="s">
        <v>391</v>
      </c>
      <c r="Z485" t="s">
        <v>152</v>
      </c>
      <c r="AA485" t="s">
        <v>1256</v>
      </c>
      <c r="AB485" t="s">
        <v>4317</v>
      </c>
      <c r="AC485" t="s">
        <v>108</v>
      </c>
      <c r="AD485" t="s">
        <v>89</v>
      </c>
      <c r="AE485">
        <v>38873</v>
      </c>
      <c r="AF485">
        <v>18</v>
      </c>
      <c r="AG485" t="s">
        <v>613</v>
      </c>
      <c r="AH485">
        <v>41983</v>
      </c>
      <c r="AI485">
        <v>27</v>
      </c>
      <c r="AJ485" t="s">
        <v>4318</v>
      </c>
      <c r="AK485">
        <v>18</v>
      </c>
      <c r="AL485">
        <v>3</v>
      </c>
      <c r="AM485">
        <v>49</v>
      </c>
      <c r="AN485">
        <v>9</v>
      </c>
      <c r="AO485">
        <v>3</v>
      </c>
      <c r="AP485" t="s">
        <v>93</v>
      </c>
      <c r="AQ485" t="s">
        <v>89</v>
      </c>
      <c r="AR485" t="s">
        <v>89</v>
      </c>
      <c r="AS485" t="s">
        <v>111</v>
      </c>
      <c r="AT485" t="s">
        <v>4317</v>
      </c>
      <c r="AU485">
        <v>2024</v>
      </c>
      <c r="AV485">
        <v>19</v>
      </c>
      <c r="AW485">
        <v>19</v>
      </c>
      <c r="AX485" t="s">
        <v>89</v>
      </c>
      <c r="AY485" t="s">
        <v>93</v>
      </c>
      <c r="AZ485">
        <v>0</v>
      </c>
      <c r="BA485">
        <v>0</v>
      </c>
      <c r="BB485">
        <v>0</v>
      </c>
      <c r="BC485">
        <v>0</v>
      </c>
      <c r="BD485">
        <v>312</v>
      </c>
      <c r="BE485">
        <v>18200</v>
      </c>
      <c r="BF485">
        <v>37</v>
      </c>
      <c r="BG485">
        <v>37</v>
      </c>
      <c r="BH485">
        <v>312</v>
      </c>
      <c r="BI485">
        <v>18200</v>
      </c>
      <c r="BJ485">
        <v>37</v>
      </c>
      <c r="BK485">
        <f t="shared" si="65"/>
        <v>312</v>
      </c>
      <c r="BL485">
        <f t="shared" si="66"/>
        <v>18200</v>
      </c>
      <c r="BM485">
        <f t="shared" si="67"/>
        <v>37</v>
      </c>
      <c r="BN485">
        <f t="shared" si="68"/>
        <v>0</v>
      </c>
      <c r="BO485">
        <f t="shared" si="69"/>
        <v>0</v>
      </c>
      <c r="BP485">
        <f t="shared" si="70"/>
        <v>0</v>
      </c>
      <c r="BQ485" t="s">
        <v>391</v>
      </c>
      <c r="BR485" t="s">
        <v>112</v>
      </c>
      <c r="BS485" s="1">
        <v>31922</v>
      </c>
      <c r="BT485">
        <v>38</v>
      </c>
      <c r="BU485" t="s">
        <v>4317</v>
      </c>
      <c r="BV485" s="1">
        <v>45320</v>
      </c>
      <c r="BW485">
        <v>19</v>
      </c>
      <c r="BX485">
        <v>1987</v>
      </c>
      <c r="BY485">
        <v>19</v>
      </c>
      <c r="BZ485">
        <f t="shared" si="71"/>
        <v>0</v>
      </c>
      <c r="CA485">
        <f t="shared" si="72"/>
        <v>0</v>
      </c>
      <c r="CB485" t="b">
        <f t="shared" si="73"/>
        <v>1</v>
      </c>
    </row>
    <row r="486" spans="1:80" x14ac:dyDescent="0.3">
      <c r="A486" t="s">
        <v>4319</v>
      </c>
      <c r="B486" t="s">
        <v>4320</v>
      </c>
      <c r="C486" t="s">
        <v>4321</v>
      </c>
      <c r="D486">
        <v>31</v>
      </c>
      <c r="E486" t="s">
        <v>4322</v>
      </c>
      <c r="F486" t="s">
        <v>4323</v>
      </c>
      <c r="G486" t="s">
        <v>75</v>
      </c>
      <c r="H486" t="s">
        <v>4324</v>
      </c>
      <c r="I486" t="s">
        <v>668</v>
      </c>
      <c r="J486" t="s">
        <v>300</v>
      </c>
      <c r="K486" t="s">
        <v>4325</v>
      </c>
      <c r="L486" t="s">
        <v>762</v>
      </c>
      <c r="M486">
        <v>20</v>
      </c>
      <c r="N486" t="s">
        <v>741</v>
      </c>
      <c r="O486">
        <v>2014</v>
      </c>
      <c r="P486" t="s">
        <v>4326</v>
      </c>
      <c r="Q486" t="s">
        <v>4327</v>
      </c>
      <c r="R486">
        <v>173900</v>
      </c>
      <c r="S486" t="s">
        <v>4319</v>
      </c>
      <c r="T486" s="1">
        <v>34669</v>
      </c>
      <c r="U486">
        <v>1994</v>
      </c>
      <c r="V486" t="s">
        <v>4328</v>
      </c>
      <c r="W486">
        <v>1.79</v>
      </c>
      <c r="X486" t="s">
        <v>4329</v>
      </c>
      <c r="Y486" t="s">
        <v>494</v>
      </c>
      <c r="Z486" t="s">
        <v>152</v>
      </c>
      <c r="AA486" t="s">
        <v>476</v>
      </c>
      <c r="AB486" s="1">
        <v>45907</v>
      </c>
      <c r="AC486" t="s">
        <v>108</v>
      </c>
      <c r="AD486" t="s">
        <v>89</v>
      </c>
      <c r="AE486">
        <v>45604</v>
      </c>
      <c r="AF486">
        <v>30</v>
      </c>
      <c r="AG486">
        <v>0</v>
      </c>
      <c r="AH486">
        <v>41221</v>
      </c>
      <c r="AI486">
        <v>18</v>
      </c>
      <c r="AJ486" t="s">
        <v>615</v>
      </c>
      <c r="AK486">
        <v>18</v>
      </c>
      <c r="AL486">
        <v>4</v>
      </c>
      <c r="AM486">
        <v>301</v>
      </c>
      <c r="AN486">
        <v>58</v>
      </c>
      <c r="AO486">
        <v>4</v>
      </c>
      <c r="AP486" t="s">
        <v>93</v>
      </c>
      <c r="AQ486" t="s">
        <v>89</v>
      </c>
      <c r="AR486" t="s">
        <v>89</v>
      </c>
      <c r="AS486" t="s">
        <v>93</v>
      </c>
      <c r="AT486" t="s">
        <v>89</v>
      </c>
      <c r="AU486" t="s">
        <v>89</v>
      </c>
      <c r="AV486" t="s">
        <v>89</v>
      </c>
      <c r="AW486">
        <v>11</v>
      </c>
      <c r="AX486" t="s">
        <v>89</v>
      </c>
      <c r="AY486" t="s">
        <v>111</v>
      </c>
      <c r="AZ486">
        <v>4</v>
      </c>
      <c r="BA486">
        <v>9</v>
      </c>
      <c r="BB486">
        <v>726</v>
      </c>
      <c r="BC486">
        <v>2</v>
      </c>
      <c r="BD486">
        <v>274</v>
      </c>
      <c r="BE486">
        <v>15972</v>
      </c>
      <c r="BF486">
        <v>36</v>
      </c>
      <c r="BG486" t="s">
        <v>89</v>
      </c>
      <c r="BH486">
        <v>283</v>
      </c>
      <c r="BI486">
        <v>16698</v>
      </c>
      <c r="BJ486">
        <v>38</v>
      </c>
      <c r="BK486">
        <f t="shared" si="65"/>
        <v>283</v>
      </c>
      <c r="BL486">
        <f t="shared" si="66"/>
        <v>16698</v>
      </c>
      <c r="BM486">
        <f t="shared" si="67"/>
        <v>38</v>
      </c>
      <c r="BN486">
        <f t="shared" si="68"/>
        <v>0</v>
      </c>
      <c r="BO486">
        <f t="shared" si="69"/>
        <v>0</v>
      </c>
      <c r="BP486">
        <f t="shared" si="70"/>
        <v>0</v>
      </c>
      <c r="BQ486" t="s">
        <v>494</v>
      </c>
      <c r="BR486" t="s">
        <v>112</v>
      </c>
      <c r="BS486" s="1">
        <v>34346</v>
      </c>
      <c r="BT486">
        <v>32</v>
      </c>
      <c r="BU486" t="s">
        <v>89</v>
      </c>
      <c r="BV486" t="s">
        <v>89</v>
      </c>
      <c r="BW486">
        <v>14</v>
      </c>
      <c r="BX486">
        <v>1994</v>
      </c>
      <c r="BY486">
        <v>13</v>
      </c>
      <c r="BZ486">
        <f t="shared" si="71"/>
        <v>-3</v>
      </c>
      <c r="CA486">
        <f t="shared" si="72"/>
        <v>1</v>
      </c>
      <c r="CB486" t="b">
        <f t="shared" si="73"/>
        <v>0</v>
      </c>
    </row>
    <row r="487" spans="1:80" x14ac:dyDescent="0.3">
      <c r="A487" t="s">
        <v>4330</v>
      </c>
      <c r="B487" t="s">
        <v>1231</v>
      </c>
      <c r="C487" t="s">
        <v>4331</v>
      </c>
      <c r="D487">
        <v>42</v>
      </c>
      <c r="E487" s="1">
        <v>30165</v>
      </c>
      <c r="F487" t="s">
        <v>89</v>
      </c>
      <c r="G487" t="s">
        <v>400</v>
      </c>
      <c r="H487" t="s">
        <v>1234</v>
      </c>
      <c r="I487" t="s">
        <v>437</v>
      </c>
      <c r="J487" t="s">
        <v>78</v>
      </c>
      <c r="K487" t="s">
        <v>89</v>
      </c>
      <c r="L487" t="s">
        <v>196</v>
      </c>
      <c r="M487">
        <v>17</v>
      </c>
      <c r="N487" t="s">
        <v>1236</v>
      </c>
      <c r="O487">
        <v>2000</v>
      </c>
      <c r="P487" t="s">
        <v>4332</v>
      </c>
      <c r="Q487" t="s">
        <v>4333</v>
      </c>
      <c r="R487">
        <v>5169</v>
      </c>
      <c r="S487" t="s">
        <v>4330</v>
      </c>
      <c r="T487" s="1">
        <v>29990</v>
      </c>
      <c r="U487">
        <v>1982</v>
      </c>
      <c r="V487" t="s">
        <v>3536</v>
      </c>
      <c r="W487">
        <v>1.82</v>
      </c>
      <c r="X487" t="s">
        <v>1234</v>
      </c>
      <c r="Y487" t="s">
        <v>123</v>
      </c>
      <c r="Z487" t="s">
        <v>87</v>
      </c>
      <c r="AA487" t="s">
        <v>4334</v>
      </c>
      <c r="AB487" s="1">
        <v>42736</v>
      </c>
      <c r="AC487" t="s">
        <v>108</v>
      </c>
      <c r="AD487" t="s">
        <v>89</v>
      </c>
      <c r="AE487">
        <v>2001</v>
      </c>
      <c r="AF487">
        <v>19</v>
      </c>
      <c r="AG487" t="s">
        <v>613</v>
      </c>
      <c r="AH487" t="s">
        <v>89</v>
      </c>
      <c r="AI487" t="s">
        <v>89</v>
      </c>
      <c r="AJ487" t="s">
        <v>89</v>
      </c>
      <c r="AK487">
        <v>19</v>
      </c>
      <c r="AL487">
        <v>9</v>
      </c>
      <c r="AM487">
        <v>257</v>
      </c>
      <c r="AN487">
        <v>45</v>
      </c>
      <c r="AO487">
        <v>6</v>
      </c>
      <c r="AP487" t="s">
        <v>93</v>
      </c>
      <c r="AQ487" t="s">
        <v>89</v>
      </c>
      <c r="AR487" t="s">
        <v>89</v>
      </c>
      <c r="AS487" t="s">
        <v>111</v>
      </c>
      <c r="AT487" s="1">
        <v>42736</v>
      </c>
      <c r="AU487">
        <v>2017</v>
      </c>
      <c r="AV487">
        <v>17</v>
      </c>
      <c r="AW487">
        <v>17</v>
      </c>
      <c r="AX487" t="s">
        <v>89</v>
      </c>
      <c r="AY487" t="s">
        <v>111</v>
      </c>
      <c r="AZ487">
        <v>11</v>
      </c>
      <c r="BA487">
        <v>41</v>
      </c>
      <c r="BB487">
        <v>2240</v>
      </c>
      <c r="BC487">
        <v>18</v>
      </c>
      <c r="BD487">
        <v>419</v>
      </c>
      <c r="BE487">
        <v>25634</v>
      </c>
      <c r="BF487">
        <v>100</v>
      </c>
      <c r="BG487">
        <v>35</v>
      </c>
      <c r="BH487">
        <v>460</v>
      </c>
      <c r="BI487">
        <v>27874</v>
      </c>
      <c r="BJ487">
        <v>118</v>
      </c>
      <c r="BK487">
        <f t="shared" si="65"/>
        <v>460</v>
      </c>
      <c r="BL487">
        <f t="shared" si="66"/>
        <v>27874</v>
      </c>
      <c r="BM487">
        <f t="shared" si="67"/>
        <v>118</v>
      </c>
      <c r="BN487">
        <f t="shared" si="68"/>
        <v>0</v>
      </c>
      <c r="BO487">
        <f t="shared" si="69"/>
        <v>0</v>
      </c>
      <c r="BP487">
        <f t="shared" si="70"/>
        <v>0</v>
      </c>
      <c r="BQ487" t="s">
        <v>123</v>
      </c>
      <c r="BR487" t="s">
        <v>112</v>
      </c>
      <c r="BS487" s="1">
        <v>30165</v>
      </c>
      <c r="BT487">
        <v>43</v>
      </c>
      <c r="BU487" s="1">
        <v>42736</v>
      </c>
      <c r="BV487" s="1">
        <v>42736</v>
      </c>
      <c r="BW487">
        <v>16</v>
      </c>
      <c r="BX487">
        <v>1982</v>
      </c>
      <c r="BY487">
        <v>16</v>
      </c>
      <c r="BZ487">
        <f t="shared" si="71"/>
        <v>1</v>
      </c>
      <c r="CA487">
        <f t="shared" si="72"/>
        <v>0</v>
      </c>
      <c r="CB487" t="b">
        <f t="shared" si="73"/>
        <v>0</v>
      </c>
    </row>
    <row r="488" spans="1:80" x14ac:dyDescent="0.3">
      <c r="A488" t="s">
        <v>4335</v>
      </c>
      <c r="B488" t="s">
        <v>1231</v>
      </c>
      <c r="C488" t="s">
        <v>4336</v>
      </c>
      <c r="D488">
        <v>45</v>
      </c>
      <c r="E488" s="1">
        <v>29288</v>
      </c>
      <c r="F488" t="s">
        <v>89</v>
      </c>
      <c r="G488" t="s">
        <v>226</v>
      </c>
      <c r="H488" t="s">
        <v>89</v>
      </c>
      <c r="I488" t="s">
        <v>227</v>
      </c>
      <c r="J488" t="s">
        <v>89</v>
      </c>
      <c r="K488" t="s">
        <v>89</v>
      </c>
      <c r="L488" t="s">
        <v>196</v>
      </c>
      <c r="M488">
        <v>20</v>
      </c>
      <c r="N488" t="s">
        <v>2031</v>
      </c>
      <c r="O488">
        <v>2000</v>
      </c>
      <c r="P488" t="s">
        <v>4337</v>
      </c>
      <c r="Q488" t="s">
        <v>4338</v>
      </c>
      <c r="R488">
        <v>14196</v>
      </c>
      <c r="S488" t="s">
        <v>4335</v>
      </c>
      <c r="T488">
        <v>29467</v>
      </c>
      <c r="U488">
        <v>1980</v>
      </c>
      <c r="V488" t="s">
        <v>4339</v>
      </c>
      <c r="W488">
        <v>1.8</v>
      </c>
      <c r="X488" t="s">
        <v>3299</v>
      </c>
      <c r="Y488" t="s">
        <v>235</v>
      </c>
      <c r="Z488" t="s">
        <v>87</v>
      </c>
      <c r="AA488" t="s">
        <v>1723</v>
      </c>
      <c r="AB488" s="1">
        <v>41281</v>
      </c>
      <c r="AC488" t="s">
        <v>108</v>
      </c>
      <c r="AD488" t="s">
        <v>89</v>
      </c>
      <c r="AE488" t="s">
        <v>4340</v>
      </c>
      <c r="AF488">
        <v>23</v>
      </c>
      <c r="AG488" t="s">
        <v>613</v>
      </c>
      <c r="AH488" t="s">
        <v>4341</v>
      </c>
      <c r="AI488">
        <v>22</v>
      </c>
      <c r="AJ488" t="s">
        <v>89</v>
      </c>
      <c r="AK488">
        <v>22</v>
      </c>
      <c r="AL488">
        <v>5</v>
      </c>
      <c r="AM488">
        <v>193</v>
      </c>
      <c r="AN488">
        <v>22</v>
      </c>
      <c r="AO488">
        <v>3</v>
      </c>
      <c r="AP488" t="s">
        <v>93</v>
      </c>
      <c r="AQ488" t="s">
        <v>89</v>
      </c>
      <c r="AR488" t="s">
        <v>89</v>
      </c>
      <c r="AS488" t="s">
        <v>111</v>
      </c>
      <c r="AT488" s="1">
        <v>41281</v>
      </c>
      <c r="AU488">
        <v>2013</v>
      </c>
      <c r="AV488">
        <v>13</v>
      </c>
      <c r="AW488">
        <v>13</v>
      </c>
      <c r="AX488" t="s">
        <v>89</v>
      </c>
      <c r="AY488" t="s">
        <v>93</v>
      </c>
      <c r="AZ488">
        <v>0</v>
      </c>
      <c r="BA488">
        <v>0</v>
      </c>
      <c r="BB488">
        <v>0</v>
      </c>
      <c r="BC488">
        <v>0</v>
      </c>
      <c r="BD488">
        <v>151</v>
      </c>
      <c r="BE488">
        <v>12550</v>
      </c>
      <c r="BF488">
        <v>9</v>
      </c>
      <c r="BG488">
        <v>33</v>
      </c>
      <c r="BH488">
        <v>151</v>
      </c>
      <c r="BI488">
        <v>12550</v>
      </c>
      <c r="BJ488">
        <v>9</v>
      </c>
      <c r="BK488">
        <f t="shared" si="65"/>
        <v>151</v>
      </c>
      <c r="BL488">
        <f t="shared" si="66"/>
        <v>12550</v>
      </c>
      <c r="BM488">
        <f t="shared" si="67"/>
        <v>9</v>
      </c>
      <c r="BN488">
        <f t="shared" si="68"/>
        <v>0</v>
      </c>
      <c r="BO488">
        <f t="shared" si="69"/>
        <v>0</v>
      </c>
      <c r="BP488">
        <f t="shared" si="70"/>
        <v>0</v>
      </c>
      <c r="BQ488" t="s">
        <v>235</v>
      </c>
      <c r="BR488" t="s">
        <v>140</v>
      </c>
      <c r="BS488" t="s">
        <v>89</v>
      </c>
      <c r="BT488">
        <v>46</v>
      </c>
      <c r="BU488" s="1">
        <v>41281</v>
      </c>
      <c r="BV488" s="1">
        <v>41456</v>
      </c>
      <c r="BW488">
        <v>11</v>
      </c>
      <c r="BX488">
        <v>1980</v>
      </c>
      <c r="BY488">
        <v>11</v>
      </c>
      <c r="BZ488">
        <f t="shared" si="71"/>
        <v>2</v>
      </c>
      <c r="CA488">
        <f t="shared" si="72"/>
        <v>0</v>
      </c>
      <c r="CB488" t="b">
        <f t="shared" si="73"/>
        <v>0</v>
      </c>
    </row>
    <row r="489" spans="1:80" x14ac:dyDescent="0.3">
      <c r="A489" t="s">
        <v>4342</v>
      </c>
      <c r="B489" t="s">
        <v>1640</v>
      </c>
      <c r="C489" t="s">
        <v>4343</v>
      </c>
      <c r="D489">
        <v>36</v>
      </c>
      <c r="E489" s="1">
        <v>32461</v>
      </c>
      <c r="F489" t="s">
        <v>89</v>
      </c>
      <c r="G489" t="s">
        <v>211</v>
      </c>
      <c r="H489" t="s">
        <v>4344</v>
      </c>
      <c r="I489" t="s">
        <v>161</v>
      </c>
      <c r="J489" t="s">
        <v>78</v>
      </c>
      <c r="K489" t="s">
        <v>89</v>
      </c>
      <c r="L489" t="s">
        <v>228</v>
      </c>
      <c r="M489">
        <v>21</v>
      </c>
      <c r="N489" t="s">
        <v>1590</v>
      </c>
      <c r="O489">
        <v>2010</v>
      </c>
      <c r="P489" t="s">
        <v>4345</v>
      </c>
      <c r="Q489" t="s">
        <v>4346</v>
      </c>
      <c r="R489">
        <v>90660</v>
      </c>
      <c r="S489" t="s">
        <v>4347</v>
      </c>
      <c r="T489" t="s">
        <v>4348</v>
      </c>
      <c r="U489">
        <v>1988</v>
      </c>
      <c r="V489" t="s">
        <v>4349</v>
      </c>
      <c r="W489">
        <v>1.74</v>
      </c>
      <c r="X489" t="s">
        <v>4350</v>
      </c>
      <c r="Y489" t="s">
        <v>391</v>
      </c>
      <c r="Z489" t="s">
        <v>87</v>
      </c>
      <c r="AA489" t="s">
        <v>4351</v>
      </c>
      <c r="AB489" t="s">
        <v>4352</v>
      </c>
      <c r="AC489" t="s">
        <v>108</v>
      </c>
      <c r="AD489" t="s">
        <v>89</v>
      </c>
      <c r="AE489">
        <v>40370</v>
      </c>
      <c r="AF489">
        <v>21</v>
      </c>
      <c r="AG489" t="s">
        <v>613</v>
      </c>
      <c r="AH489" t="s">
        <v>1263</v>
      </c>
      <c r="AI489">
        <v>20</v>
      </c>
      <c r="AJ489" t="s">
        <v>615</v>
      </c>
      <c r="AK489">
        <v>20</v>
      </c>
      <c r="AL489">
        <v>1</v>
      </c>
      <c r="AM489">
        <v>20</v>
      </c>
      <c r="AN489">
        <v>4</v>
      </c>
      <c r="AO489">
        <v>1</v>
      </c>
      <c r="AP489" t="s">
        <v>93</v>
      </c>
      <c r="AQ489" t="s">
        <v>89</v>
      </c>
      <c r="AR489" t="s">
        <v>89</v>
      </c>
      <c r="AS489" t="s">
        <v>93</v>
      </c>
      <c r="AT489" t="s">
        <v>89</v>
      </c>
      <c r="AU489" t="s">
        <v>89</v>
      </c>
      <c r="AV489" t="s">
        <v>89</v>
      </c>
      <c r="AW489">
        <v>15</v>
      </c>
      <c r="AX489" t="s">
        <v>89</v>
      </c>
      <c r="AY489" t="s">
        <v>111</v>
      </c>
      <c r="AZ489">
        <v>11</v>
      </c>
      <c r="BA489">
        <v>30</v>
      </c>
      <c r="BB489">
        <v>1865</v>
      </c>
      <c r="BC489">
        <v>6</v>
      </c>
      <c r="BD489">
        <v>251</v>
      </c>
      <c r="BE489">
        <v>16115</v>
      </c>
      <c r="BF489">
        <v>43</v>
      </c>
      <c r="BG489" t="s">
        <v>89</v>
      </c>
      <c r="BH489">
        <v>281</v>
      </c>
      <c r="BI489">
        <v>17980</v>
      </c>
      <c r="BJ489">
        <v>49</v>
      </c>
      <c r="BK489">
        <f t="shared" si="65"/>
        <v>281</v>
      </c>
      <c r="BL489">
        <f t="shared" si="66"/>
        <v>17980</v>
      </c>
      <c r="BM489">
        <f t="shared" si="67"/>
        <v>49</v>
      </c>
      <c r="BN489">
        <f t="shared" si="68"/>
        <v>0</v>
      </c>
      <c r="BO489">
        <f t="shared" si="69"/>
        <v>0</v>
      </c>
      <c r="BP489">
        <f t="shared" si="70"/>
        <v>0</v>
      </c>
      <c r="BQ489" t="s">
        <v>391</v>
      </c>
      <c r="BR489" t="s">
        <v>112</v>
      </c>
      <c r="BS489" s="1">
        <v>32461</v>
      </c>
      <c r="BT489">
        <v>37</v>
      </c>
      <c r="BU489" t="s">
        <v>89</v>
      </c>
      <c r="BV489" t="s">
        <v>89</v>
      </c>
      <c r="BW489">
        <v>17</v>
      </c>
      <c r="BX489">
        <v>1988</v>
      </c>
      <c r="BY489">
        <v>16</v>
      </c>
      <c r="BZ489">
        <f t="shared" si="71"/>
        <v>-2</v>
      </c>
      <c r="CA489">
        <f t="shared" si="72"/>
        <v>1</v>
      </c>
      <c r="CB489" t="b">
        <f t="shared" si="73"/>
        <v>0</v>
      </c>
    </row>
    <row r="490" spans="1:80" x14ac:dyDescent="0.3">
      <c r="A490" t="s">
        <v>4353</v>
      </c>
      <c r="B490" t="s">
        <v>1461</v>
      </c>
      <c r="C490" t="s">
        <v>4354</v>
      </c>
      <c r="D490">
        <v>42</v>
      </c>
      <c r="E490" s="1">
        <v>30293</v>
      </c>
      <c r="F490" t="s">
        <v>89</v>
      </c>
      <c r="G490" t="s">
        <v>413</v>
      </c>
      <c r="H490" t="s">
        <v>4355</v>
      </c>
      <c r="I490" t="s">
        <v>1190</v>
      </c>
      <c r="J490" t="s">
        <v>78</v>
      </c>
      <c r="K490" t="s">
        <v>89</v>
      </c>
      <c r="L490" t="s">
        <v>657</v>
      </c>
      <c r="M490">
        <v>20</v>
      </c>
      <c r="N490" t="s">
        <v>4356</v>
      </c>
      <c r="O490">
        <v>2003</v>
      </c>
      <c r="P490" t="s">
        <v>4357</v>
      </c>
      <c r="Q490" t="s">
        <v>4358</v>
      </c>
      <c r="R490">
        <v>1792</v>
      </c>
      <c r="S490" t="s">
        <v>4353</v>
      </c>
      <c r="T490" s="1">
        <v>30175</v>
      </c>
      <c r="U490">
        <v>1982</v>
      </c>
      <c r="V490" t="s">
        <v>4359</v>
      </c>
      <c r="W490" t="s">
        <v>89</v>
      </c>
      <c r="X490" t="s">
        <v>4360</v>
      </c>
      <c r="Y490" t="s">
        <v>585</v>
      </c>
      <c r="Z490" t="s">
        <v>89</v>
      </c>
      <c r="AA490" t="s">
        <v>4361</v>
      </c>
      <c r="AB490" s="1">
        <v>43191</v>
      </c>
      <c r="AC490" t="s">
        <v>108</v>
      </c>
      <c r="AD490" t="s">
        <v>442</v>
      </c>
      <c r="AE490">
        <v>37660</v>
      </c>
      <c r="AF490">
        <v>20</v>
      </c>
      <c r="AG490" t="s">
        <v>2272</v>
      </c>
      <c r="AH490" t="s">
        <v>4362</v>
      </c>
      <c r="AI490">
        <v>34</v>
      </c>
      <c r="AJ490" t="s">
        <v>250</v>
      </c>
      <c r="AK490">
        <v>20</v>
      </c>
      <c r="AL490">
        <v>20</v>
      </c>
      <c r="AM490">
        <v>901</v>
      </c>
      <c r="AN490">
        <v>173</v>
      </c>
      <c r="AO490">
        <v>9</v>
      </c>
      <c r="AP490" t="s">
        <v>93</v>
      </c>
      <c r="AQ490" t="s">
        <v>89</v>
      </c>
      <c r="AR490" t="s">
        <v>89</v>
      </c>
      <c r="AS490" t="s">
        <v>111</v>
      </c>
      <c r="AT490" s="1">
        <v>43191</v>
      </c>
      <c r="AU490">
        <v>2018</v>
      </c>
      <c r="AV490">
        <v>15</v>
      </c>
      <c r="AW490">
        <v>15</v>
      </c>
      <c r="AX490" t="s">
        <v>89</v>
      </c>
      <c r="AY490" t="s">
        <v>111</v>
      </c>
      <c r="AZ490">
        <v>8</v>
      </c>
      <c r="BA490">
        <v>47</v>
      </c>
      <c r="BB490">
        <v>3702</v>
      </c>
      <c r="BC490">
        <v>4</v>
      </c>
      <c r="BD490">
        <v>341</v>
      </c>
      <c r="BE490">
        <v>21079</v>
      </c>
      <c r="BF490">
        <v>24</v>
      </c>
      <c r="BG490">
        <v>36</v>
      </c>
      <c r="BH490">
        <v>388</v>
      </c>
      <c r="BI490">
        <v>24781</v>
      </c>
      <c r="BJ490">
        <v>28</v>
      </c>
      <c r="BK490">
        <f t="shared" si="65"/>
        <v>388</v>
      </c>
      <c r="BL490">
        <f t="shared" si="66"/>
        <v>24781</v>
      </c>
      <c r="BM490">
        <f t="shared" si="67"/>
        <v>28</v>
      </c>
      <c r="BN490">
        <f t="shared" si="68"/>
        <v>0</v>
      </c>
      <c r="BO490">
        <f t="shared" si="69"/>
        <v>0</v>
      </c>
      <c r="BP490">
        <f t="shared" si="70"/>
        <v>0</v>
      </c>
      <c r="BQ490" t="s">
        <v>585</v>
      </c>
      <c r="BR490" t="s">
        <v>94</v>
      </c>
      <c r="BS490" s="1">
        <v>30293</v>
      </c>
      <c r="BT490">
        <v>43</v>
      </c>
      <c r="BU490" s="1">
        <v>43191</v>
      </c>
      <c r="BV490" s="1">
        <v>43104</v>
      </c>
      <c r="BW490">
        <v>16</v>
      </c>
      <c r="BX490">
        <v>1982</v>
      </c>
      <c r="BY490">
        <v>16</v>
      </c>
      <c r="BZ490">
        <f t="shared" si="71"/>
        <v>-1</v>
      </c>
      <c r="CA490">
        <f t="shared" si="72"/>
        <v>0</v>
      </c>
      <c r="CB490" t="b">
        <f t="shared" si="73"/>
        <v>0</v>
      </c>
    </row>
    <row r="491" spans="1:80" x14ac:dyDescent="0.3">
      <c r="A491" t="s">
        <v>4363</v>
      </c>
      <c r="B491" t="s">
        <v>1089</v>
      </c>
      <c r="C491" t="s">
        <v>4364</v>
      </c>
      <c r="D491">
        <v>38</v>
      </c>
      <c r="E491" s="1">
        <v>31781</v>
      </c>
      <c r="F491" t="s">
        <v>89</v>
      </c>
      <c r="G491" t="s">
        <v>75</v>
      </c>
      <c r="H491" t="s">
        <v>1093</v>
      </c>
      <c r="I491" t="s">
        <v>227</v>
      </c>
      <c r="J491" t="s">
        <v>300</v>
      </c>
      <c r="K491" t="s">
        <v>89</v>
      </c>
      <c r="L491" t="s">
        <v>324</v>
      </c>
      <c r="M491">
        <v>26</v>
      </c>
      <c r="N491" t="s">
        <v>527</v>
      </c>
      <c r="O491">
        <v>2013</v>
      </c>
      <c r="P491" t="s">
        <v>4365</v>
      </c>
      <c r="Q491" t="s">
        <v>4366</v>
      </c>
      <c r="R491">
        <v>72883</v>
      </c>
      <c r="S491" t="s">
        <v>4363</v>
      </c>
      <c r="T491" s="1">
        <v>31868</v>
      </c>
      <c r="U491">
        <v>1987</v>
      </c>
      <c r="V491" t="s">
        <v>4367</v>
      </c>
      <c r="W491">
        <v>1.78</v>
      </c>
      <c r="X491" t="s">
        <v>1093</v>
      </c>
      <c r="Y491" t="s">
        <v>235</v>
      </c>
      <c r="Z491" t="s">
        <v>87</v>
      </c>
      <c r="AA491" t="s">
        <v>4368</v>
      </c>
      <c r="AB491" t="s">
        <v>4369</v>
      </c>
      <c r="AC491" t="s">
        <v>108</v>
      </c>
      <c r="AD491" t="s">
        <v>89</v>
      </c>
      <c r="AE491">
        <v>39210</v>
      </c>
      <c r="AF491">
        <v>20</v>
      </c>
      <c r="AG491" t="s">
        <v>1099</v>
      </c>
      <c r="AH491" t="s">
        <v>92</v>
      </c>
      <c r="AI491" t="s">
        <v>89</v>
      </c>
      <c r="AJ491" t="s">
        <v>92</v>
      </c>
      <c r="AK491">
        <v>20</v>
      </c>
      <c r="AL491">
        <v>2</v>
      </c>
      <c r="AM491">
        <v>91</v>
      </c>
      <c r="AN491">
        <v>13</v>
      </c>
      <c r="AO491">
        <v>2</v>
      </c>
      <c r="AP491" t="s">
        <v>93</v>
      </c>
      <c r="AQ491" t="s">
        <v>89</v>
      </c>
      <c r="AR491" t="s">
        <v>89</v>
      </c>
      <c r="AS491" t="s">
        <v>111</v>
      </c>
      <c r="AT491" t="s">
        <v>4369</v>
      </c>
      <c r="AU491">
        <v>2021</v>
      </c>
      <c r="AV491">
        <v>8</v>
      </c>
      <c r="AW491">
        <v>8</v>
      </c>
      <c r="AX491" t="s">
        <v>89</v>
      </c>
      <c r="AY491" t="s">
        <v>93</v>
      </c>
      <c r="AZ491">
        <v>0</v>
      </c>
      <c r="BA491">
        <v>0</v>
      </c>
      <c r="BB491">
        <v>0</v>
      </c>
      <c r="BC491">
        <v>0</v>
      </c>
      <c r="BD491">
        <v>61</v>
      </c>
      <c r="BE491">
        <v>4594</v>
      </c>
      <c r="BF491">
        <v>0</v>
      </c>
      <c r="BG491">
        <v>34</v>
      </c>
      <c r="BH491">
        <v>61</v>
      </c>
      <c r="BI491">
        <v>4594</v>
      </c>
      <c r="BJ491">
        <v>0</v>
      </c>
      <c r="BK491">
        <f t="shared" si="65"/>
        <v>61</v>
      </c>
      <c r="BL491">
        <f t="shared" si="66"/>
        <v>4594</v>
      </c>
      <c r="BM491">
        <f t="shared" si="67"/>
        <v>0</v>
      </c>
      <c r="BN491">
        <f t="shared" si="68"/>
        <v>0</v>
      </c>
      <c r="BO491">
        <f t="shared" si="69"/>
        <v>0</v>
      </c>
      <c r="BP491">
        <f t="shared" si="70"/>
        <v>0</v>
      </c>
      <c r="BQ491" t="s">
        <v>235</v>
      </c>
      <c r="BR491" t="s">
        <v>140</v>
      </c>
      <c r="BS491" s="1">
        <v>31781</v>
      </c>
      <c r="BT491">
        <v>39</v>
      </c>
      <c r="BU491" t="s">
        <v>4369</v>
      </c>
      <c r="BV491" s="1">
        <v>44241</v>
      </c>
      <c r="BW491">
        <v>14</v>
      </c>
      <c r="BX491">
        <v>1987</v>
      </c>
      <c r="BY491">
        <v>14</v>
      </c>
      <c r="BZ491">
        <f t="shared" si="71"/>
        <v>-6</v>
      </c>
      <c r="CA491">
        <f t="shared" si="72"/>
        <v>0</v>
      </c>
      <c r="CB491" t="b">
        <f t="shared" si="73"/>
        <v>0</v>
      </c>
    </row>
    <row r="492" spans="1:80" x14ac:dyDescent="0.3">
      <c r="A492" t="s">
        <v>4370</v>
      </c>
      <c r="B492" t="s">
        <v>3354</v>
      </c>
      <c r="C492" t="s">
        <v>4371</v>
      </c>
      <c r="D492">
        <v>40</v>
      </c>
      <c r="E492" s="1">
        <v>31114</v>
      </c>
      <c r="F492" t="s">
        <v>89</v>
      </c>
      <c r="G492" t="s">
        <v>277</v>
      </c>
      <c r="H492" t="s">
        <v>4372</v>
      </c>
      <c r="I492" t="s">
        <v>1235</v>
      </c>
      <c r="J492" t="s">
        <v>300</v>
      </c>
      <c r="K492" t="s">
        <v>89</v>
      </c>
      <c r="L492" t="s">
        <v>145</v>
      </c>
      <c r="M492">
        <v>19</v>
      </c>
      <c r="N492" t="s">
        <v>4373</v>
      </c>
      <c r="O492">
        <v>2004</v>
      </c>
      <c r="P492" t="s">
        <v>4374</v>
      </c>
      <c r="Q492" t="s">
        <v>4375</v>
      </c>
      <c r="R492">
        <v>30666</v>
      </c>
      <c r="S492" t="s">
        <v>4370</v>
      </c>
      <c r="T492">
        <v>31262</v>
      </c>
      <c r="U492">
        <v>1985</v>
      </c>
      <c r="V492" t="s">
        <v>4376</v>
      </c>
      <c r="W492">
        <v>1.88</v>
      </c>
      <c r="X492" t="s">
        <v>4377</v>
      </c>
      <c r="Y492" t="s">
        <v>86</v>
      </c>
      <c r="Z492" t="s">
        <v>152</v>
      </c>
      <c r="AA492" t="s">
        <v>480</v>
      </c>
      <c r="AB492">
        <v>45298</v>
      </c>
      <c r="AC492" t="s">
        <v>108</v>
      </c>
      <c r="AD492" t="s">
        <v>89</v>
      </c>
      <c r="AE492" t="s">
        <v>4378</v>
      </c>
      <c r="AF492">
        <v>19</v>
      </c>
      <c r="AG492" t="s">
        <v>4114</v>
      </c>
      <c r="AH492" t="s">
        <v>4379</v>
      </c>
      <c r="AI492">
        <v>37</v>
      </c>
      <c r="AJ492">
        <v>0</v>
      </c>
      <c r="AK492">
        <v>19</v>
      </c>
      <c r="AL492" t="s">
        <v>89</v>
      </c>
      <c r="AM492" t="s">
        <v>89</v>
      </c>
      <c r="AN492" t="s">
        <v>89</v>
      </c>
      <c r="AO492">
        <v>0</v>
      </c>
      <c r="AP492" t="s">
        <v>93</v>
      </c>
      <c r="AQ492" t="s">
        <v>89</v>
      </c>
      <c r="AR492" t="s">
        <v>89</v>
      </c>
      <c r="AS492" t="s">
        <v>111</v>
      </c>
      <c r="AT492">
        <v>45298</v>
      </c>
      <c r="AU492">
        <v>2024</v>
      </c>
      <c r="AV492">
        <v>20</v>
      </c>
      <c r="AW492">
        <v>20</v>
      </c>
      <c r="AX492" t="s">
        <v>89</v>
      </c>
      <c r="AY492" t="s">
        <v>111</v>
      </c>
      <c r="AZ492">
        <v>10</v>
      </c>
      <c r="BA492">
        <v>43</v>
      </c>
      <c r="BB492">
        <v>2945</v>
      </c>
      <c r="BC492">
        <v>8</v>
      </c>
      <c r="BD492">
        <v>400</v>
      </c>
      <c r="BE492">
        <v>27403</v>
      </c>
      <c r="BF492">
        <v>42</v>
      </c>
      <c r="BG492">
        <v>39</v>
      </c>
      <c r="BH492">
        <v>443</v>
      </c>
      <c r="BI492">
        <v>30348</v>
      </c>
      <c r="BJ492">
        <v>50</v>
      </c>
      <c r="BK492">
        <f t="shared" si="65"/>
        <v>443</v>
      </c>
      <c r="BL492">
        <f t="shared" si="66"/>
        <v>30348</v>
      </c>
      <c r="BM492">
        <f t="shared" si="67"/>
        <v>50</v>
      </c>
      <c r="BN492">
        <f t="shared" si="68"/>
        <v>0</v>
      </c>
      <c r="BO492">
        <f t="shared" si="69"/>
        <v>0</v>
      </c>
      <c r="BP492">
        <f t="shared" si="70"/>
        <v>0</v>
      </c>
      <c r="BQ492" t="s">
        <v>86</v>
      </c>
      <c r="BR492" t="s">
        <v>94</v>
      </c>
      <c r="BS492" t="s">
        <v>89</v>
      </c>
      <c r="BT492">
        <v>41</v>
      </c>
      <c r="BU492">
        <v>45298</v>
      </c>
      <c r="BV492" t="s">
        <v>89</v>
      </c>
      <c r="BW492">
        <v>20</v>
      </c>
      <c r="BX492">
        <v>1985</v>
      </c>
      <c r="BY492">
        <v>20</v>
      </c>
      <c r="BZ492">
        <f t="shared" si="71"/>
        <v>0</v>
      </c>
      <c r="CA492">
        <f t="shared" si="72"/>
        <v>0</v>
      </c>
      <c r="CB492" t="b">
        <f t="shared" si="73"/>
        <v>1</v>
      </c>
    </row>
    <row r="493" spans="1:80" x14ac:dyDescent="0.3">
      <c r="A493" t="s">
        <v>4380</v>
      </c>
      <c r="B493" t="s">
        <v>4381</v>
      </c>
      <c r="C493" t="s">
        <v>4382</v>
      </c>
      <c r="D493">
        <v>33</v>
      </c>
      <c r="E493" s="1">
        <v>33656</v>
      </c>
      <c r="F493" t="s">
        <v>4383</v>
      </c>
      <c r="G493" t="s">
        <v>226</v>
      </c>
      <c r="H493" t="s">
        <v>4384</v>
      </c>
      <c r="I493" t="s">
        <v>437</v>
      </c>
      <c r="J493" t="s">
        <v>300</v>
      </c>
      <c r="K493" t="s">
        <v>89</v>
      </c>
      <c r="L493" t="s">
        <v>130</v>
      </c>
      <c r="M493">
        <v>16</v>
      </c>
      <c r="N493" t="s">
        <v>4385</v>
      </c>
      <c r="O493">
        <v>2008</v>
      </c>
      <c r="P493" t="s">
        <v>4386</v>
      </c>
      <c r="Q493" t="s">
        <v>4387</v>
      </c>
      <c r="R493">
        <v>109256</v>
      </c>
      <c r="S493" t="s">
        <v>4388</v>
      </c>
      <c r="T493" t="s">
        <v>4389</v>
      </c>
      <c r="U493">
        <v>1992</v>
      </c>
      <c r="V493" t="s">
        <v>4390</v>
      </c>
      <c r="W493">
        <v>1.89</v>
      </c>
      <c r="X493" t="s">
        <v>4391</v>
      </c>
      <c r="Y493" t="s">
        <v>123</v>
      </c>
      <c r="Z493" t="s">
        <v>152</v>
      </c>
      <c r="AA493" t="s">
        <v>4392</v>
      </c>
      <c r="AB493" t="s">
        <v>4393</v>
      </c>
      <c r="AC493" t="s">
        <v>108</v>
      </c>
      <c r="AD493" t="s">
        <v>442</v>
      </c>
      <c r="AE493" t="s">
        <v>3392</v>
      </c>
      <c r="AF493">
        <v>17</v>
      </c>
      <c r="AG493" t="s">
        <v>1054</v>
      </c>
      <c r="AH493" s="1">
        <v>41307</v>
      </c>
      <c r="AI493">
        <v>20</v>
      </c>
      <c r="AJ493" t="s">
        <v>575</v>
      </c>
      <c r="AK493">
        <v>17</v>
      </c>
      <c r="AL493">
        <v>14</v>
      </c>
      <c r="AM493">
        <v>307</v>
      </c>
      <c r="AN493">
        <v>61</v>
      </c>
      <c r="AO493">
        <v>7</v>
      </c>
      <c r="AP493" t="s">
        <v>93</v>
      </c>
      <c r="AQ493" t="s">
        <v>89</v>
      </c>
      <c r="AR493" t="s">
        <v>89</v>
      </c>
      <c r="AS493" t="s">
        <v>93</v>
      </c>
      <c r="AT493" t="s">
        <v>89</v>
      </c>
      <c r="AU493" t="s">
        <v>89</v>
      </c>
      <c r="AV493" t="s">
        <v>89</v>
      </c>
      <c r="AW493">
        <v>17</v>
      </c>
      <c r="AX493">
        <v>9</v>
      </c>
      <c r="AY493" t="s">
        <v>111</v>
      </c>
      <c r="AZ493">
        <v>22</v>
      </c>
      <c r="BA493">
        <v>89</v>
      </c>
      <c r="BB493">
        <v>5538</v>
      </c>
      <c r="BC493">
        <v>24</v>
      </c>
      <c r="BD493">
        <v>348</v>
      </c>
      <c r="BE493">
        <v>19882</v>
      </c>
      <c r="BF493">
        <v>96</v>
      </c>
      <c r="BG493" t="s">
        <v>89</v>
      </c>
      <c r="BH493">
        <v>437</v>
      </c>
      <c r="BI493">
        <v>25420</v>
      </c>
      <c r="BJ493">
        <v>120</v>
      </c>
      <c r="BK493">
        <f t="shared" si="65"/>
        <v>437</v>
      </c>
      <c r="BL493">
        <f t="shared" si="66"/>
        <v>25420</v>
      </c>
      <c r="BM493">
        <f t="shared" si="67"/>
        <v>120</v>
      </c>
      <c r="BN493">
        <f t="shared" si="68"/>
        <v>0</v>
      </c>
      <c r="BO493">
        <f t="shared" si="69"/>
        <v>0</v>
      </c>
      <c r="BP493">
        <f t="shared" si="70"/>
        <v>0</v>
      </c>
      <c r="BQ493" t="s">
        <v>123</v>
      </c>
      <c r="BR493" t="s">
        <v>112</v>
      </c>
      <c r="BS493" s="1">
        <v>33656</v>
      </c>
      <c r="BT493">
        <v>33</v>
      </c>
      <c r="BU493" t="s">
        <v>89</v>
      </c>
      <c r="BV493" t="s">
        <v>89</v>
      </c>
      <c r="BW493">
        <v>16</v>
      </c>
      <c r="BX493">
        <v>1992</v>
      </c>
      <c r="BY493">
        <v>16</v>
      </c>
      <c r="BZ493">
        <f t="shared" si="71"/>
        <v>1</v>
      </c>
      <c r="CA493">
        <f t="shared" si="72"/>
        <v>0</v>
      </c>
      <c r="CB493" t="b">
        <f t="shared" si="73"/>
        <v>0</v>
      </c>
    </row>
    <row r="494" spans="1:80" x14ac:dyDescent="0.3">
      <c r="A494" t="s">
        <v>4394</v>
      </c>
      <c r="B494" t="s">
        <v>565</v>
      </c>
      <c r="C494" t="s">
        <v>4395</v>
      </c>
      <c r="D494">
        <v>41</v>
      </c>
      <c r="E494">
        <v>30816</v>
      </c>
      <c r="F494" t="s">
        <v>89</v>
      </c>
      <c r="G494" t="s">
        <v>277</v>
      </c>
      <c r="H494" t="s">
        <v>567</v>
      </c>
      <c r="I494" t="s">
        <v>555</v>
      </c>
      <c r="J494" t="s">
        <v>78</v>
      </c>
      <c r="K494" t="s">
        <v>89</v>
      </c>
      <c r="L494" t="s">
        <v>163</v>
      </c>
      <c r="M494">
        <v>22</v>
      </c>
      <c r="N494" t="s">
        <v>4396</v>
      </c>
      <c r="O494">
        <v>2006</v>
      </c>
      <c r="P494" t="s">
        <v>4397</v>
      </c>
      <c r="Q494" t="s">
        <v>4398</v>
      </c>
      <c r="R494">
        <v>12351</v>
      </c>
      <c r="S494" t="s">
        <v>4394</v>
      </c>
      <c r="T494" t="s">
        <v>4399</v>
      </c>
      <c r="U494">
        <v>1984</v>
      </c>
      <c r="V494" t="s">
        <v>4400</v>
      </c>
      <c r="W494">
        <v>1.87</v>
      </c>
      <c r="X494" t="s">
        <v>572</v>
      </c>
      <c r="Y494" t="s">
        <v>86</v>
      </c>
      <c r="Z494" t="s">
        <v>87</v>
      </c>
      <c r="AA494" t="s">
        <v>2036</v>
      </c>
      <c r="AB494" s="1">
        <v>43107</v>
      </c>
      <c r="AC494" t="s">
        <v>108</v>
      </c>
      <c r="AD494" t="s">
        <v>89</v>
      </c>
      <c r="AE494" t="s">
        <v>1801</v>
      </c>
      <c r="AF494">
        <v>22</v>
      </c>
      <c r="AG494" t="s">
        <v>206</v>
      </c>
      <c r="AH494">
        <v>38778</v>
      </c>
      <c r="AI494">
        <v>21</v>
      </c>
      <c r="AJ494" t="s">
        <v>1044</v>
      </c>
      <c r="AK494">
        <v>21</v>
      </c>
      <c r="AL494">
        <v>9</v>
      </c>
      <c r="AM494">
        <v>417</v>
      </c>
      <c r="AN494">
        <v>105</v>
      </c>
      <c r="AO494">
        <v>5</v>
      </c>
      <c r="AP494" t="s">
        <v>93</v>
      </c>
      <c r="AQ494" t="s">
        <v>89</v>
      </c>
      <c r="AR494" t="s">
        <v>89</v>
      </c>
      <c r="AS494" t="s">
        <v>111</v>
      </c>
      <c r="AT494">
        <v>43107</v>
      </c>
      <c r="AU494">
        <v>2018</v>
      </c>
      <c r="AV494">
        <v>12</v>
      </c>
      <c r="AW494">
        <v>12</v>
      </c>
      <c r="AX494" t="s">
        <v>89</v>
      </c>
      <c r="AY494" t="s">
        <v>111</v>
      </c>
      <c r="AZ494">
        <v>5</v>
      </c>
      <c r="BA494">
        <v>14</v>
      </c>
      <c r="BB494">
        <v>1058</v>
      </c>
      <c r="BC494">
        <v>0</v>
      </c>
      <c r="BD494">
        <v>188</v>
      </c>
      <c r="BE494">
        <v>12128</v>
      </c>
      <c r="BF494">
        <v>10</v>
      </c>
      <c r="BG494">
        <v>34</v>
      </c>
      <c r="BH494">
        <v>202</v>
      </c>
      <c r="BI494">
        <v>13186</v>
      </c>
      <c r="BJ494">
        <v>10</v>
      </c>
      <c r="BK494">
        <f t="shared" si="65"/>
        <v>202</v>
      </c>
      <c r="BL494">
        <f t="shared" si="66"/>
        <v>13186</v>
      </c>
      <c r="BM494">
        <f t="shared" si="67"/>
        <v>10</v>
      </c>
      <c r="BN494">
        <f t="shared" si="68"/>
        <v>0</v>
      </c>
      <c r="BO494">
        <f t="shared" si="69"/>
        <v>0</v>
      </c>
      <c r="BP494">
        <f t="shared" si="70"/>
        <v>0</v>
      </c>
      <c r="BQ494" t="s">
        <v>86</v>
      </c>
      <c r="BR494" t="s">
        <v>94</v>
      </c>
      <c r="BS494" s="1">
        <v>30816</v>
      </c>
      <c r="BT494">
        <v>41</v>
      </c>
      <c r="BU494">
        <v>43107</v>
      </c>
      <c r="BV494" t="s">
        <v>89</v>
      </c>
      <c r="BW494">
        <v>13</v>
      </c>
      <c r="BX494">
        <v>1984</v>
      </c>
      <c r="BY494">
        <v>13</v>
      </c>
      <c r="BZ494">
        <f t="shared" si="71"/>
        <v>-1</v>
      </c>
      <c r="CA494">
        <f t="shared" si="72"/>
        <v>0</v>
      </c>
      <c r="CB494" t="b">
        <f t="shared" si="73"/>
        <v>0</v>
      </c>
    </row>
    <row r="495" spans="1:80" x14ac:dyDescent="0.3">
      <c r="A495" t="s">
        <v>4401</v>
      </c>
      <c r="B495" t="s">
        <v>4104</v>
      </c>
      <c r="C495" t="s">
        <v>4402</v>
      </c>
      <c r="D495">
        <v>40</v>
      </c>
      <c r="E495" s="1">
        <v>31091</v>
      </c>
      <c r="F495" t="s">
        <v>89</v>
      </c>
      <c r="G495" t="s">
        <v>226</v>
      </c>
      <c r="H495" t="s">
        <v>4106</v>
      </c>
      <c r="I495" t="s">
        <v>243</v>
      </c>
      <c r="J495" t="s">
        <v>78</v>
      </c>
      <c r="K495" t="s">
        <v>89</v>
      </c>
      <c r="L495" t="s">
        <v>145</v>
      </c>
      <c r="M495">
        <v>19</v>
      </c>
      <c r="N495" t="s">
        <v>4403</v>
      </c>
      <c r="O495">
        <v>2004</v>
      </c>
      <c r="P495" t="s">
        <v>4404</v>
      </c>
      <c r="Q495" t="s">
        <v>4405</v>
      </c>
      <c r="R495">
        <v>19057</v>
      </c>
      <c r="S495" t="s">
        <v>4401</v>
      </c>
      <c r="T495" t="s">
        <v>1075</v>
      </c>
      <c r="U495">
        <v>1985</v>
      </c>
      <c r="V495" t="s">
        <v>4406</v>
      </c>
      <c r="W495">
        <v>1.88</v>
      </c>
      <c r="X495" t="s">
        <v>4407</v>
      </c>
      <c r="Y495" t="s">
        <v>259</v>
      </c>
      <c r="Z495" t="s">
        <v>87</v>
      </c>
      <c r="AA495" t="s">
        <v>4408</v>
      </c>
      <c r="AB495" s="1">
        <v>43107</v>
      </c>
      <c r="AC495" t="s">
        <v>108</v>
      </c>
      <c r="AD495" t="s">
        <v>89</v>
      </c>
      <c r="AE495" t="s">
        <v>4409</v>
      </c>
      <c r="AF495">
        <v>20</v>
      </c>
      <c r="AG495" t="s">
        <v>4114</v>
      </c>
      <c r="AH495" t="s">
        <v>92</v>
      </c>
      <c r="AI495" t="s">
        <v>89</v>
      </c>
      <c r="AJ495" t="s">
        <v>92</v>
      </c>
      <c r="AK495">
        <v>20</v>
      </c>
      <c r="AL495">
        <v>6</v>
      </c>
      <c r="AM495">
        <v>279</v>
      </c>
      <c r="AN495">
        <v>56</v>
      </c>
      <c r="AO495">
        <v>5</v>
      </c>
      <c r="AP495" t="s">
        <v>93</v>
      </c>
      <c r="AQ495" t="s">
        <v>89</v>
      </c>
      <c r="AR495" t="s">
        <v>89</v>
      </c>
      <c r="AS495" t="s">
        <v>111</v>
      </c>
      <c r="AT495">
        <v>43107</v>
      </c>
      <c r="AU495">
        <v>2018</v>
      </c>
      <c r="AV495">
        <v>14</v>
      </c>
      <c r="AW495">
        <v>14</v>
      </c>
      <c r="AX495" t="s">
        <v>89</v>
      </c>
      <c r="AY495" t="s">
        <v>111</v>
      </c>
      <c r="AZ495">
        <v>4</v>
      </c>
      <c r="BA495">
        <v>10</v>
      </c>
      <c r="BB495">
        <v>396</v>
      </c>
      <c r="BC495">
        <v>0</v>
      </c>
      <c r="BD495">
        <v>268</v>
      </c>
      <c r="BE495">
        <v>18832</v>
      </c>
      <c r="BF495">
        <v>17</v>
      </c>
      <c r="BG495">
        <v>33</v>
      </c>
      <c r="BH495">
        <v>278</v>
      </c>
      <c r="BI495">
        <v>19228</v>
      </c>
      <c r="BJ495">
        <v>17</v>
      </c>
      <c r="BK495">
        <f t="shared" si="65"/>
        <v>278</v>
      </c>
      <c r="BL495">
        <f t="shared" si="66"/>
        <v>19228</v>
      </c>
      <c r="BM495">
        <f t="shared" si="67"/>
        <v>17</v>
      </c>
      <c r="BN495">
        <f t="shared" si="68"/>
        <v>0</v>
      </c>
      <c r="BO495">
        <f t="shared" si="69"/>
        <v>0</v>
      </c>
      <c r="BP495">
        <f t="shared" si="70"/>
        <v>0</v>
      </c>
      <c r="BQ495" t="s">
        <v>259</v>
      </c>
      <c r="BR495" t="s">
        <v>94</v>
      </c>
      <c r="BS495" s="1">
        <v>31091</v>
      </c>
      <c r="BT495">
        <v>41</v>
      </c>
      <c r="BU495">
        <v>43107</v>
      </c>
      <c r="BV495" t="s">
        <v>89</v>
      </c>
      <c r="BW495">
        <v>13</v>
      </c>
      <c r="BX495">
        <v>1985</v>
      </c>
      <c r="BY495">
        <v>13</v>
      </c>
      <c r="BZ495">
        <f t="shared" si="71"/>
        <v>1</v>
      </c>
      <c r="CA495">
        <f t="shared" si="72"/>
        <v>0</v>
      </c>
      <c r="CB495" t="b">
        <f t="shared" si="73"/>
        <v>0</v>
      </c>
    </row>
    <row r="496" spans="1:80" x14ac:dyDescent="0.3">
      <c r="A496" t="s">
        <v>4410</v>
      </c>
      <c r="B496" t="s">
        <v>4411</v>
      </c>
      <c r="C496" t="s">
        <v>4412</v>
      </c>
      <c r="D496">
        <v>38</v>
      </c>
      <c r="E496" s="1">
        <v>31979</v>
      </c>
      <c r="F496" t="s">
        <v>89</v>
      </c>
      <c r="G496" t="s">
        <v>413</v>
      </c>
      <c r="H496" t="s">
        <v>4413</v>
      </c>
      <c r="I496" t="s">
        <v>227</v>
      </c>
      <c r="J496" t="s">
        <v>89</v>
      </c>
      <c r="K496" t="s">
        <v>89</v>
      </c>
      <c r="L496" t="s">
        <v>163</v>
      </c>
      <c r="M496">
        <v>19</v>
      </c>
      <c r="N496" t="s">
        <v>4414</v>
      </c>
      <c r="O496">
        <v>2006</v>
      </c>
      <c r="P496" t="s">
        <v>4415</v>
      </c>
      <c r="Q496" t="s">
        <v>4416</v>
      </c>
      <c r="R496">
        <v>38124</v>
      </c>
      <c r="S496" t="s">
        <v>4410</v>
      </c>
      <c r="T496" t="s">
        <v>4417</v>
      </c>
      <c r="U496">
        <v>1987</v>
      </c>
      <c r="V496" t="s">
        <v>4414</v>
      </c>
      <c r="W496" t="s">
        <v>89</v>
      </c>
      <c r="X496" t="s">
        <v>4418</v>
      </c>
      <c r="Y496" t="s">
        <v>235</v>
      </c>
      <c r="Z496" t="s">
        <v>89</v>
      </c>
      <c r="AA496" t="s">
        <v>4419</v>
      </c>
      <c r="AB496" t="s">
        <v>4420</v>
      </c>
      <c r="AC496" t="s">
        <v>108</v>
      </c>
      <c r="AD496" t="s">
        <v>89</v>
      </c>
      <c r="AE496">
        <v>39059</v>
      </c>
      <c r="AF496">
        <v>19</v>
      </c>
      <c r="AG496" t="s">
        <v>1054</v>
      </c>
      <c r="AH496" t="s">
        <v>92</v>
      </c>
      <c r="AI496" t="s">
        <v>89</v>
      </c>
      <c r="AJ496" t="s">
        <v>92</v>
      </c>
      <c r="AK496">
        <v>19</v>
      </c>
      <c r="AL496">
        <v>5</v>
      </c>
      <c r="AM496">
        <v>388</v>
      </c>
      <c r="AN496">
        <v>106</v>
      </c>
      <c r="AO496">
        <v>5</v>
      </c>
      <c r="AP496" t="s">
        <v>93</v>
      </c>
      <c r="AQ496" t="s">
        <v>89</v>
      </c>
      <c r="AR496" t="s">
        <v>89</v>
      </c>
      <c r="AS496" t="s">
        <v>111</v>
      </c>
      <c r="AT496" t="s">
        <v>4420</v>
      </c>
      <c r="AU496">
        <v>2016</v>
      </c>
      <c r="AV496">
        <v>10</v>
      </c>
      <c r="AW496">
        <v>10</v>
      </c>
      <c r="AX496" t="s">
        <v>89</v>
      </c>
      <c r="AY496" t="s">
        <v>111</v>
      </c>
      <c r="AZ496">
        <v>2</v>
      </c>
      <c r="BA496">
        <v>1</v>
      </c>
      <c r="BB496">
        <v>85</v>
      </c>
      <c r="BC496">
        <v>0</v>
      </c>
      <c r="BD496">
        <v>112</v>
      </c>
      <c r="BE496">
        <v>8640</v>
      </c>
      <c r="BF496">
        <v>0</v>
      </c>
      <c r="BG496">
        <v>29</v>
      </c>
      <c r="BH496">
        <v>113</v>
      </c>
      <c r="BI496">
        <v>8725</v>
      </c>
      <c r="BJ496">
        <v>0</v>
      </c>
      <c r="BK496">
        <f t="shared" si="65"/>
        <v>113</v>
      </c>
      <c r="BL496">
        <f t="shared" si="66"/>
        <v>8725</v>
      </c>
      <c r="BM496">
        <f t="shared" si="67"/>
        <v>0</v>
      </c>
      <c r="BN496">
        <f t="shared" si="68"/>
        <v>0</v>
      </c>
      <c r="BO496">
        <f t="shared" si="69"/>
        <v>0</v>
      </c>
      <c r="BP496">
        <f t="shared" si="70"/>
        <v>0</v>
      </c>
      <c r="BQ496" t="s">
        <v>235</v>
      </c>
      <c r="BR496" t="s">
        <v>140</v>
      </c>
      <c r="BS496" s="1">
        <v>31979</v>
      </c>
      <c r="BT496">
        <v>38</v>
      </c>
      <c r="BU496" t="s">
        <v>4420</v>
      </c>
      <c r="BV496" s="1">
        <v>42606</v>
      </c>
      <c r="BW496">
        <v>10</v>
      </c>
      <c r="BX496">
        <v>1987</v>
      </c>
      <c r="BY496">
        <v>10</v>
      </c>
      <c r="BZ496">
        <f t="shared" si="71"/>
        <v>0</v>
      </c>
      <c r="CA496">
        <f t="shared" si="72"/>
        <v>0</v>
      </c>
      <c r="CB496" t="b">
        <f t="shared" si="73"/>
        <v>1</v>
      </c>
    </row>
    <row r="497" spans="1:80" x14ac:dyDescent="0.3">
      <c r="A497" t="s">
        <v>4421</v>
      </c>
      <c r="B497" t="s">
        <v>4422</v>
      </c>
      <c r="C497" t="s">
        <v>4423</v>
      </c>
      <c r="D497">
        <v>40</v>
      </c>
      <c r="E497">
        <v>30947</v>
      </c>
      <c r="F497" t="s">
        <v>89</v>
      </c>
      <c r="G497" t="s">
        <v>374</v>
      </c>
      <c r="H497" t="s">
        <v>4424</v>
      </c>
      <c r="I497" t="s">
        <v>437</v>
      </c>
      <c r="J497" t="s">
        <v>78</v>
      </c>
      <c r="K497" t="s">
        <v>89</v>
      </c>
      <c r="L497" t="s">
        <v>145</v>
      </c>
      <c r="M497">
        <v>19</v>
      </c>
      <c r="N497" t="s">
        <v>620</v>
      </c>
      <c r="O497">
        <v>2004</v>
      </c>
      <c r="P497" t="s">
        <v>4425</v>
      </c>
      <c r="Q497" t="s">
        <v>4426</v>
      </c>
      <c r="R497">
        <v>6838</v>
      </c>
      <c r="S497" t="s">
        <v>4421</v>
      </c>
      <c r="T497" t="s">
        <v>4427</v>
      </c>
      <c r="U497">
        <v>1984</v>
      </c>
      <c r="V497" t="s">
        <v>4428</v>
      </c>
      <c r="W497">
        <v>1.89</v>
      </c>
      <c r="X497" t="s">
        <v>4429</v>
      </c>
      <c r="Y497" t="s">
        <v>123</v>
      </c>
      <c r="Z497" t="s">
        <v>87</v>
      </c>
      <c r="AA497" t="s">
        <v>4430</v>
      </c>
      <c r="AB497" s="1">
        <v>44562</v>
      </c>
      <c r="AC497" t="s">
        <v>108</v>
      </c>
      <c r="AD497" t="s">
        <v>89</v>
      </c>
      <c r="AE497" t="s">
        <v>4431</v>
      </c>
      <c r="AF497">
        <v>20</v>
      </c>
      <c r="AG497" t="s">
        <v>573</v>
      </c>
      <c r="AH497" t="s">
        <v>354</v>
      </c>
      <c r="AI497">
        <v>20</v>
      </c>
      <c r="AJ497" t="s">
        <v>110</v>
      </c>
      <c r="AK497">
        <v>20</v>
      </c>
      <c r="AL497">
        <v>3</v>
      </c>
      <c r="AM497">
        <v>118</v>
      </c>
      <c r="AN497">
        <v>14</v>
      </c>
      <c r="AO497">
        <v>2</v>
      </c>
      <c r="AP497" t="s">
        <v>93</v>
      </c>
      <c r="AQ497" t="s">
        <v>89</v>
      </c>
      <c r="AR497" t="s">
        <v>89</v>
      </c>
      <c r="AS497" t="s">
        <v>111</v>
      </c>
      <c r="AT497">
        <v>44562</v>
      </c>
      <c r="AU497">
        <v>2022</v>
      </c>
      <c r="AV497">
        <v>18</v>
      </c>
      <c r="AW497">
        <v>18</v>
      </c>
      <c r="AX497" t="s">
        <v>89</v>
      </c>
      <c r="AY497" t="s">
        <v>111</v>
      </c>
      <c r="AZ497">
        <v>2</v>
      </c>
      <c r="BA497">
        <v>4</v>
      </c>
      <c r="BB497">
        <v>360</v>
      </c>
      <c r="BC497">
        <v>1</v>
      </c>
      <c r="BD497">
        <v>461</v>
      </c>
      <c r="BE497">
        <v>31385</v>
      </c>
      <c r="BF497">
        <v>123</v>
      </c>
      <c r="BG497">
        <v>38</v>
      </c>
      <c r="BH497">
        <v>465</v>
      </c>
      <c r="BI497">
        <v>31745</v>
      </c>
      <c r="BJ497">
        <v>124</v>
      </c>
      <c r="BK497">
        <f t="shared" si="65"/>
        <v>465</v>
      </c>
      <c r="BL497">
        <f t="shared" si="66"/>
        <v>31745</v>
      </c>
      <c r="BM497">
        <f t="shared" si="67"/>
        <v>124</v>
      </c>
      <c r="BN497">
        <f t="shared" si="68"/>
        <v>0</v>
      </c>
      <c r="BO497">
        <f t="shared" si="69"/>
        <v>0</v>
      </c>
      <c r="BP497">
        <f t="shared" si="70"/>
        <v>0</v>
      </c>
      <c r="BQ497" t="s">
        <v>123</v>
      </c>
      <c r="BR497" t="s">
        <v>112</v>
      </c>
      <c r="BS497" s="1">
        <v>30947</v>
      </c>
      <c r="BT497">
        <v>41</v>
      </c>
      <c r="BU497">
        <v>44562</v>
      </c>
      <c r="BV497" t="s">
        <v>89</v>
      </c>
      <c r="BW497">
        <v>18</v>
      </c>
      <c r="BX497">
        <v>1984</v>
      </c>
      <c r="BY497">
        <v>18</v>
      </c>
      <c r="BZ497">
        <f t="shared" si="71"/>
        <v>0</v>
      </c>
      <c r="CA497">
        <f t="shared" si="72"/>
        <v>0</v>
      </c>
      <c r="CB497" t="b">
        <f t="shared" si="73"/>
        <v>1</v>
      </c>
    </row>
    <row r="498" spans="1:80" x14ac:dyDescent="0.3">
      <c r="A498" t="s">
        <v>4432</v>
      </c>
      <c r="B498" t="s">
        <v>1056</v>
      </c>
      <c r="C498" t="s">
        <v>4433</v>
      </c>
      <c r="D498">
        <v>37</v>
      </c>
      <c r="E498" s="1">
        <v>32329</v>
      </c>
      <c r="F498" t="s">
        <v>89</v>
      </c>
      <c r="G498" t="s">
        <v>115</v>
      </c>
      <c r="H498" t="s">
        <v>1058</v>
      </c>
      <c r="I498" t="s">
        <v>437</v>
      </c>
      <c r="J498" t="s">
        <v>78</v>
      </c>
      <c r="K498" t="s">
        <v>89</v>
      </c>
      <c r="L498" t="s">
        <v>254</v>
      </c>
      <c r="M498">
        <v>21</v>
      </c>
      <c r="N498" t="s">
        <v>4434</v>
      </c>
      <c r="O498">
        <v>2009</v>
      </c>
      <c r="P498" t="s">
        <v>4435</v>
      </c>
      <c r="Q498" t="s">
        <v>4436</v>
      </c>
      <c r="R498">
        <v>65921</v>
      </c>
      <c r="S498" t="s">
        <v>4432</v>
      </c>
      <c r="T498">
        <v>32270</v>
      </c>
      <c r="U498">
        <v>1988</v>
      </c>
      <c r="V498" t="s">
        <v>4437</v>
      </c>
      <c r="W498">
        <v>1.8</v>
      </c>
      <c r="X498" t="s">
        <v>1058</v>
      </c>
      <c r="Y498" t="s">
        <v>123</v>
      </c>
      <c r="Z498" t="s">
        <v>87</v>
      </c>
      <c r="AA498" t="s">
        <v>4438</v>
      </c>
      <c r="AB498" s="1">
        <v>44568</v>
      </c>
      <c r="AC498" t="s">
        <v>108</v>
      </c>
      <c r="AD498" t="s">
        <v>89</v>
      </c>
      <c r="AE498" t="s">
        <v>4439</v>
      </c>
      <c r="AF498">
        <v>18</v>
      </c>
      <c r="AG498" t="s">
        <v>4440</v>
      </c>
      <c r="AH498" t="s">
        <v>4441</v>
      </c>
      <c r="AI498">
        <v>26</v>
      </c>
      <c r="AJ498" t="s">
        <v>1044</v>
      </c>
      <c r="AK498">
        <v>18</v>
      </c>
      <c r="AL498">
        <v>5</v>
      </c>
      <c r="AM498">
        <v>107</v>
      </c>
      <c r="AN498">
        <v>17</v>
      </c>
      <c r="AO498">
        <v>3</v>
      </c>
      <c r="AP498" t="s">
        <v>93</v>
      </c>
      <c r="AQ498" t="s">
        <v>89</v>
      </c>
      <c r="AR498" t="s">
        <v>89</v>
      </c>
      <c r="AS498" t="s">
        <v>111</v>
      </c>
      <c r="AT498" s="1">
        <v>44568</v>
      </c>
      <c r="AU498">
        <v>2022</v>
      </c>
      <c r="AV498">
        <v>13</v>
      </c>
      <c r="AW498">
        <v>13</v>
      </c>
      <c r="AX498" t="s">
        <v>89</v>
      </c>
      <c r="AY498" t="s">
        <v>93</v>
      </c>
      <c r="AZ498">
        <v>0</v>
      </c>
      <c r="BA498">
        <v>0</v>
      </c>
      <c r="BB498">
        <v>0</v>
      </c>
      <c r="BC498">
        <v>0</v>
      </c>
      <c r="BD498">
        <v>166</v>
      </c>
      <c r="BE498">
        <v>9518</v>
      </c>
      <c r="BF498">
        <v>39</v>
      </c>
      <c r="BG498">
        <v>34</v>
      </c>
      <c r="BH498">
        <v>166</v>
      </c>
      <c r="BI498">
        <v>9518</v>
      </c>
      <c r="BJ498">
        <v>39</v>
      </c>
      <c r="BK498">
        <f t="shared" si="65"/>
        <v>166</v>
      </c>
      <c r="BL498">
        <f t="shared" si="66"/>
        <v>9518</v>
      </c>
      <c r="BM498">
        <f t="shared" si="67"/>
        <v>39</v>
      </c>
      <c r="BN498">
        <f t="shared" si="68"/>
        <v>0</v>
      </c>
      <c r="BO498">
        <f t="shared" si="69"/>
        <v>0</v>
      </c>
      <c r="BP498">
        <f t="shared" si="70"/>
        <v>0</v>
      </c>
      <c r="BQ498" t="s">
        <v>123</v>
      </c>
      <c r="BR498" t="s">
        <v>112</v>
      </c>
      <c r="BS498" t="s">
        <v>89</v>
      </c>
      <c r="BT498">
        <v>38</v>
      </c>
      <c r="BU498" s="1">
        <v>44568</v>
      </c>
      <c r="BV498" s="1">
        <v>44743</v>
      </c>
      <c r="BW498">
        <v>16</v>
      </c>
      <c r="BX498">
        <v>1988</v>
      </c>
      <c r="BY498">
        <v>16</v>
      </c>
      <c r="BZ498">
        <f t="shared" si="71"/>
        <v>-3</v>
      </c>
      <c r="CA498">
        <f t="shared" si="72"/>
        <v>0</v>
      </c>
      <c r="CB498" t="b">
        <f t="shared" si="73"/>
        <v>0</v>
      </c>
    </row>
    <row r="499" spans="1:80" x14ac:dyDescent="0.3">
      <c r="A499" t="s">
        <v>4442</v>
      </c>
      <c r="B499" t="s">
        <v>776</v>
      </c>
      <c r="C499" t="s">
        <v>4443</v>
      </c>
      <c r="D499">
        <v>38</v>
      </c>
      <c r="E499" s="1">
        <v>31699</v>
      </c>
      <c r="F499" t="s">
        <v>89</v>
      </c>
      <c r="G499" t="s">
        <v>226</v>
      </c>
      <c r="H499" t="s">
        <v>778</v>
      </c>
      <c r="I499" t="s">
        <v>227</v>
      </c>
      <c r="J499" t="s">
        <v>78</v>
      </c>
      <c r="K499" t="s">
        <v>89</v>
      </c>
      <c r="L499" t="s">
        <v>130</v>
      </c>
      <c r="M499">
        <v>21</v>
      </c>
      <c r="N499" t="s">
        <v>1302</v>
      </c>
      <c r="O499">
        <v>2008</v>
      </c>
      <c r="P499" t="s">
        <v>4444</v>
      </c>
      <c r="Q499" t="s">
        <v>4445</v>
      </c>
      <c r="R499">
        <v>52513</v>
      </c>
      <c r="S499" t="s">
        <v>4442</v>
      </c>
      <c r="T499" t="s">
        <v>4446</v>
      </c>
      <c r="U499">
        <v>1986</v>
      </c>
      <c r="V499" t="s">
        <v>4447</v>
      </c>
      <c r="W499">
        <v>1.85</v>
      </c>
      <c r="X499" t="s">
        <v>778</v>
      </c>
      <c r="Y499" t="s">
        <v>235</v>
      </c>
      <c r="Z499" t="s">
        <v>87</v>
      </c>
      <c r="AA499" t="s">
        <v>4448</v>
      </c>
      <c r="AB499">
        <v>45292</v>
      </c>
      <c r="AC499" t="s">
        <v>108</v>
      </c>
      <c r="AD499" t="s">
        <v>89</v>
      </c>
      <c r="AE499">
        <v>39757</v>
      </c>
      <c r="AF499">
        <v>21</v>
      </c>
      <c r="AG499" t="s">
        <v>786</v>
      </c>
      <c r="AH499" t="s">
        <v>4449</v>
      </c>
      <c r="AI499">
        <v>26</v>
      </c>
      <c r="AJ499" t="s">
        <v>986</v>
      </c>
      <c r="AK499">
        <v>21</v>
      </c>
      <c r="AL499">
        <v>3</v>
      </c>
      <c r="AM499">
        <v>85</v>
      </c>
      <c r="AN499">
        <v>13</v>
      </c>
      <c r="AO499">
        <v>3</v>
      </c>
      <c r="AP499" t="s">
        <v>93</v>
      </c>
      <c r="AQ499" t="s">
        <v>89</v>
      </c>
      <c r="AR499" t="s">
        <v>89</v>
      </c>
      <c r="AS499" t="s">
        <v>111</v>
      </c>
      <c r="AT499">
        <v>45292</v>
      </c>
      <c r="AU499">
        <v>2024</v>
      </c>
      <c r="AV499">
        <v>16</v>
      </c>
      <c r="AW499">
        <v>16</v>
      </c>
      <c r="AX499" t="s">
        <v>89</v>
      </c>
      <c r="AY499" t="s">
        <v>111</v>
      </c>
      <c r="AZ499">
        <v>2</v>
      </c>
      <c r="BA499">
        <v>2</v>
      </c>
      <c r="BB499">
        <v>24</v>
      </c>
      <c r="BC499">
        <v>0</v>
      </c>
      <c r="BD499">
        <v>342</v>
      </c>
      <c r="BE499">
        <v>29609</v>
      </c>
      <c r="BF499">
        <v>9</v>
      </c>
      <c r="BG499">
        <v>38</v>
      </c>
      <c r="BH499">
        <v>344</v>
      </c>
      <c r="BI499">
        <v>29633</v>
      </c>
      <c r="BJ499">
        <v>9</v>
      </c>
      <c r="BK499">
        <f t="shared" si="65"/>
        <v>344</v>
      </c>
      <c r="BL499">
        <f t="shared" si="66"/>
        <v>29633</v>
      </c>
      <c r="BM499">
        <f t="shared" si="67"/>
        <v>9</v>
      </c>
      <c r="BN499">
        <f t="shared" si="68"/>
        <v>0</v>
      </c>
      <c r="BO499">
        <f t="shared" si="69"/>
        <v>0</v>
      </c>
      <c r="BP499">
        <f t="shared" si="70"/>
        <v>0</v>
      </c>
      <c r="BQ499" t="s">
        <v>235</v>
      </c>
      <c r="BR499" t="s">
        <v>140</v>
      </c>
      <c r="BS499" t="s">
        <v>89</v>
      </c>
      <c r="BT499">
        <v>40</v>
      </c>
      <c r="BU499">
        <v>45292</v>
      </c>
      <c r="BV499" t="s">
        <v>89</v>
      </c>
      <c r="BW499">
        <v>17</v>
      </c>
      <c r="BX499">
        <v>1986</v>
      </c>
      <c r="BY499">
        <v>17</v>
      </c>
      <c r="BZ499">
        <f t="shared" si="71"/>
        <v>-1</v>
      </c>
      <c r="CA499">
        <f t="shared" si="72"/>
        <v>0</v>
      </c>
      <c r="CB499" t="b">
        <f t="shared" si="73"/>
        <v>0</v>
      </c>
    </row>
    <row r="500" spans="1:80" x14ac:dyDescent="0.3">
      <c r="A500" t="s">
        <v>4450</v>
      </c>
      <c r="B500" t="s">
        <v>776</v>
      </c>
      <c r="C500" t="s">
        <v>4451</v>
      </c>
      <c r="D500">
        <v>34</v>
      </c>
      <c r="E500" t="s">
        <v>4452</v>
      </c>
      <c r="F500" t="s">
        <v>4453</v>
      </c>
      <c r="G500" t="s">
        <v>160</v>
      </c>
      <c r="H500" t="s">
        <v>778</v>
      </c>
      <c r="I500" t="s">
        <v>437</v>
      </c>
      <c r="J500" t="s">
        <v>78</v>
      </c>
      <c r="K500" t="s">
        <v>4454</v>
      </c>
      <c r="L500" t="s">
        <v>278</v>
      </c>
      <c r="M500">
        <v>20</v>
      </c>
      <c r="N500" t="s">
        <v>229</v>
      </c>
      <c r="O500">
        <v>2011</v>
      </c>
      <c r="P500" t="s">
        <v>4455</v>
      </c>
      <c r="Q500" t="s">
        <v>4456</v>
      </c>
      <c r="R500">
        <v>103743</v>
      </c>
      <c r="S500" t="s">
        <v>4450</v>
      </c>
      <c r="T500" t="s">
        <v>4457</v>
      </c>
      <c r="U500">
        <v>1991</v>
      </c>
      <c r="V500" t="s">
        <v>4458</v>
      </c>
      <c r="W500">
        <v>1.77</v>
      </c>
      <c r="X500" t="s">
        <v>778</v>
      </c>
      <c r="Y500" t="s">
        <v>123</v>
      </c>
      <c r="Z500" t="s">
        <v>87</v>
      </c>
      <c r="AA500" t="s">
        <v>4459</v>
      </c>
      <c r="AB500" s="1">
        <v>45933</v>
      </c>
      <c r="AC500" t="s">
        <v>4460</v>
      </c>
      <c r="AD500" t="s">
        <v>89</v>
      </c>
      <c r="AE500" t="s">
        <v>4461</v>
      </c>
      <c r="AF500">
        <v>18</v>
      </c>
      <c r="AG500" t="s">
        <v>786</v>
      </c>
      <c r="AH500" t="s">
        <v>4462</v>
      </c>
      <c r="AI500">
        <v>24</v>
      </c>
      <c r="AJ500" t="s">
        <v>986</v>
      </c>
      <c r="AK500">
        <v>18</v>
      </c>
      <c r="AL500">
        <v>6</v>
      </c>
      <c r="AM500">
        <v>425</v>
      </c>
      <c r="AN500">
        <v>58</v>
      </c>
      <c r="AO500">
        <v>3</v>
      </c>
      <c r="AP500" t="s">
        <v>93</v>
      </c>
      <c r="AQ500" t="s">
        <v>89</v>
      </c>
      <c r="AR500" t="s">
        <v>89</v>
      </c>
      <c r="AS500" t="s">
        <v>93</v>
      </c>
      <c r="AT500" t="s">
        <v>89</v>
      </c>
      <c r="AU500" t="s">
        <v>89</v>
      </c>
      <c r="AV500" t="s">
        <v>89</v>
      </c>
      <c r="AW500">
        <v>14</v>
      </c>
      <c r="AX500">
        <v>91</v>
      </c>
      <c r="AY500" t="s">
        <v>93</v>
      </c>
      <c r="AZ500">
        <v>0</v>
      </c>
      <c r="BA500">
        <v>0</v>
      </c>
      <c r="BB500">
        <v>0</v>
      </c>
      <c r="BC500">
        <v>0</v>
      </c>
      <c r="BD500">
        <v>252</v>
      </c>
      <c r="BE500">
        <v>14373</v>
      </c>
      <c r="BF500">
        <v>50</v>
      </c>
      <c r="BG500" t="s">
        <v>89</v>
      </c>
      <c r="BH500">
        <v>252</v>
      </c>
      <c r="BI500">
        <v>14373</v>
      </c>
      <c r="BJ500">
        <v>50</v>
      </c>
      <c r="BK500">
        <f t="shared" si="65"/>
        <v>252</v>
      </c>
      <c r="BL500">
        <f t="shared" si="66"/>
        <v>14373</v>
      </c>
      <c r="BM500">
        <f t="shared" si="67"/>
        <v>50</v>
      </c>
      <c r="BN500">
        <f t="shared" si="68"/>
        <v>0</v>
      </c>
      <c r="BO500">
        <f t="shared" si="69"/>
        <v>0</v>
      </c>
      <c r="BP500">
        <f t="shared" si="70"/>
        <v>0</v>
      </c>
      <c r="BQ500" t="s">
        <v>123</v>
      </c>
      <c r="BR500" t="s">
        <v>112</v>
      </c>
      <c r="BS500" t="s">
        <v>89</v>
      </c>
      <c r="BT500">
        <v>35</v>
      </c>
      <c r="BU500" t="s">
        <v>89</v>
      </c>
      <c r="BV500" t="s">
        <v>89</v>
      </c>
      <c r="BW500">
        <v>17</v>
      </c>
      <c r="BX500">
        <v>1991</v>
      </c>
      <c r="BY500">
        <v>16</v>
      </c>
      <c r="BZ500">
        <f t="shared" si="71"/>
        <v>-3</v>
      </c>
      <c r="CA500">
        <f t="shared" si="72"/>
        <v>1</v>
      </c>
      <c r="CB500" t="b">
        <f t="shared" si="73"/>
        <v>0</v>
      </c>
    </row>
    <row r="501" spans="1:80" x14ac:dyDescent="0.3">
      <c r="A501" t="s">
        <v>4463</v>
      </c>
      <c r="B501" t="s">
        <v>1231</v>
      </c>
      <c r="C501" t="s">
        <v>4464</v>
      </c>
      <c r="D501">
        <v>40</v>
      </c>
      <c r="E501" s="1">
        <v>31185</v>
      </c>
      <c r="F501" t="s">
        <v>89</v>
      </c>
      <c r="G501" t="s">
        <v>277</v>
      </c>
      <c r="H501" t="s">
        <v>1234</v>
      </c>
      <c r="I501" t="s">
        <v>227</v>
      </c>
      <c r="J501" t="s">
        <v>78</v>
      </c>
      <c r="K501" t="s">
        <v>89</v>
      </c>
      <c r="L501" t="s">
        <v>180</v>
      </c>
      <c r="M501">
        <v>22</v>
      </c>
      <c r="N501" t="s">
        <v>4465</v>
      </c>
      <c r="O501">
        <v>2007</v>
      </c>
      <c r="P501" t="s">
        <v>4466</v>
      </c>
      <c r="Q501" t="s">
        <v>4467</v>
      </c>
      <c r="R501">
        <v>48931</v>
      </c>
      <c r="S501" t="s">
        <v>4468</v>
      </c>
      <c r="T501" t="s">
        <v>4469</v>
      </c>
      <c r="U501">
        <v>1985</v>
      </c>
      <c r="V501" t="s">
        <v>4470</v>
      </c>
      <c r="W501" t="s">
        <v>89</v>
      </c>
      <c r="X501" t="s">
        <v>1234</v>
      </c>
      <c r="Y501" t="s">
        <v>235</v>
      </c>
      <c r="Z501" t="s">
        <v>89</v>
      </c>
      <c r="AA501" t="s">
        <v>4471</v>
      </c>
      <c r="AB501" s="1">
        <v>43680</v>
      </c>
      <c r="AC501" t="s">
        <v>108</v>
      </c>
      <c r="AD501" t="s">
        <v>89</v>
      </c>
      <c r="AE501" t="s">
        <v>540</v>
      </c>
      <c r="AF501">
        <v>22</v>
      </c>
      <c r="AG501" t="s">
        <v>613</v>
      </c>
      <c r="AH501" t="s">
        <v>4472</v>
      </c>
      <c r="AI501">
        <v>21</v>
      </c>
      <c r="AJ501" t="s">
        <v>615</v>
      </c>
      <c r="AK501">
        <v>21</v>
      </c>
      <c r="AL501">
        <v>11</v>
      </c>
      <c r="AM501">
        <v>263</v>
      </c>
      <c r="AN501">
        <v>44</v>
      </c>
      <c r="AO501">
        <v>5</v>
      </c>
      <c r="AP501" t="s">
        <v>93</v>
      </c>
      <c r="AQ501" t="s">
        <v>89</v>
      </c>
      <c r="AR501" t="s">
        <v>89</v>
      </c>
      <c r="AS501" t="s">
        <v>111</v>
      </c>
      <c r="AT501" s="1">
        <v>43680</v>
      </c>
      <c r="AU501">
        <v>2019</v>
      </c>
      <c r="AV501">
        <v>12</v>
      </c>
      <c r="AW501">
        <v>12</v>
      </c>
      <c r="AX501" t="s">
        <v>89</v>
      </c>
      <c r="AY501" t="s">
        <v>111</v>
      </c>
      <c r="AZ501">
        <v>2</v>
      </c>
      <c r="BA501">
        <v>1</v>
      </c>
      <c r="BB501">
        <v>33</v>
      </c>
      <c r="BC501">
        <v>0</v>
      </c>
      <c r="BD501">
        <v>151</v>
      </c>
      <c r="BE501">
        <v>12799</v>
      </c>
      <c r="BF501">
        <v>7</v>
      </c>
      <c r="BG501">
        <v>34</v>
      </c>
      <c r="BH501">
        <v>152</v>
      </c>
      <c r="BI501">
        <v>12832</v>
      </c>
      <c r="BJ501">
        <v>7</v>
      </c>
      <c r="BK501">
        <f t="shared" si="65"/>
        <v>152</v>
      </c>
      <c r="BL501">
        <f t="shared" si="66"/>
        <v>12832</v>
      </c>
      <c r="BM501">
        <f t="shared" si="67"/>
        <v>7</v>
      </c>
      <c r="BN501">
        <f t="shared" si="68"/>
        <v>0</v>
      </c>
      <c r="BO501">
        <f t="shared" si="69"/>
        <v>0</v>
      </c>
      <c r="BP501">
        <f t="shared" si="70"/>
        <v>0</v>
      </c>
      <c r="BQ501" t="s">
        <v>235</v>
      </c>
      <c r="BR501" t="s">
        <v>140</v>
      </c>
      <c r="BS501" s="1">
        <v>31185</v>
      </c>
      <c r="BT501">
        <v>40</v>
      </c>
      <c r="BU501" s="1">
        <v>43680</v>
      </c>
      <c r="BV501" s="1">
        <v>43532</v>
      </c>
      <c r="BW501">
        <v>13</v>
      </c>
      <c r="BX501">
        <v>1985</v>
      </c>
      <c r="BY501">
        <v>13</v>
      </c>
      <c r="BZ501">
        <f t="shared" si="71"/>
        <v>-1</v>
      </c>
      <c r="CA501">
        <f t="shared" si="72"/>
        <v>0</v>
      </c>
      <c r="CB501" t="b">
        <f t="shared" si="73"/>
        <v>0</v>
      </c>
    </row>
    <row r="502" spans="1:80" x14ac:dyDescent="0.3">
      <c r="A502" t="s">
        <v>4473</v>
      </c>
      <c r="B502" t="s">
        <v>156</v>
      </c>
      <c r="C502" t="s">
        <v>4474</v>
      </c>
      <c r="D502">
        <v>38</v>
      </c>
      <c r="E502">
        <v>31627</v>
      </c>
      <c r="F502" t="s">
        <v>89</v>
      </c>
      <c r="G502" t="s">
        <v>211</v>
      </c>
      <c r="H502" t="s">
        <v>177</v>
      </c>
      <c r="I502" t="s">
        <v>253</v>
      </c>
      <c r="J502" t="s">
        <v>89</v>
      </c>
      <c r="K502" t="s">
        <v>89</v>
      </c>
      <c r="L502" t="s">
        <v>254</v>
      </c>
      <c r="M502">
        <v>22</v>
      </c>
      <c r="N502" t="s">
        <v>527</v>
      </c>
      <c r="O502">
        <v>2009</v>
      </c>
      <c r="P502" t="s">
        <v>4475</v>
      </c>
      <c r="Q502" t="s">
        <v>4476</v>
      </c>
      <c r="R502">
        <v>55860</v>
      </c>
      <c r="S502" t="s">
        <v>4473</v>
      </c>
      <c r="T502">
        <v>31479</v>
      </c>
      <c r="U502">
        <v>1986</v>
      </c>
      <c r="V502" t="s">
        <v>218</v>
      </c>
      <c r="W502">
        <v>1.74</v>
      </c>
      <c r="X502" t="s">
        <v>169</v>
      </c>
      <c r="Y502" t="s">
        <v>259</v>
      </c>
      <c r="Z502" t="s">
        <v>87</v>
      </c>
      <c r="AA502" t="s">
        <v>3922</v>
      </c>
      <c r="AB502">
        <v>44958</v>
      </c>
      <c r="AC502" t="s">
        <v>108</v>
      </c>
      <c r="AD502" t="s">
        <v>89</v>
      </c>
      <c r="AE502">
        <v>39357</v>
      </c>
      <c r="AF502">
        <v>20</v>
      </c>
      <c r="AG502" t="s">
        <v>171</v>
      </c>
      <c r="AH502" t="s">
        <v>306</v>
      </c>
      <c r="AI502">
        <v>25</v>
      </c>
      <c r="AJ502" t="s">
        <v>110</v>
      </c>
      <c r="AK502">
        <v>20</v>
      </c>
      <c r="AL502" t="s">
        <v>89</v>
      </c>
      <c r="AM502" t="s">
        <v>89</v>
      </c>
      <c r="AN502" t="s">
        <v>89</v>
      </c>
      <c r="AO502">
        <v>0</v>
      </c>
      <c r="AP502" t="s">
        <v>93</v>
      </c>
      <c r="AQ502" t="s">
        <v>89</v>
      </c>
      <c r="AR502" t="s">
        <v>89</v>
      </c>
      <c r="AS502" t="s">
        <v>111</v>
      </c>
      <c r="AT502">
        <v>44958</v>
      </c>
      <c r="AU502">
        <v>2023</v>
      </c>
      <c r="AV502">
        <v>14</v>
      </c>
      <c r="AW502">
        <v>14</v>
      </c>
      <c r="AX502" t="s">
        <v>89</v>
      </c>
      <c r="AY502" t="s">
        <v>93</v>
      </c>
      <c r="AZ502">
        <v>0</v>
      </c>
      <c r="BA502">
        <v>0</v>
      </c>
      <c r="BB502">
        <v>0</v>
      </c>
      <c r="BC502">
        <v>0</v>
      </c>
      <c r="BD502">
        <v>223</v>
      </c>
      <c r="BE502">
        <v>17419</v>
      </c>
      <c r="BF502">
        <v>4</v>
      </c>
      <c r="BG502">
        <v>37</v>
      </c>
      <c r="BH502">
        <v>223</v>
      </c>
      <c r="BI502">
        <v>17419</v>
      </c>
      <c r="BJ502">
        <v>4</v>
      </c>
      <c r="BK502">
        <f t="shared" si="65"/>
        <v>223</v>
      </c>
      <c r="BL502">
        <f t="shared" si="66"/>
        <v>17419</v>
      </c>
      <c r="BM502">
        <f t="shared" si="67"/>
        <v>4</v>
      </c>
      <c r="BN502">
        <f t="shared" si="68"/>
        <v>0</v>
      </c>
      <c r="BO502">
        <f t="shared" si="69"/>
        <v>0</v>
      </c>
      <c r="BP502">
        <f t="shared" si="70"/>
        <v>0</v>
      </c>
      <c r="BQ502" t="s">
        <v>259</v>
      </c>
      <c r="BR502" t="s">
        <v>94</v>
      </c>
      <c r="BS502" t="s">
        <v>89</v>
      </c>
      <c r="BT502">
        <v>40</v>
      </c>
      <c r="BU502">
        <v>44958</v>
      </c>
      <c r="BV502" t="s">
        <v>89</v>
      </c>
      <c r="BW502">
        <v>17</v>
      </c>
      <c r="BX502">
        <v>1986</v>
      </c>
      <c r="BY502">
        <v>17</v>
      </c>
      <c r="BZ502">
        <f t="shared" si="71"/>
        <v>-3</v>
      </c>
      <c r="CA502">
        <f t="shared" si="72"/>
        <v>0</v>
      </c>
      <c r="CB502" t="b">
        <f t="shared" si="73"/>
        <v>0</v>
      </c>
    </row>
    <row r="503" spans="1:80" x14ac:dyDescent="0.3">
      <c r="A503" t="s">
        <v>4477</v>
      </c>
      <c r="B503" t="s">
        <v>2322</v>
      </c>
      <c r="C503" t="s">
        <v>4478</v>
      </c>
      <c r="D503">
        <v>36</v>
      </c>
      <c r="E503" t="s">
        <v>4479</v>
      </c>
      <c r="F503" t="s">
        <v>4480</v>
      </c>
      <c r="G503" t="s">
        <v>115</v>
      </c>
      <c r="H503" t="s">
        <v>2324</v>
      </c>
      <c r="I503" t="s">
        <v>668</v>
      </c>
      <c r="J503" t="s">
        <v>78</v>
      </c>
      <c r="K503" t="s">
        <v>4481</v>
      </c>
      <c r="L503" t="s">
        <v>254</v>
      </c>
      <c r="M503">
        <v>20</v>
      </c>
      <c r="N503" t="s">
        <v>2060</v>
      </c>
      <c r="O503">
        <v>2009</v>
      </c>
      <c r="P503" t="s">
        <v>4482</v>
      </c>
      <c r="Q503" t="s">
        <v>4483</v>
      </c>
      <c r="R503">
        <v>73636</v>
      </c>
      <c r="S503" t="s">
        <v>4477</v>
      </c>
      <c r="T503" t="s">
        <v>4484</v>
      </c>
      <c r="U503">
        <v>1989</v>
      </c>
      <c r="V503" t="s">
        <v>4485</v>
      </c>
      <c r="W503">
        <v>1.74</v>
      </c>
      <c r="X503" t="s">
        <v>4486</v>
      </c>
      <c r="Y503" t="s">
        <v>494</v>
      </c>
      <c r="Z503" t="s">
        <v>87</v>
      </c>
      <c r="AA503" t="s">
        <v>4487</v>
      </c>
      <c r="AB503" t="s">
        <v>4488</v>
      </c>
      <c r="AC503" t="s">
        <v>108</v>
      </c>
      <c r="AD503" t="s">
        <v>89</v>
      </c>
      <c r="AE503" s="1">
        <v>40553</v>
      </c>
      <c r="AF503">
        <v>22</v>
      </c>
      <c r="AG503" t="s">
        <v>91</v>
      </c>
      <c r="AH503" t="s">
        <v>371</v>
      </c>
      <c r="AI503">
        <v>20</v>
      </c>
      <c r="AJ503" t="s">
        <v>110</v>
      </c>
      <c r="AK503">
        <v>20</v>
      </c>
      <c r="AL503">
        <v>8</v>
      </c>
      <c r="AM503">
        <v>336</v>
      </c>
      <c r="AN503">
        <v>39</v>
      </c>
      <c r="AO503">
        <v>5</v>
      </c>
      <c r="AP503" t="s">
        <v>93</v>
      </c>
      <c r="AQ503" t="s">
        <v>89</v>
      </c>
      <c r="AR503" t="s">
        <v>89</v>
      </c>
      <c r="AS503" t="s">
        <v>93</v>
      </c>
      <c r="AT503" t="s">
        <v>89</v>
      </c>
      <c r="AU503" t="s">
        <v>89</v>
      </c>
      <c r="AV503" t="s">
        <v>89</v>
      </c>
      <c r="AW503">
        <v>16</v>
      </c>
      <c r="AX503">
        <v>30</v>
      </c>
      <c r="AY503" t="s">
        <v>111</v>
      </c>
      <c r="AZ503">
        <v>7</v>
      </c>
      <c r="BA503">
        <v>22</v>
      </c>
      <c r="BB503">
        <v>943</v>
      </c>
      <c r="BC503">
        <v>1</v>
      </c>
      <c r="BD503">
        <v>343</v>
      </c>
      <c r="BE503">
        <v>20669</v>
      </c>
      <c r="BF503">
        <v>37</v>
      </c>
      <c r="BG503" t="s">
        <v>89</v>
      </c>
      <c r="BH503">
        <v>365</v>
      </c>
      <c r="BI503">
        <v>21612</v>
      </c>
      <c r="BJ503">
        <v>38</v>
      </c>
      <c r="BK503">
        <f t="shared" si="65"/>
        <v>365</v>
      </c>
      <c r="BL503">
        <f t="shared" si="66"/>
        <v>21612</v>
      </c>
      <c r="BM503">
        <f t="shared" si="67"/>
        <v>38</v>
      </c>
      <c r="BN503">
        <f t="shared" si="68"/>
        <v>0</v>
      </c>
      <c r="BO503">
        <f t="shared" si="69"/>
        <v>0</v>
      </c>
      <c r="BP503">
        <f t="shared" si="70"/>
        <v>0</v>
      </c>
      <c r="BQ503" t="s">
        <v>494</v>
      </c>
      <c r="BR503" t="s">
        <v>112</v>
      </c>
      <c r="BS503" t="s">
        <v>89</v>
      </c>
      <c r="BT503">
        <v>37</v>
      </c>
      <c r="BU503" t="s">
        <v>89</v>
      </c>
      <c r="BV503" t="s">
        <v>89</v>
      </c>
      <c r="BW503">
        <v>17</v>
      </c>
      <c r="BX503">
        <v>1989</v>
      </c>
      <c r="BY503">
        <v>16</v>
      </c>
      <c r="BZ503">
        <f t="shared" si="71"/>
        <v>-1</v>
      </c>
      <c r="CA503">
        <f t="shared" si="72"/>
        <v>1</v>
      </c>
      <c r="CB503" t="b">
        <f t="shared" si="73"/>
        <v>0</v>
      </c>
    </row>
    <row r="504" spans="1:80" x14ac:dyDescent="0.3">
      <c r="A504" t="s">
        <v>4489</v>
      </c>
      <c r="B504" t="s">
        <v>156</v>
      </c>
      <c r="C504" t="s">
        <v>4490</v>
      </c>
      <c r="D504">
        <v>41</v>
      </c>
      <c r="E504">
        <v>30837</v>
      </c>
      <c r="F504" t="s">
        <v>89</v>
      </c>
      <c r="G504" t="s">
        <v>413</v>
      </c>
      <c r="H504" t="s">
        <v>89</v>
      </c>
      <c r="I504" t="s">
        <v>227</v>
      </c>
      <c r="J504" t="s">
        <v>78</v>
      </c>
      <c r="K504" t="s">
        <v>89</v>
      </c>
      <c r="L504" t="s">
        <v>130</v>
      </c>
      <c r="M504">
        <v>24</v>
      </c>
      <c r="N504" t="s">
        <v>527</v>
      </c>
      <c r="O504">
        <v>2008</v>
      </c>
      <c r="P504" t="s">
        <v>4491</v>
      </c>
      <c r="Q504" t="s">
        <v>4492</v>
      </c>
      <c r="R504">
        <v>26801</v>
      </c>
      <c r="S504" t="s">
        <v>4489</v>
      </c>
      <c r="T504">
        <v>30778</v>
      </c>
      <c r="U504">
        <v>1984</v>
      </c>
      <c r="V504" t="s">
        <v>982</v>
      </c>
      <c r="W504">
        <v>1.83</v>
      </c>
      <c r="X504" t="s">
        <v>169</v>
      </c>
      <c r="Y504" t="s">
        <v>235</v>
      </c>
      <c r="Z504" t="s">
        <v>87</v>
      </c>
      <c r="AA504" t="s">
        <v>4493</v>
      </c>
      <c r="AB504" t="s">
        <v>4283</v>
      </c>
      <c r="AC504" t="s">
        <v>108</v>
      </c>
      <c r="AD504" t="s">
        <v>89</v>
      </c>
      <c r="AE504">
        <v>37748</v>
      </c>
      <c r="AF504">
        <v>19</v>
      </c>
      <c r="AG504" t="s">
        <v>171</v>
      </c>
      <c r="AH504" t="s">
        <v>274</v>
      </c>
      <c r="AI504">
        <v>28</v>
      </c>
      <c r="AJ504" t="s">
        <v>110</v>
      </c>
      <c r="AK504">
        <v>19</v>
      </c>
      <c r="AL504">
        <v>7</v>
      </c>
      <c r="AM504">
        <v>640</v>
      </c>
      <c r="AN504">
        <v>77</v>
      </c>
      <c r="AO504">
        <v>5</v>
      </c>
      <c r="AP504" t="s">
        <v>93</v>
      </c>
      <c r="AQ504" t="s">
        <v>89</v>
      </c>
      <c r="AR504" t="s">
        <v>89</v>
      </c>
      <c r="AS504" t="s">
        <v>111</v>
      </c>
      <c r="AT504" t="s">
        <v>4283</v>
      </c>
      <c r="AU504">
        <v>2024</v>
      </c>
      <c r="AV504">
        <v>16</v>
      </c>
      <c r="AW504">
        <v>16</v>
      </c>
      <c r="AX504" t="s">
        <v>89</v>
      </c>
      <c r="AY504" t="s">
        <v>93</v>
      </c>
      <c r="AZ504">
        <v>0</v>
      </c>
      <c r="BA504">
        <v>0</v>
      </c>
      <c r="BB504">
        <v>0</v>
      </c>
      <c r="BC504">
        <v>0</v>
      </c>
      <c r="BD504">
        <v>247</v>
      </c>
      <c r="BE504">
        <v>20858</v>
      </c>
      <c r="BF504">
        <v>5</v>
      </c>
      <c r="BG504">
        <v>40</v>
      </c>
      <c r="BH504">
        <v>247</v>
      </c>
      <c r="BI504">
        <v>20858</v>
      </c>
      <c r="BJ504">
        <v>5</v>
      </c>
      <c r="BK504">
        <f t="shared" si="65"/>
        <v>247</v>
      </c>
      <c r="BL504">
        <f t="shared" si="66"/>
        <v>20858</v>
      </c>
      <c r="BM504">
        <f t="shared" si="67"/>
        <v>5</v>
      </c>
      <c r="BN504">
        <f t="shared" si="68"/>
        <v>0</v>
      </c>
      <c r="BO504">
        <f t="shared" si="69"/>
        <v>0</v>
      </c>
      <c r="BP504">
        <f t="shared" si="70"/>
        <v>0</v>
      </c>
      <c r="BQ504" t="s">
        <v>235</v>
      </c>
      <c r="BR504" t="s">
        <v>140</v>
      </c>
      <c r="BS504" t="s">
        <v>89</v>
      </c>
      <c r="BT504">
        <v>42</v>
      </c>
      <c r="BU504" t="s">
        <v>4283</v>
      </c>
      <c r="BV504" s="1">
        <v>45531</v>
      </c>
      <c r="BW504">
        <v>21</v>
      </c>
      <c r="BX504">
        <v>1984</v>
      </c>
      <c r="BY504">
        <v>21</v>
      </c>
      <c r="BZ504">
        <f t="shared" si="71"/>
        <v>-5</v>
      </c>
      <c r="CA504">
        <f t="shared" si="72"/>
        <v>0</v>
      </c>
      <c r="CB504" t="b">
        <f t="shared" si="73"/>
        <v>0</v>
      </c>
    </row>
    <row r="505" spans="1:80" x14ac:dyDescent="0.3">
      <c r="A505" t="s">
        <v>4494</v>
      </c>
      <c r="B505" t="s">
        <v>552</v>
      </c>
      <c r="C505" t="s">
        <v>4495</v>
      </c>
      <c r="D505">
        <v>30</v>
      </c>
      <c r="E505" s="1">
        <v>34826</v>
      </c>
      <c r="F505" t="s">
        <v>89</v>
      </c>
      <c r="G505" t="s">
        <v>518</v>
      </c>
      <c r="H505" t="s">
        <v>4496</v>
      </c>
      <c r="I505" t="s">
        <v>437</v>
      </c>
      <c r="J505" t="s">
        <v>78</v>
      </c>
      <c r="K505" t="s">
        <v>89</v>
      </c>
      <c r="L505" t="s">
        <v>324</v>
      </c>
      <c r="M505">
        <v>18</v>
      </c>
      <c r="N505" t="s">
        <v>527</v>
      </c>
      <c r="O505">
        <v>2013</v>
      </c>
      <c r="P505" t="s">
        <v>4497</v>
      </c>
      <c r="Q505" t="s">
        <v>4498</v>
      </c>
      <c r="R505">
        <v>186796</v>
      </c>
      <c r="S505" t="s">
        <v>4494</v>
      </c>
      <c r="T505" s="1">
        <v>34885</v>
      </c>
      <c r="U505">
        <v>1995</v>
      </c>
      <c r="V505" t="s">
        <v>4499</v>
      </c>
      <c r="W505">
        <v>1.74</v>
      </c>
      <c r="X505" t="s">
        <v>4500</v>
      </c>
      <c r="Y505" t="s">
        <v>391</v>
      </c>
      <c r="Z505" t="s">
        <v>87</v>
      </c>
      <c r="AA505" t="s">
        <v>476</v>
      </c>
      <c r="AB505" s="1">
        <v>45298</v>
      </c>
      <c r="AC505" t="s">
        <v>108</v>
      </c>
      <c r="AD505" t="s">
        <v>89</v>
      </c>
      <c r="AE505" t="s">
        <v>4501</v>
      </c>
      <c r="AF505">
        <v>18</v>
      </c>
      <c r="AG505" t="s">
        <v>91</v>
      </c>
      <c r="AH505" t="s">
        <v>4502</v>
      </c>
      <c r="AI505">
        <v>22</v>
      </c>
      <c r="AJ505" t="s">
        <v>110</v>
      </c>
      <c r="AK505">
        <v>18</v>
      </c>
      <c r="AL505">
        <v>4</v>
      </c>
      <c r="AM505">
        <v>94</v>
      </c>
      <c r="AN505">
        <v>12</v>
      </c>
      <c r="AO505">
        <v>1</v>
      </c>
      <c r="AP505" t="s">
        <v>93</v>
      </c>
      <c r="AQ505" t="s">
        <v>89</v>
      </c>
      <c r="AR505" t="s">
        <v>89</v>
      </c>
      <c r="AS505" t="s">
        <v>93</v>
      </c>
      <c r="AT505" t="s">
        <v>89</v>
      </c>
      <c r="AU505" t="s">
        <v>89</v>
      </c>
      <c r="AV505" t="s">
        <v>89</v>
      </c>
      <c r="AW505">
        <v>12</v>
      </c>
      <c r="AX505" t="s">
        <v>89</v>
      </c>
      <c r="AY505" t="s">
        <v>93</v>
      </c>
      <c r="AZ505">
        <v>0</v>
      </c>
      <c r="BA505">
        <v>0</v>
      </c>
      <c r="BB505">
        <v>0</v>
      </c>
      <c r="BC505">
        <v>0</v>
      </c>
      <c r="BD505">
        <v>28</v>
      </c>
      <c r="BE505">
        <v>1291</v>
      </c>
      <c r="BF505">
        <v>3</v>
      </c>
      <c r="BG505" t="s">
        <v>89</v>
      </c>
      <c r="BH505">
        <v>28</v>
      </c>
      <c r="BI505">
        <v>1291</v>
      </c>
      <c r="BJ505">
        <v>3</v>
      </c>
      <c r="BK505">
        <f t="shared" si="65"/>
        <v>28</v>
      </c>
      <c r="BL505">
        <f t="shared" si="66"/>
        <v>1291</v>
      </c>
      <c r="BM505">
        <f t="shared" si="67"/>
        <v>3</v>
      </c>
      <c r="BN505">
        <f t="shared" si="68"/>
        <v>0</v>
      </c>
      <c r="BO505">
        <f t="shared" si="69"/>
        <v>0</v>
      </c>
      <c r="BP505">
        <f t="shared" si="70"/>
        <v>0</v>
      </c>
      <c r="BQ505" t="s">
        <v>391</v>
      </c>
      <c r="BR505" t="s">
        <v>112</v>
      </c>
      <c r="BS505" s="1">
        <v>34826</v>
      </c>
      <c r="BT505">
        <v>30</v>
      </c>
      <c r="BU505" t="s">
        <v>89</v>
      </c>
      <c r="BV505" t="s">
        <v>89</v>
      </c>
      <c r="BW505">
        <v>12</v>
      </c>
      <c r="BX505">
        <v>1995</v>
      </c>
      <c r="BY505">
        <v>12</v>
      </c>
      <c r="BZ505">
        <f t="shared" si="71"/>
        <v>0</v>
      </c>
      <c r="CA505">
        <f t="shared" si="72"/>
        <v>0</v>
      </c>
      <c r="CB505" t="b">
        <f t="shared" si="73"/>
        <v>1</v>
      </c>
    </row>
    <row r="506" spans="1:80" x14ac:dyDescent="0.3">
      <c r="A506" t="s">
        <v>4503</v>
      </c>
      <c r="B506" t="s">
        <v>826</v>
      </c>
      <c r="C506" t="s">
        <v>4504</v>
      </c>
      <c r="D506">
        <v>34</v>
      </c>
      <c r="E506" t="s">
        <v>4505</v>
      </c>
      <c r="F506" t="s">
        <v>4506</v>
      </c>
      <c r="G506" t="s">
        <v>3627</v>
      </c>
      <c r="H506" t="s">
        <v>830</v>
      </c>
      <c r="I506" t="s">
        <v>437</v>
      </c>
      <c r="J506" t="s">
        <v>78</v>
      </c>
      <c r="K506" t="s">
        <v>4507</v>
      </c>
      <c r="L506" t="s">
        <v>130</v>
      </c>
      <c r="M506">
        <v>17</v>
      </c>
      <c r="N506" t="s">
        <v>323</v>
      </c>
      <c r="O506">
        <v>2008</v>
      </c>
      <c r="P506" t="s">
        <v>4508</v>
      </c>
      <c r="Q506" t="s">
        <v>4509</v>
      </c>
      <c r="R506">
        <v>98074</v>
      </c>
      <c r="S506" t="s">
        <v>4503</v>
      </c>
      <c r="T506" t="s">
        <v>4510</v>
      </c>
      <c r="U506">
        <v>1991</v>
      </c>
      <c r="V506" t="s">
        <v>4511</v>
      </c>
      <c r="W506">
        <v>1.96</v>
      </c>
      <c r="X506" t="s">
        <v>830</v>
      </c>
      <c r="Y506" t="s">
        <v>123</v>
      </c>
      <c r="Z506" t="s">
        <v>87</v>
      </c>
      <c r="AA506" t="s">
        <v>1741</v>
      </c>
      <c r="AB506" t="s">
        <v>4512</v>
      </c>
      <c r="AC506" t="s">
        <v>798</v>
      </c>
      <c r="AD506" t="s">
        <v>89</v>
      </c>
      <c r="AE506" t="s">
        <v>4513</v>
      </c>
      <c r="AF506">
        <v>20</v>
      </c>
      <c r="AG506" t="s">
        <v>91</v>
      </c>
      <c r="AH506" t="s">
        <v>4514</v>
      </c>
      <c r="AI506">
        <v>18</v>
      </c>
      <c r="AJ506" t="s">
        <v>110</v>
      </c>
      <c r="AK506">
        <v>18</v>
      </c>
      <c r="AL506">
        <v>2</v>
      </c>
      <c r="AM506">
        <v>27</v>
      </c>
      <c r="AN506">
        <v>3</v>
      </c>
      <c r="AO506">
        <v>2</v>
      </c>
      <c r="AP506" t="s">
        <v>93</v>
      </c>
      <c r="AQ506" t="s">
        <v>89</v>
      </c>
      <c r="AR506" t="s">
        <v>89</v>
      </c>
      <c r="AS506" t="s">
        <v>93</v>
      </c>
      <c r="AT506" t="s">
        <v>89</v>
      </c>
      <c r="AU506" t="s">
        <v>89</v>
      </c>
      <c r="AV506" t="s">
        <v>89</v>
      </c>
      <c r="AW506">
        <v>17</v>
      </c>
      <c r="AX506">
        <v>9</v>
      </c>
      <c r="AY506" t="s">
        <v>93</v>
      </c>
      <c r="AZ506">
        <v>0</v>
      </c>
      <c r="BA506">
        <v>0</v>
      </c>
      <c r="BB506">
        <v>0</v>
      </c>
      <c r="BC506">
        <v>0</v>
      </c>
      <c r="BD506">
        <v>273</v>
      </c>
      <c r="BE506">
        <v>15349</v>
      </c>
      <c r="BF506">
        <v>65</v>
      </c>
      <c r="BG506" t="s">
        <v>89</v>
      </c>
      <c r="BH506">
        <v>273</v>
      </c>
      <c r="BI506">
        <v>15349</v>
      </c>
      <c r="BJ506">
        <v>65</v>
      </c>
      <c r="BK506">
        <f t="shared" si="65"/>
        <v>273</v>
      </c>
      <c r="BL506">
        <f t="shared" si="66"/>
        <v>15349</v>
      </c>
      <c r="BM506">
        <f t="shared" si="67"/>
        <v>65</v>
      </c>
      <c r="BN506">
        <f t="shared" si="68"/>
        <v>0</v>
      </c>
      <c r="BO506">
        <f t="shared" si="69"/>
        <v>0</v>
      </c>
      <c r="BP506">
        <f t="shared" si="70"/>
        <v>0</v>
      </c>
      <c r="BQ506" t="s">
        <v>123</v>
      </c>
      <c r="BR506" t="s">
        <v>112</v>
      </c>
      <c r="BS506" s="1">
        <v>33296</v>
      </c>
      <c r="BT506">
        <v>34</v>
      </c>
      <c r="BU506" t="s">
        <v>89</v>
      </c>
      <c r="BV506" t="s">
        <v>89</v>
      </c>
      <c r="BW506">
        <v>16</v>
      </c>
      <c r="BX506">
        <v>1991</v>
      </c>
      <c r="BY506">
        <v>16</v>
      </c>
      <c r="BZ506">
        <f t="shared" si="71"/>
        <v>1</v>
      </c>
      <c r="CA506">
        <f t="shared" si="72"/>
        <v>0</v>
      </c>
      <c r="CB506" t="b">
        <f t="shared" si="73"/>
        <v>0</v>
      </c>
    </row>
    <row r="507" spans="1:80" x14ac:dyDescent="0.3">
      <c r="A507" t="s">
        <v>4515</v>
      </c>
      <c r="B507" t="s">
        <v>71</v>
      </c>
      <c r="C507" t="s">
        <v>4516</v>
      </c>
      <c r="D507">
        <v>38</v>
      </c>
      <c r="E507" s="1">
        <v>31852</v>
      </c>
      <c r="F507" t="s">
        <v>89</v>
      </c>
      <c r="G507" t="s">
        <v>298</v>
      </c>
      <c r="H507" t="s">
        <v>89</v>
      </c>
      <c r="I507" t="s">
        <v>401</v>
      </c>
      <c r="J507" t="s">
        <v>78</v>
      </c>
      <c r="K507" t="s">
        <v>89</v>
      </c>
      <c r="L507" t="s">
        <v>278</v>
      </c>
      <c r="M507">
        <v>24</v>
      </c>
      <c r="N507" t="s">
        <v>181</v>
      </c>
      <c r="O507">
        <v>2011</v>
      </c>
      <c r="P507" t="s">
        <v>4517</v>
      </c>
      <c r="Q507" t="s">
        <v>4518</v>
      </c>
      <c r="R507">
        <v>72201</v>
      </c>
      <c r="S507" t="s">
        <v>4515</v>
      </c>
      <c r="T507" t="s">
        <v>4519</v>
      </c>
      <c r="U507">
        <v>1987</v>
      </c>
      <c r="V507" t="s">
        <v>122</v>
      </c>
      <c r="W507">
        <v>1.7</v>
      </c>
      <c r="X507" t="s">
        <v>76</v>
      </c>
      <c r="Y507" t="s">
        <v>494</v>
      </c>
      <c r="Z507" t="s">
        <v>87</v>
      </c>
      <c r="AA507" t="s">
        <v>476</v>
      </c>
      <c r="AB507">
        <v>44568</v>
      </c>
      <c r="AC507" t="s">
        <v>108</v>
      </c>
      <c r="AD507" t="s">
        <v>89</v>
      </c>
      <c r="AE507" s="1">
        <v>41034</v>
      </c>
      <c r="AF507">
        <v>25</v>
      </c>
      <c r="AG507" t="s">
        <v>91</v>
      </c>
      <c r="AH507" t="s">
        <v>331</v>
      </c>
      <c r="AI507">
        <v>26</v>
      </c>
      <c r="AJ507" t="s">
        <v>110</v>
      </c>
      <c r="AK507">
        <v>25</v>
      </c>
      <c r="AL507">
        <v>1</v>
      </c>
      <c r="AM507">
        <v>231</v>
      </c>
      <c r="AN507">
        <v>26</v>
      </c>
      <c r="AO507">
        <v>1</v>
      </c>
      <c r="AP507" t="s">
        <v>93</v>
      </c>
      <c r="AQ507" t="s">
        <v>89</v>
      </c>
      <c r="AR507" t="s">
        <v>89</v>
      </c>
      <c r="AS507" t="s">
        <v>93</v>
      </c>
      <c r="AT507" t="s">
        <v>89</v>
      </c>
      <c r="AU507" t="s">
        <v>89</v>
      </c>
      <c r="AV507" t="s">
        <v>89</v>
      </c>
      <c r="AW507">
        <v>14</v>
      </c>
      <c r="AX507" t="s">
        <v>89</v>
      </c>
      <c r="AY507" t="s">
        <v>93</v>
      </c>
      <c r="AZ507">
        <v>0</v>
      </c>
      <c r="BA507">
        <v>0</v>
      </c>
      <c r="BB507">
        <v>0</v>
      </c>
      <c r="BC507">
        <v>0</v>
      </c>
      <c r="BD507">
        <v>175</v>
      </c>
      <c r="BE507">
        <v>9860</v>
      </c>
      <c r="BF507">
        <v>27</v>
      </c>
      <c r="BG507" t="s">
        <v>89</v>
      </c>
      <c r="BH507">
        <v>175</v>
      </c>
      <c r="BI507">
        <v>9860</v>
      </c>
      <c r="BJ507">
        <v>27</v>
      </c>
      <c r="BK507">
        <f t="shared" si="65"/>
        <v>175</v>
      </c>
      <c r="BL507">
        <f t="shared" si="66"/>
        <v>9860</v>
      </c>
      <c r="BM507">
        <f t="shared" si="67"/>
        <v>27</v>
      </c>
      <c r="BN507">
        <f t="shared" si="68"/>
        <v>0</v>
      </c>
      <c r="BO507">
        <f t="shared" si="69"/>
        <v>0</v>
      </c>
      <c r="BP507">
        <f t="shared" si="70"/>
        <v>0</v>
      </c>
      <c r="BQ507" t="s">
        <v>494</v>
      </c>
      <c r="BR507" t="s">
        <v>112</v>
      </c>
      <c r="BS507" s="1">
        <v>31852</v>
      </c>
      <c r="BT507">
        <v>38</v>
      </c>
      <c r="BU507" t="s">
        <v>89</v>
      </c>
      <c r="BV507" t="s">
        <v>89</v>
      </c>
      <c r="BW507">
        <v>13</v>
      </c>
      <c r="BX507">
        <v>1987</v>
      </c>
      <c r="BY507">
        <v>13</v>
      </c>
      <c r="BZ507">
        <f t="shared" si="71"/>
        <v>1</v>
      </c>
      <c r="CA507">
        <f t="shared" si="72"/>
        <v>0</v>
      </c>
      <c r="CB507" t="b">
        <f t="shared" si="73"/>
        <v>0</v>
      </c>
    </row>
    <row r="508" spans="1:80" x14ac:dyDescent="0.3">
      <c r="A508" t="s">
        <v>4520</v>
      </c>
      <c r="B508" t="s">
        <v>71</v>
      </c>
      <c r="C508" t="s">
        <v>4521</v>
      </c>
      <c r="D508">
        <v>34</v>
      </c>
      <c r="E508">
        <v>33411</v>
      </c>
      <c r="F508" t="s">
        <v>89</v>
      </c>
      <c r="G508" t="s">
        <v>687</v>
      </c>
      <c r="H508" t="s">
        <v>76</v>
      </c>
      <c r="I508" t="s">
        <v>348</v>
      </c>
      <c r="J508" t="s">
        <v>78</v>
      </c>
      <c r="K508" t="s">
        <v>89</v>
      </c>
      <c r="L508" t="s">
        <v>254</v>
      </c>
      <c r="M508">
        <v>18</v>
      </c>
      <c r="N508" t="s">
        <v>289</v>
      </c>
      <c r="O508">
        <v>2009</v>
      </c>
      <c r="P508" t="s">
        <v>4522</v>
      </c>
      <c r="Q508" t="s">
        <v>4523</v>
      </c>
      <c r="R508">
        <v>119905</v>
      </c>
      <c r="S508" t="s">
        <v>4520</v>
      </c>
      <c r="T508" t="s">
        <v>4524</v>
      </c>
      <c r="U508">
        <v>1991</v>
      </c>
      <c r="V508" t="s">
        <v>4525</v>
      </c>
      <c r="W508">
        <v>1.73</v>
      </c>
      <c r="X508" t="s">
        <v>76</v>
      </c>
      <c r="Y508" t="s">
        <v>136</v>
      </c>
      <c r="Z508" t="s">
        <v>87</v>
      </c>
      <c r="AA508" t="s">
        <v>476</v>
      </c>
      <c r="AB508" s="1">
        <v>45664</v>
      </c>
      <c r="AC508" t="s">
        <v>108</v>
      </c>
      <c r="AD508" t="s">
        <v>89</v>
      </c>
      <c r="AE508" t="s">
        <v>294</v>
      </c>
      <c r="AF508">
        <v>21</v>
      </c>
      <c r="AG508" t="s">
        <v>91</v>
      </c>
      <c r="AH508" t="s">
        <v>371</v>
      </c>
      <c r="AI508">
        <v>18</v>
      </c>
      <c r="AJ508" t="s">
        <v>110</v>
      </c>
      <c r="AK508">
        <v>18</v>
      </c>
      <c r="AL508">
        <v>25</v>
      </c>
      <c r="AM508">
        <v>740</v>
      </c>
      <c r="AN508">
        <v>103</v>
      </c>
      <c r="AO508">
        <v>14</v>
      </c>
      <c r="AP508" t="s">
        <v>93</v>
      </c>
      <c r="AQ508" t="s">
        <v>89</v>
      </c>
      <c r="AR508" t="s">
        <v>89</v>
      </c>
      <c r="AS508" t="s">
        <v>93</v>
      </c>
      <c r="AT508" t="s">
        <v>89</v>
      </c>
      <c r="AU508" t="s">
        <v>89</v>
      </c>
      <c r="AV508" t="s">
        <v>89</v>
      </c>
      <c r="AW508">
        <v>16</v>
      </c>
      <c r="AX508" t="s">
        <v>89</v>
      </c>
      <c r="AY508" t="s">
        <v>93</v>
      </c>
      <c r="AZ508">
        <v>0</v>
      </c>
      <c r="BA508">
        <v>0</v>
      </c>
      <c r="BB508">
        <v>0</v>
      </c>
      <c r="BC508">
        <v>0</v>
      </c>
      <c r="BD508">
        <v>469</v>
      </c>
      <c r="BE508">
        <v>38762</v>
      </c>
      <c r="BF508">
        <v>15</v>
      </c>
      <c r="BG508" t="s">
        <v>89</v>
      </c>
      <c r="BH508">
        <v>469</v>
      </c>
      <c r="BI508">
        <v>38762</v>
      </c>
      <c r="BJ508">
        <v>15</v>
      </c>
      <c r="BK508">
        <f t="shared" si="65"/>
        <v>469</v>
      </c>
      <c r="BL508">
        <f t="shared" si="66"/>
        <v>38762</v>
      </c>
      <c r="BM508">
        <f t="shared" si="67"/>
        <v>15</v>
      </c>
      <c r="BN508">
        <f t="shared" si="68"/>
        <v>0</v>
      </c>
      <c r="BO508">
        <f t="shared" si="69"/>
        <v>0</v>
      </c>
      <c r="BP508">
        <f t="shared" si="70"/>
        <v>0</v>
      </c>
      <c r="BQ508" t="s">
        <v>136</v>
      </c>
      <c r="BR508" t="s">
        <v>140</v>
      </c>
      <c r="BS508" s="1">
        <v>33411</v>
      </c>
      <c r="BT508">
        <v>34</v>
      </c>
      <c r="BU508" t="s">
        <v>89</v>
      </c>
      <c r="BV508" t="s">
        <v>89</v>
      </c>
      <c r="BW508">
        <v>16</v>
      </c>
      <c r="BX508">
        <v>1991</v>
      </c>
      <c r="BY508">
        <v>16</v>
      </c>
      <c r="BZ508">
        <f t="shared" si="71"/>
        <v>0</v>
      </c>
      <c r="CA508">
        <f t="shared" si="72"/>
        <v>0</v>
      </c>
      <c r="CB508" t="b">
        <f t="shared" si="73"/>
        <v>1</v>
      </c>
    </row>
    <row r="509" spans="1:80" x14ac:dyDescent="0.3">
      <c r="A509" t="s">
        <v>4526</v>
      </c>
      <c r="B509" t="s">
        <v>617</v>
      </c>
      <c r="C509" t="s">
        <v>4527</v>
      </c>
      <c r="D509">
        <v>37</v>
      </c>
      <c r="E509" t="s">
        <v>4528</v>
      </c>
      <c r="F509" t="s">
        <v>4529</v>
      </c>
      <c r="G509" t="s">
        <v>75</v>
      </c>
      <c r="H509" t="s">
        <v>89</v>
      </c>
      <c r="I509" t="s">
        <v>437</v>
      </c>
      <c r="J509" t="s">
        <v>89</v>
      </c>
      <c r="K509" t="s">
        <v>4530</v>
      </c>
      <c r="L509" t="s">
        <v>324</v>
      </c>
      <c r="M509">
        <v>25</v>
      </c>
      <c r="N509" t="s">
        <v>100</v>
      </c>
      <c r="O509">
        <v>2013</v>
      </c>
      <c r="P509" t="s">
        <v>4531</v>
      </c>
      <c r="Q509" t="s">
        <v>4532</v>
      </c>
      <c r="R509">
        <v>84133</v>
      </c>
      <c r="S509" t="s">
        <v>4526</v>
      </c>
      <c r="T509" t="s">
        <v>4533</v>
      </c>
      <c r="U509">
        <v>1988</v>
      </c>
      <c r="V509" t="s">
        <v>4534</v>
      </c>
      <c r="W509">
        <v>1.78</v>
      </c>
      <c r="X509" t="s">
        <v>619</v>
      </c>
      <c r="Y509" t="s">
        <v>123</v>
      </c>
      <c r="Z509" t="s">
        <v>87</v>
      </c>
      <c r="AA509" t="s">
        <v>4535</v>
      </c>
      <c r="AB509" t="s">
        <v>4536</v>
      </c>
      <c r="AC509" t="s">
        <v>108</v>
      </c>
      <c r="AD509" t="s">
        <v>89</v>
      </c>
      <c r="AE509" t="s">
        <v>4537</v>
      </c>
      <c r="AF509">
        <v>19</v>
      </c>
      <c r="AG509">
        <v>0</v>
      </c>
      <c r="AH509" t="s">
        <v>550</v>
      </c>
      <c r="AI509">
        <v>26</v>
      </c>
      <c r="AJ509" t="s">
        <v>4538</v>
      </c>
      <c r="AK509">
        <v>19</v>
      </c>
      <c r="AL509">
        <v>1</v>
      </c>
      <c r="AM509">
        <v>99</v>
      </c>
      <c r="AN509">
        <v>15</v>
      </c>
      <c r="AO509">
        <v>1</v>
      </c>
      <c r="AP509" t="s">
        <v>93</v>
      </c>
      <c r="AQ509" t="s">
        <v>89</v>
      </c>
      <c r="AR509" t="s">
        <v>89</v>
      </c>
      <c r="AS509" t="s">
        <v>93</v>
      </c>
      <c r="AT509" t="s">
        <v>89</v>
      </c>
      <c r="AU509" t="s">
        <v>89</v>
      </c>
      <c r="AV509" t="s">
        <v>89</v>
      </c>
      <c r="AW509">
        <v>12</v>
      </c>
      <c r="AX509">
        <v>31</v>
      </c>
      <c r="AY509" t="s">
        <v>93</v>
      </c>
      <c r="AZ509">
        <v>0</v>
      </c>
      <c r="BA509">
        <v>0</v>
      </c>
      <c r="BB509">
        <v>0</v>
      </c>
      <c r="BC509">
        <v>0</v>
      </c>
      <c r="BD509">
        <v>147</v>
      </c>
      <c r="BE509">
        <v>8316</v>
      </c>
      <c r="BF509">
        <v>43</v>
      </c>
      <c r="BG509" t="s">
        <v>89</v>
      </c>
      <c r="BH509">
        <v>147</v>
      </c>
      <c r="BI509">
        <v>8316</v>
      </c>
      <c r="BJ509">
        <v>43</v>
      </c>
      <c r="BK509">
        <f t="shared" si="65"/>
        <v>147</v>
      </c>
      <c r="BL509">
        <f t="shared" si="66"/>
        <v>8316</v>
      </c>
      <c r="BM509">
        <f t="shared" si="67"/>
        <v>43</v>
      </c>
      <c r="BN509">
        <f t="shared" si="68"/>
        <v>0</v>
      </c>
      <c r="BO509">
        <f t="shared" si="69"/>
        <v>0</v>
      </c>
      <c r="BP509">
        <f t="shared" si="70"/>
        <v>0</v>
      </c>
      <c r="BQ509" t="s">
        <v>123</v>
      </c>
      <c r="BR509" t="s">
        <v>112</v>
      </c>
      <c r="BS509" s="1">
        <v>32318</v>
      </c>
      <c r="BT509">
        <v>37</v>
      </c>
      <c r="BU509" t="s">
        <v>89</v>
      </c>
      <c r="BV509" t="s">
        <v>89</v>
      </c>
      <c r="BW509">
        <v>18</v>
      </c>
      <c r="BX509">
        <v>1988</v>
      </c>
      <c r="BY509">
        <v>18</v>
      </c>
      <c r="BZ509">
        <f t="shared" si="71"/>
        <v>-6</v>
      </c>
      <c r="CA509">
        <f t="shared" si="72"/>
        <v>0</v>
      </c>
      <c r="CB509" t="b">
        <f t="shared" si="73"/>
        <v>0</v>
      </c>
    </row>
    <row r="510" spans="1:80" x14ac:dyDescent="0.3">
      <c r="A510" t="s">
        <v>4539</v>
      </c>
      <c r="B510" t="s">
        <v>71</v>
      </c>
      <c r="C510" t="s">
        <v>4540</v>
      </c>
      <c r="D510">
        <v>43</v>
      </c>
      <c r="E510" s="1">
        <v>30012</v>
      </c>
      <c r="F510" t="s">
        <v>89</v>
      </c>
      <c r="G510" t="s">
        <v>277</v>
      </c>
      <c r="H510" t="s">
        <v>89</v>
      </c>
      <c r="I510" t="s">
        <v>178</v>
      </c>
      <c r="J510" t="s">
        <v>639</v>
      </c>
      <c r="K510" t="s">
        <v>89</v>
      </c>
      <c r="L510" t="s">
        <v>657</v>
      </c>
      <c r="M510">
        <v>21</v>
      </c>
      <c r="N510" t="s">
        <v>629</v>
      </c>
      <c r="O510">
        <v>2003</v>
      </c>
      <c r="P510" t="s">
        <v>4541</v>
      </c>
      <c r="Q510" t="s">
        <v>4542</v>
      </c>
      <c r="R510">
        <v>29050</v>
      </c>
      <c r="S510" t="s">
        <v>4539</v>
      </c>
      <c r="T510" s="1">
        <v>29985</v>
      </c>
      <c r="U510">
        <v>1982</v>
      </c>
      <c r="V510" t="s">
        <v>1193</v>
      </c>
      <c r="W510">
        <v>1.88</v>
      </c>
      <c r="X510" t="s">
        <v>76</v>
      </c>
      <c r="Y510" t="s">
        <v>186</v>
      </c>
      <c r="Z510" t="s">
        <v>87</v>
      </c>
      <c r="AA510" t="s">
        <v>131</v>
      </c>
      <c r="AB510" t="s">
        <v>4543</v>
      </c>
      <c r="AC510" t="s">
        <v>108</v>
      </c>
      <c r="AD510" t="s">
        <v>89</v>
      </c>
      <c r="AE510" t="s">
        <v>4544</v>
      </c>
      <c r="AF510">
        <v>23</v>
      </c>
      <c r="AG510" t="s">
        <v>91</v>
      </c>
      <c r="AH510" s="1">
        <v>38141</v>
      </c>
      <c r="AI510">
        <v>22</v>
      </c>
      <c r="AJ510" t="s">
        <v>110</v>
      </c>
      <c r="AK510">
        <v>22</v>
      </c>
      <c r="AL510">
        <v>1</v>
      </c>
      <c r="AM510">
        <v>24</v>
      </c>
      <c r="AN510">
        <v>4</v>
      </c>
      <c r="AO510">
        <v>1</v>
      </c>
      <c r="AP510" t="s">
        <v>93</v>
      </c>
      <c r="AQ510" t="s">
        <v>89</v>
      </c>
      <c r="AR510" t="s">
        <v>89</v>
      </c>
      <c r="AS510" t="s">
        <v>111</v>
      </c>
      <c r="AT510" t="s">
        <v>4543</v>
      </c>
      <c r="AU510">
        <v>2015</v>
      </c>
      <c r="AV510">
        <v>12</v>
      </c>
      <c r="AW510">
        <v>12</v>
      </c>
      <c r="AX510" t="s">
        <v>89</v>
      </c>
      <c r="AY510" t="s">
        <v>93</v>
      </c>
      <c r="AZ510">
        <v>0</v>
      </c>
      <c r="BA510">
        <v>0</v>
      </c>
      <c r="BB510">
        <v>0</v>
      </c>
      <c r="BC510">
        <v>0</v>
      </c>
      <c r="BD510">
        <v>298</v>
      </c>
      <c r="BE510">
        <v>26641</v>
      </c>
      <c r="BF510">
        <v>0</v>
      </c>
      <c r="BG510">
        <v>33</v>
      </c>
      <c r="BH510">
        <v>298</v>
      </c>
      <c r="BI510">
        <v>26641</v>
      </c>
      <c r="BJ510">
        <v>0</v>
      </c>
      <c r="BK510">
        <f t="shared" si="65"/>
        <v>298</v>
      </c>
      <c r="BL510">
        <f t="shared" si="66"/>
        <v>26641</v>
      </c>
      <c r="BM510">
        <f t="shared" si="67"/>
        <v>0</v>
      </c>
      <c r="BN510">
        <f t="shared" si="68"/>
        <v>0</v>
      </c>
      <c r="BO510">
        <f t="shared" si="69"/>
        <v>0</v>
      </c>
      <c r="BP510">
        <f t="shared" si="70"/>
        <v>0</v>
      </c>
      <c r="BQ510" t="s">
        <v>186</v>
      </c>
      <c r="BR510" t="s">
        <v>186</v>
      </c>
      <c r="BS510" s="1">
        <v>30012</v>
      </c>
      <c r="BT510">
        <v>43</v>
      </c>
      <c r="BU510" t="s">
        <v>4543</v>
      </c>
      <c r="BV510" s="1">
        <v>42247</v>
      </c>
      <c r="BW510">
        <v>11</v>
      </c>
      <c r="BX510">
        <v>1982</v>
      </c>
      <c r="BY510">
        <v>11</v>
      </c>
      <c r="BZ510">
        <f t="shared" si="71"/>
        <v>1</v>
      </c>
      <c r="CA510">
        <f t="shared" si="72"/>
        <v>0</v>
      </c>
      <c r="CB510" t="b">
        <f t="shared" si="73"/>
        <v>0</v>
      </c>
    </row>
    <row r="511" spans="1:80" x14ac:dyDescent="0.3">
      <c r="A511" t="s">
        <v>4545</v>
      </c>
      <c r="B511" t="s">
        <v>1351</v>
      </c>
      <c r="C511" t="s">
        <v>4546</v>
      </c>
      <c r="D511">
        <v>31</v>
      </c>
      <c r="E511" t="s">
        <v>4547</v>
      </c>
      <c r="F511" t="s">
        <v>790</v>
      </c>
      <c r="G511" t="s">
        <v>193</v>
      </c>
      <c r="H511" t="s">
        <v>4548</v>
      </c>
      <c r="I511" t="s">
        <v>161</v>
      </c>
      <c r="J511" t="s">
        <v>78</v>
      </c>
      <c r="K511" t="s">
        <v>137</v>
      </c>
      <c r="L511" t="s">
        <v>762</v>
      </c>
      <c r="M511">
        <v>20</v>
      </c>
      <c r="N511" t="s">
        <v>137</v>
      </c>
      <c r="O511">
        <v>2014</v>
      </c>
      <c r="P511" t="s">
        <v>4549</v>
      </c>
      <c r="Q511" t="s">
        <v>4550</v>
      </c>
      <c r="R511">
        <v>255508</v>
      </c>
      <c r="S511" t="s">
        <v>4545</v>
      </c>
      <c r="T511" t="s">
        <v>4551</v>
      </c>
      <c r="U511">
        <v>1994</v>
      </c>
      <c r="V511" t="s">
        <v>795</v>
      </c>
      <c r="W511">
        <v>1.86</v>
      </c>
      <c r="X511" t="s">
        <v>4552</v>
      </c>
      <c r="Y511" t="s">
        <v>494</v>
      </c>
      <c r="Z511" t="s">
        <v>87</v>
      </c>
      <c r="AA511" t="s">
        <v>137</v>
      </c>
      <c r="AB511">
        <v>42011</v>
      </c>
      <c r="AC511" t="s">
        <v>394</v>
      </c>
      <c r="AD511" t="s">
        <v>223</v>
      </c>
      <c r="AE511" s="1">
        <v>41802</v>
      </c>
      <c r="AF511">
        <v>20</v>
      </c>
      <c r="AG511" t="s">
        <v>91</v>
      </c>
      <c r="AH511" t="s">
        <v>92</v>
      </c>
      <c r="AI511" t="s">
        <v>89</v>
      </c>
      <c r="AJ511" t="s">
        <v>92</v>
      </c>
      <c r="AK511">
        <v>20</v>
      </c>
      <c r="AL511">
        <v>9</v>
      </c>
      <c r="AM511">
        <v>160</v>
      </c>
      <c r="AN511">
        <v>34</v>
      </c>
      <c r="AO511">
        <v>4</v>
      </c>
      <c r="AP511" t="s">
        <v>93</v>
      </c>
      <c r="AQ511" t="s">
        <v>89</v>
      </c>
      <c r="AR511" t="s">
        <v>89</v>
      </c>
      <c r="AS511" t="s">
        <v>93</v>
      </c>
      <c r="AT511" t="s">
        <v>89</v>
      </c>
      <c r="AU511" t="s">
        <v>89</v>
      </c>
      <c r="AV511" t="s">
        <v>89</v>
      </c>
      <c r="AW511">
        <v>11</v>
      </c>
      <c r="AX511">
        <v>9</v>
      </c>
      <c r="AY511" t="s">
        <v>111</v>
      </c>
      <c r="AZ511">
        <v>8</v>
      </c>
      <c r="BA511">
        <v>25</v>
      </c>
      <c r="BB511">
        <v>1427</v>
      </c>
      <c r="BC511">
        <v>2</v>
      </c>
      <c r="BD511">
        <v>477</v>
      </c>
      <c r="BE511">
        <v>35506</v>
      </c>
      <c r="BF511">
        <v>111</v>
      </c>
      <c r="BG511" t="s">
        <v>89</v>
      </c>
      <c r="BH511">
        <v>502</v>
      </c>
      <c r="BI511">
        <v>36933</v>
      </c>
      <c r="BJ511">
        <v>113</v>
      </c>
      <c r="BK511">
        <f t="shared" si="65"/>
        <v>502</v>
      </c>
      <c r="BL511">
        <f t="shared" si="66"/>
        <v>36933</v>
      </c>
      <c r="BM511">
        <f t="shared" si="67"/>
        <v>113</v>
      </c>
      <c r="BN511">
        <f t="shared" si="68"/>
        <v>0</v>
      </c>
      <c r="BO511">
        <f t="shared" si="69"/>
        <v>0</v>
      </c>
      <c r="BP511">
        <f t="shared" si="70"/>
        <v>0</v>
      </c>
      <c r="BQ511" t="s">
        <v>494</v>
      </c>
      <c r="BR511" t="s">
        <v>112</v>
      </c>
      <c r="BS511" s="1">
        <v>34500</v>
      </c>
      <c r="BT511">
        <v>31</v>
      </c>
      <c r="BU511" t="s">
        <v>89</v>
      </c>
      <c r="BV511" t="s">
        <v>89</v>
      </c>
      <c r="BW511">
        <v>11</v>
      </c>
      <c r="BX511">
        <v>1994</v>
      </c>
      <c r="BY511">
        <v>11</v>
      </c>
      <c r="BZ511">
        <f t="shared" si="71"/>
        <v>0</v>
      </c>
      <c r="CA511">
        <f t="shared" si="72"/>
        <v>0</v>
      </c>
      <c r="CB511" t="b">
        <f t="shared" si="73"/>
        <v>1</v>
      </c>
    </row>
    <row r="512" spans="1:80" x14ac:dyDescent="0.3">
      <c r="A512" t="s">
        <v>4553</v>
      </c>
      <c r="B512" t="s">
        <v>71</v>
      </c>
      <c r="C512" t="s">
        <v>4554</v>
      </c>
      <c r="D512">
        <v>41</v>
      </c>
      <c r="E512" s="1">
        <v>30817</v>
      </c>
      <c r="F512" t="s">
        <v>89</v>
      </c>
      <c r="G512" t="s">
        <v>115</v>
      </c>
      <c r="H512" t="s">
        <v>89</v>
      </c>
      <c r="I512" t="s">
        <v>437</v>
      </c>
      <c r="J512" t="s">
        <v>89</v>
      </c>
      <c r="K512" t="s">
        <v>89</v>
      </c>
      <c r="L512" t="s">
        <v>117</v>
      </c>
      <c r="M512">
        <v>21</v>
      </c>
      <c r="N512" t="s">
        <v>1365</v>
      </c>
      <c r="O512">
        <v>2005</v>
      </c>
      <c r="P512" t="s">
        <v>4555</v>
      </c>
      <c r="Q512" t="s">
        <v>4556</v>
      </c>
      <c r="R512">
        <v>38193</v>
      </c>
      <c r="S512" t="s">
        <v>4553</v>
      </c>
      <c r="T512" t="s">
        <v>4557</v>
      </c>
      <c r="U512">
        <v>1984</v>
      </c>
      <c r="V512" t="s">
        <v>1488</v>
      </c>
      <c r="W512">
        <v>1.8</v>
      </c>
      <c r="X512" t="s">
        <v>76</v>
      </c>
      <c r="Y512" t="s">
        <v>123</v>
      </c>
      <c r="Z512" t="s">
        <v>87</v>
      </c>
      <c r="AA512" t="s">
        <v>1983</v>
      </c>
      <c r="AB512" s="1">
        <v>41646</v>
      </c>
      <c r="AC512" t="s">
        <v>108</v>
      </c>
      <c r="AD512" t="s">
        <v>89</v>
      </c>
      <c r="AE512" s="1">
        <v>39053</v>
      </c>
      <c r="AF512">
        <v>21</v>
      </c>
      <c r="AG512" t="s">
        <v>91</v>
      </c>
      <c r="AH512" t="s">
        <v>449</v>
      </c>
      <c r="AI512">
        <v>23</v>
      </c>
      <c r="AJ512" t="s">
        <v>110</v>
      </c>
      <c r="AK512">
        <v>21</v>
      </c>
      <c r="AL512">
        <v>2</v>
      </c>
      <c r="AM512">
        <v>220</v>
      </c>
      <c r="AN512">
        <v>29</v>
      </c>
      <c r="AO512">
        <v>2</v>
      </c>
      <c r="AP512" t="s">
        <v>93</v>
      </c>
      <c r="AQ512" t="s">
        <v>89</v>
      </c>
      <c r="AR512" t="s">
        <v>89</v>
      </c>
      <c r="AS512" t="s">
        <v>111</v>
      </c>
      <c r="AT512" s="1">
        <v>41646</v>
      </c>
      <c r="AU512">
        <v>2014</v>
      </c>
      <c r="AV512">
        <v>9</v>
      </c>
      <c r="AW512">
        <v>9</v>
      </c>
      <c r="AX512" t="s">
        <v>89</v>
      </c>
      <c r="AY512" t="s">
        <v>93</v>
      </c>
      <c r="AZ512">
        <v>0</v>
      </c>
      <c r="BA512">
        <v>0</v>
      </c>
      <c r="BB512">
        <v>0</v>
      </c>
      <c r="BC512">
        <v>0</v>
      </c>
      <c r="BD512">
        <v>187</v>
      </c>
      <c r="BE512">
        <v>10230</v>
      </c>
      <c r="BF512">
        <v>47</v>
      </c>
      <c r="BG512">
        <v>30</v>
      </c>
      <c r="BH512">
        <v>187</v>
      </c>
      <c r="BI512">
        <v>10230</v>
      </c>
      <c r="BJ512">
        <v>47</v>
      </c>
      <c r="BK512">
        <f t="shared" si="65"/>
        <v>187</v>
      </c>
      <c r="BL512">
        <f t="shared" si="66"/>
        <v>10230</v>
      </c>
      <c r="BM512">
        <f t="shared" si="67"/>
        <v>47</v>
      </c>
      <c r="BN512">
        <f t="shared" si="68"/>
        <v>0</v>
      </c>
      <c r="BO512">
        <f t="shared" si="69"/>
        <v>0</v>
      </c>
      <c r="BP512">
        <f t="shared" si="70"/>
        <v>0</v>
      </c>
      <c r="BQ512" t="s">
        <v>123</v>
      </c>
      <c r="BR512" t="s">
        <v>112</v>
      </c>
      <c r="BS512" s="1">
        <v>30817</v>
      </c>
      <c r="BT512">
        <v>41</v>
      </c>
      <c r="BU512" s="1">
        <v>41646</v>
      </c>
      <c r="BV512" s="1">
        <v>41821</v>
      </c>
      <c r="BW512">
        <v>9</v>
      </c>
      <c r="BX512">
        <v>1984</v>
      </c>
      <c r="BY512">
        <v>9</v>
      </c>
      <c r="BZ512">
        <f t="shared" si="71"/>
        <v>0</v>
      </c>
      <c r="CA512">
        <f t="shared" si="72"/>
        <v>0</v>
      </c>
      <c r="CB512" t="b">
        <f t="shared" si="73"/>
        <v>1</v>
      </c>
    </row>
    <row r="513" spans="1:80" x14ac:dyDescent="0.3">
      <c r="A513" t="s">
        <v>4558</v>
      </c>
      <c r="B513" t="s">
        <v>71</v>
      </c>
      <c r="C513" t="s">
        <v>4559</v>
      </c>
      <c r="D513">
        <v>34</v>
      </c>
      <c r="E513" t="s">
        <v>4560</v>
      </c>
      <c r="F513" t="s">
        <v>4561</v>
      </c>
      <c r="G513" t="s">
        <v>97</v>
      </c>
      <c r="H513" t="s">
        <v>76</v>
      </c>
      <c r="I513" t="s">
        <v>1331</v>
      </c>
      <c r="J513" t="s">
        <v>300</v>
      </c>
      <c r="K513" t="s">
        <v>2465</v>
      </c>
      <c r="L513" t="s">
        <v>278</v>
      </c>
      <c r="M513">
        <v>20</v>
      </c>
      <c r="N513" t="s">
        <v>1365</v>
      </c>
      <c r="O513">
        <v>2011</v>
      </c>
      <c r="P513" t="s">
        <v>4562</v>
      </c>
      <c r="Q513" t="s">
        <v>4563</v>
      </c>
      <c r="R513">
        <v>158863</v>
      </c>
      <c r="S513" t="s">
        <v>4558</v>
      </c>
      <c r="T513" t="s">
        <v>4564</v>
      </c>
      <c r="U513">
        <v>1991</v>
      </c>
      <c r="V513" t="s">
        <v>3168</v>
      </c>
      <c r="W513">
        <v>1.82</v>
      </c>
      <c r="X513" t="s">
        <v>76</v>
      </c>
      <c r="Y513" t="s">
        <v>235</v>
      </c>
      <c r="Z513" t="s">
        <v>152</v>
      </c>
      <c r="AA513" t="s">
        <v>2469</v>
      </c>
      <c r="AB513">
        <v>45938</v>
      </c>
      <c r="AC513" t="s">
        <v>170</v>
      </c>
      <c r="AD513" t="s">
        <v>395</v>
      </c>
      <c r="AE513" t="s">
        <v>306</v>
      </c>
      <c r="AF513">
        <v>20</v>
      </c>
      <c r="AG513" t="s">
        <v>91</v>
      </c>
      <c r="AH513" t="s">
        <v>92</v>
      </c>
      <c r="AI513" t="s">
        <v>89</v>
      </c>
      <c r="AJ513" t="s">
        <v>92</v>
      </c>
      <c r="AK513">
        <v>20</v>
      </c>
      <c r="AL513">
        <v>31</v>
      </c>
      <c r="AM513">
        <v>748</v>
      </c>
      <c r="AN513">
        <v>122</v>
      </c>
      <c r="AO513">
        <v>13</v>
      </c>
      <c r="AP513" t="s">
        <v>93</v>
      </c>
      <c r="AQ513" t="s">
        <v>89</v>
      </c>
      <c r="AR513" t="s">
        <v>89</v>
      </c>
      <c r="AS513" t="s">
        <v>93</v>
      </c>
      <c r="AT513" t="s">
        <v>89</v>
      </c>
      <c r="AU513" t="s">
        <v>89</v>
      </c>
      <c r="AV513" t="s">
        <v>89</v>
      </c>
      <c r="AW513">
        <v>14</v>
      </c>
      <c r="AX513">
        <v>26</v>
      </c>
      <c r="AY513" t="s">
        <v>111</v>
      </c>
      <c r="AZ513">
        <v>11</v>
      </c>
      <c r="BA513">
        <v>19</v>
      </c>
      <c r="BB513">
        <v>1357</v>
      </c>
      <c r="BC513">
        <v>1</v>
      </c>
      <c r="BD513">
        <v>476</v>
      </c>
      <c r="BE513">
        <v>41723</v>
      </c>
      <c r="BF513">
        <v>30</v>
      </c>
      <c r="BG513" t="s">
        <v>89</v>
      </c>
      <c r="BH513">
        <v>495</v>
      </c>
      <c r="BI513">
        <v>43080</v>
      </c>
      <c r="BJ513">
        <v>31</v>
      </c>
      <c r="BK513">
        <f t="shared" si="65"/>
        <v>495</v>
      </c>
      <c r="BL513">
        <f t="shared" si="66"/>
        <v>43080</v>
      </c>
      <c r="BM513">
        <f t="shared" si="67"/>
        <v>31</v>
      </c>
      <c r="BN513">
        <f t="shared" si="68"/>
        <v>0</v>
      </c>
      <c r="BO513">
        <f t="shared" si="69"/>
        <v>0</v>
      </c>
      <c r="BP513">
        <f t="shared" si="70"/>
        <v>0</v>
      </c>
      <c r="BQ513" t="s">
        <v>235</v>
      </c>
      <c r="BR513" t="s">
        <v>140</v>
      </c>
      <c r="BS513" s="1">
        <v>33375</v>
      </c>
      <c r="BT513">
        <v>34</v>
      </c>
      <c r="BU513" t="s">
        <v>89</v>
      </c>
      <c r="BV513" t="s">
        <v>89</v>
      </c>
      <c r="BW513">
        <v>14</v>
      </c>
      <c r="BX513">
        <v>1991</v>
      </c>
      <c r="BY513">
        <v>14</v>
      </c>
      <c r="BZ513">
        <f t="shared" si="71"/>
        <v>0</v>
      </c>
      <c r="CA513">
        <f t="shared" si="72"/>
        <v>0</v>
      </c>
      <c r="CB513" t="b">
        <f t="shared" si="73"/>
        <v>1</v>
      </c>
    </row>
    <row r="514" spans="1:80" x14ac:dyDescent="0.3">
      <c r="A514" t="s">
        <v>4565</v>
      </c>
      <c r="B514" t="s">
        <v>71</v>
      </c>
      <c r="C514" t="s">
        <v>4566</v>
      </c>
      <c r="D514">
        <v>37</v>
      </c>
      <c r="E514" s="1">
        <v>32160</v>
      </c>
      <c r="F514" t="s">
        <v>89</v>
      </c>
      <c r="G514" t="s">
        <v>75</v>
      </c>
      <c r="H514" t="s">
        <v>89</v>
      </c>
      <c r="I514" t="s">
        <v>4567</v>
      </c>
      <c r="J514" t="s">
        <v>300</v>
      </c>
      <c r="K514" t="s">
        <v>89</v>
      </c>
      <c r="L514" t="s">
        <v>254</v>
      </c>
      <c r="M514">
        <v>21</v>
      </c>
      <c r="N514" t="s">
        <v>137</v>
      </c>
      <c r="O514">
        <v>2009</v>
      </c>
      <c r="P514" t="s">
        <v>4568</v>
      </c>
      <c r="Q514" t="s">
        <v>4569</v>
      </c>
      <c r="R514">
        <v>71579</v>
      </c>
      <c r="S514" t="s">
        <v>4565</v>
      </c>
      <c r="T514" t="s">
        <v>4570</v>
      </c>
      <c r="U514">
        <v>1988</v>
      </c>
      <c r="V514" t="s">
        <v>1185</v>
      </c>
      <c r="W514">
        <v>1.78</v>
      </c>
      <c r="X514" t="s">
        <v>76</v>
      </c>
      <c r="Y514" t="s">
        <v>86</v>
      </c>
      <c r="Z514" t="s">
        <v>152</v>
      </c>
      <c r="AA514" t="s">
        <v>3885</v>
      </c>
      <c r="AB514" s="1">
        <v>44568</v>
      </c>
      <c r="AC514" t="s">
        <v>108</v>
      </c>
      <c r="AD514" t="s">
        <v>89</v>
      </c>
      <c r="AE514" t="s">
        <v>4571</v>
      </c>
      <c r="AF514">
        <v>21</v>
      </c>
      <c r="AG514" t="s">
        <v>91</v>
      </c>
      <c r="AH514">
        <v>40880</v>
      </c>
      <c r="AI514">
        <v>23</v>
      </c>
      <c r="AJ514" t="s">
        <v>110</v>
      </c>
      <c r="AK514">
        <v>21</v>
      </c>
      <c r="AL514">
        <v>6</v>
      </c>
      <c r="AM514">
        <v>232</v>
      </c>
      <c r="AN514">
        <v>33</v>
      </c>
      <c r="AO514">
        <v>6</v>
      </c>
      <c r="AP514" t="s">
        <v>93</v>
      </c>
      <c r="AQ514" t="s">
        <v>89</v>
      </c>
      <c r="AR514" t="s">
        <v>89</v>
      </c>
      <c r="AS514" t="s">
        <v>111</v>
      </c>
      <c r="AT514" s="1">
        <v>44568</v>
      </c>
      <c r="AU514">
        <v>2022</v>
      </c>
      <c r="AV514">
        <v>13</v>
      </c>
      <c r="AW514">
        <v>13</v>
      </c>
      <c r="AX514" t="s">
        <v>89</v>
      </c>
      <c r="AY514" t="s">
        <v>93</v>
      </c>
      <c r="AZ514">
        <v>0</v>
      </c>
      <c r="BA514">
        <v>0</v>
      </c>
      <c r="BB514">
        <v>0</v>
      </c>
      <c r="BC514">
        <v>0</v>
      </c>
      <c r="BD514">
        <v>297</v>
      </c>
      <c r="BE514">
        <v>19329</v>
      </c>
      <c r="BF514">
        <v>10</v>
      </c>
      <c r="BG514">
        <v>34</v>
      </c>
      <c r="BH514">
        <v>297</v>
      </c>
      <c r="BI514">
        <v>19329</v>
      </c>
      <c r="BJ514">
        <v>10</v>
      </c>
      <c r="BK514">
        <f t="shared" si="65"/>
        <v>297</v>
      </c>
      <c r="BL514">
        <f t="shared" si="66"/>
        <v>19329</v>
      </c>
      <c r="BM514">
        <f t="shared" si="67"/>
        <v>10</v>
      </c>
      <c r="BN514">
        <f t="shared" si="68"/>
        <v>0</v>
      </c>
      <c r="BO514">
        <f t="shared" si="69"/>
        <v>0</v>
      </c>
      <c r="BP514">
        <f t="shared" si="70"/>
        <v>0</v>
      </c>
      <c r="BQ514" t="s">
        <v>86</v>
      </c>
      <c r="BR514" t="s">
        <v>94</v>
      </c>
      <c r="BS514" s="1">
        <v>32160</v>
      </c>
      <c r="BT514">
        <v>38</v>
      </c>
      <c r="BU514" s="1">
        <v>44568</v>
      </c>
      <c r="BV514" s="1">
        <v>44743</v>
      </c>
      <c r="BW514">
        <v>13</v>
      </c>
      <c r="BX514">
        <v>1988</v>
      </c>
      <c r="BY514">
        <v>13</v>
      </c>
      <c r="BZ514">
        <f t="shared" si="71"/>
        <v>0</v>
      </c>
      <c r="CA514">
        <f t="shared" si="72"/>
        <v>0</v>
      </c>
      <c r="CB514" t="b">
        <f t="shared" si="73"/>
        <v>1</v>
      </c>
    </row>
    <row r="515" spans="1:80" x14ac:dyDescent="0.3">
      <c r="A515" t="s">
        <v>4572</v>
      </c>
      <c r="B515" t="s">
        <v>71</v>
      </c>
      <c r="C515" t="s">
        <v>4573</v>
      </c>
      <c r="D515">
        <v>31</v>
      </c>
      <c r="E515" t="s">
        <v>4574</v>
      </c>
      <c r="F515" t="s">
        <v>1494</v>
      </c>
      <c r="G515" t="s">
        <v>211</v>
      </c>
      <c r="H515" t="s">
        <v>76</v>
      </c>
      <c r="I515" t="s">
        <v>288</v>
      </c>
      <c r="J515" t="s">
        <v>78</v>
      </c>
      <c r="K515" t="s">
        <v>137</v>
      </c>
      <c r="L515" t="s">
        <v>80</v>
      </c>
      <c r="M515">
        <v>18</v>
      </c>
      <c r="N515" t="s">
        <v>137</v>
      </c>
      <c r="O515">
        <v>2012</v>
      </c>
      <c r="P515" t="s">
        <v>4575</v>
      </c>
      <c r="Q515" t="s">
        <v>4576</v>
      </c>
      <c r="R515">
        <v>126751</v>
      </c>
      <c r="S515" t="s">
        <v>4572</v>
      </c>
      <c r="T515">
        <v>34128</v>
      </c>
      <c r="U515">
        <v>1993</v>
      </c>
      <c r="V515" t="s">
        <v>1488</v>
      </c>
      <c r="W515">
        <v>1.75</v>
      </c>
      <c r="X515" t="s">
        <v>76</v>
      </c>
      <c r="Y515" t="s">
        <v>86</v>
      </c>
      <c r="Z515" t="s">
        <v>87</v>
      </c>
      <c r="AA515" t="s">
        <v>137</v>
      </c>
      <c r="AB515">
        <v>44933</v>
      </c>
      <c r="AC515" t="s">
        <v>88</v>
      </c>
      <c r="AD515" t="s">
        <v>89</v>
      </c>
      <c r="AE515" t="s">
        <v>90</v>
      </c>
      <c r="AF515">
        <v>19</v>
      </c>
      <c r="AG515" t="s">
        <v>91</v>
      </c>
      <c r="AH515" t="s">
        <v>421</v>
      </c>
      <c r="AI515">
        <v>20</v>
      </c>
      <c r="AJ515" t="s">
        <v>110</v>
      </c>
      <c r="AK515">
        <v>19</v>
      </c>
      <c r="AL515">
        <v>18</v>
      </c>
      <c r="AM515">
        <v>1022</v>
      </c>
      <c r="AN515">
        <v>130</v>
      </c>
      <c r="AO515">
        <v>10</v>
      </c>
      <c r="AP515" t="s">
        <v>93</v>
      </c>
      <c r="AQ515" t="s">
        <v>89</v>
      </c>
      <c r="AR515" t="s">
        <v>89</v>
      </c>
      <c r="AS515" t="s">
        <v>93</v>
      </c>
      <c r="AT515" t="s">
        <v>89</v>
      </c>
      <c r="AU515" t="s">
        <v>89</v>
      </c>
      <c r="AV515" t="s">
        <v>89</v>
      </c>
      <c r="AW515">
        <v>13</v>
      </c>
      <c r="AX515">
        <v>16</v>
      </c>
      <c r="AY515" t="s">
        <v>93</v>
      </c>
      <c r="AZ515">
        <v>0</v>
      </c>
      <c r="BA515">
        <v>0</v>
      </c>
      <c r="BB515">
        <v>0</v>
      </c>
      <c r="BC515">
        <v>0</v>
      </c>
      <c r="BD515">
        <v>383</v>
      </c>
      <c r="BE515">
        <v>26705</v>
      </c>
      <c r="BF515">
        <v>10</v>
      </c>
      <c r="BG515" t="s">
        <v>89</v>
      </c>
      <c r="BH515">
        <v>383</v>
      </c>
      <c r="BI515">
        <v>26705</v>
      </c>
      <c r="BJ515">
        <v>10</v>
      </c>
      <c r="BK515">
        <f t="shared" ref="BK515:BK578" si="74">+BA515+BD515</f>
        <v>383</v>
      </c>
      <c r="BL515">
        <f t="shared" ref="BL515:BL578" si="75">+BB515+BE515</f>
        <v>26705</v>
      </c>
      <c r="BM515">
        <f t="shared" ref="BM515:BM578" si="76">+BC515+BF515</f>
        <v>10</v>
      </c>
      <c r="BN515">
        <f t="shared" ref="BN515:BN578" si="77">+BK515-BH515</f>
        <v>0</v>
      </c>
      <c r="BO515">
        <f t="shared" ref="BO515:BO578" si="78">+BL515-BI515</f>
        <v>0</v>
      </c>
      <c r="BP515">
        <f t="shared" ref="BP515:BP578" si="79">+BM515-BJ515</f>
        <v>0</v>
      </c>
      <c r="BQ515" t="s">
        <v>86</v>
      </c>
      <c r="BR515" t="s">
        <v>94</v>
      </c>
      <c r="BS515" t="s">
        <v>89</v>
      </c>
      <c r="BT515">
        <v>33</v>
      </c>
      <c r="BU515" t="s">
        <v>89</v>
      </c>
      <c r="BV515" t="s">
        <v>89</v>
      </c>
      <c r="BW515">
        <v>14</v>
      </c>
      <c r="BX515">
        <v>1993</v>
      </c>
      <c r="BY515">
        <v>12</v>
      </c>
      <c r="BZ515">
        <f t="shared" ref="BZ515:BZ578" si="80">+AW515-BW515</f>
        <v>-1</v>
      </c>
      <c r="CA515">
        <f t="shared" ref="CA515:CA578" si="81">+BW515-BY515</f>
        <v>2</v>
      </c>
      <c r="CB515" t="b">
        <f t="shared" ref="CB515:CB578" si="82">+BW515=AW515</f>
        <v>0</v>
      </c>
    </row>
    <row r="516" spans="1:80" x14ac:dyDescent="0.3">
      <c r="A516" t="s">
        <v>4577</v>
      </c>
      <c r="B516" t="s">
        <v>71</v>
      </c>
      <c r="C516" t="s">
        <v>4578</v>
      </c>
      <c r="D516">
        <v>37</v>
      </c>
      <c r="E516" t="s">
        <v>4579</v>
      </c>
      <c r="F516" t="s">
        <v>4580</v>
      </c>
      <c r="G516" t="s">
        <v>298</v>
      </c>
      <c r="H516" t="s">
        <v>76</v>
      </c>
      <c r="I516" t="s">
        <v>401</v>
      </c>
      <c r="J516" t="s">
        <v>300</v>
      </c>
      <c r="K516" t="s">
        <v>289</v>
      </c>
      <c r="L516" t="s">
        <v>228</v>
      </c>
      <c r="M516">
        <v>22</v>
      </c>
      <c r="N516" t="s">
        <v>289</v>
      </c>
      <c r="O516">
        <v>2010</v>
      </c>
      <c r="P516" t="s">
        <v>4581</v>
      </c>
      <c r="Q516" t="s">
        <v>4582</v>
      </c>
      <c r="R516">
        <v>72047</v>
      </c>
      <c r="S516" t="s">
        <v>4577</v>
      </c>
      <c r="T516">
        <v>31785</v>
      </c>
      <c r="U516">
        <v>1987</v>
      </c>
      <c r="V516" t="s">
        <v>4583</v>
      </c>
      <c r="W516">
        <v>1.76</v>
      </c>
      <c r="X516" t="s">
        <v>76</v>
      </c>
      <c r="Y516" t="s">
        <v>123</v>
      </c>
      <c r="Z516" t="s">
        <v>152</v>
      </c>
      <c r="AA516" t="s">
        <v>1768</v>
      </c>
      <c r="AB516" s="1">
        <v>42192</v>
      </c>
      <c r="AC516" t="s">
        <v>170</v>
      </c>
      <c r="AD516" t="s">
        <v>89</v>
      </c>
      <c r="AE516" t="s">
        <v>294</v>
      </c>
      <c r="AF516">
        <v>25</v>
      </c>
      <c r="AG516" t="s">
        <v>91</v>
      </c>
      <c r="AH516" s="1">
        <v>39666</v>
      </c>
      <c r="AI516">
        <v>20</v>
      </c>
      <c r="AJ516" t="s">
        <v>110</v>
      </c>
      <c r="AK516">
        <v>20</v>
      </c>
      <c r="AL516">
        <v>9</v>
      </c>
      <c r="AM516">
        <v>267</v>
      </c>
      <c r="AN516">
        <v>43</v>
      </c>
      <c r="AO516">
        <v>8</v>
      </c>
      <c r="AP516" t="s">
        <v>93</v>
      </c>
      <c r="AQ516" t="s">
        <v>89</v>
      </c>
      <c r="AR516" t="s">
        <v>89</v>
      </c>
      <c r="AS516" t="s">
        <v>93</v>
      </c>
      <c r="AT516" t="s">
        <v>89</v>
      </c>
      <c r="AU516" t="s">
        <v>89</v>
      </c>
      <c r="AV516" t="s">
        <v>89</v>
      </c>
      <c r="AW516">
        <v>15</v>
      </c>
      <c r="AX516">
        <v>10</v>
      </c>
      <c r="AY516" t="s">
        <v>111</v>
      </c>
      <c r="AZ516">
        <v>8</v>
      </c>
      <c r="BA516">
        <v>20</v>
      </c>
      <c r="BB516">
        <v>776</v>
      </c>
      <c r="BC516">
        <v>6</v>
      </c>
      <c r="BD516">
        <v>518</v>
      </c>
      <c r="BE516">
        <v>37080</v>
      </c>
      <c r="BF516">
        <v>216</v>
      </c>
      <c r="BG516" t="s">
        <v>89</v>
      </c>
      <c r="BH516">
        <v>538</v>
      </c>
      <c r="BI516">
        <v>37856</v>
      </c>
      <c r="BJ516">
        <v>222</v>
      </c>
      <c r="BK516">
        <f t="shared" si="74"/>
        <v>538</v>
      </c>
      <c r="BL516">
        <f t="shared" si="75"/>
        <v>37856</v>
      </c>
      <c r="BM516">
        <f t="shared" si="76"/>
        <v>222</v>
      </c>
      <c r="BN516">
        <f t="shared" si="77"/>
        <v>0</v>
      </c>
      <c r="BO516">
        <f t="shared" si="78"/>
        <v>0</v>
      </c>
      <c r="BP516">
        <f t="shared" si="79"/>
        <v>0</v>
      </c>
      <c r="BQ516" t="s">
        <v>123</v>
      </c>
      <c r="BR516" t="s">
        <v>112</v>
      </c>
      <c r="BS516" t="s">
        <v>89</v>
      </c>
      <c r="BT516">
        <v>39</v>
      </c>
      <c r="BU516" t="s">
        <v>89</v>
      </c>
      <c r="BV516" t="s">
        <v>89</v>
      </c>
      <c r="BW516">
        <v>19</v>
      </c>
      <c r="BX516">
        <v>1987</v>
      </c>
      <c r="BY516">
        <v>17</v>
      </c>
      <c r="BZ516">
        <f t="shared" si="80"/>
        <v>-4</v>
      </c>
      <c r="CA516">
        <f t="shared" si="81"/>
        <v>2</v>
      </c>
      <c r="CB516" t="b">
        <f t="shared" si="82"/>
        <v>0</v>
      </c>
    </row>
    <row r="517" spans="1:80" x14ac:dyDescent="0.3">
      <c r="A517" t="s">
        <v>4584</v>
      </c>
      <c r="B517" t="s">
        <v>71</v>
      </c>
      <c r="C517" t="s">
        <v>4585</v>
      </c>
      <c r="D517">
        <v>42</v>
      </c>
      <c r="E517" s="1">
        <v>30483</v>
      </c>
      <c r="F517" t="s">
        <v>89</v>
      </c>
      <c r="G517" t="s">
        <v>115</v>
      </c>
      <c r="H517" t="s">
        <v>76</v>
      </c>
      <c r="I517" t="s">
        <v>1747</v>
      </c>
      <c r="J517" t="s">
        <v>78</v>
      </c>
      <c r="K517" t="s">
        <v>89</v>
      </c>
      <c r="L517" t="s">
        <v>2014</v>
      </c>
      <c r="M517">
        <v>16</v>
      </c>
      <c r="N517" t="s">
        <v>289</v>
      </c>
      <c r="O517">
        <v>1999</v>
      </c>
      <c r="P517" t="s">
        <v>4586</v>
      </c>
      <c r="Q517" t="s">
        <v>4587</v>
      </c>
      <c r="R517">
        <v>14535</v>
      </c>
      <c r="S517" t="s">
        <v>4584</v>
      </c>
      <c r="T517" t="s">
        <v>4588</v>
      </c>
      <c r="U517">
        <v>1983</v>
      </c>
      <c r="V517" t="s">
        <v>4589</v>
      </c>
      <c r="W517">
        <v>1.82</v>
      </c>
      <c r="X517" t="s">
        <v>76</v>
      </c>
      <c r="Y517" t="s">
        <v>235</v>
      </c>
      <c r="Z517" t="s">
        <v>87</v>
      </c>
      <c r="AA517" t="s">
        <v>1831</v>
      </c>
      <c r="AB517" s="1">
        <v>42742</v>
      </c>
      <c r="AC517" t="s">
        <v>108</v>
      </c>
      <c r="AD517" t="s">
        <v>89</v>
      </c>
      <c r="AE517">
        <v>36863</v>
      </c>
      <c r="AF517">
        <v>16</v>
      </c>
      <c r="AG517" t="s">
        <v>91</v>
      </c>
      <c r="AH517" t="s">
        <v>2435</v>
      </c>
      <c r="AI517">
        <v>21</v>
      </c>
      <c r="AJ517" t="s">
        <v>110</v>
      </c>
      <c r="AK517">
        <v>16</v>
      </c>
      <c r="AL517">
        <v>2</v>
      </c>
      <c r="AM517">
        <v>182</v>
      </c>
      <c r="AN517">
        <v>23</v>
      </c>
      <c r="AO517">
        <v>1</v>
      </c>
      <c r="AP517" t="s">
        <v>93</v>
      </c>
      <c r="AQ517" t="s">
        <v>89</v>
      </c>
      <c r="AR517" t="s">
        <v>89</v>
      </c>
      <c r="AS517" t="s">
        <v>111</v>
      </c>
      <c r="AT517" s="1">
        <v>42742</v>
      </c>
      <c r="AU517">
        <v>2017</v>
      </c>
      <c r="AV517">
        <v>18</v>
      </c>
      <c r="AW517">
        <v>18</v>
      </c>
      <c r="AX517" t="s">
        <v>89</v>
      </c>
      <c r="AY517" t="s">
        <v>93</v>
      </c>
      <c r="AZ517">
        <v>0</v>
      </c>
      <c r="BA517">
        <v>0</v>
      </c>
      <c r="BB517">
        <v>0</v>
      </c>
      <c r="BC517">
        <v>0</v>
      </c>
      <c r="BD517">
        <v>240</v>
      </c>
      <c r="BE517">
        <v>19767</v>
      </c>
      <c r="BF517">
        <v>4</v>
      </c>
      <c r="BG517">
        <v>34</v>
      </c>
      <c r="BH517">
        <v>240</v>
      </c>
      <c r="BI517">
        <v>19767</v>
      </c>
      <c r="BJ517">
        <v>4</v>
      </c>
      <c r="BK517">
        <f t="shared" si="74"/>
        <v>240</v>
      </c>
      <c r="BL517">
        <f t="shared" si="75"/>
        <v>19767</v>
      </c>
      <c r="BM517">
        <f t="shared" si="76"/>
        <v>4</v>
      </c>
      <c r="BN517">
        <f t="shared" si="77"/>
        <v>0</v>
      </c>
      <c r="BO517">
        <f t="shared" si="78"/>
        <v>0</v>
      </c>
      <c r="BP517">
        <f t="shared" si="79"/>
        <v>0</v>
      </c>
      <c r="BQ517" t="s">
        <v>235</v>
      </c>
      <c r="BR517" t="s">
        <v>140</v>
      </c>
      <c r="BS517" s="1">
        <v>30483</v>
      </c>
      <c r="BT517">
        <v>42</v>
      </c>
      <c r="BU517" s="1">
        <v>42742</v>
      </c>
      <c r="BV517" s="1">
        <v>42917</v>
      </c>
      <c r="BW517">
        <v>18</v>
      </c>
      <c r="BX517">
        <v>1983</v>
      </c>
      <c r="BY517">
        <v>18</v>
      </c>
      <c r="BZ517">
        <f t="shared" si="80"/>
        <v>0</v>
      </c>
      <c r="CA517">
        <f t="shared" si="81"/>
        <v>0</v>
      </c>
      <c r="CB517" t="b">
        <f t="shared" si="82"/>
        <v>1</v>
      </c>
    </row>
    <row r="518" spans="1:80" x14ac:dyDescent="0.3">
      <c r="A518" t="s">
        <v>4590</v>
      </c>
      <c r="B518" t="s">
        <v>71</v>
      </c>
      <c r="C518" t="s">
        <v>4591</v>
      </c>
      <c r="D518">
        <v>35</v>
      </c>
      <c r="E518" s="1">
        <v>32877</v>
      </c>
      <c r="F518" t="s">
        <v>89</v>
      </c>
      <c r="G518" t="s">
        <v>211</v>
      </c>
      <c r="H518" t="s">
        <v>76</v>
      </c>
      <c r="I518" t="s">
        <v>116</v>
      </c>
      <c r="J518" t="s">
        <v>300</v>
      </c>
      <c r="K518" t="s">
        <v>89</v>
      </c>
      <c r="L518" t="s">
        <v>228</v>
      </c>
      <c r="M518">
        <v>20</v>
      </c>
      <c r="N518" t="s">
        <v>2060</v>
      </c>
      <c r="O518">
        <v>2010</v>
      </c>
      <c r="P518" t="s">
        <v>4592</v>
      </c>
      <c r="Q518" t="s">
        <v>4593</v>
      </c>
      <c r="R518">
        <v>59340</v>
      </c>
      <c r="S518" t="s">
        <v>4590</v>
      </c>
      <c r="T518">
        <v>32964</v>
      </c>
      <c r="U518">
        <v>1990</v>
      </c>
      <c r="V518" t="s">
        <v>1727</v>
      </c>
      <c r="W518">
        <v>1.74</v>
      </c>
      <c r="X518" t="s">
        <v>76</v>
      </c>
      <c r="Y518" t="s">
        <v>494</v>
      </c>
      <c r="Z518" t="s">
        <v>152</v>
      </c>
      <c r="AA518" t="s">
        <v>2144</v>
      </c>
      <c r="AB518">
        <v>45935</v>
      </c>
      <c r="AC518" t="s">
        <v>108</v>
      </c>
      <c r="AD518" t="s">
        <v>223</v>
      </c>
      <c r="AE518" s="1">
        <v>2014</v>
      </c>
      <c r="AF518">
        <v>24</v>
      </c>
      <c r="AG518" t="s">
        <v>573</v>
      </c>
      <c r="AH518">
        <v>2010</v>
      </c>
      <c r="AI518">
        <v>20</v>
      </c>
      <c r="AJ518">
        <v>0</v>
      </c>
      <c r="AK518">
        <v>20</v>
      </c>
      <c r="AL518">
        <v>24</v>
      </c>
      <c r="AM518">
        <v>659</v>
      </c>
      <c r="AN518">
        <v>112</v>
      </c>
      <c r="AO518">
        <v>11</v>
      </c>
      <c r="AP518" t="s">
        <v>93</v>
      </c>
      <c r="AQ518" t="s">
        <v>89</v>
      </c>
      <c r="AR518" t="s">
        <v>89</v>
      </c>
      <c r="AS518" t="s">
        <v>111</v>
      </c>
      <c r="AT518">
        <v>45935</v>
      </c>
      <c r="AU518">
        <v>2025</v>
      </c>
      <c r="AV518">
        <v>15</v>
      </c>
      <c r="AW518">
        <v>15</v>
      </c>
      <c r="AX518" t="s">
        <v>89</v>
      </c>
      <c r="AY518" t="s">
        <v>93</v>
      </c>
      <c r="AZ518">
        <v>0</v>
      </c>
      <c r="BA518">
        <v>0</v>
      </c>
      <c r="BB518">
        <v>0</v>
      </c>
      <c r="BC518">
        <v>0</v>
      </c>
      <c r="BD518">
        <v>312</v>
      </c>
      <c r="BE518">
        <v>20560</v>
      </c>
      <c r="BF518">
        <v>73</v>
      </c>
      <c r="BG518">
        <v>35</v>
      </c>
      <c r="BH518">
        <v>312</v>
      </c>
      <c r="BI518">
        <v>20560</v>
      </c>
      <c r="BJ518">
        <v>73</v>
      </c>
      <c r="BK518">
        <f t="shared" si="74"/>
        <v>312</v>
      </c>
      <c r="BL518">
        <f t="shared" si="75"/>
        <v>20560</v>
      </c>
      <c r="BM518">
        <f t="shared" si="76"/>
        <v>73</v>
      </c>
      <c r="BN518">
        <f t="shared" si="77"/>
        <v>0</v>
      </c>
      <c r="BO518">
        <f t="shared" si="78"/>
        <v>0</v>
      </c>
      <c r="BP518">
        <f t="shared" si="79"/>
        <v>0</v>
      </c>
      <c r="BQ518" t="s">
        <v>494</v>
      </c>
      <c r="BR518" t="s">
        <v>112</v>
      </c>
      <c r="BS518" t="s">
        <v>89</v>
      </c>
      <c r="BT518">
        <v>36</v>
      </c>
      <c r="BU518">
        <v>45935</v>
      </c>
      <c r="BV518" t="s">
        <v>89</v>
      </c>
      <c r="BW518">
        <v>15</v>
      </c>
      <c r="BX518">
        <v>1990</v>
      </c>
      <c r="BY518">
        <v>15</v>
      </c>
      <c r="BZ518">
        <f t="shared" si="80"/>
        <v>0</v>
      </c>
      <c r="CA518">
        <f t="shared" si="81"/>
        <v>0</v>
      </c>
      <c r="CB518" t="b">
        <f t="shared" si="82"/>
        <v>1</v>
      </c>
    </row>
    <row r="519" spans="1:80" x14ac:dyDescent="0.3">
      <c r="A519" t="s">
        <v>4594</v>
      </c>
      <c r="B519" t="s">
        <v>71</v>
      </c>
      <c r="C519" t="s">
        <v>4595</v>
      </c>
      <c r="D519">
        <v>37</v>
      </c>
      <c r="E519" t="s">
        <v>4596</v>
      </c>
      <c r="F519" t="s">
        <v>790</v>
      </c>
      <c r="G519" t="s">
        <v>819</v>
      </c>
      <c r="H519" t="s">
        <v>89</v>
      </c>
      <c r="I519" t="s">
        <v>178</v>
      </c>
      <c r="J519" t="s">
        <v>78</v>
      </c>
      <c r="K519" t="s">
        <v>4597</v>
      </c>
      <c r="L519" t="s">
        <v>80</v>
      </c>
      <c r="M519">
        <v>24</v>
      </c>
      <c r="N519" t="s">
        <v>1926</v>
      </c>
      <c r="O519">
        <v>2012</v>
      </c>
      <c r="P519" t="s">
        <v>4598</v>
      </c>
      <c r="Q519" t="s">
        <v>4599</v>
      </c>
      <c r="R519">
        <v>71570</v>
      </c>
      <c r="S519" t="s">
        <v>4594</v>
      </c>
      <c r="T519" t="s">
        <v>4600</v>
      </c>
      <c r="U519">
        <v>1988</v>
      </c>
      <c r="V519" t="s">
        <v>795</v>
      </c>
      <c r="W519">
        <v>1.87</v>
      </c>
      <c r="X519" t="s">
        <v>76</v>
      </c>
      <c r="Y519" t="s">
        <v>186</v>
      </c>
      <c r="Z519" t="s">
        <v>87</v>
      </c>
      <c r="AA519" t="s">
        <v>4601</v>
      </c>
      <c r="AB519" s="1">
        <v>45667</v>
      </c>
      <c r="AC519" t="s">
        <v>170</v>
      </c>
      <c r="AD519" t="s">
        <v>89</v>
      </c>
      <c r="AE519" t="s">
        <v>3414</v>
      </c>
      <c r="AF519">
        <v>25</v>
      </c>
      <c r="AG519" t="s">
        <v>91</v>
      </c>
      <c r="AH519" t="s">
        <v>90</v>
      </c>
      <c r="AI519">
        <v>24</v>
      </c>
      <c r="AJ519" t="s">
        <v>110</v>
      </c>
      <c r="AK519">
        <v>24</v>
      </c>
      <c r="AL519">
        <v>2</v>
      </c>
      <c r="AM519">
        <v>93</v>
      </c>
      <c r="AN519">
        <v>11</v>
      </c>
      <c r="AO519">
        <v>2</v>
      </c>
      <c r="AP519" t="s">
        <v>93</v>
      </c>
      <c r="AQ519" t="s">
        <v>89</v>
      </c>
      <c r="AR519" t="s">
        <v>89</v>
      </c>
      <c r="AS519" t="s">
        <v>93</v>
      </c>
      <c r="AT519" t="s">
        <v>89</v>
      </c>
      <c r="AU519" t="s">
        <v>89</v>
      </c>
      <c r="AV519" t="s">
        <v>89</v>
      </c>
      <c r="AW519">
        <v>13</v>
      </c>
      <c r="AX519" t="s">
        <v>89</v>
      </c>
      <c r="AY519" t="s">
        <v>93</v>
      </c>
      <c r="AZ519">
        <v>0</v>
      </c>
      <c r="BA519">
        <v>0</v>
      </c>
      <c r="BB519">
        <v>0</v>
      </c>
      <c r="BC519">
        <v>0</v>
      </c>
      <c r="BD519">
        <v>174</v>
      </c>
      <c r="BE519">
        <v>15414</v>
      </c>
      <c r="BF519">
        <v>0</v>
      </c>
      <c r="BG519" t="s">
        <v>89</v>
      </c>
      <c r="BH519">
        <v>174</v>
      </c>
      <c r="BI519">
        <v>15414</v>
      </c>
      <c r="BJ519">
        <v>0</v>
      </c>
      <c r="BK519">
        <f t="shared" si="74"/>
        <v>174</v>
      </c>
      <c r="BL519">
        <f t="shared" si="75"/>
        <v>15414</v>
      </c>
      <c r="BM519">
        <f t="shared" si="76"/>
        <v>0</v>
      </c>
      <c r="BN519">
        <f t="shared" si="77"/>
        <v>0</v>
      </c>
      <c r="BO519">
        <f t="shared" si="78"/>
        <v>0</v>
      </c>
      <c r="BP519">
        <f t="shared" si="79"/>
        <v>0</v>
      </c>
      <c r="BQ519" t="s">
        <v>186</v>
      </c>
      <c r="BR519" t="s">
        <v>186</v>
      </c>
      <c r="BS519" s="1">
        <v>32167</v>
      </c>
      <c r="BT519">
        <v>38</v>
      </c>
      <c r="BU519" t="s">
        <v>89</v>
      </c>
      <c r="BV519" t="s">
        <v>89</v>
      </c>
      <c r="BW519">
        <v>14</v>
      </c>
      <c r="BX519">
        <v>1988</v>
      </c>
      <c r="BY519">
        <v>13</v>
      </c>
      <c r="BZ519">
        <f t="shared" si="80"/>
        <v>-1</v>
      </c>
      <c r="CA519">
        <f t="shared" si="81"/>
        <v>1</v>
      </c>
      <c r="CB519" t="b">
        <f t="shared" si="82"/>
        <v>0</v>
      </c>
    </row>
    <row r="520" spans="1:80" x14ac:dyDescent="0.3">
      <c r="A520" t="s">
        <v>4602</v>
      </c>
      <c r="B520" t="s">
        <v>71</v>
      </c>
      <c r="C520" t="s">
        <v>4603</v>
      </c>
      <c r="D520">
        <v>35</v>
      </c>
      <c r="E520" s="1">
        <v>32823</v>
      </c>
      <c r="F520" t="s">
        <v>89</v>
      </c>
      <c r="G520" t="s">
        <v>160</v>
      </c>
      <c r="H520" t="s">
        <v>89</v>
      </c>
      <c r="I520" t="s">
        <v>340</v>
      </c>
      <c r="J520" t="s">
        <v>78</v>
      </c>
      <c r="K520" t="s">
        <v>89</v>
      </c>
      <c r="L520" t="s">
        <v>228</v>
      </c>
      <c r="M520">
        <v>20</v>
      </c>
      <c r="N520" t="s">
        <v>137</v>
      </c>
      <c r="O520">
        <v>2010</v>
      </c>
      <c r="P520" t="s">
        <v>4604</v>
      </c>
      <c r="Q520" t="s">
        <v>4605</v>
      </c>
      <c r="R520">
        <v>127837</v>
      </c>
      <c r="S520" t="s">
        <v>4602</v>
      </c>
      <c r="T520" s="1">
        <v>32823</v>
      </c>
      <c r="U520">
        <v>1989</v>
      </c>
      <c r="V520" t="s">
        <v>795</v>
      </c>
      <c r="W520">
        <v>1.78</v>
      </c>
      <c r="X520" t="s">
        <v>76</v>
      </c>
      <c r="Y520" t="s">
        <v>391</v>
      </c>
      <c r="Z520" t="s">
        <v>87</v>
      </c>
      <c r="AA520" t="s">
        <v>4606</v>
      </c>
      <c r="AB520" s="1">
        <v>45022</v>
      </c>
      <c r="AC520" t="s">
        <v>108</v>
      </c>
      <c r="AD520" t="s">
        <v>89</v>
      </c>
      <c r="AE520" t="s">
        <v>4607</v>
      </c>
      <c r="AF520">
        <v>20</v>
      </c>
      <c r="AG520" t="s">
        <v>91</v>
      </c>
      <c r="AH520" t="s">
        <v>92</v>
      </c>
      <c r="AI520" t="s">
        <v>89</v>
      </c>
      <c r="AJ520" t="s">
        <v>92</v>
      </c>
      <c r="AK520">
        <v>20</v>
      </c>
      <c r="AL520">
        <v>12</v>
      </c>
      <c r="AM520">
        <v>688</v>
      </c>
      <c r="AN520">
        <v>94</v>
      </c>
      <c r="AO520">
        <v>7</v>
      </c>
      <c r="AP520" t="s">
        <v>93</v>
      </c>
      <c r="AQ520" t="s">
        <v>89</v>
      </c>
      <c r="AR520" t="s">
        <v>89</v>
      </c>
      <c r="AS520" t="s">
        <v>111</v>
      </c>
      <c r="AT520" s="1">
        <v>45022</v>
      </c>
      <c r="AU520">
        <v>2023</v>
      </c>
      <c r="AV520">
        <v>13</v>
      </c>
      <c r="AW520">
        <v>13</v>
      </c>
      <c r="AX520" t="s">
        <v>89</v>
      </c>
      <c r="AY520" t="s">
        <v>93</v>
      </c>
      <c r="AZ520">
        <v>0</v>
      </c>
      <c r="BA520">
        <v>0</v>
      </c>
      <c r="BB520">
        <v>0</v>
      </c>
      <c r="BC520">
        <v>0</v>
      </c>
      <c r="BD520">
        <v>263</v>
      </c>
      <c r="BE520">
        <v>13808</v>
      </c>
      <c r="BF520">
        <v>33</v>
      </c>
      <c r="BG520">
        <v>34</v>
      </c>
      <c r="BH520">
        <v>263</v>
      </c>
      <c r="BI520">
        <v>13808</v>
      </c>
      <c r="BJ520">
        <v>33</v>
      </c>
      <c r="BK520">
        <f t="shared" si="74"/>
        <v>263</v>
      </c>
      <c r="BL520">
        <f t="shared" si="75"/>
        <v>13808</v>
      </c>
      <c r="BM520">
        <f t="shared" si="76"/>
        <v>33</v>
      </c>
      <c r="BN520">
        <f t="shared" si="77"/>
        <v>0</v>
      </c>
      <c r="BO520">
        <f t="shared" si="78"/>
        <v>0</v>
      </c>
      <c r="BP520">
        <f t="shared" si="79"/>
        <v>0</v>
      </c>
      <c r="BQ520" t="s">
        <v>391</v>
      </c>
      <c r="BR520" t="s">
        <v>112</v>
      </c>
      <c r="BS520" s="1">
        <v>32823</v>
      </c>
      <c r="BT520">
        <v>36</v>
      </c>
      <c r="BU520" s="1">
        <v>45022</v>
      </c>
      <c r="BV520" s="1">
        <v>45081</v>
      </c>
      <c r="BW520">
        <v>14</v>
      </c>
      <c r="BX520">
        <v>1989</v>
      </c>
      <c r="BY520">
        <v>14</v>
      </c>
      <c r="BZ520">
        <f t="shared" si="80"/>
        <v>-1</v>
      </c>
      <c r="CA520">
        <f t="shared" si="81"/>
        <v>0</v>
      </c>
      <c r="CB520" t="b">
        <f t="shared" si="82"/>
        <v>0</v>
      </c>
    </row>
    <row r="521" spans="1:80" x14ac:dyDescent="0.3">
      <c r="A521" t="s">
        <v>4608</v>
      </c>
      <c r="B521" t="s">
        <v>4104</v>
      </c>
      <c r="C521" t="s">
        <v>4609</v>
      </c>
      <c r="D521">
        <v>39</v>
      </c>
      <c r="E521" s="1">
        <v>31504</v>
      </c>
      <c r="F521" t="s">
        <v>89</v>
      </c>
      <c r="G521" t="s">
        <v>115</v>
      </c>
      <c r="H521" t="s">
        <v>4106</v>
      </c>
      <c r="I521" t="s">
        <v>116</v>
      </c>
      <c r="J521" t="s">
        <v>78</v>
      </c>
      <c r="K521" t="s">
        <v>89</v>
      </c>
      <c r="L521" t="s">
        <v>145</v>
      </c>
      <c r="M521">
        <v>18</v>
      </c>
      <c r="N521" t="s">
        <v>4610</v>
      </c>
      <c r="O521">
        <v>2004</v>
      </c>
      <c r="P521" t="s">
        <v>4611</v>
      </c>
      <c r="Q521" t="s">
        <v>4612</v>
      </c>
      <c r="R521">
        <v>15760</v>
      </c>
      <c r="S521" t="s">
        <v>4608</v>
      </c>
      <c r="T521">
        <v>31447</v>
      </c>
      <c r="U521">
        <v>1986</v>
      </c>
      <c r="V521" t="s">
        <v>4613</v>
      </c>
      <c r="W521" t="s">
        <v>89</v>
      </c>
      <c r="X521" t="s">
        <v>4614</v>
      </c>
      <c r="Y521" t="s">
        <v>106</v>
      </c>
      <c r="Z521" t="s">
        <v>89</v>
      </c>
      <c r="AA521" t="s">
        <v>4615</v>
      </c>
      <c r="AB521" t="s">
        <v>4616</v>
      </c>
      <c r="AC521" t="s">
        <v>108</v>
      </c>
      <c r="AD521" t="s">
        <v>395</v>
      </c>
      <c r="AE521" t="s">
        <v>4617</v>
      </c>
      <c r="AF521">
        <v>17</v>
      </c>
      <c r="AG521" t="s">
        <v>4114</v>
      </c>
      <c r="AH521" t="s">
        <v>92</v>
      </c>
      <c r="AI521" t="s">
        <v>89</v>
      </c>
      <c r="AJ521" t="s">
        <v>92</v>
      </c>
      <c r="AK521">
        <v>17</v>
      </c>
      <c r="AL521">
        <v>7</v>
      </c>
      <c r="AM521">
        <v>1086</v>
      </c>
      <c r="AN521">
        <v>162</v>
      </c>
      <c r="AO521">
        <v>5</v>
      </c>
      <c r="AP521" t="s">
        <v>93</v>
      </c>
      <c r="AQ521" t="s">
        <v>89</v>
      </c>
      <c r="AR521" t="s">
        <v>89</v>
      </c>
      <c r="AS521" t="s">
        <v>111</v>
      </c>
      <c r="AT521" t="s">
        <v>4616</v>
      </c>
      <c r="AU521">
        <v>2021</v>
      </c>
      <c r="AV521">
        <v>17</v>
      </c>
      <c r="AW521">
        <v>17</v>
      </c>
      <c r="AX521" t="s">
        <v>89</v>
      </c>
      <c r="AY521" t="s">
        <v>111</v>
      </c>
      <c r="AZ521">
        <v>11</v>
      </c>
      <c r="BA521">
        <v>32</v>
      </c>
      <c r="BB521">
        <v>1536</v>
      </c>
      <c r="BC521">
        <v>5</v>
      </c>
      <c r="BD521">
        <v>322</v>
      </c>
      <c r="BE521">
        <v>22058</v>
      </c>
      <c r="BF521">
        <v>49</v>
      </c>
      <c r="BG521">
        <v>35</v>
      </c>
      <c r="BH521">
        <v>354</v>
      </c>
      <c r="BI521">
        <v>23594</v>
      </c>
      <c r="BJ521">
        <v>54</v>
      </c>
      <c r="BK521">
        <f t="shared" si="74"/>
        <v>354</v>
      </c>
      <c r="BL521">
        <f t="shared" si="75"/>
        <v>23594</v>
      </c>
      <c r="BM521">
        <f t="shared" si="76"/>
        <v>54</v>
      </c>
      <c r="BN521">
        <f t="shared" si="77"/>
        <v>0</v>
      </c>
      <c r="BO521">
        <f t="shared" si="78"/>
        <v>0</v>
      </c>
      <c r="BP521">
        <f t="shared" si="79"/>
        <v>0</v>
      </c>
      <c r="BQ521" t="s">
        <v>106</v>
      </c>
      <c r="BR521" t="s">
        <v>112</v>
      </c>
      <c r="BS521" t="s">
        <v>89</v>
      </c>
      <c r="BT521">
        <v>40</v>
      </c>
      <c r="BU521" t="s">
        <v>4616</v>
      </c>
      <c r="BV521" s="1">
        <v>44227</v>
      </c>
      <c r="BW521">
        <v>18</v>
      </c>
      <c r="BX521">
        <v>1986</v>
      </c>
      <c r="BY521">
        <v>18</v>
      </c>
      <c r="BZ521">
        <f t="shared" si="80"/>
        <v>-1</v>
      </c>
      <c r="CA521">
        <f t="shared" si="81"/>
        <v>0</v>
      </c>
      <c r="CB521" t="b">
        <f t="shared" si="82"/>
        <v>0</v>
      </c>
    </row>
    <row r="522" spans="1:80" x14ac:dyDescent="0.3">
      <c r="A522" t="s">
        <v>4618</v>
      </c>
      <c r="B522" t="s">
        <v>603</v>
      </c>
      <c r="C522" t="s">
        <v>4619</v>
      </c>
      <c r="D522">
        <v>36</v>
      </c>
      <c r="E522">
        <v>32602</v>
      </c>
      <c r="F522" t="s">
        <v>89</v>
      </c>
      <c r="G522" t="s">
        <v>277</v>
      </c>
      <c r="H522" t="s">
        <v>606</v>
      </c>
      <c r="I522" t="s">
        <v>437</v>
      </c>
      <c r="J522" t="s">
        <v>78</v>
      </c>
      <c r="K522" t="s">
        <v>89</v>
      </c>
      <c r="L522" t="s">
        <v>254</v>
      </c>
      <c r="M522">
        <v>20</v>
      </c>
      <c r="N522" t="s">
        <v>81</v>
      </c>
      <c r="O522">
        <v>2009</v>
      </c>
      <c r="P522" t="s">
        <v>4620</v>
      </c>
      <c r="Q522" t="s">
        <v>4621</v>
      </c>
      <c r="R522">
        <v>134497</v>
      </c>
      <c r="S522" t="s">
        <v>4622</v>
      </c>
      <c r="T522">
        <v>32602</v>
      </c>
      <c r="U522">
        <v>1989</v>
      </c>
      <c r="V522" t="s">
        <v>4623</v>
      </c>
      <c r="W522">
        <v>1.88</v>
      </c>
      <c r="X522" t="s">
        <v>606</v>
      </c>
      <c r="Y522" t="s">
        <v>123</v>
      </c>
      <c r="Z522" t="s">
        <v>87</v>
      </c>
      <c r="AA522" t="s">
        <v>4624</v>
      </c>
      <c r="AB522" s="1">
        <v>45451</v>
      </c>
      <c r="AC522" t="s">
        <v>4625</v>
      </c>
      <c r="AD522" t="s">
        <v>89</v>
      </c>
      <c r="AE522">
        <v>40210</v>
      </c>
      <c r="AF522">
        <v>20</v>
      </c>
      <c r="AG522" t="s">
        <v>91</v>
      </c>
      <c r="AH522">
        <v>40307</v>
      </c>
      <c r="AI522">
        <v>21</v>
      </c>
      <c r="AJ522" t="s">
        <v>110</v>
      </c>
      <c r="AK522">
        <v>20</v>
      </c>
      <c r="AL522">
        <v>6</v>
      </c>
      <c r="AM522">
        <v>314</v>
      </c>
      <c r="AN522">
        <v>38</v>
      </c>
      <c r="AO522">
        <v>6</v>
      </c>
      <c r="AP522" t="s">
        <v>93</v>
      </c>
      <c r="AQ522" t="s">
        <v>89</v>
      </c>
      <c r="AR522" t="s">
        <v>89</v>
      </c>
      <c r="AS522" t="s">
        <v>93</v>
      </c>
      <c r="AT522" t="s">
        <v>89</v>
      </c>
      <c r="AU522" t="s">
        <v>89</v>
      </c>
      <c r="AV522" t="s">
        <v>89</v>
      </c>
      <c r="AW522">
        <v>16</v>
      </c>
      <c r="AX522" t="s">
        <v>89</v>
      </c>
      <c r="AY522" t="s">
        <v>111</v>
      </c>
      <c r="AZ522">
        <v>1</v>
      </c>
      <c r="BA522">
        <v>1</v>
      </c>
      <c r="BB522">
        <v>58</v>
      </c>
      <c r="BC522">
        <v>1</v>
      </c>
      <c r="BD522">
        <v>277</v>
      </c>
      <c r="BE522">
        <v>13977</v>
      </c>
      <c r="BF522">
        <v>60</v>
      </c>
      <c r="BG522" t="s">
        <v>89</v>
      </c>
      <c r="BH522">
        <v>278</v>
      </c>
      <c r="BI522">
        <v>14035</v>
      </c>
      <c r="BJ522">
        <v>61</v>
      </c>
      <c r="BK522">
        <f t="shared" si="74"/>
        <v>278</v>
      </c>
      <c r="BL522">
        <f t="shared" si="75"/>
        <v>14035</v>
      </c>
      <c r="BM522">
        <f t="shared" si="76"/>
        <v>61</v>
      </c>
      <c r="BN522">
        <f t="shared" si="77"/>
        <v>0</v>
      </c>
      <c r="BO522">
        <f t="shared" si="78"/>
        <v>0</v>
      </c>
      <c r="BP522">
        <f t="shared" si="79"/>
        <v>0</v>
      </c>
      <c r="BQ522" t="s">
        <v>123</v>
      </c>
      <c r="BR522" t="s">
        <v>112</v>
      </c>
      <c r="BS522" t="s">
        <v>89</v>
      </c>
      <c r="BT522">
        <v>37</v>
      </c>
      <c r="BU522" t="s">
        <v>89</v>
      </c>
      <c r="BV522" t="s">
        <v>89</v>
      </c>
      <c r="BW522">
        <v>17</v>
      </c>
      <c r="BX522">
        <v>1989</v>
      </c>
      <c r="BY522">
        <v>16</v>
      </c>
      <c r="BZ522">
        <f t="shared" si="80"/>
        <v>-1</v>
      </c>
      <c r="CA522">
        <f t="shared" si="81"/>
        <v>1</v>
      </c>
      <c r="CB522" t="b">
        <f t="shared" si="82"/>
        <v>0</v>
      </c>
    </row>
    <row r="523" spans="1:80" x14ac:dyDescent="0.3">
      <c r="A523" t="s">
        <v>4626</v>
      </c>
      <c r="B523" t="s">
        <v>71</v>
      </c>
      <c r="C523" t="s">
        <v>4627</v>
      </c>
      <c r="D523">
        <v>35</v>
      </c>
      <c r="E523" s="1">
        <v>32997</v>
      </c>
      <c r="F523" t="s">
        <v>89</v>
      </c>
      <c r="G523" t="s">
        <v>400</v>
      </c>
      <c r="H523" t="s">
        <v>76</v>
      </c>
      <c r="I523" t="s">
        <v>253</v>
      </c>
      <c r="J523" t="s">
        <v>78</v>
      </c>
      <c r="K523" t="s">
        <v>89</v>
      </c>
      <c r="L523" t="s">
        <v>180</v>
      </c>
      <c r="M523">
        <v>17</v>
      </c>
      <c r="N523" t="s">
        <v>81</v>
      </c>
      <c r="O523">
        <v>2007</v>
      </c>
      <c r="P523" t="s">
        <v>4628</v>
      </c>
      <c r="Q523" t="s">
        <v>4629</v>
      </c>
      <c r="R523">
        <v>58874</v>
      </c>
      <c r="S523" t="s">
        <v>4626</v>
      </c>
      <c r="T523">
        <v>32968</v>
      </c>
      <c r="U523">
        <v>1990</v>
      </c>
      <c r="V523" t="s">
        <v>508</v>
      </c>
      <c r="W523">
        <v>1.82</v>
      </c>
      <c r="X523" t="s">
        <v>76</v>
      </c>
      <c r="Y523" t="s">
        <v>259</v>
      </c>
      <c r="Z523" t="s">
        <v>87</v>
      </c>
      <c r="AA523" t="s">
        <v>4630</v>
      </c>
      <c r="AB523" t="s">
        <v>4631</v>
      </c>
      <c r="AC523" t="s">
        <v>108</v>
      </c>
      <c r="AD523" t="s">
        <v>89</v>
      </c>
      <c r="AE523">
        <v>39450</v>
      </c>
      <c r="AF523">
        <v>17</v>
      </c>
      <c r="AG523" t="s">
        <v>91</v>
      </c>
      <c r="AH523" t="s">
        <v>92</v>
      </c>
      <c r="AI523" t="s">
        <v>89</v>
      </c>
      <c r="AJ523" t="s">
        <v>92</v>
      </c>
      <c r="AK523">
        <v>17</v>
      </c>
      <c r="AL523">
        <v>13</v>
      </c>
      <c r="AM523">
        <v>1201</v>
      </c>
      <c r="AN523">
        <v>142</v>
      </c>
      <c r="AO523">
        <v>6</v>
      </c>
      <c r="AP523" t="s">
        <v>93</v>
      </c>
      <c r="AQ523" t="s">
        <v>89</v>
      </c>
      <c r="AR523" t="s">
        <v>89</v>
      </c>
      <c r="AS523" t="s">
        <v>111</v>
      </c>
      <c r="AT523" t="s">
        <v>4631</v>
      </c>
      <c r="AU523">
        <v>2020</v>
      </c>
      <c r="AV523">
        <v>13</v>
      </c>
      <c r="AW523">
        <v>13</v>
      </c>
      <c r="AX523" t="s">
        <v>89</v>
      </c>
      <c r="AY523" t="s">
        <v>111</v>
      </c>
      <c r="AZ523">
        <v>2</v>
      </c>
      <c r="BA523">
        <v>1</v>
      </c>
      <c r="BB523">
        <v>45</v>
      </c>
      <c r="BC523">
        <v>0</v>
      </c>
      <c r="BD523">
        <v>248</v>
      </c>
      <c r="BE523">
        <v>18656</v>
      </c>
      <c r="BF523">
        <v>21</v>
      </c>
      <c r="BG523">
        <v>30</v>
      </c>
      <c r="BH523">
        <v>249</v>
      </c>
      <c r="BI523">
        <v>18701</v>
      </c>
      <c r="BJ523">
        <v>21</v>
      </c>
      <c r="BK523">
        <f t="shared" si="74"/>
        <v>249</v>
      </c>
      <c r="BL523">
        <f t="shared" si="75"/>
        <v>18701</v>
      </c>
      <c r="BM523">
        <f t="shared" si="76"/>
        <v>21</v>
      </c>
      <c r="BN523">
        <f t="shared" si="77"/>
        <v>0</v>
      </c>
      <c r="BO523">
        <f t="shared" si="78"/>
        <v>0</v>
      </c>
      <c r="BP523">
        <f t="shared" si="79"/>
        <v>0</v>
      </c>
      <c r="BQ523" t="s">
        <v>259</v>
      </c>
      <c r="BR523" t="s">
        <v>94</v>
      </c>
      <c r="BS523" t="s">
        <v>89</v>
      </c>
      <c r="BT523">
        <v>36</v>
      </c>
      <c r="BU523" t="s">
        <v>4631</v>
      </c>
      <c r="BV523" s="1">
        <v>44088</v>
      </c>
      <c r="BW523">
        <v>13</v>
      </c>
      <c r="BX523">
        <v>1990</v>
      </c>
      <c r="BY523">
        <v>13</v>
      </c>
      <c r="BZ523">
        <f t="shared" si="80"/>
        <v>0</v>
      </c>
      <c r="CA523">
        <f t="shared" si="81"/>
        <v>0</v>
      </c>
      <c r="CB523" t="b">
        <f t="shared" si="82"/>
        <v>1</v>
      </c>
    </row>
    <row r="524" spans="1:80" x14ac:dyDescent="0.3">
      <c r="A524" t="s">
        <v>4632</v>
      </c>
      <c r="B524" t="s">
        <v>71</v>
      </c>
      <c r="C524" t="s">
        <v>4633</v>
      </c>
      <c r="D524">
        <v>46</v>
      </c>
      <c r="E524" s="1">
        <v>28896</v>
      </c>
      <c r="F524" t="s">
        <v>89</v>
      </c>
      <c r="G524" t="s">
        <v>226</v>
      </c>
      <c r="H524" t="s">
        <v>89</v>
      </c>
      <c r="I524" t="s">
        <v>2523</v>
      </c>
      <c r="J524" t="s">
        <v>89</v>
      </c>
      <c r="K524" t="s">
        <v>89</v>
      </c>
      <c r="L524" t="s">
        <v>196</v>
      </c>
      <c r="M524">
        <v>21</v>
      </c>
      <c r="N524" t="s">
        <v>1365</v>
      </c>
      <c r="O524">
        <v>2000</v>
      </c>
      <c r="P524" t="s">
        <v>4634</v>
      </c>
      <c r="Q524" t="s">
        <v>4635</v>
      </c>
      <c r="R524">
        <v>7471</v>
      </c>
      <c r="S524" t="s">
        <v>4632</v>
      </c>
      <c r="T524" s="1">
        <v>29130</v>
      </c>
      <c r="U524">
        <v>1979</v>
      </c>
      <c r="V524" t="s">
        <v>1488</v>
      </c>
      <c r="W524">
        <v>1.85</v>
      </c>
      <c r="X524" t="s">
        <v>76</v>
      </c>
      <c r="Y524" t="s">
        <v>151</v>
      </c>
      <c r="Z524" t="s">
        <v>152</v>
      </c>
      <c r="AA524" t="s">
        <v>1916</v>
      </c>
      <c r="AB524" t="s">
        <v>4636</v>
      </c>
      <c r="AC524" t="s">
        <v>108</v>
      </c>
      <c r="AD524" t="s">
        <v>89</v>
      </c>
      <c r="AE524" s="1">
        <v>36778</v>
      </c>
      <c r="AF524">
        <v>21</v>
      </c>
      <c r="AG524" t="s">
        <v>91</v>
      </c>
      <c r="AH524" t="s">
        <v>92</v>
      </c>
      <c r="AI524" t="s">
        <v>89</v>
      </c>
      <c r="AJ524" t="s">
        <v>92</v>
      </c>
      <c r="AK524">
        <v>21</v>
      </c>
      <c r="AL524">
        <v>1</v>
      </c>
      <c r="AM524">
        <v>46</v>
      </c>
      <c r="AN524">
        <v>7</v>
      </c>
      <c r="AO524">
        <v>1</v>
      </c>
      <c r="AP524" t="s">
        <v>93</v>
      </c>
      <c r="AQ524" t="s">
        <v>89</v>
      </c>
      <c r="AR524" t="s">
        <v>89</v>
      </c>
      <c r="AS524" t="s">
        <v>111</v>
      </c>
      <c r="AT524" t="s">
        <v>4636</v>
      </c>
      <c r="AU524">
        <v>2013</v>
      </c>
      <c r="AV524">
        <v>13</v>
      </c>
      <c r="AW524">
        <v>13</v>
      </c>
      <c r="AX524" t="s">
        <v>89</v>
      </c>
      <c r="AY524" t="s">
        <v>93</v>
      </c>
      <c r="AZ524">
        <v>0</v>
      </c>
      <c r="BA524">
        <v>0</v>
      </c>
      <c r="BB524">
        <v>0</v>
      </c>
      <c r="BC524">
        <v>0</v>
      </c>
      <c r="BD524">
        <v>289</v>
      </c>
      <c r="BE524">
        <v>14966</v>
      </c>
      <c r="BF524">
        <v>34</v>
      </c>
      <c r="BG524">
        <v>34</v>
      </c>
      <c r="BH524">
        <v>289</v>
      </c>
      <c r="BI524">
        <v>14966</v>
      </c>
      <c r="BJ524">
        <v>34</v>
      </c>
      <c r="BK524">
        <f t="shared" si="74"/>
        <v>289</v>
      </c>
      <c r="BL524">
        <f t="shared" si="75"/>
        <v>14966</v>
      </c>
      <c r="BM524">
        <f t="shared" si="76"/>
        <v>34</v>
      </c>
      <c r="BN524">
        <f t="shared" si="77"/>
        <v>0</v>
      </c>
      <c r="BO524">
        <f t="shared" si="78"/>
        <v>0</v>
      </c>
      <c r="BP524">
        <f t="shared" si="79"/>
        <v>0</v>
      </c>
      <c r="BQ524" t="s">
        <v>151</v>
      </c>
      <c r="BR524" t="s">
        <v>94</v>
      </c>
      <c r="BS524" s="1">
        <v>28896</v>
      </c>
      <c r="BT524">
        <v>47</v>
      </c>
      <c r="BU524" t="s">
        <v>4636</v>
      </c>
      <c r="BV524" s="1">
        <v>41296</v>
      </c>
      <c r="BW524">
        <v>13</v>
      </c>
      <c r="BX524">
        <v>1979</v>
      </c>
      <c r="BY524">
        <v>13</v>
      </c>
      <c r="BZ524">
        <f t="shared" si="80"/>
        <v>0</v>
      </c>
      <c r="CA524">
        <f t="shared" si="81"/>
        <v>0</v>
      </c>
      <c r="CB524" t="b">
        <f t="shared" si="82"/>
        <v>1</v>
      </c>
    </row>
    <row r="525" spans="1:80" x14ac:dyDescent="0.3">
      <c r="A525" t="s">
        <v>4637</v>
      </c>
      <c r="B525" t="s">
        <v>71</v>
      </c>
      <c r="C525" t="s">
        <v>4638</v>
      </c>
      <c r="D525">
        <v>36</v>
      </c>
      <c r="E525">
        <v>32708</v>
      </c>
      <c r="F525" t="s">
        <v>89</v>
      </c>
      <c r="G525" t="s">
        <v>535</v>
      </c>
      <c r="H525" t="s">
        <v>76</v>
      </c>
      <c r="I525" t="s">
        <v>161</v>
      </c>
      <c r="J525" t="s">
        <v>89</v>
      </c>
      <c r="K525" t="s">
        <v>89</v>
      </c>
      <c r="L525" t="s">
        <v>180</v>
      </c>
      <c r="M525">
        <v>18</v>
      </c>
      <c r="N525" t="s">
        <v>131</v>
      </c>
      <c r="O525">
        <v>2007</v>
      </c>
      <c r="P525" t="s">
        <v>4639</v>
      </c>
      <c r="Q525" t="s">
        <v>4640</v>
      </c>
      <c r="R525">
        <v>60779</v>
      </c>
      <c r="S525" t="s">
        <v>4637</v>
      </c>
      <c r="T525" t="s">
        <v>4641</v>
      </c>
      <c r="U525">
        <v>1989</v>
      </c>
      <c r="V525" t="s">
        <v>824</v>
      </c>
      <c r="W525">
        <v>1.7</v>
      </c>
      <c r="X525" t="s">
        <v>76</v>
      </c>
      <c r="Y525" t="s">
        <v>106</v>
      </c>
      <c r="Z525" t="s">
        <v>87</v>
      </c>
      <c r="AA525" t="s">
        <v>4642</v>
      </c>
      <c r="AB525" t="s">
        <v>4643</v>
      </c>
      <c r="AC525" t="s">
        <v>108</v>
      </c>
      <c r="AD525" t="s">
        <v>89</v>
      </c>
      <c r="AE525" t="s">
        <v>4644</v>
      </c>
      <c r="AF525">
        <v>21</v>
      </c>
      <c r="AG525" t="s">
        <v>91</v>
      </c>
      <c r="AH525">
        <v>39273</v>
      </c>
      <c r="AI525">
        <v>18</v>
      </c>
      <c r="AJ525" t="s">
        <v>110</v>
      </c>
      <c r="AK525">
        <v>18</v>
      </c>
      <c r="AL525">
        <v>3</v>
      </c>
      <c r="AM525">
        <v>261</v>
      </c>
      <c r="AN525">
        <v>31</v>
      </c>
      <c r="AO525">
        <v>3</v>
      </c>
      <c r="AP525" t="s">
        <v>93</v>
      </c>
      <c r="AQ525" t="s">
        <v>89</v>
      </c>
      <c r="AR525" t="s">
        <v>89</v>
      </c>
      <c r="AS525" t="s">
        <v>111</v>
      </c>
      <c r="AT525" t="s">
        <v>4643</v>
      </c>
      <c r="AU525">
        <v>2020</v>
      </c>
      <c r="AV525">
        <v>13</v>
      </c>
      <c r="AW525">
        <v>13</v>
      </c>
      <c r="AX525" t="s">
        <v>89</v>
      </c>
      <c r="AY525" t="s">
        <v>93</v>
      </c>
      <c r="AZ525">
        <v>0</v>
      </c>
      <c r="BA525">
        <v>0</v>
      </c>
      <c r="BB525">
        <v>0</v>
      </c>
      <c r="BC525">
        <v>0</v>
      </c>
      <c r="BD525">
        <v>174</v>
      </c>
      <c r="BE525">
        <v>8445</v>
      </c>
      <c r="BF525">
        <v>11</v>
      </c>
      <c r="BG525">
        <v>31</v>
      </c>
      <c r="BH525">
        <v>174</v>
      </c>
      <c r="BI525">
        <v>8445</v>
      </c>
      <c r="BJ525">
        <v>11</v>
      </c>
      <c r="BK525">
        <f t="shared" si="74"/>
        <v>174</v>
      </c>
      <c r="BL525">
        <f t="shared" si="75"/>
        <v>8445</v>
      </c>
      <c r="BM525">
        <f t="shared" si="76"/>
        <v>11</v>
      </c>
      <c r="BN525">
        <f t="shared" si="77"/>
        <v>0</v>
      </c>
      <c r="BO525">
        <f t="shared" si="78"/>
        <v>0</v>
      </c>
      <c r="BP525">
        <f t="shared" si="79"/>
        <v>0</v>
      </c>
      <c r="BQ525" t="s">
        <v>106</v>
      </c>
      <c r="BR525" t="s">
        <v>112</v>
      </c>
      <c r="BS525" s="1">
        <v>32708</v>
      </c>
      <c r="BT525">
        <v>36</v>
      </c>
      <c r="BU525" t="s">
        <v>4643</v>
      </c>
      <c r="BV525" s="1">
        <v>44026</v>
      </c>
      <c r="BW525">
        <v>13</v>
      </c>
      <c r="BX525">
        <v>1989</v>
      </c>
      <c r="BY525">
        <v>13</v>
      </c>
      <c r="BZ525">
        <f t="shared" si="80"/>
        <v>0</v>
      </c>
      <c r="CA525">
        <f t="shared" si="81"/>
        <v>0</v>
      </c>
      <c r="CB525" t="b">
        <f t="shared" si="82"/>
        <v>1</v>
      </c>
    </row>
    <row r="526" spans="1:80" x14ac:dyDescent="0.3">
      <c r="A526" t="s">
        <v>4645</v>
      </c>
      <c r="B526" t="s">
        <v>4646</v>
      </c>
      <c r="C526" t="s">
        <v>4647</v>
      </c>
      <c r="D526">
        <v>41</v>
      </c>
      <c r="E526" s="1">
        <v>30686</v>
      </c>
      <c r="F526" t="s">
        <v>89</v>
      </c>
      <c r="G526" t="s">
        <v>518</v>
      </c>
      <c r="H526" t="s">
        <v>4648</v>
      </c>
      <c r="I526" t="s">
        <v>437</v>
      </c>
      <c r="J526" t="s">
        <v>78</v>
      </c>
      <c r="K526" t="s">
        <v>89</v>
      </c>
      <c r="L526" t="s">
        <v>99</v>
      </c>
      <c r="M526">
        <v>17</v>
      </c>
      <c r="N526" t="s">
        <v>293</v>
      </c>
      <c r="O526">
        <v>2001</v>
      </c>
      <c r="P526" t="s">
        <v>4649</v>
      </c>
      <c r="Q526" t="s">
        <v>4650</v>
      </c>
      <c r="R526">
        <v>44027</v>
      </c>
      <c r="S526" t="s">
        <v>4645</v>
      </c>
      <c r="T526" s="1">
        <v>30803</v>
      </c>
      <c r="U526">
        <v>1984</v>
      </c>
      <c r="V526" t="s">
        <v>4651</v>
      </c>
      <c r="W526">
        <v>1.74</v>
      </c>
      <c r="X526" t="s">
        <v>4652</v>
      </c>
      <c r="Y526" t="s">
        <v>123</v>
      </c>
      <c r="Z526" t="s">
        <v>87</v>
      </c>
      <c r="AA526" t="s">
        <v>1831</v>
      </c>
      <c r="AB526">
        <v>43472</v>
      </c>
      <c r="AC526" t="s">
        <v>108</v>
      </c>
      <c r="AD526" t="s">
        <v>89</v>
      </c>
      <c r="AE526" s="1">
        <v>2006</v>
      </c>
      <c r="AF526">
        <v>22</v>
      </c>
      <c r="AG526" t="s">
        <v>91</v>
      </c>
      <c r="AH526">
        <v>2002</v>
      </c>
      <c r="AI526">
        <v>18</v>
      </c>
      <c r="AJ526">
        <v>0</v>
      </c>
      <c r="AK526">
        <v>18</v>
      </c>
      <c r="AL526">
        <v>11</v>
      </c>
      <c r="AM526">
        <v>743</v>
      </c>
      <c r="AN526">
        <v>119</v>
      </c>
      <c r="AO526">
        <v>6</v>
      </c>
      <c r="AP526" t="s">
        <v>93</v>
      </c>
      <c r="AQ526" t="s">
        <v>89</v>
      </c>
      <c r="AR526" t="s">
        <v>89</v>
      </c>
      <c r="AS526" t="s">
        <v>111</v>
      </c>
      <c r="AT526">
        <v>43472</v>
      </c>
      <c r="AU526">
        <v>2019</v>
      </c>
      <c r="AV526">
        <v>18</v>
      </c>
      <c r="AW526">
        <v>18</v>
      </c>
      <c r="AX526" t="s">
        <v>89</v>
      </c>
      <c r="AY526" t="s">
        <v>111</v>
      </c>
      <c r="AZ526">
        <v>2</v>
      </c>
      <c r="BA526">
        <v>6</v>
      </c>
      <c r="BB526">
        <v>331</v>
      </c>
      <c r="BC526">
        <v>1</v>
      </c>
      <c r="BD526">
        <v>448</v>
      </c>
      <c r="BE526">
        <v>29200</v>
      </c>
      <c r="BF526">
        <v>123</v>
      </c>
      <c r="BG526">
        <v>35</v>
      </c>
      <c r="BH526">
        <v>454</v>
      </c>
      <c r="BI526">
        <v>29531</v>
      </c>
      <c r="BJ526">
        <v>124</v>
      </c>
      <c r="BK526">
        <f t="shared" si="74"/>
        <v>454</v>
      </c>
      <c r="BL526">
        <f t="shared" si="75"/>
        <v>29531</v>
      </c>
      <c r="BM526">
        <f t="shared" si="76"/>
        <v>124</v>
      </c>
      <c r="BN526">
        <f t="shared" si="77"/>
        <v>0</v>
      </c>
      <c r="BO526">
        <f t="shared" si="78"/>
        <v>0</v>
      </c>
      <c r="BP526">
        <f t="shared" si="79"/>
        <v>0</v>
      </c>
      <c r="BQ526" t="s">
        <v>123</v>
      </c>
      <c r="BR526" t="s">
        <v>112</v>
      </c>
      <c r="BS526" s="1">
        <v>30686</v>
      </c>
      <c r="BT526">
        <v>42</v>
      </c>
      <c r="BU526">
        <v>43472</v>
      </c>
      <c r="BV526" t="s">
        <v>89</v>
      </c>
      <c r="BW526">
        <v>17</v>
      </c>
      <c r="BX526">
        <v>1984</v>
      </c>
      <c r="BY526">
        <v>17</v>
      </c>
      <c r="BZ526">
        <f t="shared" si="80"/>
        <v>1</v>
      </c>
      <c r="CA526">
        <f t="shared" si="81"/>
        <v>0</v>
      </c>
      <c r="CB526" t="b">
        <f t="shared" si="82"/>
        <v>0</v>
      </c>
    </row>
    <row r="527" spans="1:80" x14ac:dyDescent="0.3">
      <c r="A527" t="s">
        <v>4653</v>
      </c>
      <c r="B527" t="s">
        <v>71</v>
      </c>
      <c r="C527" t="s">
        <v>4654</v>
      </c>
      <c r="D527">
        <v>44</v>
      </c>
      <c r="E527" s="1">
        <v>29726</v>
      </c>
      <c r="F527" t="s">
        <v>89</v>
      </c>
      <c r="G527" t="s">
        <v>115</v>
      </c>
      <c r="H527" t="s">
        <v>76</v>
      </c>
      <c r="I527" t="s">
        <v>178</v>
      </c>
      <c r="J527" t="s">
        <v>300</v>
      </c>
      <c r="K527" t="s">
        <v>89</v>
      </c>
      <c r="L527" t="s">
        <v>2014</v>
      </c>
      <c r="M527">
        <v>18</v>
      </c>
      <c r="N527" t="s">
        <v>268</v>
      </c>
      <c r="O527">
        <v>1999</v>
      </c>
      <c r="P527" t="s">
        <v>4655</v>
      </c>
      <c r="Q527" t="s">
        <v>4656</v>
      </c>
      <c r="R527">
        <v>3979</v>
      </c>
      <c r="S527" t="s">
        <v>4653</v>
      </c>
      <c r="T527" t="s">
        <v>4657</v>
      </c>
      <c r="U527">
        <v>1981</v>
      </c>
      <c r="V527" t="s">
        <v>908</v>
      </c>
      <c r="W527">
        <v>1.82</v>
      </c>
      <c r="X527" t="s">
        <v>76</v>
      </c>
      <c r="Y527" t="s">
        <v>186</v>
      </c>
      <c r="Z527" t="s">
        <v>152</v>
      </c>
      <c r="AA527" t="s">
        <v>1236</v>
      </c>
      <c r="AB527" s="1">
        <v>43929</v>
      </c>
      <c r="AC527" t="s">
        <v>108</v>
      </c>
      <c r="AD527" t="s">
        <v>442</v>
      </c>
      <c r="AE527">
        <v>36503</v>
      </c>
      <c r="AF527">
        <v>18</v>
      </c>
      <c r="AG527" t="s">
        <v>91</v>
      </c>
      <c r="AH527" t="s">
        <v>92</v>
      </c>
      <c r="AI527" t="s">
        <v>89</v>
      </c>
      <c r="AJ527" t="s">
        <v>92</v>
      </c>
      <c r="AK527">
        <v>18</v>
      </c>
      <c r="AL527">
        <v>3</v>
      </c>
      <c r="AM527">
        <v>505</v>
      </c>
      <c r="AN527">
        <v>87</v>
      </c>
      <c r="AO527">
        <v>3</v>
      </c>
      <c r="AP527" t="s">
        <v>93</v>
      </c>
      <c r="AQ527" t="s">
        <v>89</v>
      </c>
      <c r="AR527" t="s">
        <v>89</v>
      </c>
      <c r="AS527" t="s">
        <v>111</v>
      </c>
      <c r="AT527">
        <v>43929</v>
      </c>
      <c r="AU527">
        <v>2020</v>
      </c>
      <c r="AV527">
        <v>21</v>
      </c>
      <c r="AW527">
        <v>21</v>
      </c>
      <c r="AX527" t="s">
        <v>89</v>
      </c>
      <c r="AY527" t="s">
        <v>111</v>
      </c>
      <c r="AZ527">
        <v>20</v>
      </c>
      <c r="BA527">
        <v>94</v>
      </c>
      <c r="BB527">
        <v>8586</v>
      </c>
      <c r="BC527">
        <v>0</v>
      </c>
      <c r="BD527">
        <v>806</v>
      </c>
      <c r="BE527">
        <v>72261</v>
      </c>
      <c r="BF527">
        <v>0</v>
      </c>
      <c r="BG527">
        <v>39</v>
      </c>
      <c r="BH527">
        <v>900</v>
      </c>
      <c r="BI527">
        <v>80847</v>
      </c>
      <c r="BJ527">
        <v>0</v>
      </c>
      <c r="BK527">
        <f t="shared" si="74"/>
        <v>900</v>
      </c>
      <c r="BL527">
        <f t="shared" si="75"/>
        <v>80847</v>
      </c>
      <c r="BM527">
        <f t="shared" si="76"/>
        <v>0</v>
      </c>
      <c r="BN527">
        <f t="shared" si="77"/>
        <v>0</v>
      </c>
      <c r="BO527">
        <f t="shared" si="78"/>
        <v>0</v>
      </c>
      <c r="BP527">
        <f t="shared" si="79"/>
        <v>0</v>
      </c>
      <c r="BQ527" t="s">
        <v>186</v>
      </c>
      <c r="BR527" t="s">
        <v>186</v>
      </c>
      <c r="BS527" s="1">
        <v>29726</v>
      </c>
      <c r="BT527">
        <v>44</v>
      </c>
      <c r="BU527">
        <v>43929</v>
      </c>
      <c r="BV527" t="s">
        <v>89</v>
      </c>
      <c r="BW527">
        <v>21</v>
      </c>
      <c r="BX527">
        <v>1981</v>
      </c>
      <c r="BY527">
        <v>21</v>
      </c>
      <c r="BZ527">
        <f t="shared" si="80"/>
        <v>0</v>
      </c>
      <c r="CA527">
        <f t="shared" si="81"/>
        <v>0</v>
      </c>
      <c r="CB527" t="b">
        <f t="shared" si="82"/>
        <v>1</v>
      </c>
    </row>
    <row r="528" spans="1:80" x14ac:dyDescent="0.3">
      <c r="A528" t="s">
        <v>4658</v>
      </c>
      <c r="B528" t="s">
        <v>71</v>
      </c>
      <c r="C528" t="s">
        <v>4659</v>
      </c>
      <c r="D528">
        <v>31</v>
      </c>
      <c r="E528">
        <v>34432</v>
      </c>
      <c r="F528" t="s">
        <v>89</v>
      </c>
      <c r="G528" t="s">
        <v>97</v>
      </c>
      <c r="H528" t="s">
        <v>76</v>
      </c>
      <c r="I528" t="s">
        <v>437</v>
      </c>
      <c r="J528" t="s">
        <v>78</v>
      </c>
      <c r="K528" t="s">
        <v>89</v>
      </c>
      <c r="L528" t="s">
        <v>762</v>
      </c>
      <c r="M528">
        <v>20</v>
      </c>
      <c r="N528" t="s">
        <v>1365</v>
      </c>
      <c r="O528">
        <v>2014</v>
      </c>
      <c r="P528" t="s">
        <v>4660</v>
      </c>
      <c r="Q528" t="s">
        <v>4661</v>
      </c>
      <c r="R528">
        <v>162043</v>
      </c>
      <c r="S528" t="s">
        <v>4658</v>
      </c>
      <c r="T528">
        <v>34550</v>
      </c>
      <c r="U528">
        <v>1994</v>
      </c>
      <c r="V528" t="s">
        <v>4662</v>
      </c>
      <c r="W528">
        <v>1.81</v>
      </c>
      <c r="X528" t="s">
        <v>76</v>
      </c>
      <c r="Y528" t="s">
        <v>123</v>
      </c>
      <c r="Z528" t="s">
        <v>87</v>
      </c>
      <c r="AA528" t="s">
        <v>4663</v>
      </c>
      <c r="AB528">
        <v>45876</v>
      </c>
      <c r="AC528" t="s">
        <v>170</v>
      </c>
      <c r="AD528" t="s">
        <v>89</v>
      </c>
      <c r="AE528" t="s">
        <v>4664</v>
      </c>
      <c r="AF528">
        <v>20</v>
      </c>
      <c r="AG528" t="s">
        <v>91</v>
      </c>
      <c r="AH528" t="s">
        <v>4665</v>
      </c>
      <c r="AI528">
        <v>24</v>
      </c>
      <c r="AJ528" t="s">
        <v>4025</v>
      </c>
      <c r="AK528">
        <v>20</v>
      </c>
      <c r="AL528" t="s">
        <v>89</v>
      </c>
      <c r="AM528" t="s">
        <v>89</v>
      </c>
      <c r="AN528" t="s">
        <v>89</v>
      </c>
      <c r="AO528">
        <v>0</v>
      </c>
      <c r="AP528" t="s">
        <v>93</v>
      </c>
      <c r="AQ528" t="s">
        <v>89</v>
      </c>
      <c r="AR528" t="s">
        <v>89</v>
      </c>
      <c r="AS528" t="s">
        <v>93</v>
      </c>
      <c r="AT528" t="s">
        <v>89</v>
      </c>
      <c r="AU528" t="s">
        <v>89</v>
      </c>
      <c r="AV528" t="s">
        <v>89</v>
      </c>
      <c r="AW528">
        <v>11</v>
      </c>
      <c r="AX528">
        <v>11</v>
      </c>
      <c r="AY528" t="s">
        <v>93</v>
      </c>
      <c r="AZ528">
        <v>0</v>
      </c>
      <c r="BA528">
        <v>0</v>
      </c>
      <c r="BB528">
        <v>0</v>
      </c>
      <c r="BC528">
        <v>0</v>
      </c>
      <c r="BD528">
        <v>78</v>
      </c>
      <c r="BE528">
        <v>4380</v>
      </c>
      <c r="BF528">
        <v>15</v>
      </c>
      <c r="BG528" t="s">
        <v>89</v>
      </c>
      <c r="BH528">
        <v>78</v>
      </c>
      <c r="BI528">
        <v>4380</v>
      </c>
      <c r="BJ528">
        <v>15</v>
      </c>
      <c r="BK528">
        <f t="shared" si="74"/>
        <v>78</v>
      </c>
      <c r="BL528">
        <f t="shared" si="75"/>
        <v>4380</v>
      </c>
      <c r="BM528">
        <f t="shared" si="76"/>
        <v>15</v>
      </c>
      <c r="BN528">
        <f t="shared" si="77"/>
        <v>0</v>
      </c>
      <c r="BO528">
        <f t="shared" si="78"/>
        <v>0</v>
      </c>
      <c r="BP528">
        <f t="shared" si="79"/>
        <v>0</v>
      </c>
      <c r="BQ528" t="s">
        <v>123</v>
      </c>
      <c r="BR528" t="s">
        <v>112</v>
      </c>
      <c r="BS528" t="s">
        <v>89</v>
      </c>
      <c r="BT528">
        <v>32</v>
      </c>
      <c r="BU528" t="s">
        <v>89</v>
      </c>
      <c r="BV528" t="s">
        <v>89</v>
      </c>
      <c r="BW528">
        <v>12</v>
      </c>
      <c r="BX528">
        <v>1994</v>
      </c>
      <c r="BY528">
        <v>11</v>
      </c>
      <c r="BZ528">
        <f t="shared" si="80"/>
        <v>-1</v>
      </c>
      <c r="CA528">
        <f t="shared" si="81"/>
        <v>1</v>
      </c>
      <c r="CB528" t="b">
        <f t="shared" si="82"/>
        <v>0</v>
      </c>
    </row>
    <row r="529" spans="1:80" x14ac:dyDescent="0.3">
      <c r="A529" t="s">
        <v>4666</v>
      </c>
      <c r="B529" t="s">
        <v>71</v>
      </c>
      <c r="C529" t="s">
        <v>4667</v>
      </c>
      <c r="D529">
        <v>32</v>
      </c>
      <c r="E529" t="s">
        <v>4668</v>
      </c>
      <c r="F529" t="s">
        <v>1180</v>
      </c>
      <c r="G529" t="s">
        <v>1946</v>
      </c>
      <c r="H529" t="s">
        <v>76</v>
      </c>
      <c r="I529" t="s">
        <v>386</v>
      </c>
      <c r="J529" t="s">
        <v>78</v>
      </c>
      <c r="K529" t="s">
        <v>89</v>
      </c>
      <c r="L529" t="s">
        <v>254</v>
      </c>
      <c r="M529">
        <v>16</v>
      </c>
      <c r="N529" t="s">
        <v>137</v>
      </c>
      <c r="O529">
        <v>2009</v>
      </c>
      <c r="P529" t="s">
        <v>4669</v>
      </c>
      <c r="Q529" t="s">
        <v>4670</v>
      </c>
      <c r="R529">
        <v>54235</v>
      </c>
      <c r="S529" t="s">
        <v>4666</v>
      </c>
      <c r="T529" t="s">
        <v>4671</v>
      </c>
      <c r="U529">
        <v>1992</v>
      </c>
      <c r="V529" t="s">
        <v>1185</v>
      </c>
      <c r="W529">
        <v>1.69</v>
      </c>
      <c r="X529" t="s">
        <v>76</v>
      </c>
      <c r="Y529" t="s">
        <v>391</v>
      </c>
      <c r="Z529" t="s">
        <v>87</v>
      </c>
      <c r="AA529" t="s">
        <v>4171</v>
      </c>
      <c r="AB529" s="1">
        <v>45664</v>
      </c>
      <c r="AC529" t="s">
        <v>108</v>
      </c>
      <c r="AD529" t="s">
        <v>442</v>
      </c>
      <c r="AE529" t="s">
        <v>138</v>
      </c>
      <c r="AF529">
        <v>16</v>
      </c>
      <c r="AG529" t="s">
        <v>91</v>
      </c>
      <c r="AH529" t="s">
        <v>92</v>
      </c>
      <c r="AI529" t="s">
        <v>89</v>
      </c>
      <c r="AJ529" t="s">
        <v>92</v>
      </c>
      <c r="AK529">
        <v>16</v>
      </c>
      <c r="AL529">
        <v>15</v>
      </c>
      <c r="AM529">
        <v>625</v>
      </c>
      <c r="AN529">
        <v>120</v>
      </c>
      <c r="AO529">
        <v>8</v>
      </c>
      <c r="AP529" t="s">
        <v>93</v>
      </c>
      <c r="AQ529" t="s">
        <v>89</v>
      </c>
      <c r="AR529" t="s">
        <v>89</v>
      </c>
      <c r="AS529" t="s">
        <v>111</v>
      </c>
      <c r="AT529">
        <v>45664</v>
      </c>
      <c r="AU529">
        <v>2025</v>
      </c>
      <c r="AV529">
        <v>16</v>
      </c>
      <c r="AW529">
        <v>16</v>
      </c>
      <c r="AX529" t="s">
        <v>89</v>
      </c>
      <c r="AY529" t="s">
        <v>111</v>
      </c>
      <c r="AZ529">
        <v>1</v>
      </c>
      <c r="BA529">
        <v>1</v>
      </c>
      <c r="BB529">
        <v>35</v>
      </c>
      <c r="BC529">
        <v>0</v>
      </c>
      <c r="BD529">
        <v>549</v>
      </c>
      <c r="BE529">
        <v>37133</v>
      </c>
      <c r="BF529">
        <v>72</v>
      </c>
      <c r="BG529">
        <v>33</v>
      </c>
      <c r="BH529">
        <v>550</v>
      </c>
      <c r="BI529">
        <v>37168</v>
      </c>
      <c r="BJ529">
        <v>72</v>
      </c>
      <c r="BK529">
        <f t="shared" si="74"/>
        <v>550</v>
      </c>
      <c r="BL529">
        <f t="shared" si="75"/>
        <v>37168</v>
      </c>
      <c r="BM529">
        <f t="shared" si="76"/>
        <v>72</v>
      </c>
      <c r="BN529">
        <f t="shared" si="77"/>
        <v>0</v>
      </c>
      <c r="BO529">
        <f t="shared" si="78"/>
        <v>0</v>
      </c>
      <c r="BP529">
        <f t="shared" si="79"/>
        <v>0</v>
      </c>
      <c r="BQ529" t="s">
        <v>391</v>
      </c>
      <c r="BR529" t="s">
        <v>112</v>
      </c>
      <c r="BS529" s="1">
        <v>33957</v>
      </c>
      <c r="BT529">
        <v>33</v>
      </c>
      <c r="BU529">
        <v>45664</v>
      </c>
      <c r="BV529" t="s">
        <v>89</v>
      </c>
      <c r="BW529">
        <v>17</v>
      </c>
      <c r="BX529">
        <v>1992</v>
      </c>
      <c r="BY529">
        <v>17</v>
      </c>
      <c r="BZ529">
        <f t="shared" si="80"/>
        <v>-1</v>
      </c>
      <c r="CA529">
        <f t="shared" si="81"/>
        <v>0</v>
      </c>
      <c r="CB529" t="b">
        <f t="shared" si="82"/>
        <v>0</v>
      </c>
    </row>
    <row r="530" spans="1:80" x14ac:dyDescent="0.3">
      <c r="A530" t="s">
        <v>4672</v>
      </c>
      <c r="B530" t="s">
        <v>71</v>
      </c>
      <c r="C530" t="s">
        <v>4673</v>
      </c>
      <c r="D530">
        <v>38</v>
      </c>
      <c r="E530" s="1">
        <v>31832</v>
      </c>
      <c r="F530" t="s">
        <v>89</v>
      </c>
      <c r="G530" t="s">
        <v>819</v>
      </c>
      <c r="H530" t="s">
        <v>76</v>
      </c>
      <c r="I530" t="s">
        <v>437</v>
      </c>
      <c r="J530" t="s">
        <v>78</v>
      </c>
      <c r="K530" t="s">
        <v>89</v>
      </c>
      <c r="L530" t="s">
        <v>145</v>
      </c>
      <c r="M530">
        <v>17</v>
      </c>
      <c r="N530" t="s">
        <v>1365</v>
      </c>
      <c r="O530">
        <v>2004</v>
      </c>
      <c r="P530" t="s">
        <v>4674</v>
      </c>
      <c r="Q530" t="s">
        <v>4675</v>
      </c>
      <c r="R530">
        <v>37501</v>
      </c>
      <c r="S530" t="s">
        <v>4672</v>
      </c>
      <c r="T530" t="s">
        <v>4676</v>
      </c>
      <c r="U530">
        <v>1987</v>
      </c>
      <c r="V530" t="s">
        <v>1227</v>
      </c>
      <c r="W530">
        <v>1.87</v>
      </c>
      <c r="X530" t="s">
        <v>76</v>
      </c>
      <c r="Y530" t="s">
        <v>123</v>
      </c>
      <c r="Z530" t="s">
        <v>87</v>
      </c>
      <c r="AA530" t="s">
        <v>1365</v>
      </c>
      <c r="AB530" t="s">
        <v>4213</v>
      </c>
      <c r="AC530" t="s">
        <v>108</v>
      </c>
      <c r="AD530" t="s">
        <v>89</v>
      </c>
      <c r="AE530">
        <v>38569</v>
      </c>
      <c r="AF530">
        <v>18</v>
      </c>
      <c r="AG530" t="s">
        <v>91</v>
      </c>
      <c r="AH530">
        <v>39174</v>
      </c>
      <c r="AI530">
        <v>19</v>
      </c>
      <c r="AJ530" t="s">
        <v>110</v>
      </c>
      <c r="AK530">
        <v>18</v>
      </c>
      <c r="AL530">
        <v>9</v>
      </c>
      <c r="AM530">
        <v>803</v>
      </c>
      <c r="AN530">
        <v>101</v>
      </c>
      <c r="AO530">
        <v>6</v>
      </c>
      <c r="AP530" t="s">
        <v>93</v>
      </c>
      <c r="AQ530" t="s">
        <v>89</v>
      </c>
      <c r="AR530" t="s">
        <v>89</v>
      </c>
      <c r="AS530" t="s">
        <v>111</v>
      </c>
      <c r="AT530" t="s">
        <v>4213</v>
      </c>
      <c r="AU530">
        <v>2018</v>
      </c>
      <c r="AV530">
        <v>14</v>
      </c>
      <c r="AW530">
        <v>14</v>
      </c>
      <c r="AX530" t="s">
        <v>89</v>
      </c>
      <c r="AY530" t="s">
        <v>93</v>
      </c>
      <c r="AZ530">
        <v>0</v>
      </c>
      <c r="BA530">
        <v>0</v>
      </c>
      <c r="BB530">
        <v>0</v>
      </c>
      <c r="BC530">
        <v>0</v>
      </c>
      <c r="BD530">
        <v>264</v>
      </c>
      <c r="BE530">
        <v>13664</v>
      </c>
      <c r="BF530">
        <v>71</v>
      </c>
      <c r="BG530">
        <v>31</v>
      </c>
      <c r="BH530">
        <v>264</v>
      </c>
      <c r="BI530">
        <v>13664</v>
      </c>
      <c r="BJ530">
        <v>71</v>
      </c>
      <c r="BK530">
        <f t="shared" si="74"/>
        <v>264</v>
      </c>
      <c r="BL530">
        <f t="shared" si="75"/>
        <v>13664</v>
      </c>
      <c r="BM530">
        <f t="shared" si="76"/>
        <v>71</v>
      </c>
      <c r="BN530">
        <f t="shared" si="77"/>
        <v>0</v>
      </c>
      <c r="BO530">
        <f t="shared" si="78"/>
        <v>0</v>
      </c>
      <c r="BP530">
        <f t="shared" si="79"/>
        <v>0</v>
      </c>
      <c r="BQ530" t="s">
        <v>123</v>
      </c>
      <c r="BR530" t="s">
        <v>112</v>
      </c>
      <c r="BS530" s="1">
        <v>31832</v>
      </c>
      <c r="BT530">
        <v>38</v>
      </c>
      <c r="BU530" t="s">
        <v>4213</v>
      </c>
      <c r="BV530" s="1">
        <v>43341</v>
      </c>
      <c r="BW530">
        <v>13</v>
      </c>
      <c r="BX530">
        <v>1987</v>
      </c>
      <c r="BY530">
        <v>13</v>
      </c>
      <c r="BZ530">
        <f t="shared" si="80"/>
        <v>1</v>
      </c>
      <c r="CA530">
        <f t="shared" si="81"/>
        <v>0</v>
      </c>
      <c r="CB530" t="b">
        <f t="shared" si="82"/>
        <v>0</v>
      </c>
    </row>
    <row r="531" spans="1:80" x14ac:dyDescent="0.3">
      <c r="A531" t="s">
        <v>4677</v>
      </c>
      <c r="B531" t="s">
        <v>71</v>
      </c>
      <c r="C531" t="s">
        <v>4678</v>
      </c>
      <c r="D531">
        <v>43</v>
      </c>
      <c r="E531">
        <v>30145</v>
      </c>
      <c r="F531" t="s">
        <v>89</v>
      </c>
      <c r="G531" t="s">
        <v>1381</v>
      </c>
      <c r="H531" t="s">
        <v>89</v>
      </c>
      <c r="I531" t="s">
        <v>227</v>
      </c>
      <c r="J531" t="s">
        <v>78</v>
      </c>
      <c r="K531" t="s">
        <v>89</v>
      </c>
      <c r="L531" t="s">
        <v>99</v>
      </c>
      <c r="M531">
        <v>19</v>
      </c>
      <c r="N531" t="s">
        <v>1181</v>
      </c>
      <c r="O531">
        <v>2001</v>
      </c>
      <c r="P531" t="s">
        <v>4679</v>
      </c>
      <c r="Q531" t="s">
        <v>4680</v>
      </c>
      <c r="R531">
        <v>37892</v>
      </c>
      <c r="S531" t="s">
        <v>4677</v>
      </c>
      <c r="T531" t="s">
        <v>4681</v>
      </c>
      <c r="U531">
        <v>1982</v>
      </c>
      <c r="V531" t="s">
        <v>4682</v>
      </c>
      <c r="W531">
        <v>1.92</v>
      </c>
      <c r="X531" t="s">
        <v>76</v>
      </c>
      <c r="Y531" t="s">
        <v>235</v>
      </c>
      <c r="Z531" t="s">
        <v>87</v>
      </c>
      <c r="AA531" t="s">
        <v>548</v>
      </c>
      <c r="AB531">
        <v>42742</v>
      </c>
      <c r="AC531" t="s">
        <v>108</v>
      </c>
      <c r="AD531" t="s">
        <v>89</v>
      </c>
      <c r="AE531" t="s">
        <v>4298</v>
      </c>
      <c r="AF531">
        <v>23</v>
      </c>
      <c r="AG531" t="s">
        <v>91</v>
      </c>
      <c r="AH531" t="s">
        <v>4683</v>
      </c>
      <c r="AI531">
        <v>25</v>
      </c>
      <c r="AJ531" t="s">
        <v>110</v>
      </c>
      <c r="AK531">
        <v>23</v>
      </c>
      <c r="AL531">
        <v>2</v>
      </c>
      <c r="AM531">
        <v>135</v>
      </c>
      <c r="AN531">
        <v>18</v>
      </c>
      <c r="AO531">
        <v>2</v>
      </c>
      <c r="AP531" t="s">
        <v>93</v>
      </c>
      <c r="AQ531" t="s">
        <v>89</v>
      </c>
      <c r="AR531" t="s">
        <v>89</v>
      </c>
      <c r="AS531" t="s">
        <v>111</v>
      </c>
      <c r="AT531">
        <v>42742</v>
      </c>
      <c r="AU531">
        <v>2017</v>
      </c>
      <c r="AV531">
        <v>16</v>
      </c>
      <c r="AW531">
        <v>16</v>
      </c>
      <c r="AX531" t="s">
        <v>89</v>
      </c>
      <c r="AY531" t="s">
        <v>93</v>
      </c>
      <c r="AZ531">
        <v>0</v>
      </c>
      <c r="BA531">
        <v>0</v>
      </c>
      <c r="BB531">
        <v>0</v>
      </c>
      <c r="BC531">
        <v>0</v>
      </c>
      <c r="BD531">
        <v>245</v>
      </c>
      <c r="BE531">
        <v>20009</v>
      </c>
      <c r="BF531">
        <v>13</v>
      </c>
      <c r="BG531">
        <v>35</v>
      </c>
      <c r="BH531">
        <v>245</v>
      </c>
      <c r="BI531">
        <v>20009</v>
      </c>
      <c r="BJ531">
        <v>13</v>
      </c>
      <c r="BK531">
        <f t="shared" si="74"/>
        <v>245</v>
      </c>
      <c r="BL531">
        <f t="shared" si="75"/>
        <v>20009</v>
      </c>
      <c r="BM531">
        <f t="shared" si="76"/>
        <v>13</v>
      </c>
      <c r="BN531">
        <f t="shared" si="77"/>
        <v>0</v>
      </c>
      <c r="BO531">
        <f t="shared" si="78"/>
        <v>0</v>
      </c>
      <c r="BP531">
        <f t="shared" si="79"/>
        <v>0</v>
      </c>
      <c r="BQ531" t="s">
        <v>235</v>
      </c>
      <c r="BR531" t="s">
        <v>140</v>
      </c>
      <c r="BS531" s="1">
        <v>30145</v>
      </c>
      <c r="BT531">
        <v>43</v>
      </c>
      <c r="BU531">
        <v>42742</v>
      </c>
      <c r="BV531" t="s">
        <v>89</v>
      </c>
      <c r="BW531">
        <v>12</v>
      </c>
      <c r="BX531">
        <v>1982</v>
      </c>
      <c r="BY531">
        <v>12</v>
      </c>
      <c r="BZ531">
        <f t="shared" si="80"/>
        <v>4</v>
      </c>
      <c r="CA531">
        <f t="shared" si="81"/>
        <v>0</v>
      </c>
      <c r="CB531" t="b">
        <f t="shared" si="82"/>
        <v>0</v>
      </c>
    </row>
    <row r="532" spans="1:80" x14ac:dyDescent="0.3">
      <c r="A532" t="s">
        <v>4684</v>
      </c>
      <c r="B532" t="s">
        <v>71</v>
      </c>
      <c r="C532" t="s">
        <v>4685</v>
      </c>
      <c r="D532">
        <v>37</v>
      </c>
      <c r="E532" s="1">
        <v>32147</v>
      </c>
      <c r="F532" t="s">
        <v>89</v>
      </c>
      <c r="G532" t="s">
        <v>321</v>
      </c>
      <c r="H532" t="s">
        <v>76</v>
      </c>
      <c r="I532" t="s">
        <v>1747</v>
      </c>
      <c r="J532" t="s">
        <v>300</v>
      </c>
      <c r="K532" t="s">
        <v>89</v>
      </c>
      <c r="L532" t="s">
        <v>180</v>
      </c>
      <c r="M532">
        <v>19</v>
      </c>
      <c r="N532" t="s">
        <v>820</v>
      </c>
      <c r="O532">
        <v>2007</v>
      </c>
      <c r="P532" t="s">
        <v>4686</v>
      </c>
      <c r="Q532" t="s">
        <v>4687</v>
      </c>
      <c r="R532">
        <v>59527</v>
      </c>
      <c r="S532" t="s">
        <v>4688</v>
      </c>
      <c r="T532" s="1">
        <v>32264</v>
      </c>
      <c r="U532">
        <v>1988</v>
      </c>
      <c r="V532" t="s">
        <v>4689</v>
      </c>
      <c r="W532">
        <v>1.81</v>
      </c>
      <c r="X532" t="s">
        <v>76</v>
      </c>
      <c r="Y532" t="s">
        <v>235</v>
      </c>
      <c r="Z532" t="s">
        <v>87</v>
      </c>
      <c r="AA532" t="s">
        <v>4690</v>
      </c>
      <c r="AB532">
        <v>44568</v>
      </c>
      <c r="AC532" t="s">
        <v>108</v>
      </c>
      <c r="AD532" t="s">
        <v>89</v>
      </c>
      <c r="AE532">
        <v>39397</v>
      </c>
      <c r="AF532">
        <v>19</v>
      </c>
      <c r="AG532" t="s">
        <v>91</v>
      </c>
      <c r="AH532" t="s">
        <v>138</v>
      </c>
      <c r="AI532">
        <v>21</v>
      </c>
      <c r="AJ532" t="s">
        <v>110</v>
      </c>
      <c r="AK532">
        <v>19</v>
      </c>
      <c r="AL532">
        <v>1</v>
      </c>
      <c r="AM532">
        <v>191</v>
      </c>
      <c r="AN532">
        <v>28</v>
      </c>
      <c r="AO532">
        <v>1</v>
      </c>
      <c r="AP532" t="s">
        <v>93</v>
      </c>
      <c r="AQ532" t="s">
        <v>89</v>
      </c>
      <c r="AR532" t="s">
        <v>89</v>
      </c>
      <c r="AS532" t="s">
        <v>111</v>
      </c>
      <c r="AT532">
        <v>44568</v>
      </c>
      <c r="AU532">
        <v>2022</v>
      </c>
      <c r="AV532">
        <v>15</v>
      </c>
      <c r="AW532">
        <v>15</v>
      </c>
      <c r="AX532" t="s">
        <v>89</v>
      </c>
      <c r="AY532" t="s">
        <v>93</v>
      </c>
      <c r="AZ532">
        <v>0</v>
      </c>
      <c r="BA532">
        <v>0</v>
      </c>
      <c r="BB532">
        <v>0</v>
      </c>
      <c r="BC532">
        <v>0</v>
      </c>
      <c r="BD532">
        <v>123</v>
      </c>
      <c r="BE532">
        <v>9842</v>
      </c>
      <c r="BF532">
        <v>1</v>
      </c>
      <c r="BG532">
        <v>34</v>
      </c>
      <c r="BH532">
        <v>123</v>
      </c>
      <c r="BI532">
        <v>9842</v>
      </c>
      <c r="BJ532">
        <v>1</v>
      </c>
      <c r="BK532">
        <f t="shared" si="74"/>
        <v>123</v>
      </c>
      <c r="BL532">
        <f t="shared" si="75"/>
        <v>9842</v>
      </c>
      <c r="BM532">
        <f t="shared" si="76"/>
        <v>1</v>
      </c>
      <c r="BN532">
        <f t="shared" si="77"/>
        <v>0</v>
      </c>
      <c r="BO532">
        <f t="shared" si="78"/>
        <v>0</v>
      </c>
      <c r="BP532">
        <f t="shared" si="79"/>
        <v>0</v>
      </c>
      <c r="BQ532" t="s">
        <v>235</v>
      </c>
      <c r="BR532" t="s">
        <v>140</v>
      </c>
      <c r="BS532" s="1">
        <v>32147</v>
      </c>
      <c r="BT532">
        <v>38</v>
      </c>
      <c r="BU532">
        <v>44568</v>
      </c>
      <c r="BV532" t="s">
        <v>89</v>
      </c>
      <c r="BW532">
        <v>15</v>
      </c>
      <c r="BX532">
        <v>1988</v>
      </c>
      <c r="BY532">
        <v>15</v>
      </c>
      <c r="BZ532">
        <f t="shared" si="80"/>
        <v>0</v>
      </c>
      <c r="CA532">
        <f t="shared" si="81"/>
        <v>0</v>
      </c>
      <c r="CB532" t="b">
        <f t="shared" si="82"/>
        <v>1</v>
      </c>
    </row>
    <row r="533" spans="1:80" x14ac:dyDescent="0.3">
      <c r="A533" t="s">
        <v>4691</v>
      </c>
      <c r="B533" t="s">
        <v>71</v>
      </c>
      <c r="C533" t="s">
        <v>4692</v>
      </c>
      <c r="D533">
        <v>40</v>
      </c>
      <c r="E533">
        <v>31095</v>
      </c>
      <c r="F533" t="s">
        <v>89</v>
      </c>
      <c r="G533" t="s">
        <v>176</v>
      </c>
      <c r="H533" t="s">
        <v>89</v>
      </c>
      <c r="I533" t="s">
        <v>437</v>
      </c>
      <c r="J533" t="s">
        <v>89</v>
      </c>
      <c r="K533" t="s">
        <v>89</v>
      </c>
      <c r="L533" t="s">
        <v>180</v>
      </c>
      <c r="M533">
        <v>22</v>
      </c>
      <c r="N533" t="s">
        <v>3221</v>
      </c>
      <c r="O533">
        <v>2007</v>
      </c>
      <c r="P533" t="s">
        <v>4693</v>
      </c>
      <c r="Q533" t="s">
        <v>4694</v>
      </c>
      <c r="R533">
        <v>54789</v>
      </c>
      <c r="S533" t="s">
        <v>4691</v>
      </c>
      <c r="T533" t="s">
        <v>4695</v>
      </c>
      <c r="U533">
        <v>1985</v>
      </c>
      <c r="V533" t="s">
        <v>4696</v>
      </c>
      <c r="W533">
        <v>1.83</v>
      </c>
      <c r="X533" t="s">
        <v>76</v>
      </c>
      <c r="Y533" t="s">
        <v>123</v>
      </c>
      <c r="Z533" t="s">
        <v>87</v>
      </c>
      <c r="AA533" t="s">
        <v>4697</v>
      </c>
      <c r="AB533" s="1">
        <v>43837</v>
      </c>
      <c r="AC533" t="s">
        <v>108</v>
      </c>
      <c r="AD533" t="s">
        <v>89</v>
      </c>
      <c r="AE533" t="s">
        <v>449</v>
      </c>
      <c r="AF533">
        <v>22</v>
      </c>
      <c r="AG533" t="s">
        <v>91</v>
      </c>
      <c r="AH533">
        <v>39600</v>
      </c>
      <c r="AI533">
        <v>22</v>
      </c>
      <c r="AJ533" t="s">
        <v>110</v>
      </c>
      <c r="AK533">
        <v>22</v>
      </c>
      <c r="AL533">
        <v>5</v>
      </c>
      <c r="AM533">
        <v>540</v>
      </c>
      <c r="AN533">
        <v>75</v>
      </c>
      <c r="AO533">
        <v>3</v>
      </c>
      <c r="AP533" t="s">
        <v>93</v>
      </c>
      <c r="AQ533" t="s">
        <v>89</v>
      </c>
      <c r="AR533" t="s">
        <v>89</v>
      </c>
      <c r="AS533" t="s">
        <v>111</v>
      </c>
      <c r="AT533">
        <v>43837</v>
      </c>
      <c r="AU533">
        <v>2020</v>
      </c>
      <c r="AV533">
        <v>13</v>
      </c>
      <c r="AW533">
        <v>13</v>
      </c>
      <c r="AX533" t="s">
        <v>89</v>
      </c>
      <c r="AY533" t="s">
        <v>93</v>
      </c>
      <c r="AZ533">
        <v>0</v>
      </c>
      <c r="BA533">
        <v>0</v>
      </c>
      <c r="BB533">
        <v>0</v>
      </c>
      <c r="BC533">
        <v>0</v>
      </c>
      <c r="BD533">
        <v>203</v>
      </c>
      <c r="BE533">
        <v>11130</v>
      </c>
      <c r="BF533">
        <v>22</v>
      </c>
      <c r="BG533">
        <v>35</v>
      </c>
      <c r="BH533">
        <v>203</v>
      </c>
      <c r="BI533">
        <v>11130</v>
      </c>
      <c r="BJ533">
        <v>22</v>
      </c>
      <c r="BK533">
        <f t="shared" si="74"/>
        <v>203</v>
      </c>
      <c r="BL533">
        <f t="shared" si="75"/>
        <v>11130</v>
      </c>
      <c r="BM533">
        <f t="shared" si="76"/>
        <v>22</v>
      </c>
      <c r="BN533">
        <f t="shared" si="77"/>
        <v>0</v>
      </c>
      <c r="BO533">
        <f t="shared" si="78"/>
        <v>0</v>
      </c>
      <c r="BP533">
        <f t="shared" si="79"/>
        <v>0</v>
      </c>
      <c r="BQ533" t="s">
        <v>123</v>
      </c>
      <c r="BR533" t="s">
        <v>112</v>
      </c>
      <c r="BS533" s="1">
        <v>31095</v>
      </c>
      <c r="BT533">
        <v>41</v>
      </c>
      <c r="BU533">
        <v>43837</v>
      </c>
      <c r="BV533" t="s">
        <v>89</v>
      </c>
      <c r="BW533">
        <v>13</v>
      </c>
      <c r="BX533">
        <v>1985</v>
      </c>
      <c r="BY533">
        <v>13</v>
      </c>
      <c r="BZ533">
        <f t="shared" si="80"/>
        <v>0</v>
      </c>
      <c r="CA533">
        <f t="shared" si="81"/>
        <v>0</v>
      </c>
      <c r="CB533" t="b">
        <f t="shared" si="82"/>
        <v>1</v>
      </c>
    </row>
    <row r="534" spans="1:80" x14ac:dyDescent="0.3">
      <c r="A534" t="s">
        <v>4698</v>
      </c>
      <c r="B534" t="s">
        <v>776</v>
      </c>
      <c r="C534" t="s">
        <v>4699</v>
      </c>
      <c r="D534">
        <v>44</v>
      </c>
      <c r="E534" s="1">
        <v>29699</v>
      </c>
      <c r="F534" t="s">
        <v>89</v>
      </c>
      <c r="G534" t="s">
        <v>321</v>
      </c>
      <c r="H534" t="s">
        <v>89</v>
      </c>
      <c r="I534" t="s">
        <v>288</v>
      </c>
      <c r="J534" t="s">
        <v>89</v>
      </c>
      <c r="K534" t="s">
        <v>89</v>
      </c>
      <c r="L534" t="s">
        <v>845</v>
      </c>
      <c r="M534">
        <v>21</v>
      </c>
      <c r="N534" t="s">
        <v>162</v>
      </c>
      <c r="O534">
        <v>2002</v>
      </c>
      <c r="P534" t="s">
        <v>4700</v>
      </c>
      <c r="Q534" t="s">
        <v>4701</v>
      </c>
      <c r="R534">
        <v>35515</v>
      </c>
      <c r="S534" t="s">
        <v>4698</v>
      </c>
      <c r="T534" t="s">
        <v>4702</v>
      </c>
      <c r="U534">
        <v>1981</v>
      </c>
      <c r="V534" t="s">
        <v>4703</v>
      </c>
      <c r="W534">
        <v>1.79</v>
      </c>
      <c r="X534" t="s">
        <v>783</v>
      </c>
      <c r="Y534" t="s">
        <v>86</v>
      </c>
      <c r="Z534" t="s">
        <v>87</v>
      </c>
      <c r="AA534" t="s">
        <v>4704</v>
      </c>
      <c r="AB534" s="1">
        <v>41646</v>
      </c>
      <c r="AC534" t="s">
        <v>108</v>
      </c>
      <c r="AD534" t="s">
        <v>89</v>
      </c>
      <c r="AE534" s="1">
        <v>37052</v>
      </c>
      <c r="AF534">
        <v>20</v>
      </c>
      <c r="AG534" t="s">
        <v>786</v>
      </c>
      <c r="AH534" t="s">
        <v>2556</v>
      </c>
      <c r="AI534">
        <v>22</v>
      </c>
      <c r="AJ534" t="s">
        <v>110</v>
      </c>
      <c r="AK534">
        <v>20</v>
      </c>
      <c r="AL534">
        <v>1</v>
      </c>
      <c r="AM534">
        <v>32</v>
      </c>
      <c r="AN534">
        <v>3</v>
      </c>
      <c r="AO534">
        <v>1</v>
      </c>
      <c r="AP534" t="s">
        <v>93</v>
      </c>
      <c r="AQ534" t="s">
        <v>89</v>
      </c>
      <c r="AR534" t="s">
        <v>89</v>
      </c>
      <c r="AS534" t="s">
        <v>111</v>
      </c>
      <c r="AT534" s="1">
        <v>41646</v>
      </c>
      <c r="AU534">
        <v>2014</v>
      </c>
      <c r="AV534">
        <v>12</v>
      </c>
      <c r="AW534">
        <v>12</v>
      </c>
      <c r="AX534" t="s">
        <v>89</v>
      </c>
      <c r="AY534" t="s">
        <v>93</v>
      </c>
      <c r="AZ534">
        <v>0</v>
      </c>
      <c r="BA534">
        <v>0</v>
      </c>
      <c r="BB534">
        <v>0</v>
      </c>
      <c r="BC534">
        <v>0</v>
      </c>
      <c r="BD534">
        <v>291</v>
      </c>
      <c r="BE534">
        <v>22383</v>
      </c>
      <c r="BF534">
        <v>5</v>
      </c>
      <c r="BG534">
        <v>33</v>
      </c>
      <c r="BH534">
        <v>291</v>
      </c>
      <c r="BI534">
        <v>22383</v>
      </c>
      <c r="BJ534">
        <v>5</v>
      </c>
      <c r="BK534">
        <f t="shared" si="74"/>
        <v>291</v>
      </c>
      <c r="BL534">
        <f t="shared" si="75"/>
        <v>22383</v>
      </c>
      <c r="BM534">
        <f t="shared" si="76"/>
        <v>5</v>
      </c>
      <c r="BN534">
        <f t="shared" si="77"/>
        <v>0</v>
      </c>
      <c r="BO534">
        <f t="shared" si="78"/>
        <v>0</v>
      </c>
      <c r="BP534">
        <f t="shared" si="79"/>
        <v>0</v>
      </c>
      <c r="BQ534" t="s">
        <v>86</v>
      </c>
      <c r="BR534" t="s">
        <v>94</v>
      </c>
      <c r="BS534" s="1">
        <v>29699</v>
      </c>
      <c r="BT534">
        <v>44</v>
      </c>
      <c r="BU534" s="1">
        <v>41646</v>
      </c>
      <c r="BV534" s="1">
        <v>41821</v>
      </c>
      <c r="BW534">
        <v>13</v>
      </c>
      <c r="BX534">
        <v>1981</v>
      </c>
      <c r="BY534">
        <v>13</v>
      </c>
      <c r="BZ534">
        <f t="shared" si="80"/>
        <v>-1</v>
      </c>
      <c r="CA534">
        <f t="shared" si="81"/>
        <v>0</v>
      </c>
      <c r="CB534" t="b">
        <f t="shared" si="82"/>
        <v>0</v>
      </c>
    </row>
    <row r="535" spans="1:80" x14ac:dyDescent="0.3">
      <c r="A535" t="s">
        <v>4705</v>
      </c>
      <c r="B535" t="s">
        <v>71</v>
      </c>
      <c r="C535" t="s">
        <v>4706</v>
      </c>
      <c r="D535">
        <v>38</v>
      </c>
      <c r="E535">
        <v>31817</v>
      </c>
      <c r="F535" t="s">
        <v>89</v>
      </c>
      <c r="G535" t="s">
        <v>687</v>
      </c>
      <c r="H535" t="s">
        <v>89</v>
      </c>
      <c r="I535" t="s">
        <v>288</v>
      </c>
      <c r="J535" t="s">
        <v>300</v>
      </c>
      <c r="K535" t="s">
        <v>89</v>
      </c>
      <c r="L535" t="s">
        <v>228</v>
      </c>
      <c r="M535">
        <v>23</v>
      </c>
      <c r="N535" t="s">
        <v>146</v>
      </c>
      <c r="O535">
        <v>2010</v>
      </c>
      <c r="P535" t="s">
        <v>4707</v>
      </c>
      <c r="Q535" t="s">
        <v>4708</v>
      </c>
      <c r="R535">
        <v>73037</v>
      </c>
      <c r="S535" t="s">
        <v>4705</v>
      </c>
      <c r="T535">
        <v>32022</v>
      </c>
      <c r="U535">
        <v>1987</v>
      </c>
      <c r="V535" t="s">
        <v>1958</v>
      </c>
      <c r="W535">
        <v>1.76</v>
      </c>
      <c r="X535" t="s">
        <v>4709</v>
      </c>
      <c r="Y535" t="s">
        <v>259</v>
      </c>
      <c r="Z535" t="s">
        <v>87</v>
      </c>
      <c r="AA535" t="s">
        <v>4710</v>
      </c>
      <c r="AB535" s="1">
        <v>45664</v>
      </c>
      <c r="AC535" t="s">
        <v>108</v>
      </c>
      <c r="AD535" t="s">
        <v>223</v>
      </c>
      <c r="AE535">
        <v>40820</v>
      </c>
      <c r="AF535">
        <v>24</v>
      </c>
      <c r="AG535" t="s">
        <v>91</v>
      </c>
      <c r="AH535" t="s">
        <v>90</v>
      </c>
      <c r="AI535">
        <v>25</v>
      </c>
      <c r="AJ535" t="s">
        <v>110</v>
      </c>
      <c r="AK535">
        <v>24</v>
      </c>
      <c r="AL535">
        <v>1</v>
      </c>
      <c r="AM535">
        <v>17</v>
      </c>
      <c r="AN535">
        <v>2</v>
      </c>
      <c r="AO535">
        <v>1</v>
      </c>
      <c r="AP535" t="s">
        <v>93</v>
      </c>
      <c r="AQ535" t="s">
        <v>89</v>
      </c>
      <c r="AR535" t="s">
        <v>89</v>
      </c>
      <c r="AS535" t="s">
        <v>111</v>
      </c>
      <c r="AT535">
        <v>45664</v>
      </c>
      <c r="AU535">
        <v>2025</v>
      </c>
      <c r="AV535">
        <v>15</v>
      </c>
      <c r="AW535">
        <v>15</v>
      </c>
      <c r="AX535" t="s">
        <v>89</v>
      </c>
      <c r="AY535" t="s">
        <v>93</v>
      </c>
      <c r="AZ535">
        <v>0</v>
      </c>
      <c r="BA535">
        <v>0</v>
      </c>
      <c r="BB535">
        <v>0</v>
      </c>
      <c r="BC535">
        <v>0</v>
      </c>
      <c r="BD535">
        <v>272</v>
      </c>
      <c r="BE535">
        <v>21424</v>
      </c>
      <c r="BF535">
        <v>9</v>
      </c>
      <c r="BG535">
        <v>38</v>
      </c>
      <c r="BH535">
        <v>272</v>
      </c>
      <c r="BI535">
        <v>21424</v>
      </c>
      <c r="BJ535">
        <v>9</v>
      </c>
      <c r="BK535">
        <f t="shared" si="74"/>
        <v>272</v>
      </c>
      <c r="BL535">
        <f t="shared" si="75"/>
        <v>21424</v>
      </c>
      <c r="BM535">
        <f t="shared" si="76"/>
        <v>9</v>
      </c>
      <c r="BN535">
        <f t="shared" si="77"/>
        <v>0</v>
      </c>
      <c r="BO535">
        <f t="shared" si="78"/>
        <v>0</v>
      </c>
      <c r="BP535">
        <f t="shared" si="79"/>
        <v>0</v>
      </c>
      <c r="BQ535" t="s">
        <v>259</v>
      </c>
      <c r="BR535" t="s">
        <v>94</v>
      </c>
      <c r="BS535" t="s">
        <v>89</v>
      </c>
      <c r="BT535">
        <v>39</v>
      </c>
      <c r="BU535">
        <v>45664</v>
      </c>
      <c r="BV535" t="s">
        <v>89</v>
      </c>
      <c r="BW535">
        <v>14</v>
      </c>
      <c r="BX535">
        <v>1987</v>
      </c>
      <c r="BY535">
        <v>14</v>
      </c>
      <c r="BZ535">
        <f t="shared" si="80"/>
        <v>1</v>
      </c>
      <c r="CA535">
        <f t="shared" si="81"/>
        <v>0</v>
      </c>
      <c r="CB535" t="b">
        <f t="shared" si="82"/>
        <v>0</v>
      </c>
    </row>
    <row r="536" spans="1:80" x14ac:dyDescent="0.3">
      <c r="A536" t="s">
        <v>4711</v>
      </c>
      <c r="B536" t="s">
        <v>71</v>
      </c>
      <c r="C536" t="s">
        <v>4712</v>
      </c>
      <c r="D536">
        <v>34</v>
      </c>
      <c r="E536" s="1">
        <v>33355</v>
      </c>
      <c r="F536" t="s">
        <v>89</v>
      </c>
      <c r="G536" t="s">
        <v>97</v>
      </c>
      <c r="H536" t="s">
        <v>76</v>
      </c>
      <c r="I536" t="s">
        <v>340</v>
      </c>
      <c r="J536" t="s">
        <v>78</v>
      </c>
      <c r="K536" t="s">
        <v>89</v>
      </c>
      <c r="L536" t="s">
        <v>278</v>
      </c>
      <c r="M536">
        <v>20</v>
      </c>
      <c r="N536" t="s">
        <v>644</v>
      </c>
      <c r="O536">
        <v>2011</v>
      </c>
      <c r="P536" t="s">
        <v>4713</v>
      </c>
      <c r="Q536" t="s">
        <v>4714</v>
      </c>
      <c r="R536">
        <v>176285</v>
      </c>
      <c r="S536" t="s">
        <v>4711</v>
      </c>
      <c r="T536" t="s">
        <v>464</v>
      </c>
      <c r="U536">
        <v>1991</v>
      </c>
      <c r="V536" t="s">
        <v>4715</v>
      </c>
      <c r="W536">
        <v>1.78</v>
      </c>
      <c r="X536" t="s">
        <v>76</v>
      </c>
      <c r="Y536" t="s">
        <v>391</v>
      </c>
      <c r="Z536" t="s">
        <v>87</v>
      </c>
      <c r="AA536" t="s">
        <v>4716</v>
      </c>
      <c r="AB536" s="1">
        <v>45117</v>
      </c>
      <c r="AC536" t="s">
        <v>108</v>
      </c>
      <c r="AD536" t="s">
        <v>223</v>
      </c>
      <c r="AE536">
        <v>2011</v>
      </c>
      <c r="AF536">
        <v>20</v>
      </c>
      <c r="AG536" t="s">
        <v>91</v>
      </c>
      <c r="AH536" s="1">
        <v>2011</v>
      </c>
      <c r="AI536">
        <v>20</v>
      </c>
      <c r="AJ536">
        <v>0</v>
      </c>
      <c r="AK536">
        <v>20</v>
      </c>
      <c r="AL536">
        <v>8</v>
      </c>
      <c r="AM536">
        <v>2394</v>
      </c>
      <c r="AN536">
        <v>74</v>
      </c>
      <c r="AO536">
        <v>5</v>
      </c>
      <c r="AP536" t="s">
        <v>93</v>
      </c>
      <c r="AQ536" t="s">
        <v>89</v>
      </c>
      <c r="AR536" t="s">
        <v>89</v>
      </c>
      <c r="AS536" t="s">
        <v>111</v>
      </c>
      <c r="AT536" s="1">
        <v>45117</v>
      </c>
      <c r="AU536">
        <v>2023</v>
      </c>
      <c r="AV536">
        <v>12</v>
      </c>
      <c r="AW536">
        <v>12</v>
      </c>
      <c r="AX536" t="s">
        <v>89</v>
      </c>
      <c r="AY536" t="s">
        <v>93</v>
      </c>
      <c r="AZ536">
        <v>0</v>
      </c>
      <c r="BA536">
        <v>0</v>
      </c>
      <c r="BB536">
        <v>0</v>
      </c>
      <c r="BC536">
        <v>0</v>
      </c>
      <c r="BD536">
        <v>162</v>
      </c>
      <c r="BE536">
        <v>10031</v>
      </c>
      <c r="BF536">
        <v>18</v>
      </c>
      <c r="BG536">
        <v>32</v>
      </c>
      <c r="BH536">
        <v>162</v>
      </c>
      <c r="BI536">
        <v>10031</v>
      </c>
      <c r="BJ536">
        <v>18</v>
      </c>
      <c r="BK536">
        <f t="shared" si="74"/>
        <v>162</v>
      </c>
      <c r="BL536">
        <f t="shared" si="75"/>
        <v>10031</v>
      </c>
      <c r="BM536">
        <f t="shared" si="76"/>
        <v>18</v>
      </c>
      <c r="BN536">
        <f t="shared" si="77"/>
        <v>0</v>
      </c>
      <c r="BO536">
        <f t="shared" si="78"/>
        <v>0</v>
      </c>
      <c r="BP536">
        <f t="shared" si="79"/>
        <v>0</v>
      </c>
      <c r="BQ536" t="s">
        <v>391</v>
      </c>
      <c r="BR536" t="s">
        <v>112</v>
      </c>
      <c r="BS536" s="1">
        <v>33355</v>
      </c>
      <c r="BT536">
        <v>34</v>
      </c>
      <c r="BU536" s="1">
        <v>45117</v>
      </c>
      <c r="BV536" s="1">
        <v>45206</v>
      </c>
      <c r="BW536">
        <v>12</v>
      </c>
      <c r="BX536">
        <v>1991</v>
      </c>
      <c r="BY536">
        <v>12</v>
      </c>
      <c r="BZ536">
        <f t="shared" si="80"/>
        <v>0</v>
      </c>
      <c r="CA536">
        <f t="shared" si="81"/>
        <v>0</v>
      </c>
      <c r="CB536" t="b">
        <f t="shared" si="82"/>
        <v>1</v>
      </c>
    </row>
    <row r="537" spans="1:80" x14ac:dyDescent="0.3">
      <c r="A537" t="s">
        <v>4717</v>
      </c>
      <c r="B537" t="s">
        <v>71</v>
      </c>
      <c r="C537" t="s">
        <v>4718</v>
      </c>
      <c r="D537">
        <v>29</v>
      </c>
      <c r="E537">
        <v>35000</v>
      </c>
      <c r="F537" t="s">
        <v>89</v>
      </c>
      <c r="G537" t="s">
        <v>518</v>
      </c>
      <c r="H537" t="s">
        <v>89</v>
      </c>
      <c r="I537" t="s">
        <v>750</v>
      </c>
      <c r="J537" t="s">
        <v>89</v>
      </c>
      <c r="K537" t="s">
        <v>89</v>
      </c>
      <c r="L537" t="s">
        <v>80</v>
      </c>
      <c r="M537">
        <v>16</v>
      </c>
      <c r="N537" t="s">
        <v>162</v>
      </c>
      <c r="O537">
        <v>2012</v>
      </c>
      <c r="P537" t="s">
        <v>4719</v>
      </c>
      <c r="Q537" t="s">
        <v>4720</v>
      </c>
      <c r="R537">
        <v>263214</v>
      </c>
      <c r="S537" t="s">
        <v>4721</v>
      </c>
      <c r="T537" t="s">
        <v>4722</v>
      </c>
      <c r="U537">
        <v>1995</v>
      </c>
      <c r="V537" t="s">
        <v>122</v>
      </c>
      <c r="W537">
        <v>1.71</v>
      </c>
      <c r="X537" t="s">
        <v>76</v>
      </c>
      <c r="Y537" t="s">
        <v>86</v>
      </c>
      <c r="Z537" t="s">
        <v>87</v>
      </c>
      <c r="AA537" t="s">
        <v>2514</v>
      </c>
      <c r="AB537" s="1">
        <v>44935</v>
      </c>
      <c r="AC537" t="s">
        <v>170</v>
      </c>
      <c r="AD537" t="s">
        <v>89</v>
      </c>
      <c r="AE537" t="s">
        <v>4723</v>
      </c>
      <c r="AF537">
        <v>17</v>
      </c>
      <c r="AG537" t="s">
        <v>91</v>
      </c>
      <c r="AH537" t="s">
        <v>92</v>
      </c>
      <c r="AI537" t="s">
        <v>89</v>
      </c>
      <c r="AJ537" t="s">
        <v>92</v>
      </c>
      <c r="AK537">
        <v>17</v>
      </c>
      <c r="AL537">
        <v>1</v>
      </c>
      <c r="AM537">
        <v>185</v>
      </c>
      <c r="AN537">
        <v>23</v>
      </c>
      <c r="AO537">
        <v>1</v>
      </c>
      <c r="AP537" t="s">
        <v>93</v>
      </c>
      <c r="AQ537" t="s">
        <v>89</v>
      </c>
      <c r="AR537" t="s">
        <v>89</v>
      </c>
      <c r="AS537" t="s">
        <v>93</v>
      </c>
      <c r="AT537" t="s">
        <v>89</v>
      </c>
      <c r="AU537" t="s">
        <v>89</v>
      </c>
      <c r="AV537" t="s">
        <v>89</v>
      </c>
      <c r="AW537">
        <v>13</v>
      </c>
      <c r="AX537">
        <v>10</v>
      </c>
      <c r="AY537" t="s">
        <v>93</v>
      </c>
      <c r="AZ537">
        <v>0</v>
      </c>
      <c r="BA537">
        <v>0</v>
      </c>
      <c r="BB537">
        <v>0</v>
      </c>
      <c r="BC537">
        <v>0</v>
      </c>
      <c r="BD537">
        <v>3</v>
      </c>
      <c r="BE537">
        <v>71</v>
      </c>
      <c r="BF537">
        <v>0</v>
      </c>
      <c r="BG537" t="s">
        <v>89</v>
      </c>
      <c r="BH537">
        <v>3</v>
      </c>
      <c r="BI537">
        <v>71</v>
      </c>
      <c r="BJ537">
        <v>0</v>
      </c>
      <c r="BK537">
        <f t="shared" si="74"/>
        <v>3</v>
      </c>
      <c r="BL537">
        <f t="shared" si="75"/>
        <v>71</v>
      </c>
      <c r="BM537">
        <f t="shared" si="76"/>
        <v>0</v>
      </c>
      <c r="BN537">
        <f t="shared" si="77"/>
        <v>0</v>
      </c>
      <c r="BO537">
        <f t="shared" si="78"/>
        <v>0</v>
      </c>
      <c r="BP537">
        <f t="shared" si="79"/>
        <v>0</v>
      </c>
      <c r="BQ537" t="s">
        <v>86</v>
      </c>
      <c r="BR537" t="s">
        <v>94</v>
      </c>
      <c r="BS537" s="1">
        <v>35000</v>
      </c>
      <c r="BT537">
        <v>30</v>
      </c>
      <c r="BU537" t="s">
        <v>89</v>
      </c>
      <c r="BV537" t="s">
        <v>89</v>
      </c>
      <c r="BW537">
        <v>13</v>
      </c>
      <c r="BX537">
        <v>1995</v>
      </c>
      <c r="BY537">
        <v>12</v>
      </c>
      <c r="BZ537">
        <f t="shared" si="80"/>
        <v>0</v>
      </c>
      <c r="CA537">
        <f t="shared" si="81"/>
        <v>1</v>
      </c>
      <c r="CB537" t="b">
        <f t="shared" si="82"/>
        <v>1</v>
      </c>
    </row>
    <row r="538" spans="1:80" x14ac:dyDescent="0.3">
      <c r="A538" t="s">
        <v>4724</v>
      </c>
      <c r="B538" t="s">
        <v>4646</v>
      </c>
      <c r="C538" t="s">
        <v>4725</v>
      </c>
      <c r="D538">
        <v>29</v>
      </c>
      <c r="E538" t="s">
        <v>4726</v>
      </c>
      <c r="F538" t="s">
        <v>4727</v>
      </c>
      <c r="G538" t="s">
        <v>400</v>
      </c>
      <c r="H538" t="s">
        <v>4648</v>
      </c>
      <c r="I538" t="s">
        <v>401</v>
      </c>
      <c r="J538" t="s">
        <v>78</v>
      </c>
      <c r="K538" t="s">
        <v>4728</v>
      </c>
      <c r="L538" t="s">
        <v>762</v>
      </c>
      <c r="M538">
        <v>18</v>
      </c>
      <c r="N538" t="s">
        <v>229</v>
      </c>
      <c r="O538">
        <v>2014</v>
      </c>
      <c r="P538" t="s">
        <v>4729</v>
      </c>
      <c r="Q538" t="s">
        <v>4730</v>
      </c>
      <c r="R538">
        <v>295331</v>
      </c>
      <c r="S538" t="s">
        <v>4724</v>
      </c>
      <c r="T538" s="1">
        <v>35247</v>
      </c>
      <c r="U538">
        <v>1996</v>
      </c>
      <c r="V538" t="s">
        <v>4731</v>
      </c>
      <c r="W538">
        <v>1.82</v>
      </c>
      <c r="X538" t="s">
        <v>4648</v>
      </c>
      <c r="Y538" t="s">
        <v>123</v>
      </c>
      <c r="Z538" t="s">
        <v>87</v>
      </c>
      <c r="AA538" t="s">
        <v>476</v>
      </c>
      <c r="AB538" s="1">
        <v>45658</v>
      </c>
      <c r="AC538" t="s">
        <v>108</v>
      </c>
      <c r="AD538" t="s">
        <v>223</v>
      </c>
      <c r="AE538" t="s">
        <v>550</v>
      </c>
      <c r="AF538">
        <v>18</v>
      </c>
      <c r="AG538" t="s">
        <v>91</v>
      </c>
      <c r="AH538" s="1">
        <v>44350</v>
      </c>
      <c r="AI538">
        <v>25</v>
      </c>
      <c r="AJ538">
        <v>0</v>
      </c>
      <c r="AK538">
        <v>18</v>
      </c>
      <c r="AL538">
        <v>18</v>
      </c>
      <c r="AM538">
        <v>856</v>
      </c>
      <c r="AN538">
        <v>130</v>
      </c>
      <c r="AO538">
        <v>10</v>
      </c>
      <c r="AP538" t="s">
        <v>93</v>
      </c>
      <c r="AQ538" t="s">
        <v>89</v>
      </c>
      <c r="AR538" t="s">
        <v>89</v>
      </c>
      <c r="AS538" t="s">
        <v>93</v>
      </c>
      <c r="AT538" t="s">
        <v>89</v>
      </c>
      <c r="AU538" t="s">
        <v>89</v>
      </c>
      <c r="AV538" t="s">
        <v>89</v>
      </c>
      <c r="AW538">
        <v>11</v>
      </c>
      <c r="AX538" t="s">
        <v>89</v>
      </c>
      <c r="AY538" t="s">
        <v>111</v>
      </c>
      <c r="AZ538">
        <v>3</v>
      </c>
      <c r="BA538">
        <v>4</v>
      </c>
      <c r="BB538">
        <v>115</v>
      </c>
      <c r="BC538">
        <v>0</v>
      </c>
      <c r="BD538">
        <v>220</v>
      </c>
      <c r="BE538">
        <v>10750</v>
      </c>
      <c r="BF538">
        <v>19</v>
      </c>
      <c r="BG538" t="s">
        <v>89</v>
      </c>
      <c r="BH538">
        <v>224</v>
      </c>
      <c r="BI538">
        <v>10865</v>
      </c>
      <c r="BJ538">
        <v>19</v>
      </c>
      <c r="BK538">
        <f t="shared" si="74"/>
        <v>224</v>
      </c>
      <c r="BL538">
        <f t="shared" si="75"/>
        <v>10865</v>
      </c>
      <c r="BM538">
        <f t="shared" si="76"/>
        <v>19</v>
      </c>
      <c r="BN538">
        <f t="shared" si="77"/>
        <v>0</v>
      </c>
      <c r="BO538">
        <f t="shared" si="78"/>
        <v>0</v>
      </c>
      <c r="BP538">
        <f t="shared" si="79"/>
        <v>0</v>
      </c>
      <c r="BQ538" t="s">
        <v>123</v>
      </c>
      <c r="BR538" t="s">
        <v>112</v>
      </c>
      <c r="BS538" s="1">
        <v>35071</v>
      </c>
      <c r="BT538">
        <v>30</v>
      </c>
      <c r="BU538" t="s">
        <v>89</v>
      </c>
      <c r="BV538" t="s">
        <v>89</v>
      </c>
      <c r="BW538">
        <v>12</v>
      </c>
      <c r="BX538">
        <v>1996</v>
      </c>
      <c r="BY538">
        <v>11</v>
      </c>
      <c r="BZ538">
        <f t="shared" si="80"/>
        <v>-1</v>
      </c>
      <c r="CA538">
        <f t="shared" si="81"/>
        <v>1</v>
      </c>
      <c r="CB538" t="b">
        <f t="shared" si="82"/>
        <v>0</v>
      </c>
    </row>
    <row r="539" spans="1:80" x14ac:dyDescent="0.3">
      <c r="A539" t="s">
        <v>4732</v>
      </c>
      <c r="B539" t="s">
        <v>71</v>
      </c>
      <c r="C539" t="s">
        <v>4733</v>
      </c>
      <c r="D539">
        <v>33</v>
      </c>
      <c r="E539" t="s">
        <v>4734</v>
      </c>
      <c r="F539" t="s">
        <v>4735</v>
      </c>
      <c r="G539" t="s">
        <v>160</v>
      </c>
      <c r="H539" t="s">
        <v>76</v>
      </c>
      <c r="I539" t="s">
        <v>3931</v>
      </c>
      <c r="J539" t="s">
        <v>78</v>
      </c>
      <c r="K539" t="s">
        <v>706</v>
      </c>
      <c r="L539" t="s">
        <v>228</v>
      </c>
      <c r="M539">
        <v>18</v>
      </c>
      <c r="N539" t="s">
        <v>214</v>
      </c>
      <c r="O539">
        <v>2010</v>
      </c>
      <c r="P539" t="s">
        <v>4736</v>
      </c>
      <c r="Q539" t="s">
        <v>4737</v>
      </c>
      <c r="R539">
        <v>85288</v>
      </c>
      <c r="S539" t="s">
        <v>4732</v>
      </c>
      <c r="T539" t="s">
        <v>4738</v>
      </c>
      <c r="U539">
        <v>1992</v>
      </c>
      <c r="V539" t="s">
        <v>4739</v>
      </c>
      <c r="W539">
        <v>1.76</v>
      </c>
      <c r="X539" t="s">
        <v>76</v>
      </c>
      <c r="Y539" t="s">
        <v>106</v>
      </c>
      <c r="Z539" t="s">
        <v>87</v>
      </c>
      <c r="AA539" t="s">
        <v>706</v>
      </c>
      <c r="AB539" t="s">
        <v>880</v>
      </c>
      <c r="AC539" t="s">
        <v>88</v>
      </c>
      <c r="AD539" t="s">
        <v>442</v>
      </c>
      <c r="AE539" t="s">
        <v>774</v>
      </c>
      <c r="AF539">
        <v>18</v>
      </c>
      <c r="AG539" t="s">
        <v>91</v>
      </c>
      <c r="AH539" t="s">
        <v>92</v>
      </c>
      <c r="AI539" t="s">
        <v>89</v>
      </c>
      <c r="AJ539" t="s">
        <v>92</v>
      </c>
      <c r="AK539">
        <v>18</v>
      </c>
      <c r="AL539">
        <v>24</v>
      </c>
      <c r="AM539">
        <v>607</v>
      </c>
      <c r="AN539">
        <v>119</v>
      </c>
      <c r="AO539">
        <v>11</v>
      </c>
      <c r="AP539" t="s">
        <v>93</v>
      </c>
      <c r="AQ539" t="s">
        <v>89</v>
      </c>
      <c r="AR539" t="s">
        <v>89</v>
      </c>
      <c r="AS539" t="s">
        <v>93</v>
      </c>
      <c r="AT539" t="s">
        <v>89</v>
      </c>
      <c r="AU539" t="s">
        <v>89</v>
      </c>
      <c r="AV539" t="s">
        <v>89</v>
      </c>
      <c r="AW539">
        <v>15</v>
      </c>
      <c r="AX539">
        <v>22</v>
      </c>
      <c r="AY539" t="s">
        <v>111</v>
      </c>
      <c r="AZ539">
        <v>12</v>
      </c>
      <c r="BA539">
        <v>38</v>
      </c>
      <c r="BB539">
        <v>2309</v>
      </c>
      <c r="BC539">
        <v>12</v>
      </c>
      <c r="BD539">
        <v>508</v>
      </c>
      <c r="BE539">
        <v>31530</v>
      </c>
      <c r="BF539">
        <v>91</v>
      </c>
      <c r="BG539" t="s">
        <v>89</v>
      </c>
      <c r="BH539">
        <v>546</v>
      </c>
      <c r="BI539">
        <v>33839</v>
      </c>
      <c r="BJ539">
        <v>103</v>
      </c>
      <c r="BK539">
        <f t="shared" si="74"/>
        <v>546</v>
      </c>
      <c r="BL539">
        <f t="shared" si="75"/>
        <v>33839</v>
      </c>
      <c r="BM539">
        <f t="shared" si="76"/>
        <v>103</v>
      </c>
      <c r="BN539">
        <f t="shared" si="77"/>
        <v>0</v>
      </c>
      <c r="BO539">
        <f t="shared" si="78"/>
        <v>0</v>
      </c>
      <c r="BP539">
        <f t="shared" si="79"/>
        <v>0</v>
      </c>
      <c r="BQ539" t="s">
        <v>106</v>
      </c>
      <c r="BR539" t="s">
        <v>112</v>
      </c>
      <c r="BS539" s="1">
        <v>33715</v>
      </c>
      <c r="BT539">
        <v>33</v>
      </c>
      <c r="BU539" t="s">
        <v>89</v>
      </c>
      <c r="BV539" t="s">
        <v>89</v>
      </c>
      <c r="BW539">
        <v>15</v>
      </c>
      <c r="BX539">
        <v>1992</v>
      </c>
      <c r="BY539">
        <v>15</v>
      </c>
      <c r="BZ539">
        <f t="shared" si="80"/>
        <v>0</v>
      </c>
      <c r="CA539">
        <f t="shared" si="81"/>
        <v>0</v>
      </c>
      <c r="CB539" t="b">
        <f t="shared" si="82"/>
        <v>1</v>
      </c>
    </row>
    <row r="540" spans="1:80" x14ac:dyDescent="0.3">
      <c r="A540" t="s">
        <v>4740</v>
      </c>
      <c r="B540" t="s">
        <v>71</v>
      </c>
      <c r="C540" t="s">
        <v>4741</v>
      </c>
      <c r="D540">
        <v>35</v>
      </c>
      <c r="E540" s="1">
        <v>32902</v>
      </c>
      <c r="F540" t="s">
        <v>89</v>
      </c>
      <c r="G540" t="s">
        <v>115</v>
      </c>
      <c r="H540" t="s">
        <v>76</v>
      </c>
      <c r="I540" t="s">
        <v>4742</v>
      </c>
      <c r="J540" t="s">
        <v>300</v>
      </c>
      <c r="K540" t="s">
        <v>89</v>
      </c>
      <c r="L540" t="s">
        <v>80</v>
      </c>
      <c r="M540">
        <v>22</v>
      </c>
      <c r="N540" t="s">
        <v>137</v>
      </c>
      <c r="O540">
        <v>2012</v>
      </c>
      <c r="P540" t="s">
        <v>4743</v>
      </c>
      <c r="Q540" t="s">
        <v>4744</v>
      </c>
      <c r="R540">
        <v>54231</v>
      </c>
      <c r="S540" t="s">
        <v>4740</v>
      </c>
      <c r="T540" t="s">
        <v>4203</v>
      </c>
      <c r="U540">
        <v>1990</v>
      </c>
      <c r="V540" t="s">
        <v>1185</v>
      </c>
      <c r="W540">
        <v>1.8</v>
      </c>
      <c r="X540" t="s">
        <v>76</v>
      </c>
      <c r="Y540" t="s">
        <v>203</v>
      </c>
      <c r="Z540" t="s">
        <v>152</v>
      </c>
      <c r="AA540" t="s">
        <v>370</v>
      </c>
      <c r="AB540" s="1">
        <v>44719</v>
      </c>
      <c r="AC540" t="s">
        <v>108</v>
      </c>
      <c r="AD540" t="s">
        <v>89</v>
      </c>
      <c r="AE540" t="s">
        <v>90</v>
      </c>
      <c r="AF540">
        <v>22</v>
      </c>
      <c r="AG540" t="s">
        <v>91</v>
      </c>
      <c r="AH540" s="1">
        <v>41495</v>
      </c>
      <c r="AI540">
        <v>23</v>
      </c>
      <c r="AJ540" t="s">
        <v>110</v>
      </c>
      <c r="AK540">
        <v>22</v>
      </c>
      <c r="AL540">
        <v>4</v>
      </c>
      <c r="AM540">
        <v>53</v>
      </c>
      <c r="AN540">
        <v>8</v>
      </c>
      <c r="AO540">
        <v>2</v>
      </c>
      <c r="AP540" t="s">
        <v>93</v>
      </c>
      <c r="AQ540" t="s">
        <v>89</v>
      </c>
      <c r="AR540" t="s">
        <v>89</v>
      </c>
      <c r="AS540" t="s">
        <v>111</v>
      </c>
      <c r="AT540" s="1">
        <v>44719</v>
      </c>
      <c r="AU540">
        <v>2022</v>
      </c>
      <c r="AV540">
        <v>10</v>
      </c>
      <c r="AW540">
        <v>10</v>
      </c>
      <c r="AX540" t="s">
        <v>89</v>
      </c>
      <c r="AY540" t="s">
        <v>93</v>
      </c>
      <c r="AZ540">
        <v>0</v>
      </c>
      <c r="BA540">
        <v>0</v>
      </c>
      <c r="BB540">
        <v>0</v>
      </c>
      <c r="BC540">
        <v>0</v>
      </c>
      <c r="BD540">
        <v>179</v>
      </c>
      <c r="BE540">
        <v>12308</v>
      </c>
      <c r="BF540">
        <v>10</v>
      </c>
      <c r="BG540">
        <v>32</v>
      </c>
      <c r="BH540">
        <v>179</v>
      </c>
      <c r="BI540">
        <v>12308</v>
      </c>
      <c r="BJ540">
        <v>10</v>
      </c>
      <c r="BK540">
        <f t="shared" si="74"/>
        <v>179</v>
      </c>
      <c r="BL540">
        <f t="shared" si="75"/>
        <v>12308</v>
      </c>
      <c r="BM540">
        <f t="shared" si="76"/>
        <v>10</v>
      </c>
      <c r="BN540">
        <f t="shared" si="77"/>
        <v>0</v>
      </c>
      <c r="BO540">
        <f t="shared" si="78"/>
        <v>0</v>
      </c>
      <c r="BP540">
        <f t="shared" si="79"/>
        <v>0</v>
      </c>
      <c r="BQ540" t="s">
        <v>203</v>
      </c>
      <c r="BR540" t="s">
        <v>140</v>
      </c>
      <c r="BS540" s="1">
        <v>32902</v>
      </c>
      <c r="BT540">
        <v>36</v>
      </c>
      <c r="BU540" s="1">
        <v>44719</v>
      </c>
      <c r="BV540" s="1">
        <v>44748</v>
      </c>
      <c r="BW540">
        <v>10</v>
      </c>
      <c r="BX540">
        <v>1990</v>
      </c>
      <c r="BY540">
        <v>10</v>
      </c>
      <c r="BZ540">
        <f t="shared" si="80"/>
        <v>0</v>
      </c>
      <c r="CA540">
        <f t="shared" si="81"/>
        <v>0</v>
      </c>
      <c r="CB540" t="b">
        <f t="shared" si="82"/>
        <v>1</v>
      </c>
    </row>
    <row r="541" spans="1:80" x14ac:dyDescent="0.3">
      <c r="A541" t="s">
        <v>4745</v>
      </c>
      <c r="B541" t="s">
        <v>71</v>
      </c>
      <c r="C541" t="s">
        <v>4746</v>
      </c>
      <c r="D541">
        <v>32</v>
      </c>
      <c r="E541" t="s">
        <v>4747</v>
      </c>
      <c r="F541" t="s">
        <v>4748</v>
      </c>
      <c r="G541" t="s">
        <v>277</v>
      </c>
      <c r="H541" t="s">
        <v>76</v>
      </c>
      <c r="I541" t="s">
        <v>227</v>
      </c>
      <c r="J541" t="s">
        <v>89</v>
      </c>
      <c r="K541" t="s">
        <v>4749</v>
      </c>
      <c r="L541" t="s">
        <v>80</v>
      </c>
      <c r="M541">
        <v>19</v>
      </c>
      <c r="N541" t="s">
        <v>304</v>
      </c>
      <c r="O541">
        <v>2012</v>
      </c>
      <c r="P541" t="s">
        <v>4750</v>
      </c>
      <c r="Q541" t="s">
        <v>4751</v>
      </c>
      <c r="R541">
        <v>126748</v>
      </c>
      <c r="S541" t="s">
        <v>4745</v>
      </c>
      <c r="T541" t="s">
        <v>4752</v>
      </c>
      <c r="U541">
        <v>1993</v>
      </c>
      <c r="V541" t="s">
        <v>4753</v>
      </c>
      <c r="W541">
        <v>1.87</v>
      </c>
      <c r="X541" t="s">
        <v>76</v>
      </c>
      <c r="Y541" t="s">
        <v>235</v>
      </c>
      <c r="Z541" t="s">
        <v>87</v>
      </c>
      <c r="AA541" t="s">
        <v>4749</v>
      </c>
      <c r="AB541" t="s">
        <v>4754</v>
      </c>
      <c r="AC541" t="s">
        <v>170</v>
      </c>
      <c r="AD541" t="s">
        <v>89</v>
      </c>
      <c r="AE541" t="s">
        <v>4755</v>
      </c>
      <c r="AF541">
        <v>19</v>
      </c>
      <c r="AG541" t="s">
        <v>91</v>
      </c>
      <c r="AH541">
        <v>42188</v>
      </c>
      <c r="AI541">
        <v>21</v>
      </c>
      <c r="AJ541" t="s">
        <v>110</v>
      </c>
      <c r="AK541">
        <v>19</v>
      </c>
      <c r="AL541">
        <v>3</v>
      </c>
      <c r="AM541">
        <v>105</v>
      </c>
      <c r="AN541">
        <v>23</v>
      </c>
      <c r="AO541">
        <v>2</v>
      </c>
      <c r="AP541" t="s">
        <v>93</v>
      </c>
      <c r="AQ541" t="s">
        <v>89</v>
      </c>
      <c r="AR541" t="s">
        <v>89</v>
      </c>
      <c r="AS541" t="s">
        <v>93</v>
      </c>
      <c r="AT541" t="s">
        <v>89</v>
      </c>
      <c r="AU541" t="s">
        <v>89</v>
      </c>
      <c r="AV541" t="s">
        <v>89</v>
      </c>
      <c r="AW541">
        <v>13</v>
      </c>
      <c r="AX541">
        <v>44</v>
      </c>
      <c r="AY541" t="s">
        <v>93</v>
      </c>
      <c r="AZ541">
        <v>0</v>
      </c>
      <c r="BA541">
        <v>0</v>
      </c>
      <c r="BB541">
        <v>0</v>
      </c>
      <c r="BC541">
        <v>0</v>
      </c>
      <c r="BD541">
        <v>150</v>
      </c>
      <c r="BE541">
        <v>12325</v>
      </c>
      <c r="BF541">
        <v>7</v>
      </c>
      <c r="BG541" t="s">
        <v>89</v>
      </c>
      <c r="BH541">
        <v>150</v>
      </c>
      <c r="BI541">
        <v>12325</v>
      </c>
      <c r="BJ541">
        <v>7</v>
      </c>
      <c r="BK541">
        <f t="shared" si="74"/>
        <v>150</v>
      </c>
      <c r="BL541">
        <f t="shared" si="75"/>
        <v>12325</v>
      </c>
      <c r="BM541">
        <f t="shared" si="76"/>
        <v>7</v>
      </c>
      <c r="BN541">
        <f t="shared" si="77"/>
        <v>0</v>
      </c>
      <c r="BO541">
        <f t="shared" si="78"/>
        <v>0</v>
      </c>
      <c r="BP541">
        <f t="shared" si="79"/>
        <v>0</v>
      </c>
      <c r="BQ541" t="s">
        <v>235</v>
      </c>
      <c r="BR541" t="s">
        <v>140</v>
      </c>
      <c r="BS541" s="1">
        <v>34135</v>
      </c>
      <c r="BT541">
        <v>32</v>
      </c>
      <c r="BU541" t="s">
        <v>89</v>
      </c>
      <c r="BV541" t="s">
        <v>89</v>
      </c>
      <c r="BW541">
        <v>13</v>
      </c>
      <c r="BX541">
        <v>1993</v>
      </c>
      <c r="BY541">
        <v>13</v>
      </c>
      <c r="BZ541">
        <f t="shared" si="80"/>
        <v>0</v>
      </c>
      <c r="CA541">
        <f t="shared" si="81"/>
        <v>0</v>
      </c>
      <c r="CB541" t="b">
        <f t="shared" si="82"/>
        <v>1</v>
      </c>
    </row>
    <row r="542" spans="1:80" x14ac:dyDescent="0.3">
      <c r="A542" t="s">
        <v>4756</v>
      </c>
      <c r="B542" t="s">
        <v>552</v>
      </c>
      <c r="C542" t="s">
        <v>4757</v>
      </c>
      <c r="D542">
        <v>38</v>
      </c>
      <c r="E542" s="1">
        <v>31755</v>
      </c>
      <c r="F542" t="s">
        <v>89</v>
      </c>
      <c r="G542" t="s">
        <v>374</v>
      </c>
      <c r="H542" t="s">
        <v>4758</v>
      </c>
      <c r="I542" t="s">
        <v>227</v>
      </c>
      <c r="J542" t="s">
        <v>78</v>
      </c>
      <c r="K542" t="s">
        <v>89</v>
      </c>
      <c r="L542" t="s">
        <v>254</v>
      </c>
      <c r="M542">
        <v>22</v>
      </c>
      <c r="N542" t="s">
        <v>4759</v>
      </c>
      <c r="O542">
        <v>2009</v>
      </c>
      <c r="P542" t="s">
        <v>4760</v>
      </c>
      <c r="Q542" t="s">
        <v>4761</v>
      </c>
      <c r="R542">
        <v>64992</v>
      </c>
      <c r="S542" t="s">
        <v>4756</v>
      </c>
      <c r="T542">
        <v>31667</v>
      </c>
      <c r="U542">
        <v>1986</v>
      </c>
      <c r="V542" t="s">
        <v>4762</v>
      </c>
      <c r="W542">
        <v>1.9</v>
      </c>
      <c r="X542" t="s">
        <v>4758</v>
      </c>
      <c r="Y542" t="s">
        <v>259</v>
      </c>
      <c r="Z542" t="s">
        <v>87</v>
      </c>
      <c r="AA542" t="s">
        <v>476</v>
      </c>
      <c r="AB542" s="1">
        <v>44749</v>
      </c>
      <c r="AC542" t="s">
        <v>108</v>
      </c>
      <c r="AD542" t="s">
        <v>89</v>
      </c>
      <c r="AE542">
        <v>2011</v>
      </c>
      <c r="AF542">
        <v>24</v>
      </c>
      <c r="AG542" t="s">
        <v>613</v>
      </c>
      <c r="AH542">
        <v>2010</v>
      </c>
      <c r="AI542">
        <v>23</v>
      </c>
      <c r="AJ542">
        <v>0</v>
      </c>
      <c r="AK542">
        <v>23</v>
      </c>
      <c r="AL542">
        <v>1</v>
      </c>
      <c r="AM542">
        <v>14</v>
      </c>
      <c r="AN542">
        <v>2</v>
      </c>
      <c r="AO542">
        <v>1</v>
      </c>
      <c r="AP542" t="s">
        <v>93</v>
      </c>
      <c r="AQ542" t="s">
        <v>89</v>
      </c>
      <c r="AR542" t="s">
        <v>89</v>
      </c>
      <c r="AS542" t="s">
        <v>93</v>
      </c>
      <c r="AT542" t="s">
        <v>89</v>
      </c>
      <c r="AU542" t="s">
        <v>89</v>
      </c>
      <c r="AV542" t="s">
        <v>89</v>
      </c>
      <c r="AW542">
        <v>16</v>
      </c>
      <c r="AX542" t="s">
        <v>89</v>
      </c>
      <c r="AY542" t="s">
        <v>111</v>
      </c>
      <c r="AZ542">
        <v>6</v>
      </c>
      <c r="BA542">
        <v>24</v>
      </c>
      <c r="BB542">
        <v>2037</v>
      </c>
      <c r="BC542">
        <v>1</v>
      </c>
      <c r="BD542">
        <v>125</v>
      </c>
      <c r="BE542">
        <v>10007</v>
      </c>
      <c r="BF542">
        <v>3</v>
      </c>
      <c r="BG542" t="s">
        <v>89</v>
      </c>
      <c r="BH542">
        <v>149</v>
      </c>
      <c r="BI542">
        <v>12044</v>
      </c>
      <c r="BJ542">
        <v>4</v>
      </c>
      <c r="BK542">
        <f t="shared" si="74"/>
        <v>149</v>
      </c>
      <c r="BL542">
        <f t="shared" si="75"/>
        <v>12044</v>
      </c>
      <c r="BM542">
        <f t="shared" si="76"/>
        <v>4</v>
      </c>
      <c r="BN542">
        <f t="shared" si="77"/>
        <v>0</v>
      </c>
      <c r="BO542">
        <f t="shared" si="78"/>
        <v>0</v>
      </c>
      <c r="BP542">
        <f t="shared" si="79"/>
        <v>0</v>
      </c>
      <c r="BQ542" t="s">
        <v>259</v>
      </c>
      <c r="BR542" t="s">
        <v>94</v>
      </c>
      <c r="BS542" t="s">
        <v>89</v>
      </c>
      <c r="BT542">
        <v>40</v>
      </c>
      <c r="BU542" t="s">
        <v>89</v>
      </c>
      <c r="BV542" t="s">
        <v>89</v>
      </c>
      <c r="BW542">
        <v>17</v>
      </c>
      <c r="BX542">
        <v>1986</v>
      </c>
      <c r="BY542">
        <v>15</v>
      </c>
      <c r="BZ542">
        <f t="shared" si="80"/>
        <v>-1</v>
      </c>
      <c r="CA542">
        <f t="shared" si="81"/>
        <v>2</v>
      </c>
      <c r="CB542" t="b">
        <f t="shared" si="82"/>
        <v>0</v>
      </c>
    </row>
    <row r="543" spans="1:80" x14ac:dyDescent="0.3">
      <c r="A543" t="s">
        <v>4763</v>
      </c>
      <c r="B543" t="s">
        <v>729</v>
      </c>
      <c r="C543" t="s">
        <v>4764</v>
      </c>
      <c r="D543">
        <v>46</v>
      </c>
      <c r="E543" s="1">
        <v>28955</v>
      </c>
      <c r="F543" t="s">
        <v>89</v>
      </c>
      <c r="G543" t="s">
        <v>115</v>
      </c>
      <c r="H543" t="s">
        <v>732</v>
      </c>
      <c r="I543" t="s">
        <v>437</v>
      </c>
      <c r="J543" t="s">
        <v>300</v>
      </c>
      <c r="K543" t="s">
        <v>89</v>
      </c>
      <c r="L543" t="s">
        <v>196</v>
      </c>
      <c r="M543">
        <v>21</v>
      </c>
      <c r="N543" t="s">
        <v>131</v>
      </c>
      <c r="O543">
        <v>2000</v>
      </c>
      <c r="P543" t="s">
        <v>4765</v>
      </c>
      <c r="Q543" t="s">
        <v>4766</v>
      </c>
      <c r="R543">
        <v>51583</v>
      </c>
      <c r="S543" t="s">
        <v>4763</v>
      </c>
      <c r="T543" s="1">
        <v>29132</v>
      </c>
      <c r="U543">
        <v>1979</v>
      </c>
      <c r="V543" t="s">
        <v>736</v>
      </c>
      <c r="W543">
        <v>1.78</v>
      </c>
      <c r="X543" t="s">
        <v>2217</v>
      </c>
      <c r="Y543" t="s">
        <v>123</v>
      </c>
      <c r="Z543" t="s">
        <v>152</v>
      </c>
      <c r="AA543" t="s">
        <v>3450</v>
      </c>
      <c r="AB543" t="s">
        <v>2540</v>
      </c>
      <c r="AC543" t="s">
        <v>108</v>
      </c>
      <c r="AD543" t="s">
        <v>89</v>
      </c>
      <c r="AE543">
        <v>36808</v>
      </c>
      <c r="AF543">
        <v>21</v>
      </c>
      <c r="AG543" t="s">
        <v>91</v>
      </c>
      <c r="AH543" t="s">
        <v>2556</v>
      </c>
      <c r="AI543">
        <v>24</v>
      </c>
      <c r="AJ543" t="s">
        <v>110</v>
      </c>
      <c r="AK543">
        <v>21</v>
      </c>
      <c r="AL543">
        <v>2</v>
      </c>
      <c r="AM543">
        <v>55</v>
      </c>
      <c r="AN543">
        <v>9</v>
      </c>
      <c r="AO543">
        <v>2</v>
      </c>
      <c r="AP543" t="s">
        <v>93</v>
      </c>
      <c r="AQ543" t="s">
        <v>89</v>
      </c>
      <c r="AR543" t="s">
        <v>89</v>
      </c>
      <c r="AS543" t="s">
        <v>111</v>
      </c>
      <c r="AT543" t="s">
        <v>2540</v>
      </c>
      <c r="AU543">
        <v>2017</v>
      </c>
      <c r="AV543">
        <v>17</v>
      </c>
      <c r="AW543">
        <v>17</v>
      </c>
      <c r="AX543" t="s">
        <v>89</v>
      </c>
      <c r="AY543" t="s">
        <v>93</v>
      </c>
      <c r="AZ543">
        <v>0</v>
      </c>
      <c r="BA543">
        <v>0</v>
      </c>
      <c r="BB543">
        <v>0</v>
      </c>
      <c r="BC543">
        <v>0</v>
      </c>
      <c r="BD543">
        <v>472</v>
      </c>
      <c r="BE543">
        <v>30646</v>
      </c>
      <c r="BF543">
        <v>149</v>
      </c>
      <c r="BG543">
        <v>38</v>
      </c>
      <c r="BH543">
        <v>472</v>
      </c>
      <c r="BI543">
        <v>30646</v>
      </c>
      <c r="BJ543">
        <v>149</v>
      </c>
      <c r="BK543">
        <f t="shared" si="74"/>
        <v>472</v>
      </c>
      <c r="BL543">
        <f t="shared" si="75"/>
        <v>30646</v>
      </c>
      <c r="BM543">
        <f t="shared" si="76"/>
        <v>149</v>
      </c>
      <c r="BN543">
        <f t="shared" si="77"/>
        <v>0</v>
      </c>
      <c r="BO543">
        <f t="shared" si="78"/>
        <v>0</v>
      </c>
      <c r="BP543">
        <f t="shared" si="79"/>
        <v>0</v>
      </c>
      <c r="BQ543" t="s">
        <v>123</v>
      </c>
      <c r="BR543" t="s">
        <v>112</v>
      </c>
      <c r="BS543" s="1">
        <v>28955</v>
      </c>
      <c r="BT543">
        <v>46</v>
      </c>
      <c r="BU543" t="s">
        <v>2540</v>
      </c>
      <c r="BV543" s="1">
        <v>42930</v>
      </c>
      <c r="BW543">
        <v>17</v>
      </c>
      <c r="BX543">
        <v>1979</v>
      </c>
      <c r="BY543">
        <v>17</v>
      </c>
      <c r="BZ543">
        <f t="shared" si="80"/>
        <v>0</v>
      </c>
      <c r="CA543">
        <f t="shared" si="81"/>
        <v>0</v>
      </c>
      <c r="CB543" t="b">
        <f t="shared" si="82"/>
        <v>1</v>
      </c>
    </row>
    <row r="544" spans="1:80" x14ac:dyDescent="0.3">
      <c r="A544" t="s">
        <v>4767</v>
      </c>
      <c r="B544" t="s">
        <v>3343</v>
      </c>
      <c r="C544" t="s">
        <v>4768</v>
      </c>
      <c r="D544">
        <v>36</v>
      </c>
      <c r="E544" s="1">
        <v>32692</v>
      </c>
      <c r="F544" t="s">
        <v>89</v>
      </c>
      <c r="G544" t="s">
        <v>115</v>
      </c>
      <c r="H544" t="s">
        <v>3347</v>
      </c>
      <c r="I544" t="s">
        <v>437</v>
      </c>
      <c r="J544" t="s">
        <v>89</v>
      </c>
      <c r="K544" t="s">
        <v>89</v>
      </c>
      <c r="L544" t="s">
        <v>180</v>
      </c>
      <c r="M544">
        <v>18</v>
      </c>
      <c r="N544" t="s">
        <v>416</v>
      </c>
      <c r="O544">
        <v>2007</v>
      </c>
      <c r="P544" t="s">
        <v>4769</v>
      </c>
      <c r="Q544" t="s">
        <v>4770</v>
      </c>
      <c r="R544">
        <v>57675</v>
      </c>
      <c r="S544" t="s">
        <v>4767</v>
      </c>
      <c r="T544" s="1">
        <v>32574</v>
      </c>
      <c r="U544">
        <v>1989</v>
      </c>
      <c r="V544" t="s">
        <v>2226</v>
      </c>
      <c r="W544">
        <v>1.8</v>
      </c>
      <c r="X544" t="s">
        <v>3352</v>
      </c>
      <c r="Y544" t="s">
        <v>123</v>
      </c>
      <c r="Z544" t="s">
        <v>87</v>
      </c>
      <c r="AA544" t="s">
        <v>4771</v>
      </c>
      <c r="AB544">
        <v>43107</v>
      </c>
      <c r="AC544" t="s">
        <v>108</v>
      </c>
      <c r="AD544" t="s">
        <v>3735</v>
      </c>
      <c r="AE544" t="s">
        <v>449</v>
      </c>
      <c r="AF544">
        <v>18</v>
      </c>
      <c r="AG544" t="s">
        <v>91</v>
      </c>
      <c r="AH544" t="s">
        <v>4772</v>
      </c>
      <c r="AI544">
        <v>19</v>
      </c>
      <c r="AJ544" t="s">
        <v>110</v>
      </c>
      <c r="AK544">
        <v>18</v>
      </c>
      <c r="AL544">
        <v>2</v>
      </c>
      <c r="AM544">
        <v>430</v>
      </c>
      <c r="AN544">
        <v>63</v>
      </c>
      <c r="AO544">
        <v>2</v>
      </c>
      <c r="AP544" t="s">
        <v>93</v>
      </c>
      <c r="AQ544" t="s">
        <v>89</v>
      </c>
      <c r="AR544" t="s">
        <v>89</v>
      </c>
      <c r="AS544" t="s">
        <v>111</v>
      </c>
      <c r="AT544">
        <v>43107</v>
      </c>
      <c r="AU544">
        <v>2018</v>
      </c>
      <c r="AV544">
        <v>11</v>
      </c>
      <c r="AW544">
        <v>11</v>
      </c>
      <c r="AX544" t="s">
        <v>89</v>
      </c>
      <c r="AY544" t="s">
        <v>111</v>
      </c>
      <c r="AZ544">
        <v>6</v>
      </c>
      <c r="BA544">
        <v>11</v>
      </c>
      <c r="BB544">
        <v>335</v>
      </c>
      <c r="BC544">
        <v>0</v>
      </c>
      <c r="BD544">
        <v>78</v>
      </c>
      <c r="BE544">
        <v>3047</v>
      </c>
      <c r="BF544">
        <v>10</v>
      </c>
      <c r="BG544">
        <v>29</v>
      </c>
      <c r="BH544">
        <v>89</v>
      </c>
      <c r="BI544">
        <v>3382</v>
      </c>
      <c r="BJ544">
        <v>10</v>
      </c>
      <c r="BK544">
        <f t="shared" si="74"/>
        <v>89</v>
      </c>
      <c r="BL544">
        <f t="shared" si="75"/>
        <v>3382</v>
      </c>
      <c r="BM544">
        <f t="shared" si="76"/>
        <v>10</v>
      </c>
      <c r="BN544">
        <f t="shared" si="77"/>
        <v>0</v>
      </c>
      <c r="BO544">
        <f t="shared" si="78"/>
        <v>0</v>
      </c>
      <c r="BP544">
        <f t="shared" si="79"/>
        <v>0</v>
      </c>
      <c r="BQ544" t="s">
        <v>123</v>
      </c>
      <c r="BR544" t="s">
        <v>112</v>
      </c>
      <c r="BS544" s="1">
        <v>32692</v>
      </c>
      <c r="BT544">
        <v>36</v>
      </c>
      <c r="BU544">
        <v>43107</v>
      </c>
      <c r="BV544" t="s">
        <v>89</v>
      </c>
      <c r="BW544">
        <v>11</v>
      </c>
      <c r="BX544">
        <v>1989</v>
      </c>
      <c r="BY544">
        <v>11</v>
      </c>
      <c r="BZ544">
        <f t="shared" si="80"/>
        <v>0</v>
      </c>
      <c r="CA544">
        <f t="shared" si="81"/>
        <v>0</v>
      </c>
      <c r="CB544" t="b">
        <f t="shared" si="82"/>
        <v>1</v>
      </c>
    </row>
    <row r="545" spans="1:80" x14ac:dyDescent="0.3">
      <c r="A545" t="s">
        <v>4773</v>
      </c>
      <c r="B545" t="s">
        <v>71</v>
      </c>
      <c r="C545" t="s">
        <v>4774</v>
      </c>
      <c r="D545">
        <v>41</v>
      </c>
      <c r="E545" t="s">
        <v>4775</v>
      </c>
      <c r="F545" t="s">
        <v>2530</v>
      </c>
      <c r="G545" t="s">
        <v>226</v>
      </c>
      <c r="H545" t="s">
        <v>76</v>
      </c>
      <c r="I545" t="s">
        <v>178</v>
      </c>
      <c r="J545" t="s">
        <v>300</v>
      </c>
      <c r="K545" t="s">
        <v>164</v>
      </c>
      <c r="L545" t="s">
        <v>145</v>
      </c>
      <c r="M545">
        <v>20</v>
      </c>
      <c r="N545" t="s">
        <v>81</v>
      </c>
      <c r="O545">
        <v>2004</v>
      </c>
      <c r="P545" t="s">
        <v>4776</v>
      </c>
      <c r="Q545" t="s">
        <v>4777</v>
      </c>
      <c r="R545">
        <v>27493</v>
      </c>
      <c r="S545" t="s">
        <v>4773</v>
      </c>
      <c r="T545" t="s">
        <v>4778</v>
      </c>
      <c r="U545">
        <v>1984</v>
      </c>
      <c r="V545" t="s">
        <v>4779</v>
      </c>
      <c r="W545">
        <v>1.87</v>
      </c>
      <c r="X545" t="s">
        <v>76</v>
      </c>
      <c r="Y545" t="s">
        <v>186</v>
      </c>
      <c r="Z545" t="s">
        <v>152</v>
      </c>
      <c r="AA545" t="s">
        <v>548</v>
      </c>
      <c r="AB545" t="s">
        <v>4780</v>
      </c>
      <c r="AC545" t="s">
        <v>170</v>
      </c>
      <c r="AD545" t="s">
        <v>89</v>
      </c>
      <c r="AE545" t="s">
        <v>4166</v>
      </c>
      <c r="AF545">
        <v>21</v>
      </c>
      <c r="AG545" t="s">
        <v>91</v>
      </c>
      <c r="AH545" t="s">
        <v>540</v>
      </c>
      <c r="AI545">
        <v>23</v>
      </c>
      <c r="AJ545" t="s">
        <v>110</v>
      </c>
      <c r="AK545">
        <v>21</v>
      </c>
      <c r="AL545">
        <v>12</v>
      </c>
      <c r="AM545">
        <v>556</v>
      </c>
      <c r="AN545">
        <v>80</v>
      </c>
      <c r="AO545">
        <v>9</v>
      </c>
      <c r="AP545" t="s">
        <v>93</v>
      </c>
      <c r="AQ545" t="s">
        <v>89</v>
      </c>
      <c r="AR545" t="s">
        <v>89</v>
      </c>
      <c r="AS545" t="s">
        <v>93</v>
      </c>
      <c r="AT545" t="s">
        <v>89</v>
      </c>
      <c r="AU545" t="s">
        <v>89</v>
      </c>
      <c r="AV545" t="s">
        <v>89</v>
      </c>
      <c r="AW545">
        <v>21</v>
      </c>
      <c r="AX545">
        <v>25</v>
      </c>
      <c r="AY545" t="s">
        <v>93</v>
      </c>
      <c r="AZ545">
        <v>0</v>
      </c>
      <c r="BA545">
        <v>0</v>
      </c>
      <c r="BB545">
        <v>0</v>
      </c>
      <c r="BC545">
        <v>0</v>
      </c>
      <c r="BD545">
        <v>409</v>
      </c>
      <c r="BE545">
        <v>36518</v>
      </c>
      <c r="BF545">
        <v>0</v>
      </c>
      <c r="BG545" t="s">
        <v>89</v>
      </c>
      <c r="BH545">
        <v>409</v>
      </c>
      <c r="BI545">
        <v>36518</v>
      </c>
      <c r="BJ545">
        <v>0</v>
      </c>
      <c r="BK545">
        <f t="shared" si="74"/>
        <v>409</v>
      </c>
      <c r="BL545">
        <f t="shared" si="75"/>
        <v>36518</v>
      </c>
      <c r="BM545">
        <f t="shared" si="76"/>
        <v>0</v>
      </c>
      <c r="BN545">
        <f t="shared" si="77"/>
        <v>0</v>
      </c>
      <c r="BO545">
        <f t="shared" si="78"/>
        <v>0</v>
      </c>
      <c r="BP545">
        <f t="shared" si="79"/>
        <v>0</v>
      </c>
      <c r="BQ545" t="s">
        <v>186</v>
      </c>
      <c r="BR545" t="s">
        <v>186</v>
      </c>
      <c r="BS545" s="1">
        <v>30829</v>
      </c>
      <c r="BT545">
        <v>41</v>
      </c>
      <c r="BU545" t="s">
        <v>89</v>
      </c>
      <c r="BV545" t="s">
        <v>89</v>
      </c>
      <c r="BW545">
        <v>20</v>
      </c>
      <c r="BX545">
        <v>1984</v>
      </c>
      <c r="BY545">
        <v>20</v>
      </c>
      <c r="BZ545">
        <f t="shared" si="80"/>
        <v>1</v>
      </c>
      <c r="CA545">
        <f t="shared" si="81"/>
        <v>0</v>
      </c>
      <c r="CB545" t="b">
        <f t="shared" si="82"/>
        <v>0</v>
      </c>
    </row>
    <row r="546" spans="1:80" x14ac:dyDescent="0.3">
      <c r="A546" t="s">
        <v>4781</v>
      </c>
      <c r="B546" t="s">
        <v>71</v>
      </c>
      <c r="C546" t="s">
        <v>4782</v>
      </c>
      <c r="D546">
        <v>49</v>
      </c>
      <c r="E546" s="1">
        <v>27886</v>
      </c>
      <c r="F546" t="s">
        <v>89</v>
      </c>
      <c r="G546" t="s">
        <v>1289</v>
      </c>
      <c r="H546" t="s">
        <v>76</v>
      </c>
      <c r="I546" t="s">
        <v>722</v>
      </c>
      <c r="J546" t="s">
        <v>89</v>
      </c>
      <c r="K546" t="s">
        <v>89</v>
      </c>
      <c r="L546" t="s">
        <v>2852</v>
      </c>
      <c r="M546">
        <v>19</v>
      </c>
      <c r="N546" t="s">
        <v>644</v>
      </c>
      <c r="O546">
        <v>1995</v>
      </c>
      <c r="P546" t="s">
        <v>4783</v>
      </c>
      <c r="Q546" t="s">
        <v>4784</v>
      </c>
      <c r="R546">
        <v>8037</v>
      </c>
      <c r="S546" t="s">
        <v>4781</v>
      </c>
      <c r="T546" s="1">
        <v>27916</v>
      </c>
      <c r="U546">
        <v>1976</v>
      </c>
      <c r="V546" t="s">
        <v>2226</v>
      </c>
      <c r="W546">
        <v>1.71</v>
      </c>
      <c r="X546" t="s">
        <v>76</v>
      </c>
      <c r="Y546" t="s">
        <v>106</v>
      </c>
      <c r="Z546" t="s">
        <v>87</v>
      </c>
      <c r="AA546" t="s">
        <v>146</v>
      </c>
      <c r="AB546">
        <v>40550</v>
      </c>
      <c r="AC546" t="s">
        <v>108</v>
      </c>
      <c r="AD546" t="s">
        <v>89</v>
      </c>
      <c r="AE546" s="1">
        <v>34767</v>
      </c>
      <c r="AF546">
        <v>19</v>
      </c>
      <c r="AG546" t="s">
        <v>91</v>
      </c>
      <c r="AH546" t="s">
        <v>3561</v>
      </c>
      <c r="AI546">
        <v>17</v>
      </c>
      <c r="AJ546" t="s">
        <v>110</v>
      </c>
      <c r="AK546">
        <v>17</v>
      </c>
      <c r="AL546">
        <v>6</v>
      </c>
      <c r="AM546">
        <v>445</v>
      </c>
      <c r="AN546">
        <v>57</v>
      </c>
      <c r="AO546">
        <v>4</v>
      </c>
      <c r="AP546" t="s">
        <v>93</v>
      </c>
      <c r="AQ546" t="s">
        <v>89</v>
      </c>
      <c r="AR546" t="s">
        <v>89</v>
      </c>
      <c r="AS546" t="s">
        <v>111</v>
      </c>
      <c r="AT546">
        <v>40550</v>
      </c>
      <c r="AU546">
        <v>2011</v>
      </c>
      <c r="AV546">
        <v>16</v>
      </c>
      <c r="AW546">
        <v>16</v>
      </c>
      <c r="AX546" t="s">
        <v>89</v>
      </c>
      <c r="AY546" t="s">
        <v>111</v>
      </c>
      <c r="AZ546">
        <v>1</v>
      </c>
      <c r="BA546">
        <v>3</v>
      </c>
      <c r="BB546">
        <v>207</v>
      </c>
      <c r="BC546">
        <v>0</v>
      </c>
      <c r="BD546">
        <v>330</v>
      </c>
      <c r="BE546">
        <v>20370</v>
      </c>
      <c r="BF546">
        <v>23</v>
      </c>
      <c r="BG546">
        <v>35</v>
      </c>
      <c r="BH546">
        <v>333</v>
      </c>
      <c r="BI546">
        <v>20577</v>
      </c>
      <c r="BJ546">
        <v>23</v>
      </c>
      <c r="BK546">
        <f t="shared" si="74"/>
        <v>333</v>
      </c>
      <c r="BL546">
        <f t="shared" si="75"/>
        <v>20577</v>
      </c>
      <c r="BM546">
        <f t="shared" si="76"/>
        <v>23</v>
      </c>
      <c r="BN546">
        <f t="shared" si="77"/>
        <v>0</v>
      </c>
      <c r="BO546">
        <f t="shared" si="78"/>
        <v>0</v>
      </c>
      <c r="BP546">
        <f t="shared" si="79"/>
        <v>0</v>
      </c>
      <c r="BQ546" t="s">
        <v>106</v>
      </c>
      <c r="BR546" t="s">
        <v>112</v>
      </c>
      <c r="BS546" s="1">
        <v>27886</v>
      </c>
      <c r="BT546">
        <v>49</v>
      </c>
      <c r="BU546">
        <v>40550</v>
      </c>
      <c r="BV546" t="s">
        <v>89</v>
      </c>
      <c r="BW546">
        <v>18</v>
      </c>
      <c r="BX546">
        <v>1976</v>
      </c>
      <c r="BY546">
        <v>18</v>
      </c>
      <c r="BZ546">
        <f t="shared" si="80"/>
        <v>-2</v>
      </c>
      <c r="CA546">
        <f t="shared" si="81"/>
        <v>0</v>
      </c>
      <c r="CB546" t="b">
        <f t="shared" si="82"/>
        <v>0</v>
      </c>
    </row>
    <row r="547" spans="1:80" x14ac:dyDescent="0.3">
      <c r="A547" t="s">
        <v>4785</v>
      </c>
      <c r="B547" t="s">
        <v>71</v>
      </c>
      <c r="C547" t="s">
        <v>4786</v>
      </c>
      <c r="D547">
        <v>37</v>
      </c>
      <c r="E547" s="1">
        <v>32188</v>
      </c>
      <c r="F547" t="s">
        <v>89</v>
      </c>
      <c r="G547" t="s">
        <v>176</v>
      </c>
      <c r="H547" t="s">
        <v>89</v>
      </c>
      <c r="I547" t="s">
        <v>227</v>
      </c>
      <c r="J547" t="s">
        <v>89</v>
      </c>
      <c r="K547" t="s">
        <v>89</v>
      </c>
      <c r="L547" t="s">
        <v>254</v>
      </c>
      <c r="M547">
        <v>21</v>
      </c>
      <c r="N547" t="s">
        <v>1047</v>
      </c>
      <c r="O547">
        <v>2009</v>
      </c>
      <c r="P547" t="s">
        <v>4787</v>
      </c>
      <c r="Q547" t="s">
        <v>4788</v>
      </c>
      <c r="R547">
        <v>131942</v>
      </c>
      <c r="S547" t="s">
        <v>4785</v>
      </c>
      <c r="T547" t="s">
        <v>4789</v>
      </c>
      <c r="U547">
        <v>1988</v>
      </c>
      <c r="V547" t="s">
        <v>1047</v>
      </c>
      <c r="W547" t="s">
        <v>89</v>
      </c>
      <c r="X547" t="s">
        <v>76</v>
      </c>
      <c r="Y547" t="s">
        <v>235</v>
      </c>
      <c r="Z547" t="s">
        <v>89</v>
      </c>
      <c r="AA547" t="s">
        <v>4790</v>
      </c>
      <c r="AB547">
        <v>43837</v>
      </c>
      <c r="AC547" t="s">
        <v>108</v>
      </c>
      <c r="AD547" t="s">
        <v>89</v>
      </c>
      <c r="AE547" t="s">
        <v>4461</v>
      </c>
      <c r="AF547">
        <v>21</v>
      </c>
      <c r="AG547" t="s">
        <v>91</v>
      </c>
      <c r="AH547" t="s">
        <v>927</v>
      </c>
      <c r="AI547">
        <v>24</v>
      </c>
      <c r="AJ547" t="s">
        <v>110</v>
      </c>
      <c r="AK547">
        <v>21</v>
      </c>
      <c r="AL547">
        <v>4</v>
      </c>
      <c r="AM547">
        <v>614</v>
      </c>
      <c r="AN547">
        <v>60</v>
      </c>
      <c r="AO547">
        <v>3</v>
      </c>
      <c r="AP547" t="s">
        <v>93</v>
      </c>
      <c r="AQ547" t="s">
        <v>89</v>
      </c>
      <c r="AR547" t="s">
        <v>89</v>
      </c>
      <c r="AS547" t="s">
        <v>111</v>
      </c>
      <c r="AT547">
        <v>43837</v>
      </c>
      <c r="AU547">
        <v>2020</v>
      </c>
      <c r="AV547">
        <v>11</v>
      </c>
      <c r="AW547">
        <v>11</v>
      </c>
      <c r="AX547" t="s">
        <v>89</v>
      </c>
      <c r="AY547" t="s">
        <v>93</v>
      </c>
      <c r="AZ547">
        <v>0</v>
      </c>
      <c r="BA547">
        <v>0</v>
      </c>
      <c r="BB547">
        <v>0</v>
      </c>
      <c r="BC547">
        <v>0</v>
      </c>
      <c r="BD547">
        <v>151</v>
      </c>
      <c r="BE547">
        <v>12443</v>
      </c>
      <c r="BF547">
        <v>4</v>
      </c>
      <c r="BG547">
        <v>32</v>
      </c>
      <c r="BH547">
        <v>151</v>
      </c>
      <c r="BI547">
        <v>12443</v>
      </c>
      <c r="BJ547">
        <v>4</v>
      </c>
      <c r="BK547">
        <f t="shared" si="74"/>
        <v>151</v>
      </c>
      <c r="BL547">
        <f t="shared" si="75"/>
        <v>12443</v>
      </c>
      <c r="BM547">
        <f t="shared" si="76"/>
        <v>4</v>
      </c>
      <c r="BN547">
        <f t="shared" si="77"/>
        <v>0</v>
      </c>
      <c r="BO547">
        <f t="shared" si="78"/>
        <v>0</v>
      </c>
      <c r="BP547">
        <f t="shared" si="79"/>
        <v>0</v>
      </c>
      <c r="BQ547" t="s">
        <v>235</v>
      </c>
      <c r="BR547" t="s">
        <v>140</v>
      </c>
      <c r="BS547" t="s">
        <v>89</v>
      </c>
      <c r="BT547">
        <v>38</v>
      </c>
      <c r="BU547">
        <v>43837</v>
      </c>
      <c r="BV547" t="s">
        <v>89</v>
      </c>
      <c r="BW547">
        <v>11</v>
      </c>
      <c r="BX547">
        <v>1988</v>
      </c>
      <c r="BY547">
        <v>11</v>
      </c>
      <c r="BZ547">
        <f t="shared" si="80"/>
        <v>0</v>
      </c>
      <c r="CA547">
        <f t="shared" si="81"/>
        <v>0</v>
      </c>
      <c r="CB547" t="b">
        <f t="shared" si="82"/>
        <v>1</v>
      </c>
    </row>
    <row r="548" spans="1:80" x14ac:dyDescent="0.3">
      <c r="A548" t="s">
        <v>4791</v>
      </c>
      <c r="B548" t="s">
        <v>71</v>
      </c>
      <c r="C548" t="s">
        <v>4792</v>
      </c>
      <c r="D548">
        <v>45</v>
      </c>
      <c r="E548" s="1">
        <v>29278</v>
      </c>
      <c r="F548" t="s">
        <v>89</v>
      </c>
      <c r="G548" t="s">
        <v>226</v>
      </c>
      <c r="H548" t="s">
        <v>89</v>
      </c>
      <c r="I548" t="s">
        <v>227</v>
      </c>
      <c r="J548" t="s">
        <v>89</v>
      </c>
      <c r="K548" t="s">
        <v>89</v>
      </c>
      <c r="L548" t="s">
        <v>657</v>
      </c>
      <c r="M548">
        <v>23</v>
      </c>
      <c r="N548" t="s">
        <v>629</v>
      </c>
      <c r="O548">
        <v>2003</v>
      </c>
      <c r="P548" t="s">
        <v>4793</v>
      </c>
      <c r="Q548" t="s">
        <v>4794</v>
      </c>
      <c r="R548">
        <v>29066</v>
      </c>
      <c r="S548" t="s">
        <v>4791</v>
      </c>
      <c r="T548" t="s">
        <v>4795</v>
      </c>
      <c r="U548">
        <v>1980</v>
      </c>
      <c r="V548" t="s">
        <v>122</v>
      </c>
      <c r="W548">
        <v>1.88</v>
      </c>
      <c r="X548" t="s">
        <v>76</v>
      </c>
      <c r="Y548" t="s">
        <v>235</v>
      </c>
      <c r="Z548" t="s">
        <v>87</v>
      </c>
      <c r="AA548" t="s">
        <v>279</v>
      </c>
      <c r="AB548">
        <v>42011</v>
      </c>
      <c r="AC548" t="s">
        <v>108</v>
      </c>
      <c r="AD548" t="s">
        <v>89</v>
      </c>
      <c r="AE548" t="s">
        <v>719</v>
      </c>
      <c r="AF548">
        <v>28</v>
      </c>
      <c r="AG548" t="s">
        <v>91</v>
      </c>
      <c r="AH548" s="1">
        <v>37721</v>
      </c>
      <c r="AI548">
        <v>23</v>
      </c>
      <c r="AJ548" t="s">
        <v>110</v>
      </c>
      <c r="AK548">
        <v>23</v>
      </c>
      <c r="AL548">
        <v>1</v>
      </c>
      <c r="AM548">
        <v>23</v>
      </c>
      <c r="AN548">
        <v>4</v>
      </c>
      <c r="AO548">
        <v>1</v>
      </c>
      <c r="AP548" t="s">
        <v>93</v>
      </c>
      <c r="AQ548" t="s">
        <v>89</v>
      </c>
      <c r="AR548" t="s">
        <v>89</v>
      </c>
      <c r="AS548" t="s">
        <v>111</v>
      </c>
      <c r="AT548">
        <v>42011</v>
      </c>
      <c r="AU548">
        <v>2015</v>
      </c>
      <c r="AV548">
        <v>12</v>
      </c>
      <c r="AW548">
        <v>12</v>
      </c>
      <c r="AX548" t="s">
        <v>89</v>
      </c>
      <c r="AY548" t="s">
        <v>93</v>
      </c>
      <c r="AZ548">
        <v>0</v>
      </c>
      <c r="BA548">
        <v>0</v>
      </c>
      <c r="BB548">
        <v>0</v>
      </c>
      <c r="BC548">
        <v>0</v>
      </c>
      <c r="BD548">
        <v>274</v>
      </c>
      <c r="BE548">
        <v>21529</v>
      </c>
      <c r="BF548">
        <v>3</v>
      </c>
      <c r="BG548">
        <v>35</v>
      </c>
      <c r="BH548">
        <v>274</v>
      </c>
      <c r="BI548">
        <v>21529</v>
      </c>
      <c r="BJ548">
        <v>3</v>
      </c>
      <c r="BK548">
        <f t="shared" si="74"/>
        <v>274</v>
      </c>
      <c r="BL548">
        <f t="shared" si="75"/>
        <v>21529</v>
      </c>
      <c r="BM548">
        <f t="shared" si="76"/>
        <v>3</v>
      </c>
      <c r="BN548">
        <f t="shared" si="77"/>
        <v>0</v>
      </c>
      <c r="BO548">
        <f t="shared" si="78"/>
        <v>0</v>
      </c>
      <c r="BP548">
        <f t="shared" si="79"/>
        <v>0</v>
      </c>
      <c r="BQ548" t="s">
        <v>235</v>
      </c>
      <c r="BR548" t="s">
        <v>140</v>
      </c>
      <c r="BS548" s="1">
        <v>29278</v>
      </c>
      <c r="BT548">
        <v>45</v>
      </c>
      <c r="BU548">
        <v>42011</v>
      </c>
      <c r="BV548" t="s">
        <v>89</v>
      </c>
      <c r="BW548">
        <v>12</v>
      </c>
      <c r="BX548">
        <v>1980</v>
      </c>
      <c r="BY548">
        <v>12</v>
      </c>
      <c r="BZ548">
        <f t="shared" si="80"/>
        <v>0</v>
      </c>
      <c r="CA548">
        <f t="shared" si="81"/>
        <v>0</v>
      </c>
      <c r="CB548" t="b">
        <f t="shared" si="82"/>
        <v>1</v>
      </c>
    </row>
    <row r="549" spans="1:80" ht="57.6" x14ac:dyDescent="0.3">
      <c r="A549" t="s">
        <v>4796</v>
      </c>
      <c r="B549" t="s">
        <v>71</v>
      </c>
      <c r="C549" t="s">
        <v>4797</v>
      </c>
      <c r="D549">
        <v>31</v>
      </c>
      <c r="E549" s="1">
        <v>34204</v>
      </c>
      <c r="F549" t="s">
        <v>89</v>
      </c>
      <c r="G549" t="s">
        <v>143</v>
      </c>
      <c r="H549" t="s">
        <v>76</v>
      </c>
      <c r="I549" t="s">
        <v>348</v>
      </c>
      <c r="J549" t="s">
        <v>78</v>
      </c>
      <c r="K549" t="s">
        <v>89</v>
      </c>
      <c r="L549" t="s">
        <v>762</v>
      </c>
      <c r="M549">
        <v>20</v>
      </c>
      <c r="N549" t="s">
        <v>751</v>
      </c>
      <c r="O549">
        <v>2014</v>
      </c>
      <c r="P549" t="s">
        <v>4798</v>
      </c>
      <c r="Q549" t="s">
        <v>4799</v>
      </c>
      <c r="R549">
        <v>203778</v>
      </c>
      <c r="S549" s="2" t="s">
        <v>4800</v>
      </c>
      <c r="T549" s="2" t="s">
        <v>4801</v>
      </c>
      <c r="U549">
        <v>1994</v>
      </c>
      <c r="V549" t="s">
        <v>214</v>
      </c>
      <c r="W549">
        <v>1.75</v>
      </c>
      <c r="X549" t="s">
        <v>76</v>
      </c>
      <c r="Y549" s="2" t="s">
        <v>4802</v>
      </c>
      <c r="Z549" t="s">
        <v>87</v>
      </c>
      <c r="AA549" t="s">
        <v>751</v>
      </c>
      <c r="AB549" s="1">
        <v>43837</v>
      </c>
      <c r="AC549" t="s">
        <v>89</v>
      </c>
      <c r="AD549" t="s">
        <v>89</v>
      </c>
      <c r="AE549" t="s">
        <v>1758</v>
      </c>
      <c r="AF549">
        <v>21</v>
      </c>
      <c r="AG549" t="s">
        <v>91</v>
      </c>
      <c r="AH549" t="s">
        <v>4803</v>
      </c>
      <c r="AI549">
        <v>20</v>
      </c>
      <c r="AJ549" t="s">
        <v>110</v>
      </c>
      <c r="AK549">
        <v>20</v>
      </c>
      <c r="AL549">
        <v>11</v>
      </c>
      <c r="AM549">
        <v>840</v>
      </c>
      <c r="AN549">
        <v>112</v>
      </c>
      <c r="AO549">
        <v>6</v>
      </c>
      <c r="AP549" t="s">
        <v>93</v>
      </c>
      <c r="AQ549" t="s">
        <v>89</v>
      </c>
      <c r="AR549" t="s">
        <v>89</v>
      </c>
      <c r="AS549" t="s">
        <v>111</v>
      </c>
      <c r="AT549" s="1">
        <v>43837</v>
      </c>
      <c r="AU549">
        <v>2020</v>
      </c>
      <c r="AV549">
        <v>6</v>
      </c>
      <c r="AW549">
        <v>6</v>
      </c>
      <c r="AX549">
        <v>10</v>
      </c>
      <c r="AY549" t="s">
        <v>93</v>
      </c>
      <c r="AZ549">
        <v>0</v>
      </c>
      <c r="BA549">
        <v>0</v>
      </c>
      <c r="BB549">
        <v>0</v>
      </c>
      <c r="BC549">
        <v>0</v>
      </c>
      <c r="BD549">
        <v>61</v>
      </c>
      <c r="BE549">
        <v>4629</v>
      </c>
      <c r="BF549">
        <v>0</v>
      </c>
      <c r="BG549">
        <v>26</v>
      </c>
      <c r="BH549">
        <v>61</v>
      </c>
      <c r="BI549">
        <v>4629</v>
      </c>
      <c r="BJ549">
        <v>0</v>
      </c>
      <c r="BK549">
        <f t="shared" si="74"/>
        <v>61</v>
      </c>
      <c r="BL549">
        <f t="shared" si="75"/>
        <v>4629</v>
      </c>
      <c r="BM549">
        <f t="shared" si="76"/>
        <v>0</v>
      </c>
      <c r="BN549">
        <f t="shared" si="77"/>
        <v>0</v>
      </c>
      <c r="BO549">
        <f t="shared" si="78"/>
        <v>0</v>
      </c>
      <c r="BP549">
        <f t="shared" si="79"/>
        <v>0</v>
      </c>
      <c r="BQ549" t="s">
        <v>136</v>
      </c>
      <c r="BR549" t="s">
        <v>140</v>
      </c>
      <c r="BS549" s="1">
        <v>34204</v>
      </c>
      <c r="BT549">
        <v>32</v>
      </c>
      <c r="BU549" s="1">
        <v>43837</v>
      </c>
      <c r="BV549" s="1">
        <v>44013</v>
      </c>
      <c r="BW549">
        <v>6</v>
      </c>
      <c r="BX549">
        <v>1994</v>
      </c>
      <c r="BY549">
        <v>6</v>
      </c>
      <c r="BZ549">
        <f t="shared" si="80"/>
        <v>0</v>
      </c>
      <c r="CA549">
        <f t="shared" si="81"/>
        <v>0</v>
      </c>
      <c r="CB549" t="b">
        <f t="shared" si="82"/>
        <v>1</v>
      </c>
    </row>
    <row r="550" spans="1:80" x14ac:dyDescent="0.3">
      <c r="A550" t="s">
        <v>4804</v>
      </c>
      <c r="B550" t="s">
        <v>71</v>
      </c>
      <c r="C550" t="s">
        <v>4805</v>
      </c>
      <c r="D550">
        <v>38</v>
      </c>
      <c r="E550" t="s">
        <v>4806</v>
      </c>
      <c r="F550" t="s">
        <v>4807</v>
      </c>
      <c r="G550" t="s">
        <v>374</v>
      </c>
      <c r="H550" t="s">
        <v>76</v>
      </c>
      <c r="I550" t="s">
        <v>375</v>
      </c>
      <c r="J550" t="s">
        <v>300</v>
      </c>
      <c r="K550" t="s">
        <v>89</v>
      </c>
      <c r="L550" t="s">
        <v>180</v>
      </c>
      <c r="M550">
        <v>20</v>
      </c>
      <c r="N550" t="s">
        <v>416</v>
      </c>
      <c r="O550">
        <v>2007</v>
      </c>
      <c r="P550" t="s">
        <v>4808</v>
      </c>
      <c r="Q550" t="s">
        <v>4809</v>
      </c>
      <c r="R550">
        <v>57723</v>
      </c>
      <c r="S550" t="s">
        <v>4804</v>
      </c>
      <c r="T550" t="s">
        <v>4810</v>
      </c>
      <c r="U550">
        <v>1987</v>
      </c>
      <c r="V550" t="s">
        <v>2226</v>
      </c>
      <c r="W550">
        <v>1.89</v>
      </c>
      <c r="X550" t="s">
        <v>76</v>
      </c>
      <c r="Y550" t="s">
        <v>235</v>
      </c>
      <c r="Z550" t="s">
        <v>152</v>
      </c>
      <c r="AA550" t="s">
        <v>1236</v>
      </c>
      <c r="AB550" s="1">
        <v>45664</v>
      </c>
      <c r="AC550" t="s">
        <v>108</v>
      </c>
      <c r="AD550" t="s">
        <v>89</v>
      </c>
      <c r="AE550" t="s">
        <v>4811</v>
      </c>
      <c r="AF550">
        <v>20</v>
      </c>
      <c r="AG550" t="s">
        <v>91</v>
      </c>
      <c r="AH550" t="s">
        <v>4812</v>
      </c>
      <c r="AI550">
        <v>33</v>
      </c>
      <c r="AJ550" t="s">
        <v>3569</v>
      </c>
      <c r="AK550">
        <v>20</v>
      </c>
      <c r="AL550">
        <v>10</v>
      </c>
      <c r="AM550">
        <v>1218</v>
      </c>
      <c r="AN550">
        <v>194</v>
      </c>
      <c r="AO550">
        <v>8</v>
      </c>
      <c r="AP550" t="s">
        <v>93</v>
      </c>
      <c r="AQ550" t="s">
        <v>89</v>
      </c>
      <c r="AR550" t="s">
        <v>89</v>
      </c>
      <c r="AS550" t="s">
        <v>111</v>
      </c>
      <c r="AT550" s="1">
        <v>45664</v>
      </c>
      <c r="AU550">
        <v>2025</v>
      </c>
      <c r="AV550">
        <v>18</v>
      </c>
      <c r="AW550">
        <v>18</v>
      </c>
      <c r="AX550" t="s">
        <v>89</v>
      </c>
      <c r="AY550" t="s">
        <v>93</v>
      </c>
      <c r="AZ550">
        <v>0</v>
      </c>
      <c r="BA550">
        <v>0</v>
      </c>
      <c r="BB550">
        <v>0</v>
      </c>
      <c r="BC550">
        <v>0</v>
      </c>
      <c r="BD550">
        <v>430</v>
      </c>
      <c r="BE550">
        <v>36695</v>
      </c>
      <c r="BF550">
        <v>39</v>
      </c>
      <c r="BG550">
        <v>38</v>
      </c>
      <c r="BH550">
        <v>430</v>
      </c>
      <c r="BI550">
        <v>36695</v>
      </c>
      <c r="BJ550">
        <v>39</v>
      </c>
      <c r="BK550">
        <f t="shared" si="74"/>
        <v>430</v>
      </c>
      <c r="BL550">
        <f t="shared" si="75"/>
        <v>36695</v>
      </c>
      <c r="BM550">
        <f t="shared" si="76"/>
        <v>39</v>
      </c>
      <c r="BN550">
        <f t="shared" si="77"/>
        <v>0</v>
      </c>
      <c r="BO550">
        <f t="shared" si="78"/>
        <v>0</v>
      </c>
      <c r="BP550">
        <f t="shared" si="79"/>
        <v>0</v>
      </c>
      <c r="BQ550" t="s">
        <v>235</v>
      </c>
      <c r="BR550" t="s">
        <v>140</v>
      </c>
      <c r="BS550" s="1">
        <v>31951</v>
      </c>
      <c r="BT550">
        <v>38</v>
      </c>
      <c r="BU550" s="1">
        <v>45664</v>
      </c>
      <c r="BV550" s="1">
        <v>45839</v>
      </c>
      <c r="BW550">
        <v>18</v>
      </c>
      <c r="BX550">
        <v>1987</v>
      </c>
      <c r="BY550">
        <v>18</v>
      </c>
      <c r="BZ550">
        <f t="shared" si="80"/>
        <v>0</v>
      </c>
      <c r="CA550">
        <f t="shared" si="81"/>
        <v>0</v>
      </c>
      <c r="CB550" t="b">
        <f t="shared" si="82"/>
        <v>1</v>
      </c>
    </row>
    <row r="551" spans="1:80" x14ac:dyDescent="0.3">
      <c r="A551" t="s">
        <v>4813</v>
      </c>
      <c r="B551" t="s">
        <v>71</v>
      </c>
      <c r="C551" t="s">
        <v>4814</v>
      </c>
      <c r="D551">
        <v>40</v>
      </c>
      <c r="E551" s="1">
        <v>30980</v>
      </c>
      <c r="F551" t="s">
        <v>89</v>
      </c>
      <c r="G551" t="s">
        <v>277</v>
      </c>
      <c r="H551" t="s">
        <v>76</v>
      </c>
      <c r="I551" t="s">
        <v>227</v>
      </c>
      <c r="J551" t="s">
        <v>78</v>
      </c>
      <c r="K551" t="s">
        <v>89</v>
      </c>
      <c r="L551" t="s">
        <v>657</v>
      </c>
      <c r="M551">
        <v>18</v>
      </c>
      <c r="N551" t="s">
        <v>164</v>
      </c>
      <c r="O551">
        <v>2003</v>
      </c>
      <c r="P551" t="s">
        <v>4815</v>
      </c>
      <c r="Q551" t="s">
        <v>4816</v>
      </c>
      <c r="R551">
        <v>26066</v>
      </c>
      <c r="S551" t="s">
        <v>4813</v>
      </c>
      <c r="T551" t="s">
        <v>4817</v>
      </c>
      <c r="U551">
        <v>1984</v>
      </c>
      <c r="V551" t="s">
        <v>4818</v>
      </c>
      <c r="W551">
        <v>1.89</v>
      </c>
      <c r="X551" t="s">
        <v>76</v>
      </c>
      <c r="Y551" t="s">
        <v>235</v>
      </c>
      <c r="Z551" t="s">
        <v>87</v>
      </c>
      <c r="AA551" t="s">
        <v>1186</v>
      </c>
      <c r="AB551" t="s">
        <v>1209</v>
      </c>
      <c r="AC551" t="s">
        <v>108</v>
      </c>
      <c r="AD551" t="s">
        <v>89</v>
      </c>
      <c r="AE551" t="s">
        <v>1087</v>
      </c>
      <c r="AF551">
        <v>19</v>
      </c>
      <c r="AG551" t="s">
        <v>91</v>
      </c>
      <c r="AH551" t="s">
        <v>513</v>
      </c>
      <c r="AI551">
        <v>20</v>
      </c>
      <c r="AJ551" t="s">
        <v>110</v>
      </c>
      <c r="AK551">
        <v>19</v>
      </c>
      <c r="AL551">
        <v>21</v>
      </c>
      <c r="AM551">
        <v>2868</v>
      </c>
      <c r="AN551">
        <v>125</v>
      </c>
      <c r="AO551">
        <v>7</v>
      </c>
      <c r="AP551" t="s">
        <v>93</v>
      </c>
      <c r="AQ551" t="s">
        <v>89</v>
      </c>
      <c r="AR551" t="s">
        <v>89</v>
      </c>
      <c r="AS551" t="s">
        <v>111</v>
      </c>
      <c r="AT551" t="s">
        <v>1209</v>
      </c>
      <c r="AU551">
        <v>2020</v>
      </c>
      <c r="AV551">
        <v>17</v>
      </c>
      <c r="AW551">
        <v>17</v>
      </c>
      <c r="AX551" t="s">
        <v>89</v>
      </c>
      <c r="AY551" t="s">
        <v>93</v>
      </c>
      <c r="AZ551">
        <v>0</v>
      </c>
      <c r="BA551">
        <v>0</v>
      </c>
      <c r="BB551">
        <v>0</v>
      </c>
      <c r="BC551">
        <v>0</v>
      </c>
      <c r="BD551">
        <v>352</v>
      </c>
      <c r="BE551">
        <v>28814</v>
      </c>
      <c r="BF551">
        <v>20</v>
      </c>
      <c r="BG551">
        <v>36</v>
      </c>
      <c r="BH551">
        <v>352</v>
      </c>
      <c r="BI551">
        <v>28814</v>
      </c>
      <c r="BJ551">
        <v>20</v>
      </c>
      <c r="BK551">
        <f t="shared" si="74"/>
        <v>352</v>
      </c>
      <c r="BL551">
        <f t="shared" si="75"/>
        <v>28814</v>
      </c>
      <c r="BM551">
        <f t="shared" si="76"/>
        <v>20</v>
      </c>
      <c r="BN551">
        <f t="shared" si="77"/>
        <v>0</v>
      </c>
      <c r="BO551">
        <f t="shared" si="78"/>
        <v>0</v>
      </c>
      <c r="BP551">
        <f t="shared" si="79"/>
        <v>0</v>
      </c>
      <c r="BQ551" t="s">
        <v>235</v>
      </c>
      <c r="BR551" t="s">
        <v>140</v>
      </c>
      <c r="BS551" s="1">
        <v>30980</v>
      </c>
      <c r="BT551">
        <v>41</v>
      </c>
      <c r="BU551" t="s">
        <v>1209</v>
      </c>
      <c r="BV551" s="1">
        <v>44032</v>
      </c>
      <c r="BW551">
        <v>17</v>
      </c>
      <c r="BX551">
        <v>1984</v>
      </c>
      <c r="BY551">
        <v>17</v>
      </c>
      <c r="BZ551">
        <f t="shared" si="80"/>
        <v>0</v>
      </c>
      <c r="CA551">
        <f t="shared" si="81"/>
        <v>0</v>
      </c>
      <c r="CB551" t="b">
        <f t="shared" si="82"/>
        <v>1</v>
      </c>
    </row>
    <row r="552" spans="1:80" x14ac:dyDescent="0.3">
      <c r="A552" t="s">
        <v>4819</v>
      </c>
      <c r="B552" t="s">
        <v>1231</v>
      </c>
      <c r="C552" t="s">
        <v>4820</v>
      </c>
      <c r="D552">
        <v>31</v>
      </c>
      <c r="E552" t="s">
        <v>4821</v>
      </c>
      <c r="F552" t="s">
        <v>3093</v>
      </c>
      <c r="G552" t="s">
        <v>143</v>
      </c>
      <c r="H552" t="s">
        <v>4822</v>
      </c>
      <c r="I552" t="s">
        <v>116</v>
      </c>
      <c r="J552" t="s">
        <v>78</v>
      </c>
      <c r="K552" t="s">
        <v>4823</v>
      </c>
      <c r="L552" t="s">
        <v>324</v>
      </c>
      <c r="M552">
        <v>19</v>
      </c>
      <c r="N552" t="s">
        <v>490</v>
      </c>
      <c r="O552">
        <v>2013</v>
      </c>
      <c r="P552" t="s">
        <v>4824</v>
      </c>
      <c r="Q552" t="s">
        <v>4825</v>
      </c>
      <c r="R552">
        <v>149716</v>
      </c>
      <c r="S552" t="s">
        <v>4819</v>
      </c>
      <c r="T552" t="s">
        <v>4826</v>
      </c>
      <c r="U552">
        <v>1993</v>
      </c>
      <c r="V552" t="s">
        <v>4827</v>
      </c>
      <c r="W552">
        <v>1.75</v>
      </c>
      <c r="X552" t="s">
        <v>4329</v>
      </c>
      <c r="Y552" t="s">
        <v>391</v>
      </c>
      <c r="Z552" t="s">
        <v>87</v>
      </c>
      <c r="AA552" t="s">
        <v>4823</v>
      </c>
      <c r="AB552" t="s">
        <v>1984</v>
      </c>
      <c r="AC552" t="s">
        <v>88</v>
      </c>
      <c r="AD552" t="s">
        <v>89</v>
      </c>
      <c r="AE552" t="s">
        <v>4828</v>
      </c>
      <c r="AF552">
        <v>20</v>
      </c>
      <c r="AG552" t="s">
        <v>613</v>
      </c>
      <c r="AH552">
        <v>41221</v>
      </c>
      <c r="AI552">
        <v>18</v>
      </c>
      <c r="AJ552" t="s">
        <v>615</v>
      </c>
      <c r="AK552">
        <v>18</v>
      </c>
      <c r="AL552">
        <v>13</v>
      </c>
      <c r="AM552">
        <v>369</v>
      </c>
      <c r="AN552">
        <v>72</v>
      </c>
      <c r="AO552">
        <v>9</v>
      </c>
      <c r="AP552" t="s">
        <v>93</v>
      </c>
      <c r="AQ552" t="s">
        <v>89</v>
      </c>
      <c r="AR552" t="s">
        <v>89</v>
      </c>
      <c r="AS552" t="s">
        <v>93</v>
      </c>
      <c r="AT552" t="s">
        <v>89</v>
      </c>
      <c r="AU552" t="s">
        <v>89</v>
      </c>
      <c r="AV552" t="s">
        <v>89</v>
      </c>
      <c r="AW552">
        <v>12</v>
      </c>
      <c r="AX552">
        <v>17</v>
      </c>
      <c r="AY552" t="s">
        <v>111</v>
      </c>
      <c r="AZ552">
        <v>3</v>
      </c>
      <c r="BA552">
        <v>2</v>
      </c>
      <c r="BB552">
        <v>113</v>
      </c>
      <c r="BC552">
        <v>0</v>
      </c>
      <c r="BD552">
        <v>333</v>
      </c>
      <c r="BE552">
        <v>18293</v>
      </c>
      <c r="BF552">
        <v>41</v>
      </c>
      <c r="BG552" t="s">
        <v>89</v>
      </c>
      <c r="BH552">
        <v>335</v>
      </c>
      <c r="BI552">
        <v>18406</v>
      </c>
      <c r="BJ552">
        <v>41</v>
      </c>
      <c r="BK552">
        <f t="shared" si="74"/>
        <v>335</v>
      </c>
      <c r="BL552">
        <f t="shared" si="75"/>
        <v>18406</v>
      </c>
      <c r="BM552">
        <f t="shared" si="76"/>
        <v>41</v>
      </c>
      <c r="BN552">
        <f t="shared" si="77"/>
        <v>0</v>
      </c>
      <c r="BO552">
        <f t="shared" si="78"/>
        <v>0</v>
      </c>
      <c r="BP552">
        <f t="shared" si="79"/>
        <v>0</v>
      </c>
      <c r="BQ552" t="s">
        <v>391</v>
      </c>
      <c r="BR552" t="s">
        <v>112</v>
      </c>
      <c r="BS552" t="s">
        <v>89</v>
      </c>
      <c r="BT552">
        <v>33</v>
      </c>
      <c r="BU552" t="s">
        <v>89</v>
      </c>
      <c r="BV552" t="s">
        <v>89</v>
      </c>
      <c r="BW552">
        <v>15</v>
      </c>
      <c r="BX552">
        <v>1993</v>
      </c>
      <c r="BY552">
        <v>13</v>
      </c>
      <c r="BZ552">
        <f t="shared" si="80"/>
        <v>-3</v>
      </c>
      <c r="CA552">
        <f t="shared" si="81"/>
        <v>2</v>
      </c>
      <c r="CB552" t="b">
        <f t="shared" si="82"/>
        <v>0</v>
      </c>
    </row>
    <row r="553" spans="1:80" x14ac:dyDescent="0.3">
      <c r="A553" t="s">
        <v>4829</v>
      </c>
      <c r="B553" t="s">
        <v>997</v>
      </c>
      <c r="C553" t="s">
        <v>4830</v>
      </c>
      <c r="D553">
        <v>37</v>
      </c>
      <c r="E553" s="1">
        <v>32349</v>
      </c>
      <c r="F553" t="s">
        <v>89</v>
      </c>
      <c r="G553" t="s">
        <v>97</v>
      </c>
      <c r="H553" t="s">
        <v>999</v>
      </c>
      <c r="I553" t="s">
        <v>195</v>
      </c>
      <c r="J553" t="s">
        <v>300</v>
      </c>
      <c r="K553" t="s">
        <v>89</v>
      </c>
      <c r="L553" t="s">
        <v>130</v>
      </c>
      <c r="M553">
        <v>20</v>
      </c>
      <c r="N553" t="s">
        <v>4831</v>
      </c>
      <c r="O553">
        <v>2008</v>
      </c>
      <c r="P553" t="s">
        <v>4832</v>
      </c>
      <c r="Q553" t="s">
        <v>4833</v>
      </c>
      <c r="R553">
        <v>49802</v>
      </c>
      <c r="S553" t="s">
        <v>4834</v>
      </c>
      <c r="T553" t="s">
        <v>4835</v>
      </c>
      <c r="U553">
        <v>1988</v>
      </c>
      <c r="V553" t="s">
        <v>4836</v>
      </c>
      <c r="W553">
        <v>1.81</v>
      </c>
      <c r="X553" t="s">
        <v>999</v>
      </c>
      <c r="Y553" t="s">
        <v>203</v>
      </c>
      <c r="Z553" t="s">
        <v>152</v>
      </c>
      <c r="AA553" t="s">
        <v>4831</v>
      </c>
      <c r="AB553">
        <v>44568</v>
      </c>
      <c r="AC553" t="s">
        <v>108</v>
      </c>
      <c r="AD553" t="s">
        <v>89</v>
      </c>
      <c r="AE553" t="s">
        <v>4837</v>
      </c>
      <c r="AF553">
        <v>18</v>
      </c>
      <c r="AG553" t="s">
        <v>1006</v>
      </c>
      <c r="AH553" t="s">
        <v>92</v>
      </c>
      <c r="AI553" t="s">
        <v>89</v>
      </c>
      <c r="AJ553" t="s">
        <v>92</v>
      </c>
      <c r="AK553">
        <v>18</v>
      </c>
      <c r="AL553">
        <v>10</v>
      </c>
      <c r="AM553">
        <v>843</v>
      </c>
      <c r="AN553">
        <v>134</v>
      </c>
      <c r="AO553">
        <v>7</v>
      </c>
      <c r="AP553" t="s">
        <v>93</v>
      </c>
      <c r="AQ553" t="s">
        <v>89</v>
      </c>
      <c r="AR553" t="s">
        <v>89</v>
      </c>
      <c r="AS553" t="s">
        <v>111</v>
      </c>
      <c r="AT553">
        <v>44568</v>
      </c>
      <c r="AU553">
        <v>2022</v>
      </c>
      <c r="AV553">
        <v>14</v>
      </c>
      <c r="AW553">
        <v>14</v>
      </c>
      <c r="AX553" t="s">
        <v>89</v>
      </c>
      <c r="AY553" t="s">
        <v>111</v>
      </c>
      <c r="AZ553">
        <v>8</v>
      </c>
      <c r="BA553">
        <v>15</v>
      </c>
      <c r="BB553">
        <v>1077</v>
      </c>
      <c r="BC553">
        <v>1</v>
      </c>
      <c r="BD553">
        <v>236</v>
      </c>
      <c r="BE553">
        <v>18930</v>
      </c>
      <c r="BF553">
        <v>6</v>
      </c>
      <c r="BG553">
        <v>34</v>
      </c>
      <c r="BH553">
        <v>251</v>
      </c>
      <c r="BI553">
        <v>20007</v>
      </c>
      <c r="BJ553">
        <v>7</v>
      </c>
      <c r="BK553">
        <f t="shared" si="74"/>
        <v>251</v>
      </c>
      <c r="BL553">
        <f t="shared" si="75"/>
        <v>20007</v>
      </c>
      <c r="BM553">
        <f t="shared" si="76"/>
        <v>7</v>
      </c>
      <c r="BN553">
        <f t="shared" si="77"/>
        <v>0</v>
      </c>
      <c r="BO553">
        <f t="shared" si="78"/>
        <v>0</v>
      </c>
      <c r="BP553">
        <f t="shared" si="79"/>
        <v>0</v>
      </c>
      <c r="BQ553" t="s">
        <v>203</v>
      </c>
      <c r="BR553" t="s">
        <v>140</v>
      </c>
      <c r="BS553" s="1">
        <v>32349</v>
      </c>
      <c r="BT553">
        <v>37</v>
      </c>
      <c r="BU553">
        <v>44568</v>
      </c>
      <c r="BV553" t="s">
        <v>89</v>
      </c>
      <c r="BW553">
        <v>16</v>
      </c>
      <c r="BX553">
        <v>1988</v>
      </c>
      <c r="BY553">
        <v>16</v>
      </c>
      <c r="BZ553">
        <f t="shared" si="80"/>
        <v>-2</v>
      </c>
      <c r="CA553">
        <f t="shared" si="81"/>
        <v>0</v>
      </c>
      <c r="CB553" t="b">
        <f t="shared" si="82"/>
        <v>0</v>
      </c>
    </row>
    <row r="554" spans="1:80" x14ac:dyDescent="0.3">
      <c r="A554" t="s">
        <v>4838</v>
      </c>
      <c r="B554" t="s">
        <v>2677</v>
      </c>
      <c r="C554" t="s">
        <v>4839</v>
      </c>
      <c r="D554">
        <v>37</v>
      </c>
      <c r="E554" s="1">
        <v>32212</v>
      </c>
      <c r="F554" t="s">
        <v>89</v>
      </c>
      <c r="G554" t="s">
        <v>176</v>
      </c>
      <c r="H554" t="s">
        <v>4840</v>
      </c>
      <c r="I554" t="s">
        <v>212</v>
      </c>
      <c r="J554" t="s">
        <v>78</v>
      </c>
      <c r="K554" t="s">
        <v>89</v>
      </c>
      <c r="L554" t="s">
        <v>163</v>
      </c>
      <c r="M554">
        <v>18</v>
      </c>
      <c r="N554" t="s">
        <v>3656</v>
      </c>
      <c r="O554">
        <v>2006</v>
      </c>
      <c r="P554" t="s">
        <v>4841</v>
      </c>
      <c r="Q554" t="s">
        <v>4842</v>
      </c>
      <c r="R554">
        <v>32467</v>
      </c>
      <c r="S554" t="s">
        <v>4843</v>
      </c>
      <c r="T554">
        <v>32419</v>
      </c>
      <c r="U554">
        <v>1988</v>
      </c>
      <c r="V554" t="s">
        <v>4844</v>
      </c>
      <c r="W554">
        <v>1.84</v>
      </c>
      <c r="X554" t="s">
        <v>4845</v>
      </c>
      <c r="Y554" t="s">
        <v>86</v>
      </c>
      <c r="Z554" t="s">
        <v>87</v>
      </c>
      <c r="AA554" t="s">
        <v>4846</v>
      </c>
      <c r="AB554" s="1">
        <v>45845</v>
      </c>
      <c r="AC554" t="s">
        <v>108</v>
      </c>
      <c r="AD554" t="s">
        <v>442</v>
      </c>
      <c r="AE554" t="s">
        <v>4847</v>
      </c>
      <c r="AF554">
        <v>18</v>
      </c>
      <c r="AG554" t="s">
        <v>1054</v>
      </c>
      <c r="AH554" t="s">
        <v>92</v>
      </c>
      <c r="AI554" t="s">
        <v>89</v>
      </c>
      <c r="AJ554" t="s">
        <v>92</v>
      </c>
      <c r="AK554">
        <v>18</v>
      </c>
      <c r="AL554">
        <v>14</v>
      </c>
      <c r="AM554">
        <v>256</v>
      </c>
      <c r="AN554">
        <v>67</v>
      </c>
      <c r="AO554">
        <v>11</v>
      </c>
      <c r="AP554" t="s">
        <v>93</v>
      </c>
      <c r="AQ554" t="s">
        <v>89</v>
      </c>
      <c r="AR554" t="s">
        <v>89</v>
      </c>
      <c r="AS554" t="s">
        <v>111</v>
      </c>
      <c r="AT554" s="1">
        <v>45845</v>
      </c>
      <c r="AU554">
        <v>2025</v>
      </c>
      <c r="AV554">
        <v>19</v>
      </c>
      <c r="AW554">
        <v>19</v>
      </c>
      <c r="AX554" t="s">
        <v>89</v>
      </c>
      <c r="AY554" t="s">
        <v>111</v>
      </c>
      <c r="AZ554">
        <v>16</v>
      </c>
      <c r="BA554">
        <v>85</v>
      </c>
      <c r="BB554">
        <v>6708</v>
      </c>
      <c r="BC554">
        <v>11</v>
      </c>
      <c r="BD554">
        <v>811</v>
      </c>
      <c r="BE554">
        <v>56913</v>
      </c>
      <c r="BF554">
        <v>108</v>
      </c>
      <c r="BG554">
        <v>37</v>
      </c>
      <c r="BH554">
        <v>896</v>
      </c>
      <c r="BI554">
        <v>63621</v>
      </c>
      <c r="BJ554">
        <v>119</v>
      </c>
      <c r="BK554">
        <f t="shared" si="74"/>
        <v>896</v>
      </c>
      <c r="BL554">
        <f t="shared" si="75"/>
        <v>63621</v>
      </c>
      <c r="BM554">
        <f t="shared" si="76"/>
        <v>119</v>
      </c>
      <c r="BN554">
        <f t="shared" si="77"/>
        <v>0</v>
      </c>
      <c r="BO554">
        <f t="shared" si="78"/>
        <v>0</v>
      </c>
      <c r="BP554">
        <f t="shared" si="79"/>
        <v>0</v>
      </c>
      <c r="BQ554" t="s">
        <v>86</v>
      </c>
      <c r="BR554" t="s">
        <v>94</v>
      </c>
      <c r="BS554" t="s">
        <v>89</v>
      </c>
      <c r="BT554">
        <v>38</v>
      </c>
      <c r="BU554" s="1">
        <v>45845</v>
      </c>
      <c r="BV554" s="1">
        <v>45845</v>
      </c>
      <c r="BW554">
        <v>19</v>
      </c>
      <c r="BX554">
        <v>1988</v>
      </c>
      <c r="BY554">
        <v>19</v>
      </c>
      <c r="BZ554">
        <f t="shared" si="80"/>
        <v>0</v>
      </c>
      <c r="CA554">
        <f t="shared" si="81"/>
        <v>0</v>
      </c>
      <c r="CB554" t="b">
        <f t="shared" si="82"/>
        <v>1</v>
      </c>
    </row>
    <row r="555" spans="1:80" x14ac:dyDescent="0.3">
      <c r="A555" t="s">
        <v>4848</v>
      </c>
      <c r="B555" t="s">
        <v>71</v>
      </c>
      <c r="C555" t="s">
        <v>4849</v>
      </c>
      <c r="D555">
        <v>31</v>
      </c>
      <c r="E555" t="s">
        <v>4850</v>
      </c>
      <c r="F555" t="s">
        <v>265</v>
      </c>
      <c r="G555" t="s">
        <v>211</v>
      </c>
      <c r="H555" t="s">
        <v>89</v>
      </c>
      <c r="I555" t="s">
        <v>1755</v>
      </c>
      <c r="J555" t="s">
        <v>78</v>
      </c>
      <c r="K555" t="s">
        <v>4851</v>
      </c>
      <c r="L555" t="s">
        <v>324</v>
      </c>
      <c r="M555">
        <v>19</v>
      </c>
      <c r="N555" t="s">
        <v>181</v>
      </c>
      <c r="O555">
        <v>2013</v>
      </c>
      <c r="P555" t="s">
        <v>4852</v>
      </c>
      <c r="Q555" t="s">
        <v>4853</v>
      </c>
      <c r="R555">
        <v>282371</v>
      </c>
      <c r="S555" t="s">
        <v>4854</v>
      </c>
      <c r="T555" t="s">
        <v>4855</v>
      </c>
      <c r="U555">
        <v>1994</v>
      </c>
      <c r="V555" t="s">
        <v>122</v>
      </c>
      <c r="W555">
        <v>1.74</v>
      </c>
      <c r="X555" t="s">
        <v>76</v>
      </c>
      <c r="Y555" t="s">
        <v>106</v>
      </c>
      <c r="Z555" t="s">
        <v>87</v>
      </c>
      <c r="AA555" t="s">
        <v>4856</v>
      </c>
      <c r="AB555" s="1">
        <v>43839</v>
      </c>
      <c r="AC555" t="s">
        <v>170</v>
      </c>
      <c r="AD555" t="s">
        <v>89</v>
      </c>
      <c r="AE555" t="s">
        <v>4857</v>
      </c>
      <c r="AF555">
        <v>19</v>
      </c>
      <c r="AG555" t="s">
        <v>91</v>
      </c>
      <c r="AH555" t="s">
        <v>1108</v>
      </c>
      <c r="AI555">
        <v>22</v>
      </c>
      <c r="AJ555" t="s">
        <v>110</v>
      </c>
      <c r="AK555">
        <v>19</v>
      </c>
      <c r="AL555">
        <v>9</v>
      </c>
      <c r="AM555">
        <v>412</v>
      </c>
      <c r="AN555">
        <v>64</v>
      </c>
      <c r="AO555">
        <v>6</v>
      </c>
      <c r="AP555" t="s">
        <v>93</v>
      </c>
      <c r="AQ555" t="s">
        <v>89</v>
      </c>
      <c r="AR555" t="s">
        <v>89</v>
      </c>
      <c r="AS555" t="s">
        <v>93</v>
      </c>
      <c r="AT555" t="s">
        <v>89</v>
      </c>
      <c r="AU555" t="s">
        <v>89</v>
      </c>
      <c r="AV555" t="s">
        <v>89</v>
      </c>
      <c r="AW555">
        <v>12</v>
      </c>
      <c r="AX555">
        <v>10</v>
      </c>
      <c r="AY555" t="s">
        <v>93</v>
      </c>
      <c r="AZ555">
        <v>0</v>
      </c>
      <c r="BA555">
        <v>0</v>
      </c>
      <c r="BB555">
        <v>0</v>
      </c>
      <c r="BC555">
        <v>0</v>
      </c>
      <c r="BD555">
        <v>234</v>
      </c>
      <c r="BE555">
        <v>14819</v>
      </c>
      <c r="BF555">
        <v>71</v>
      </c>
      <c r="BG555" t="s">
        <v>89</v>
      </c>
      <c r="BH555">
        <v>234</v>
      </c>
      <c r="BI555">
        <v>14819</v>
      </c>
      <c r="BJ555">
        <v>71</v>
      </c>
      <c r="BK555">
        <f t="shared" si="74"/>
        <v>234</v>
      </c>
      <c r="BL555">
        <f t="shared" si="75"/>
        <v>14819</v>
      </c>
      <c r="BM555">
        <f t="shared" si="76"/>
        <v>71</v>
      </c>
      <c r="BN555">
        <f t="shared" si="77"/>
        <v>0</v>
      </c>
      <c r="BO555">
        <f t="shared" si="78"/>
        <v>0</v>
      </c>
      <c r="BP555">
        <f t="shared" si="79"/>
        <v>0</v>
      </c>
      <c r="BQ555" t="s">
        <v>106</v>
      </c>
      <c r="BR555" t="s">
        <v>112</v>
      </c>
      <c r="BS555" t="s">
        <v>89</v>
      </c>
      <c r="BT555">
        <v>32</v>
      </c>
      <c r="BU555" t="s">
        <v>89</v>
      </c>
      <c r="BV555" t="s">
        <v>89</v>
      </c>
      <c r="BW555">
        <v>13</v>
      </c>
      <c r="BX555">
        <v>1994</v>
      </c>
      <c r="BY555">
        <v>12</v>
      </c>
      <c r="BZ555">
        <f t="shared" si="80"/>
        <v>-1</v>
      </c>
      <c r="CA555">
        <f t="shared" si="81"/>
        <v>1</v>
      </c>
      <c r="CB555" t="b">
        <f t="shared" si="82"/>
        <v>0</v>
      </c>
    </row>
    <row r="556" spans="1:80" x14ac:dyDescent="0.3">
      <c r="A556" t="s">
        <v>4858</v>
      </c>
      <c r="B556" t="s">
        <v>997</v>
      </c>
      <c r="C556" t="s">
        <v>4859</v>
      </c>
      <c r="D556">
        <v>49</v>
      </c>
      <c r="E556" s="1">
        <v>27711</v>
      </c>
      <c r="F556" t="s">
        <v>89</v>
      </c>
      <c r="G556" t="s">
        <v>176</v>
      </c>
      <c r="H556" t="s">
        <v>999</v>
      </c>
      <c r="I556" t="s">
        <v>375</v>
      </c>
      <c r="J556" t="s">
        <v>300</v>
      </c>
      <c r="K556" t="s">
        <v>89</v>
      </c>
      <c r="L556" t="s">
        <v>657</v>
      </c>
      <c r="M556">
        <v>27</v>
      </c>
      <c r="N556" t="s">
        <v>4860</v>
      </c>
      <c r="O556">
        <v>2003</v>
      </c>
      <c r="P556" t="s">
        <v>4861</v>
      </c>
      <c r="Q556" t="s">
        <v>4862</v>
      </c>
      <c r="R556">
        <v>13453</v>
      </c>
      <c r="S556" t="s">
        <v>4863</v>
      </c>
      <c r="T556" t="s">
        <v>4864</v>
      </c>
      <c r="U556">
        <v>1975</v>
      </c>
      <c r="V556" t="s">
        <v>4865</v>
      </c>
      <c r="W556">
        <v>1.86</v>
      </c>
      <c r="X556" t="s">
        <v>4866</v>
      </c>
      <c r="Y556" t="s">
        <v>235</v>
      </c>
      <c r="Z556" t="s">
        <v>152</v>
      </c>
      <c r="AA556" t="s">
        <v>1098</v>
      </c>
      <c r="AB556" s="1">
        <v>40550</v>
      </c>
      <c r="AC556" t="s">
        <v>108</v>
      </c>
      <c r="AD556" t="s">
        <v>89</v>
      </c>
      <c r="AE556">
        <v>35346</v>
      </c>
      <c r="AF556">
        <v>20</v>
      </c>
      <c r="AG556" t="s">
        <v>1161</v>
      </c>
      <c r="AH556" t="s">
        <v>92</v>
      </c>
      <c r="AI556" t="s">
        <v>89</v>
      </c>
      <c r="AJ556" t="s">
        <v>92</v>
      </c>
      <c r="AK556">
        <v>20</v>
      </c>
      <c r="AL556">
        <v>9</v>
      </c>
      <c r="AM556">
        <v>384</v>
      </c>
      <c r="AN556">
        <v>58</v>
      </c>
      <c r="AO556">
        <v>4</v>
      </c>
      <c r="AP556" t="s">
        <v>93</v>
      </c>
      <c r="AQ556" t="s">
        <v>89</v>
      </c>
      <c r="AR556" t="s">
        <v>89</v>
      </c>
      <c r="AS556" t="s">
        <v>111</v>
      </c>
      <c r="AT556" s="1">
        <v>40550</v>
      </c>
      <c r="AU556">
        <v>2011</v>
      </c>
      <c r="AV556">
        <v>8</v>
      </c>
      <c r="AW556">
        <v>8</v>
      </c>
      <c r="AX556" t="s">
        <v>89</v>
      </c>
      <c r="AY556" t="s">
        <v>111</v>
      </c>
      <c r="AZ556">
        <v>4</v>
      </c>
      <c r="BA556">
        <v>23</v>
      </c>
      <c r="BB556">
        <v>1927</v>
      </c>
      <c r="BC556">
        <v>0</v>
      </c>
      <c r="BD556">
        <v>210</v>
      </c>
      <c r="BE556">
        <v>17606</v>
      </c>
      <c r="BF556">
        <v>5</v>
      </c>
      <c r="BG556">
        <v>36</v>
      </c>
      <c r="BH556">
        <v>233</v>
      </c>
      <c r="BI556">
        <v>19533</v>
      </c>
      <c r="BJ556">
        <v>5</v>
      </c>
      <c r="BK556">
        <f t="shared" si="74"/>
        <v>233</v>
      </c>
      <c r="BL556">
        <f t="shared" si="75"/>
        <v>19533</v>
      </c>
      <c r="BM556">
        <f t="shared" si="76"/>
        <v>5</v>
      </c>
      <c r="BN556">
        <f t="shared" si="77"/>
        <v>0</v>
      </c>
      <c r="BO556">
        <f t="shared" si="78"/>
        <v>0</v>
      </c>
      <c r="BP556">
        <f t="shared" si="79"/>
        <v>0</v>
      </c>
      <c r="BQ556" t="s">
        <v>235</v>
      </c>
      <c r="BR556" t="s">
        <v>140</v>
      </c>
      <c r="BS556" s="1">
        <v>27711</v>
      </c>
      <c r="BT556">
        <v>50</v>
      </c>
      <c r="BU556" s="1">
        <v>40550</v>
      </c>
      <c r="BV556" s="1">
        <v>40725</v>
      </c>
      <c r="BW556">
        <v>16</v>
      </c>
      <c r="BX556">
        <v>1975</v>
      </c>
      <c r="BY556">
        <v>16</v>
      </c>
      <c r="BZ556">
        <f t="shared" si="80"/>
        <v>-8</v>
      </c>
      <c r="CA556">
        <f t="shared" si="81"/>
        <v>0</v>
      </c>
      <c r="CB556" t="b">
        <f t="shared" si="82"/>
        <v>0</v>
      </c>
    </row>
    <row r="557" spans="1:80" x14ac:dyDescent="0.3">
      <c r="A557" t="s">
        <v>4867</v>
      </c>
      <c r="B557" t="s">
        <v>191</v>
      </c>
      <c r="C557" t="s">
        <v>4868</v>
      </c>
      <c r="D557">
        <v>41</v>
      </c>
      <c r="E557" s="1">
        <v>30618</v>
      </c>
      <c r="F557" t="s">
        <v>89</v>
      </c>
      <c r="G557" t="s">
        <v>1381</v>
      </c>
      <c r="H557" t="s">
        <v>194</v>
      </c>
      <c r="I557" t="s">
        <v>375</v>
      </c>
      <c r="J557" t="s">
        <v>300</v>
      </c>
      <c r="K557" t="s">
        <v>89</v>
      </c>
      <c r="L557" t="s">
        <v>845</v>
      </c>
      <c r="M557">
        <v>18</v>
      </c>
      <c r="N557" t="s">
        <v>1696</v>
      </c>
      <c r="O557">
        <v>2002</v>
      </c>
      <c r="P557" t="s">
        <v>4869</v>
      </c>
      <c r="Q557" t="s">
        <v>4870</v>
      </c>
      <c r="R557">
        <v>5404</v>
      </c>
      <c r="S557" t="s">
        <v>4867</v>
      </c>
      <c r="T557" t="s">
        <v>4871</v>
      </c>
      <c r="U557">
        <v>1983</v>
      </c>
      <c r="V557" t="s">
        <v>4872</v>
      </c>
      <c r="W557">
        <v>1.89</v>
      </c>
      <c r="X557" t="s">
        <v>194</v>
      </c>
      <c r="Y557" t="s">
        <v>203</v>
      </c>
      <c r="Z557" t="s">
        <v>152</v>
      </c>
      <c r="AA557" t="s">
        <v>4873</v>
      </c>
      <c r="AB557" t="s">
        <v>4874</v>
      </c>
      <c r="AC557" t="s">
        <v>108</v>
      </c>
      <c r="AD557" t="s">
        <v>89</v>
      </c>
      <c r="AE557" s="1">
        <v>37323</v>
      </c>
      <c r="AF557">
        <v>18</v>
      </c>
      <c r="AG557" t="s">
        <v>206</v>
      </c>
      <c r="AH557" t="s">
        <v>92</v>
      </c>
      <c r="AI557" t="s">
        <v>89</v>
      </c>
      <c r="AJ557" t="s">
        <v>92</v>
      </c>
      <c r="AK557">
        <v>18</v>
      </c>
      <c r="AL557">
        <v>25</v>
      </c>
      <c r="AM557">
        <v>792</v>
      </c>
      <c r="AN557">
        <v>163</v>
      </c>
      <c r="AO557">
        <v>10</v>
      </c>
      <c r="AP557" t="s">
        <v>93</v>
      </c>
      <c r="AQ557" t="s">
        <v>89</v>
      </c>
      <c r="AR557" t="s">
        <v>89</v>
      </c>
      <c r="AS557" t="s">
        <v>111</v>
      </c>
      <c r="AT557" t="s">
        <v>4874</v>
      </c>
      <c r="AU557">
        <v>2023</v>
      </c>
      <c r="AV557">
        <v>21</v>
      </c>
      <c r="AW557">
        <v>21</v>
      </c>
      <c r="AX557" t="s">
        <v>89</v>
      </c>
      <c r="AY557" t="s">
        <v>111</v>
      </c>
      <c r="AZ557">
        <v>2</v>
      </c>
      <c r="BA557">
        <v>3</v>
      </c>
      <c r="BB557">
        <v>188</v>
      </c>
      <c r="BC557">
        <v>0</v>
      </c>
      <c r="BD557">
        <v>550</v>
      </c>
      <c r="BE557">
        <v>43706</v>
      </c>
      <c r="BF557">
        <v>35</v>
      </c>
      <c r="BG557">
        <v>40</v>
      </c>
      <c r="BH557">
        <v>553</v>
      </c>
      <c r="BI557">
        <v>43894</v>
      </c>
      <c r="BJ557">
        <v>35</v>
      </c>
      <c r="BK557">
        <f t="shared" si="74"/>
        <v>553</v>
      </c>
      <c r="BL557">
        <f t="shared" si="75"/>
        <v>43894</v>
      </c>
      <c r="BM557">
        <f t="shared" si="76"/>
        <v>35</v>
      </c>
      <c r="BN557">
        <f t="shared" si="77"/>
        <v>0</v>
      </c>
      <c r="BO557">
        <f t="shared" si="78"/>
        <v>0</v>
      </c>
      <c r="BP557">
        <f t="shared" si="79"/>
        <v>0</v>
      </c>
      <c r="BQ557" t="s">
        <v>203</v>
      </c>
      <c r="BR557" t="s">
        <v>140</v>
      </c>
      <c r="BS557" s="1">
        <v>30618</v>
      </c>
      <c r="BT557">
        <v>42</v>
      </c>
      <c r="BU557" t="s">
        <v>4874</v>
      </c>
      <c r="BV557" s="1">
        <v>45222</v>
      </c>
      <c r="BW557">
        <v>22</v>
      </c>
      <c r="BX557">
        <v>1983</v>
      </c>
      <c r="BY557">
        <v>22</v>
      </c>
      <c r="BZ557">
        <f t="shared" si="80"/>
        <v>-1</v>
      </c>
      <c r="CA557">
        <f t="shared" si="81"/>
        <v>0</v>
      </c>
      <c r="CB557" t="b">
        <f t="shared" si="82"/>
        <v>0</v>
      </c>
    </row>
    <row r="558" spans="1:80" x14ac:dyDescent="0.3">
      <c r="A558" t="s">
        <v>4875</v>
      </c>
      <c r="B558" t="s">
        <v>191</v>
      </c>
      <c r="C558" t="s">
        <v>4876</v>
      </c>
      <c r="D558">
        <v>40</v>
      </c>
      <c r="E558" s="1">
        <v>31028</v>
      </c>
      <c r="F558" t="s">
        <v>89</v>
      </c>
      <c r="G558" t="s">
        <v>413</v>
      </c>
      <c r="H558" t="s">
        <v>89</v>
      </c>
      <c r="I558" t="s">
        <v>437</v>
      </c>
      <c r="J558" t="s">
        <v>78</v>
      </c>
      <c r="K558" t="s">
        <v>89</v>
      </c>
      <c r="L558" t="s">
        <v>163</v>
      </c>
      <c r="M558">
        <v>21</v>
      </c>
      <c r="N558" t="s">
        <v>4877</v>
      </c>
      <c r="O558">
        <v>2006</v>
      </c>
      <c r="P558" t="s">
        <v>4878</v>
      </c>
      <c r="Q558" t="s">
        <v>4879</v>
      </c>
      <c r="R558">
        <v>23966</v>
      </c>
      <c r="S558" t="s">
        <v>4875</v>
      </c>
      <c r="T558" s="1">
        <v>31028</v>
      </c>
      <c r="U558">
        <v>1984</v>
      </c>
      <c r="V558" t="s">
        <v>4880</v>
      </c>
      <c r="W558">
        <v>1.84</v>
      </c>
      <c r="X558" t="s">
        <v>194</v>
      </c>
      <c r="Y558" t="s">
        <v>123</v>
      </c>
      <c r="Z558" t="s">
        <v>87</v>
      </c>
      <c r="AA558" t="s">
        <v>4881</v>
      </c>
      <c r="AB558" s="1">
        <v>45664</v>
      </c>
      <c r="AC558" t="s">
        <v>108</v>
      </c>
      <c r="AD558" t="s">
        <v>89</v>
      </c>
      <c r="AE558" t="s">
        <v>4882</v>
      </c>
      <c r="AF558">
        <v>22</v>
      </c>
      <c r="AG558" t="s">
        <v>1161</v>
      </c>
      <c r="AH558">
        <v>37660</v>
      </c>
      <c r="AI558">
        <v>18</v>
      </c>
      <c r="AJ558" t="s">
        <v>1044</v>
      </c>
      <c r="AK558">
        <v>18</v>
      </c>
      <c r="AL558">
        <v>1</v>
      </c>
      <c r="AM558">
        <v>19</v>
      </c>
      <c r="AN558">
        <v>3</v>
      </c>
      <c r="AO558">
        <v>1</v>
      </c>
      <c r="AP558" t="s">
        <v>93</v>
      </c>
      <c r="AQ558" t="s">
        <v>89</v>
      </c>
      <c r="AR558" t="s">
        <v>89</v>
      </c>
      <c r="AS558" t="s">
        <v>111</v>
      </c>
      <c r="AT558" s="1">
        <v>45664</v>
      </c>
      <c r="AU558">
        <v>2025</v>
      </c>
      <c r="AV558">
        <v>19</v>
      </c>
      <c r="AW558">
        <v>19</v>
      </c>
      <c r="AX558" t="s">
        <v>89</v>
      </c>
      <c r="AY558" t="s">
        <v>93</v>
      </c>
      <c r="AZ558">
        <v>0</v>
      </c>
      <c r="BA558">
        <v>0</v>
      </c>
      <c r="BB558">
        <v>0</v>
      </c>
      <c r="BC558">
        <v>0</v>
      </c>
      <c r="BD558">
        <v>322</v>
      </c>
      <c r="BE558">
        <v>18917</v>
      </c>
      <c r="BF558">
        <v>133</v>
      </c>
      <c r="BG558">
        <v>41</v>
      </c>
      <c r="BH558">
        <v>322</v>
      </c>
      <c r="BI558">
        <v>18917</v>
      </c>
      <c r="BJ558">
        <v>133</v>
      </c>
      <c r="BK558">
        <f t="shared" si="74"/>
        <v>322</v>
      </c>
      <c r="BL558">
        <f t="shared" si="75"/>
        <v>18917</v>
      </c>
      <c r="BM558">
        <f t="shared" si="76"/>
        <v>133</v>
      </c>
      <c r="BN558">
        <f t="shared" si="77"/>
        <v>0</v>
      </c>
      <c r="BO558">
        <f t="shared" si="78"/>
        <v>0</v>
      </c>
      <c r="BP558">
        <f t="shared" si="79"/>
        <v>0</v>
      </c>
      <c r="BQ558" t="s">
        <v>123</v>
      </c>
      <c r="BR558" t="s">
        <v>112</v>
      </c>
      <c r="BS558" s="1">
        <v>31028</v>
      </c>
      <c r="BT558">
        <v>41</v>
      </c>
      <c r="BU558" s="1">
        <v>45664</v>
      </c>
      <c r="BV558" s="1">
        <v>45839</v>
      </c>
      <c r="BW558">
        <v>23</v>
      </c>
      <c r="BX558">
        <v>1984</v>
      </c>
      <c r="BY558">
        <v>23</v>
      </c>
      <c r="BZ558">
        <f t="shared" si="80"/>
        <v>-4</v>
      </c>
      <c r="CA558">
        <f t="shared" si="81"/>
        <v>0</v>
      </c>
      <c r="CB558" t="b">
        <f t="shared" si="82"/>
        <v>0</v>
      </c>
    </row>
    <row r="559" spans="1:80" x14ac:dyDescent="0.3">
      <c r="A559" t="s">
        <v>4883</v>
      </c>
      <c r="B559" t="s">
        <v>191</v>
      </c>
      <c r="C559" t="s">
        <v>4884</v>
      </c>
      <c r="D559">
        <v>41</v>
      </c>
      <c r="E559" s="1">
        <v>30569</v>
      </c>
      <c r="F559" t="s">
        <v>89</v>
      </c>
      <c r="G559" t="s">
        <v>413</v>
      </c>
      <c r="H559" t="s">
        <v>194</v>
      </c>
      <c r="I559" t="s">
        <v>2719</v>
      </c>
      <c r="J559" t="s">
        <v>78</v>
      </c>
      <c r="K559" t="s">
        <v>89</v>
      </c>
      <c r="L559" t="s">
        <v>99</v>
      </c>
      <c r="M559">
        <v>17</v>
      </c>
      <c r="N559" t="s">
        <v>4759</v>
      </c>
      <c r="O559">
        <v>2001</v>
      </c>
      <c r="P559" t="s">
        <v>4885</v>
      </c>
      <c r="Q559" t="s">
        <v>4886</v>
      </c>
      <c r="R559">
        <v>5513</v>
      </c>
      <c r="S559" t="s">
        <v>4883</v>
      </c>
      <c r="T559">
        <v>30598</v>
      </c>
      <c r="U559">
        <v>1983</v>
      </c>
      <c r="V559" t="s">
        <v>4759</v>
      </c>
      <c r="W559">
        <v>1.83</v>
      </c>
      <c r="X559" t="s">
        <v>194</v>
      </c>
      <c r="Y559" t="s">
        <v>259</v>
      </c>
      <c r="Z559" t="s">
        <v>87</v>
      </c>
      <c r="AA559" t="s">
        <v>4887</v>
      </c>
      <c r="AB559" t="s">
        <v>4888</v>
      </c>
      <c r="AC559" t="s">
        <v>108</v>
      </c>
      <c r="AD559" t="s">
        <v>89</v>
      </c>
      <c r="AE559" t="s">
        <v>4889</v>
      </c>
      <c r="AF559">
        <v>18</v>
      </c>
      <c r="AG559" t="s">
        <v>206</v>
      </c>
      <c r="AH559" t="s">
        <v>92</v>
      </c>
      <c r="AI559" t="s">
        <v>89</v>
      </c>
      <c r="AJ559" t="s">
        <v>92</v>
      </c>
      <c r="AK559">
        <v>18</v>
      </c>
      <c r="AL559">
        <v>13</v>
      </c>
      <c r="AM559">
        <v>389</v>
      </c>
      <c r="AN559">
        <v>83</v>
      </c>
      <c r="AO559">
        <v>7</v>
      </c>
      <c r="AP559" t="s">
        <v>93</v>
      </c>
      <c r="AQ559" t="s">
        <v>89</v>
      </c>
      <c r="AR559" t="s">
        <v>89</v>
      </c>
      <c r="AS559" t="s">
        <v>111</v>
      </c>
      <c r="AT559" t="s">
        <v>4888</v>
      </c>
      <c r="AU559">
        <v>2018</v>
      </c>
      <c r="AV559">
        <v>17</v>
      </c>
      <c r="AW559">
        <v>17</v>
      </c>
      <c r="AX559" t="s">
        <v>89</v>
      </c>
      <c r="AY559" t="s">
        <v>111</v>
      </c>
      <c r="AZ559">
        <v>4</v>
      </c>
      <c r="BA559">
        <v>20</v>
      </c>
      <c r="BB559">
        <v>1686</v>
      </c>
      <c r="BC559">
        <v>0</v>
      </c>
      <c r="BD559">
        <v>488</v>
      </c>
      <c r="BE559">
        <v>40707</v>
      </c>
      <c r="BF559">
        <v>5</v>
      </c>
      <c r="BG559">
        <v>35</v>
      </c>
      <c r="BH559">
        <v>508</v>
      </c>
      <c r="BI559">
        <v>42393</v>
      </c>
      <c r="BJ559">
        <v>5</v>
      </c>
      <c r="BK559">
        <f t="shared" si="74"/>
        <v>508</v>
      </c>
      <c r="BL559">
        <f t="shared" si="75"/>
        <v>42393</v>
      </c>
      <c r="BM559">
        <f t="shared" si="76"/>
        <v>5</v>
      </c>
      <c r="BN559">
        <f t="shared" si="77"/>
        <v>0</v>
      </c>
      <c r="BO559">
        <f t="shared" si="78"/>
        <v>0</v>
      </c>
      <c r="BP559">
        <f t="shared" si="79"/>
        <v>0</v>
      </c>
      <c r="BQ559" t="s">
        <v>259</v>
      </c>
      <c r="BR559" t="s">
        <v>94</v>
      </c>
      <c r="BS559" t="s">
        <v>89</v>
      </c>
      <c r="BT559">
        <v>43</v>
      </c>
      <c r="BU559" t="s">
        <v>4888</v>
      </c>
      <c r="BV559" s="1">
        <v>43118</v>
      </c>
      <c r="BW559">
        <v>17</v>
      </c>
      <c r="BX559">
        <v>1983</v>
      </c>
      <c r="BY559">
        <v>17</v>
      </c>
      <c r="BZ559">
        <f t="shared" si="80"/>
        <v>0</v>
      </c>
      <c r="CA559">
        <f t="shared" si="81"/>
        <v>0</v>
      </c>
      <c r="CB559" t="b">
        <f t="shared" si="82"/>
        <v>1</v>
      </c>
    </row>
    <row r="560" spans="1:80" x14ac:dyDescent="0.3">
      <c r="A560" t="s">
        <v>4890</v>
      </c>
      <c r="B560" t="s">
        <v>71</v>
      </c>
      <c r="C560" t="s">
        <v>4891</v>
      </c>
      <c r="D560">
        <v>44</v>
      </c>
      <c r="E560" s="1">
        <v>29565</v>
      </c>
      <c r="F560" t="s">
        <v>89</v>
      </c>
      <c r="G560" t="s">
        <v>277</v>
      </c>
      <c r="H560" t="s">
        <v>89</v>
      </c>
      <c r="I560" t="s">
        <v>178</v>
      </c>
      <c r="J560" t="s">
        <v>78</v>
      </c>
      <c r="K560" t="s">
        <v>89</v>
      </c>
      <c r="L560" t="s">
        <v>117</v>
      </c>
      <c r="M560">
        <v>24</v>
      </c>
      <c r="N560" t="s">
        <v>2837</v>
      </c>
      <c r="O560">
        <v>2005</v>
      </c>
      <c r="P560" t="s">
        <v>4892</v>
      </c>
      <c r="Q560" t="s">
        <v>4893</v>
      </c>
      <c r="R560">
        <v>51504</v>
      </c>
      <c r="S560" t="s">
        <v>4894</v>
      </c>
      <c r="T560" t="s">
        <v>4895</v>
      </c>
      <c r="U560">
        <v>1980</v>
      </c>
      <c r="V560" t="s">
        <v>4896</v>
      </c>
      <c r="W560">
        <v>1.87</v>
      </c>
      <c r="X560" t="s">
        <v>76</v>
      </c>
      <c r="Y560" t="s">
        <v>186</v>
      </c>
      <c r="Z560" t="s">
        <v>89</v>
      </c>
      <c r="AA560" t="s">
        <v>1186</v>
      </c>
      <c r="AB560" s="1">
        <v>42376</v>
      </c>
      <c r="AC560" t="s">
        <v>108</v>
      </c>
      <c r="AD560" t="s">
        <v>89</v>
      </c>
      <c r="AE560" t="s">
        <v>4897</v>
      </c>
      <c r="AF560">
        <v>31</v>
      </c>
      <c r="AG560" t="s">
        <v>91</v>
      </c>
      <c r="AH560" s="1">
        <v>38393</v>
      </c>
      <c r="AI560">
        <v>24</v>
      </c>
      <c r="AJ560" t="s">
        <v>110</v>
      </c>
      <c r="AK560">
        <v>24</v>
      </c>
      <c r="AL560">
        <v>3</v>
      </c>
      <c r="AM560">
        <v>552</v>
      </c>
      <c r="AN560">
        <v>65</v>
      </c>
      <c r="AO560">
        <v>3</v>
      </c>
      <c r="AP560" t="s">
        <v>93</v>
      </c>
      <c r="AQ560" t="s">
        <v>89</v>
      </c>
      <c r="AR560" t="s">
        <v>89</v>
      </c>
      <c r="AS560" t="s">
        <v>111</v>
      </c>
      <c r="AT560">
        <v>42376</v>
      </c>
      <c r="AU560">
        <v>2016</v>
      </c>
      <c r="AV560">
        <v>11</v>
      </c>
      <c r="AW560">
        <v>11</v>
      </c>
      <c r="AX560" t="s">
        <v>89</v>
      </c>
      <c r="AY560" t="s">
        <v>93</v>
      </c>
      <c r="AZ560">
        <v>0</v>
      </c>
      <c r="BA560">
        <v>0</v>
      </c>
      <c r="BB560">
        <v>0</v>
      </c>
      <c r="BC560">
        <v>0</v>
      </c>
      <c r="BD560">
        <v>181</v>
      </c>
      <c r="BE560">
        <v>16033</v>
      </c>
      <c r="BF560">
        <v>0</v>
      </c>
      <c r="BG560">
        <v>36</v>
      </c>
      <c r="BH560">
        <v>181</v>
      </c>
      <c r="BI560">
        <v>16033</v>
      </c>
      <c r="BJ560">
        <v>0</v>
      </c>
      <c r="BK560">
        <f t="shared" si="74"/>
        <v>181</v>
      </c>
      <c r="BL560">
        <f t="shared" si="75"/>
        <v>16033</v>
      </c>
      <c r="BM560">
        <f t="shared" si="76"/>
        <v>0</v>
      </c>
      <c r="BN560">
        <f t="shared" si="77"/>
        <v>0</v>
      </c>
      <c r="BO560">
        <f t="shared" si="78"/>
        <v>0</v>
      </c>
      <c r="BP560">
        <f t="shared" si="79"/>
        <v>0</v>
      </c>
      <c r="BQ560" t="s">
        <v>186</v>
      </c>
      <c r="BR560" t="s">
        <v>186</v>
      </c>
      <c r="BS560" t="s">
        <v>89</v>
      </c>
      <c r="BT560">
        <v>46</v>
      </c>
      <c r="BU560">
        <v>42376</v>
      </c>
      <c r="BV560" t="s">
        <v>89</v>
      </c>
      <c r="BW560">
        <v>12</v>
      </c>
      <c r="BX560">
        <v>1980</v>
      </c>
      <c r="BY560">
        <v>12</v>
      </c>
      <c r="BZ560">
        <f t="shared" si="80"/>
        <v>-1</v>
      </c>
      <c r="CA560">
        <f t="shared" si="81"/>
        <v>0</v>
      </c>
      <c r="CB560" t="b">
        <f t="shared" si="82"/>
        <v>0</v>
      </c>
    </row>
    <row r="561" spans="1:80" x14ac:dyDescent="0.3">
      <c r="A561" t="s">
        <v>4898</v>
      </c>
      <c r="B561" t="s">
        <v>71</v>
      </c>
      <c r="C561" t="s">
        <v>4899</v>
      </c>
      <c r="D561">
        <v>40</v>
      </c>
      <c r="E561">
        <v>31179</v>
      </c>
      <c r="F561" t="s">
        <v>89</v>
      </c>
      <c r="G561" t="s">
        <v>535</v>
      </c>
      <c r="H561" t="s">
        <v>76</v>
      </c>
      <c r="I561" t="s">
        <v>2523</v>
      </c>
      <c r="J561" t="s">
        <v>89</v>
      </c>
      <c r="K561" t="s">
        <v>89</v>
      </c>
      <c r="L561" t="s">
        <v>845</v>
      </c>
      <c r="M561">
        <v>17</v>
      </c>
      <c r="N561" t="s">
        <v>214</v>
      </c>
      <c r="O561">
        <v>2002</v>
      </c>
      <c r="P561" t="s">
        <v>4900</v>
      </c>
      <c r="Q561" t="s">
        <v>4901</v>
      </c>
      <c r="R561">
        <v>15461</v>
      </c>
      <c r="S561" t="s">
        <v>4898</v>
      </c>
      <c r="T561" s="1">
        <v>31386</v>
      </c>
      <c r="U561">
        <v>1985</v>
      </c>
      <c r="V561" t="s">
        <v>214</v>
      </c>
      <c r="W561">
        <v>1.78</v>
      </c>
      <c r="X561" t="s">
        <v>76</v>
      </c>
      <c r="Y561" t="s">
        <v>391</v>
      </c>
      <c r="Z561" t="s">
        <v>152</v>
      </c>
      <c r="AA561" t="s">
        <v>236</v>
      </c>
      <c r="AB561" s="1">
        <v>44324</v>
      </c>
      <c r="AC561" t="s">
        <v>108</v>
      </c>
      <c r="AD561" t="s">
        <v>89</v>
      </c>
      <c r="AE561" t="s">
        <v>4902</v>
      </c>
      <c r="AF561">
        <v>17</v>
      </c>
      <c r="AG561" t="s">
        <v>91</v>
      </c>
      <c r="AH561" t="s">
        <v>505</v>
      </c>
      <c r="AI561">
        <v>19</v>
      </c>
      <c r="AJ561" t="s">
        <v>110</v>
      </c>
      <c r="AK561">
        <v>17</v>
      </c>
      <c r="AL561">
        <v>5</v>
      </c>
      <c r="AM561">
        <v>298</v>
      </c>
      <c r="AN561">
        <v>50</v>
      </c>
      <c r="AO561">
        <v>3</v>
      </c>
      <c r="AP561" t="s">
        <v>93</v>
      </c>
      <c r="AQ561" t="s">
        <v>89</v>
      </c>
      <c r="AR561" t="s">
        <v>89</v>
      </c>
      <c r="AS561" t="s">
        <v>111</v>
      </c>
      <c r="AT561">
        <v>44324</v>
      </c>
      <c r="AU561">
        <v>2021</v>
      </c>
      <c r="AV561">
        <v>19</v>
      </c>
      <c r="AW561">
        <v>19</v>
      </c>
      <c r="AX561" t="s">
        <v>89</v>
      </c>
      <c r="AY561" t="s">
        <v>93</v>
      </c>
      <c r="AZ561">
        <v>0</v>
      </c>
      <c r="BA561">
        <v>0</v>
      </c>
      <c r="BB561">
        <v>0</v>
      </c>
      <c r="BC561">
        <v>0</v>
      </c>
      <c r="BD561">
        <v>308</v>
      </c>
      <c r="BE561">
        <v>18129</v>
      </c>
      <c r="BF561">
        <v>16</v>
      </c>
      <c r="BG561">
        <v>36</v>
      </c>
      <c r="BH561">
        <v>308</v>
      </c>
      <c r="BI561">
        <v>18129</v>
      </c>
      <c r="BJ561">
        <v>16</v>
      </c>
      <c r="BK561">
        <f t="shared" si="74"/>
        <v>308</v>
      </c>
      <c r="BL561">
        <f t="shared" si="75"/>
        <v>18129</v>
      </c>
      <c r="BM561">
        <f t="shared" si="76"/>
        <v>16</v>
      </c>
      <c r="BN561">
        <f t="shared" si="77"/>
        <v>0</v>
      </c>
      <c r="BO561">
        <f t="shared" si="78"/>
        <v>0</v>
      </c>
      <c r="BP561">
        <f t="shared" si="79"/>
        <v>0</v>
      </c>
      <c r="BQ561" t="s">
        <v>391</v>
      </c>
      <c r="BR561" t="s">
        <v>112</v>
      </c>
      <c r="BS561" s="1">
        <v>31179</v>
      </c>
      <c r="BT561">
        <v>40</v>
      </c>
      <c r="BU561">
        <v>44324</v>
      </c>
      <c r="BV561" t="s">
        <v>89</v>
      </c>
      <c r="BW561">
        <v>19</v>
      </c>
      <c r="BX561">
        <v>1985</v>
      </c>
      <c r="BY561">
        <v>19</v>
      </c>
      <c r="BZ561">
        <f t="shared" si="80"/>
        <v>0</v>
      </c>
      <c r="CA561">
        <f t="shared" si="81"/>
        <v>0</v>
      </c>
      <c r="CB561" t="b">
        <f t="shared" si="82"/>
        <v>1</v>
      </c>
    </row>
    <row r="562" spans="1:80" x14ac:dyDescent="0.3">
      <c r="A562" t="s">
        <v>4903</v>
      </c>
      <c r="B562" t="s">
        <v>71</v>
      </c>
      <c r="C562" t="s">
        <v>4904</v>
      </c>
      <c r="D562">
        <v>33</v>
      </c>
      <c r="E562">
        <v>33636</v>
      </c>
      <c r="F562" t="s">
        <v>89</v>
      </c>
      <c r="G562" t="s">
        <v>1289</v>
      </c>
      <c r="H562" t="s">
        <v>89</v>
      </c>
      <c r="I562" t="s">
        <v>437</v>
      </c>
      <c r="J562" t="s">
        <v>89</v>
      </c>
      <c r="K562" t="s">
        <v>89</v>
      </c>
      <c r="L562" t="s">
        <v>278</v>
      </c>
      <c r="M562">
        <v>19</v>
      </c>
      <c r="N562" t="s">
        <v>416</v>
      </c>
      <c r="O562">
        <v>2011</v>
      </c>
      <c r="P562" t="s">
        <v>4905</v>
      </c>
      <c r="Q562" t="s">
        <v>4906</v>
      </c>
      <c r="R562">
        <v>225627</v>
      </c>
      <c r="S562" t="s">
        <v>4903</v>
      </c>
      <c r="T562">
        <v>33636</v>
      </c>
      <c r="U562">
        <v>1992</v>
      </c>
      <c r="V562" t="s">
        <v>2226</v>
      </c>
      <c r="W562">
        <v>1.71</v>
      </c>
      <c r="X562" t="s">
        <v>76</v>
      </c>
      <c r="Y562" t="s">
        <v>123</v>
      </c>
      <c r="Z562" t="s">
        <v>87</v>
      </c>
      <c r="AA562" t="s">
        <v>3232</v>
      </c>
      <c r="AB562" t="s">
        <v>1776</v>
      </c>
      <c r="AC562" t="s">
        <v>170</v>
      </c>
      <c r="AD562" t="s">
        <v>89</v>
      </c>
      <c r="AE562">
        <v>40913</v>
      </c>
      <c r="AF562">
        <v>20</v>
      </c>
      <c r="AG562" t="s">
        <v>91</v>
      </c>
      <c r="AH562" t="s">
        <v>90</v>
      </c>
      <c r="AI562">
        <v>20</v>
      </c>
      <c r="AJ562" t="s">
        <v>110</v>
      </c>
      <c r="AK562">
        <v>20</v>
      </c>
      <c r="AL562" t="s">
        <v>89</v>
      </c>
      <c r="AM562" t="s">
        <v>89</v>
      </c>
      <c r="AN562" t="s">
        <v>89</v>
      </c>
      <c r="AO562">
        <v>0</v>
      </c>
      <c r="AP562" t="s">
        <v>93</v>
      </c>
      <c r="AQ562" t="s">
        <v>89</v>
      </c>
      <c r="AR562" t="s">
        <v>89</v>
      </c>
      <c r="AS562" t="s">
        <v>93</v>
      </c>
      <c r="AT562" t="s">
        <v>89</v>
      </c>
      <c r="AU562" t="s">
        <v>89</v>
      </c>
      <c r="AV562" t="s">
        <v>89</v>
      </c>
      <c r="AW562">
        <v>14</v>
      </c>
      <c r="AX562" t="s">
        <v>89</v>
      </c>
      <c r="AY562" t="s">
        <v>93</v>
      </c>
      <c r="AZ562">
        <v>0</v>
      </c>
      <c r="BA562">
        <v>0</v>
      </c>
      <c r="BB562">
        <v>0</v>
      </c>
      <c r="BC562">
        <v>0</v>
      </c>
      <c r="BD562">
        <v>3</v>
      </c>
      <c r="BE562">
        <v>55</v>
      </c>
      <c r="BF562">
        <v>0</v>
      </c>
      <c r="BG562" t="s">
        <v>89</v>
      </c>
      <c r="BH562">
        <v>3</v>
      </c>
      <c r="BI562">
        <v>55</v>
      </c>
      <c r="BJ562">
        <v>0</v>
      </c>
      <c r="BK562">
        <f t="shared" si="74"/>
        <v>3</v>
      </c>
      <c r="BL562">
        <f t="shared" si="75"/>
        <v>55</v>
      </c>
      <c r="BM562">
        <f t="shared" si="76"/>
        <v>0</v>
      </c>
      <c r="BN562">
        <f t="shared" si="77"/>
        <v>0</v>
      </c>
      <c r="BO562">
        <f t="shared" si="78"/>
        <v>0</v>
      </c>
      <c r="BP562">
        <f t="shared" si="79"/>
        <v>0</v>
      </c>
      <c r="BQ562" t="s">
        <v>123</v>
      </c>
      <c r="BR562" t="s">
        <v>112</v>
      </c>
      <c r="BS562" t="s">
        <v>89</v>
      </c>
      <c r="BT562">
        <v>34</v>
      </c>
      <c r="BU562" t="s">
        <v>89</v>
      </c>
      <c r="BV562" t="s">
        <v>89</v>
      </c>
      <c r="BW562">
        <v>14</v>
      </c>
      <c r="BX562">
        <v>1992</v>
      </c>
      <c r="BY562">
        <v>13</v>
      </c>
      <c r="BZ562">
        <f t="shared" si="80"/>
        <v>0</v>
      </c>
      <c r="CA562">
        <f t="shared" si="81"/>
        <v>1</v>
      </c>
      <c r="CB562" t="b">
        <f t="shared" si="82"/>
        <v>1</v>
      </c>
    </row>
    <row r="563" spans="1:80" x14ac:dyDescent="0.3">
      <c r="A563" t="s">
        <v>4907</v>
      </c>
      <c r="B563" t="s">
        <v>71</v>
      </c>
      <c r="C563" t="s">
        <v>4908</v>
      </c>
      <c r="D563">
        <v>35</v>
      </c>
      <c r="E563" s="1">
        <v>33085</v>
      </c>
      <c r="F563" t="s">
        <v>89</v>
      </c>
      <c r="G563" t="s">
        <v>298</v>
      </c>
      <c r="H563" t="s">
        <v>76</v>
      </c>
      <c r="I563" t="s">
        <v>340</v>
      </c>
      <c r="J563" t="s">
        <v>300</v>
      </c>
      <c r="K563" t="s">
        <v>89</v>
      </c>
      <c r="L563" t="s">
        <v>130</v>
      </c>
      <c r="M563">
        <v>18</v>
      </c>
      <c r="N563" t="s">
        <v>361</v>
      </c>
      <c r="O563">
        <v>2008</v>
      </c>
      <c r="P563" t="s">
        <v>4909</v>
      </c>
      <c r="Q563" t="s">
        <v>4910</v>
      </c>
      <c r="R563">
        <v>81998</v>
      </c>
      <c r="S563" t="s">
        <v>4907</v>
      </c>
      <c r="T563" t="s">
        <v>4911</v>
      </c>
      <c r="U563">
        <v>1990</v>
      </c>
      <c r="V563" t="s">
        <v>361</v>
      </c>
      <c r="W563">
        <v>1.77</v>
      </c>
      <c r="X563" t="s">
        <v>76</v>
      </c>
      <c r="Y563" t="s">
        <v>494</v>
      </c>
      <c r="Z563" t="s">
        <v>152</v>
      </c>
      <c r="AA563" t="s">
        <v>476</v>
      </c>
      <c r="AB563" s="1">
        <v>44933</v>
      </c>
      <c r="AC563" t="s">
        <v>108</v>
      </c>
      <c r="AD563" t="s">
        <v>89</v>
      </c>
      <c r="AE563">
        <v>2009</v>
      </c>
      <c r="AF563">
        <v>19</v>
      </c>
      <c r="AG563" t="s">
        <v>573</v>
      </c>
      <c r="AH563" s="1">
        <v>2008</v>
      </c>
      <c r="AI563">
        <v>18</v>
      </c>
      <c r="AJ563">
        <v>0</v>
      </c>
      <c r="AK563">
        <v>18</v>
      </c>
      <c r="AL563">
        <v>13</v>
      </c>
      <c r="AM563">
        <v>687</v>
      </c>
      <c r="AN563">
        <v>99</v>
      </c>
      <c r="AO563">
        <v>6</v>
      </c>
      <c r="AP563" t="s">
        <v>93</v>
      </c>
      <c r="AQ563" t="s">
        <v>89</v>
      </c>
      <c r="AR563" t="s">
        <v>89</v>
      </c>
      <c r="AS563" t="s">
        <v>93</v>
      </c>
      <c r="AT563" t="s">
        <v>89</v>
      </c>
      <c r="AU563" t="s">
        <v>89</v>
      </c>
      <c r="AV563" t="s">
        <v>89</v>
      </c>
      <c r="AW563">
        <v>17</v>
      </c>
      <c r="AX563" t="s">
        <v>89</v>
      </c>
      <c r="AY563" t="s">
        <v>93</v>
      </c>
      <c r="AZ563">
        <v>0</v>
      </c>
      <c r="BA563">
        <v>0</v>
      </c>
      <c r="BB563">
        <v>0</v>
      </c>
      <c r="BC563">
        <v>0</v>
      </c>
      <c r="BD563">
        <v>268</v>
      </c>
      <c r="BE563">
        <v>13989</v>
      </c>
      <c r="BF563">
        <v>21</v>
      </c>
      <c r="BG563" t="s">
        <v>89</v>
      </c>
      <c r="BH563">
        <v>268</v>
      </c>
      <c r="BI563">
        <v>13989</v>
      </c>
      <c r="BJ563">
        <v>21</v>
      </c>
      <c r="BK563">
        <f t="shared" si="74"/>
        <v>268</v>
      </c>
      <c r="BL563">
        <f t="shared" si="75"/>
        <v>13989</v>
      </c>
      <c r="BM563">
        <f t="shared" si="76"/>
        <v>21</v>
      </c>
      <c r="BN563">
        <f t="shared" si="77"/>
        <v>0</v>
      </c>
      <c r="BO563">
        <f t="shared" si="78"/>
        <v>0</v>
      </c>
      <c r="BP563">
        <f t="shared" si="79"/>
        <v>0</v>
      </c>
      <c r="BQ563" t="s">
        <v>494</v>
      </c>
      <c r="BR563" t="s">
        <v>112</v>
      </c>
      <c r="BS563" s="1">
        <v>33085</v>
      </c>
      <c r="BT563">
        <v>35</v>
      </c>
      <c r="BU563" t="s">
        <v>89</v>
      </c>
      <c r="BV563" t="s">
        <v>89</v>
      </c>
      <c r="BW563">
        <v>17</v>
      </c>
      <c r="BX563">
        <v>1990</v>
      </c>
      <c r="BY563">
        <v>17</v>
      </c>
      <c r="BZ563">
        <f t="shared" si="80"/>
        <v>0</v>
      </c>
      <c r="CA563">
        <f t="shared" si="81"/>
        <v>0</v>
      </c>
      <c r="CB563" t="b">
        <f t="shared" si="82"/>
        <v>1</v>
      </c>
    </row>
    <row r="564" spans="1:80" x14ac:dyDescent="0.3">
      <c r="A564" t="s">
        <v>4912</v>
      </c>
      <c r="B564" t="s">
        <v>71</v>
      </c>
      <c r="C564" t="s">
        <v>4913</v>
      </c>
      <c r="D564">
        <v>32</v>
      </c>
      <c r="E564">
        <v>34152</v>
      </c>
      <c r="F564" t="s">
        <v>89</v>
      </c>
      <c r="G564" t="s">
        <v>176</v>
      </c>
      <c r="H564" t="s">
        <v>76</v>
      </c>
      <c r="I564" t="s">
        <v>437</v>
      </c>
      <c r="J564" t="s">
        <v>78</v>
      </c>
      <c r="K564" t="s">
        <v>89</v>
      </c>
      <c r="L564" t="s">
        <v>762</v>
      </c>
      <c r="M564">
        <v>21</v>
      </c>
      <c r="N564" t="s">
        <v>146</v>
      </c>
      <c r="O564">
        <v>2014</v>
      </c>
      <c r="P564" t="s">
        <v>4914</v>
      </c>
      <c r="Q564" t="s">
        <v>4915</v>
      </c>
      <c r="R564">
        <v>126741</v>
      </c>
      <c r="S564" t="s">
        <v>4912</v>
      </c>
      <c r="T564">
        <v>34007</v>
      </c>
      <c r="U564">
        <v>1993</v>
      </c>
      <c r="V564" t="s">
        <v>4916</v>
      </c>
      <c r="W564">
        <v>1.87</v>
      </c>
      <c r="X564" t="s">
        <v>76</v>
      </c>
      <c r="Y564" t="s">
        <v>123</v>
      </c>
      <c r="Z564" t="s">
        <v>87</v>
      </c>
      <c r="AA564" t="s">
        <v>700</v>
      </c>
      <c r="AB564">
        <v>45664</v>
      </c>
      <c r="AC564" t="s">
        <v>170</v>
      </c>
      <c r="AD564" t="s">
        <v>89</v>
      </c>
      <c r="AE564" t="s">
        <v>1758</v>
      </c>
      <c r="AF564">
        <v>21</v>
      </c>
      <c r="AG564" t="s">
        <v>91</v>
      </c>
      <c r="AH564" t="s">
        <v>4917</v>
      </c>
      <c r="AI564">
        <v>22</v>
      </c>
      <c r="AJ564" t="s">
        <v>110</v>
      </c>
      <c r="AK564">
        <v>21</v>
      </c>
      <c r="AL564">
        <v>2</v>
      </c>
      <c r="AM564">
        <v>268</v>
      </c>
      <c r="AN564">
        <v>28</v>
      </c>
      <c r="AO564">
        <v>2</v>
      </c>
      <c r="AP564" t="s">
        <v>93</v>
      </c>
      <c r="AQ564" t="s">
        <v>89</v>
      </c>
      <c r="AR564" t="s">
        <v>89</v>
      </c>
      <c r="AS564" t="s">
        <v>93</v>
      </c>
      <c r="AT564" t="s">
        <v>89</v>
      </c>
      <c r="AU564" t="s">
        <v>89</v>
      </c>
      <c r="AV564" t="s">
        <v>89</v>
      </c>
      <c r="AW564">
        <v>11</v>
      </c>
      <c r="AX564">
        <v>9</v>
      </c>
      <c r="AY564" t="s">
        <v>93</v>
      </c>
      <c r="AZ564">
        <v>0</v>
      </c>
      <c r="BA564">
        <v>0</v>
      </c>
      <c r="BB564">
        <v>0</v>
      </c>
      <c r="BC564">
        <v>0</v>
      </c>
      <c r="BD564">
        <v>49</v>
      </c>
      <c r="BE564">
        <v>2272</v>
      </c>
      <c r="BF564">
        <v>10</v>
      </c>
      <c r="BG564" t="s">
        <v>89</v>
      </c>
      <c r="BH564">
        <v>49</v>
      </c>
      <c r="BI564">
        <v>2272</v>
      </c>
      <c r="BJ564">
        <v>10</v>
      </c>
      <c r="BK564">
        <f t="shared" si="74"/>
        <v>49</v>
      </c>
      <c r="BL564">
        <f t="shared" si="75"/>
        <v>2272</v>
      </c>
      <c r="BM564">
        <f t="shared" si="76"/>
        <v>10</v>
      </c>
      <c r="BN564">
        <f t="shared" si="77"/>
        <v>0</v>
      </c>
      <c r="BO564">
        <f t="shared" si="78"/>
        <v>0</v>
      </c>
      <c r="BP564">
        <f t="shared" si="79"/>
        <v>0</v>
      </c>
      <c r="BQ564" t="s">
        <v>123</v>
      </c>
      <c r="BR564" t="s">
        <v>112</v>
      </c>
      <c r="BS564" t="s">
        <v>89</v>
      </c>
      <c r="BT564">
        <v>33</v>
      </c>
      <c r="BU564" t="s">
        <v>89</v>
      </c>
      <c r="BV564" t="s">
        <v>89</v>
      </c>
      <c r="BW564">
        <v>12</v>
      </c>
      <c r="BX564">
        <v>1993</v>
      </c>
      <c r="BY564">
        <v>11</v>
      </c>
      <c r="BZ564">
        <f t="shared" si="80"/>
        <v>-1</v>
      </c>
      <c r="CA564">
        <f t="shared" si="81"/>
        <v>1</v>
      </c>
      <c r="CB564" t="b">
        <f t="shared" si="82"/>
        <v>0</v>
      </c>
    </row>
    <row r="565" spans="1:80" x14ac:dyDescent="0.3">
      <c r="A565" t="s">
        <v>4918</v>
      </c>
      <c r="B565" t="s">
        <v>71</v>
      </c>
      <c r="C565" t="s">
        <v>4919</v>
      </c>
      <c r="D565">
        <v>32</v>
      </c>
      <c r="E565" s="1">
        <v>34161</v>
      </c>
      <c r="F565" t="s">
        <v>89</v>
      </c>
      <c r="G565" t="s">
        <v>535</v>
      </c>
      <c r="H565" t="s">
        <v>76</v>
      </c>
      <c r="I565" t="s">
        <v>116</v>
      </c>
      <c r="J565" t="s">
        <v>78</v>
      </c>
      <c r="K565" t="s">
        <v>89</v>
      </c>
      <c r="L565" t="s">
        <v>278</v>
      </c>
      <c r="M565">
        <v>18</v>
      </c>
      <c r="N565" t="s">
        <v>416</v>
      </c>
      <c r="O565">
        <v>2011</v>
      </c>
      <c r="P565" t="s">
        <v>4920</v>
      </c>
      <c r="Q565" t="s">
        <v>4921</v>
      </c>
      <c r="R565">
        <v>171167</v>
      </c>
      <c r="S565" t="s">
        <v>4918</v>
      </c>
      <c r="T565" s="1">
        <v>34280</v>
      </c>
      <c r="U565">
        <v>1993</v>
      </c>
      <c r="V565" t="s">
        <v>4922</v>
      </c>
      <c r="W565">
        <v>1.72</v>
      </c>
      <c r="X565" t="s">
        <v>76</v>
      </c>
      <c r="Y565" t="s">
        <v>494</v>
      </c>
      <c r="Z565" t="s">
        <v>87</v>
      </c>
      <c r="AA565" t="s">
        <v>4923</v>
      </c>
      <c r="AB565" t="s">
        <v>4924</v>
      </c>
      <c r="AC565" t="s">
        <v>798</v>
      </c>
      <c r="AD565" t="s">
        <v>89</v>
      </c>
      <c r="AE565" t="s">
        <v>306</v>
      </c>
      <c r="AF565">
        <v>18</v>
      </c>
      <c r="AG565" t="s">
        <v>91</v>
      </c>
      <c r="AH565" t="s">
        <v>90</v>
      </c>
      <c r="AI565">
        <v>19</v>
      </c>
      <c r="AJ565" t="s">
        <v>110</v>
      </c>
      <c r="AK565">
        <v>18</v>
      </c>
      <c r="AL565">
        <v>13</v>
      </c>
      <c r="AM565">
        <v>535</v>
      </c>
      <c r="AN565">
        <v>66</v>
      </c>
      <c r="AO565">
        <v>7</v>
      </c>
      <c r="AP565" t="s">
        <v>93</v>
      </c>
      <c r="AQ565" t="s">
        <v>89</v>
      </c>
      <c r="AR565" t="s">
        <v>89</v>
      </c>
      <c r="AS565" t="s">
        <v>93</v>
      </c>
      <c r="AT565" t="s">
        <v>89</v>
      </c>
      <c r="AU565" t="s">
        <v>89</v>
      </c>
      <c r="AV565" t="s">
        <v>89</v>
      </c>
      <c r="AW565">
        <v>14</v>
      </c>
      <c r="AX565">
        <v>7</v>
      </c>
      <c r="AY565" t="s">
        <v>93</v>
      </c>
      <c r="AZ565">
        <v>0</v>
      </c>
      <c r="BA565">
        <v>0</v>
      </c>
      <c r="BB565">
        <v>0</v>
      </c>
      <c r="BC565">
        <v>0</v>
      </c>
      <c r="BD565">
        <v>283</v>
      </c>
      <c r="BE565">
        <v>15696</v>
      </c>
      <c r="BF565">
        <v>34</v>
      </c>
      <c r="BG565" t="s">
        <v>89</v>
      </c>
      <c r="BH565">
        <v>283</v>
      </c>
      <c r="BI565">
        <v>15696</v>
      </c>
      <c r="BJ565">
        <v>34</v>
      </c>
      <c r="BK565">
        <f t="shared" si="74"/>
        <v>283</v>
      </c>
      <c r="BL565">
        <f t="shared" si="75"/>
        <v>15696</v>
      </c>
      <c r="BM565">
        <f t="shared" si="76"/>
        <v>34</v>
      </c>
      <c r="BN565">
        <f t="shared" si="77"/>
        <v>0</v>
      </c>
      <c r="BO565">
        <f t="shared" si="78"/>
        <v>0</v>
      </c>
      <c r="BP565">
        <f t="shared" si="79"/>
        <v>0</v>
      </c>
      <c r="BQ565" t="s">
        <v>494</v>
      </c>
      <c r="BR565" t="s">
        <v>112</v>
      </c>
      <c r="BS565" s="1">
        <v>34161</v>
      </c>
      <c r="BT565">
        <v>32</v>
      </c>
      <c r="BU565" t="s">
        <v>89</v>
      </c>
      <c r="BV565" t="s">
        <v>89</v>
      </c>
      <c r="BW565">
        <v>14</v>
      </c>
      <c r="BX565">
        <v>1993</v>
      </c>
      <c r="BY565">
        <v>14</v>
      </c>
      <c r="BZ565">
        <f t="shared" si="80"/>
        <v>0</v>
      </c>
      <c r="CA565">
        <f t="shared" si="81"/>
        <v>0</v>
      </c>
      <c r="CB565" t="b">
        <f t="shared" si="82"/>
        <v>1</v>
      </c>
    </row>
    <row r="566" spans="1:80" x14ac:dyDescent="0.3">
      <c r="A566" t="s">
        <v>4925</v>
      </c>
      <c r="B566" t="s">
        <v>617</v>
      </c>
      <c r="C566" t="s">
        <v>4926</v>
      </c>
      <c r="D566">
        <v>34</v>
      </c>
      <c r="E566" t="s">
        <v>4927</v>
      </c>
      <c r="F566" t="s">
        <v>4928</v>
      </c>
      <c r="G566" t="s">
        <v>115</v>
      </c>
      <c r="H566" t="s">
        <v>619</v>
      </c>
      <c r="I566" t="s">
        <v>116</v>
      </c>
      <c r="J566" t="s">
        <v>300</v>
      </c>
      <c r="K566" t="s">
        <v>1284</v>
      </c>
      <c r="L566" t="s">
        <v>228</v>
      </c>
      <c r="M566">
        <v>19</v>
      </c>
      <c r="N566" t="s">
        <v>1236</v>
      </c>
      <c r="O566">
        <v>2010</v>
      </c>
      <c r="P566" t="s">
        <v>4929</v>
      </c>
      <c r="Q566" t="s">
        <v>4930</v>
      </c>
      <c r="R566">
        <v>88103</v>
      </c>
      <c r="S566" t="s">
        <v>4925</v>
      </c>
      <c r="T566" s="1">
        <v>33579</v>
      </c>
      <c r="U566">
        <v>1991</v>
      </c>
      <c r="V566" t="s">
        <v>4931</v>
      </c>
      <c r="W566">
        <v>1.8</v>
      </c>
      <c r="X566" t="s">
        <v>1670</v>
      </c>
      <c r="Y566" t="s">
        <v>106</v>
      </c>
      <c r="Z566" t="s">
        <v>152</v>
      </c>
      <c r="AA566" t="s">
        <v>1284</v>
      </c>
      <c r="AB566" t="s">
        <v>4932</v>
      </c>
      <c r="AC566" t="s">
        <v>222</v>
      </c>
      <c r="AD566" t="s">
        <v>448</v>
      </c>
      <c r="AE566" s="1">
        <v>39996</v>
      </c>
      <c r="AF566">
        <v>17</v>
      </c>
      <c r="AG566" t="s">
        <v>171</v>
      </c>
      <c r="AH566" t="s">
        <v>92</v>
      </c>
      <c r="AI566" t="s">
        <v>89</v>
      </c>
      <c r="AJ566" t="s">
        <v>92</v>
      </c>
      <c r="AK566">
        <v>17</v>
      </c>
      <c r="AL566">
        <v>39</v>
      </c>
      <c r="AM566">
        <v>770</v>
      </c>
      <c r="AN566">
        <v>139</v>
      </c>
      <c r="AO566">
        <v>13</v>
      </c>
      <c r="AP566" t="s">
        <v>93</v>
      </c>
      <c r="AQ566" t="s">
        <v>89</v>
      </c>
      <c r="AR566" t="s">
        <v>89</v>
      </c>
      <c r="AS566" t="s">
        <v>93</v>
      </c>
      <c r="AT566" t="s">
        <v>89</v>
      </c>
      <c r="AU566" t="s">
        <v>89</v>
      </c>
      <c r="AV566" t="s">
        <v>89</v>
      </c>
      <c r="AW566">
        <v>15</v>
      </c>
      <c r="AX566">
        <v>10</v>
      </c>
      <c r="AY566" t="s">
        <v>111</v>
      </c>
      <c r="AZ566">
        <v>15</v>
      </c>
      <c r="BA566">
        <v>86</v>
      </c>
      <c r="BB566">
        <v>6341</v>
      </c>
      <c r="BC566">
        <v>23</v>
      </c>
      <c r="BD566">
        <v>414</v>
      </c>
      <c r="BE566">
        <v>27584</v>
      </c>
      <c r="BF566">
        <v>105</v>
      </c>
      <c r="BG566" t="s">
        <v>89</v>
      </c>
      <c r="BH566">
        <v>500</v>
      </c>
      <c r="BI566">
        <v>33925</v>
      </c>
      <c r="BJ566">
        <v>128</v>
      </c>
      <c r="BK566">
        <f t="shared" si="74"/>
        <v>500</v>
      </c>
      <c r="BL566">
        <f t="shared" si="75"/>
        <v>33925</v>
      </c>
      <c r="BM566">
        <f t="shared" si="76"/>
        <v>128</v>
      </c>
      <c r="BN566">
        <f t="shared" si="77"/>
        <v>0</v>
      </c>
      <c r="BO566">
        <f t="shared" si="78"/>
        <v>0</v>
      </c>
      <c r="BP566">
        <f t="shared" si="79"/>
        <v>0</v>
      </c>
      <c r="BQ566" t="s">
        <v>106</v>
      </c>
      <c r="BR566" t="s">
        <v>112</v>
      </c>
      <c r="BS566" s="1">
        <v>33431</v>
      </c>
      <c r="BT566">
        <v>34</v>
      </c>
      <c r="BU566" t="s">
        <v>89</v>
      </c>
      <c r="BV566" t="s">
        <v>89</v>
      </c>
      <c r="BW566">
        <v>17</v>
      </c>
      <c r="BX566">
        <v>1991</v>
      </c>
      <c r="BY566">
        <v>17</v>
      </c>
      <c r="BZ566">
        <f t="shared" si="80"/>
        <v>-2</v>
      </c>
      <c r="CA566">
        <f t="shared" si="81"/>
        <v>0</v>
      </c>
      <c r="CB566" t="b">
        <f t="shared" si="82"/>
        <v>0</v>
      </c>
    </row>
    <row r="567" spans="1:80" x14ac:dyDescent="0.3">
      <c r="A567" t="s">
        <v>4933</v>
      </c>
      <c r="B567" t="s">
        <v>1692</v>
      </c>
      <c r="C567" t="s">
        <v>4934</v>
      </c>
      <c r="D567">
        <v>32</v>
      </c>
      <c r="E567" t="s">
        <v>4935</v>
      </c>
      <c r="F567" t="s">
        <v>4936</v>
      </c>
      <c r="G567" t="s">
        <v>193</v>
      </c>
      <c r="H567" t="s">
        <v>1694</v>
      </c>
      <c r="I567" t="s">
        <v>178</v>
      </c>
      <c r="J567" t="s">
        <v>78</v>
      </c>
      <c r="K567" t="s">
        <v>81</v>
      </c>
      <c r="L567" t="s">
        <v>278</v>
      </c>
      <c r="M567">
        <v>18</v>
      </c>
      <c r="N567" t="s">
        <v>1257</v>
      </c>
      <c r="O567">
        <v>2011</v>
      </c>
      <c r="P567" t="s">
        <v>4937</v>
      </c>
      <c r="Q567" t="s">
        <v>4938</v>
      </c>
      <c r="R567">
        <v>121483</v>
      </c>
      <c r="S567" t="s">
        <v>4933</v>
      </c>
      <c r="T567" s="1">
        <v>34151</v>
      </c>
      <c r="U567">
        <v>1993</v>
      </c>
      <c r="V567" t="s">
        <v>4939</v>
      </c>
      <c r="W567">
        <v>1.88</v>
      </c>
      <c r="X567" t="s">
        <v>1694</v>
      </c>
      <c r="Y567" t="s">
        <v>186</v>
      </c>
      <c r="Z567" t="s">
        <v>87</v>
      </c>
      <c r="AA567" t="s">
        <v>1370</v>
      </c>
      <c r="AB567" t="s">
        <v>4940</v>
      </c>
      <c r="AC567" t="s">
        <v>394</v>
      </c>
      <c r="AD567" t="s">
        <v>395</v>
      </c>
      <c r="AE567" t="s">
        <v>4941</v>
      </c>
      <c r="AF567">
        <v>16</v>
      </c>
      <c r="AG567" t="s">
        <v>1703</v>
      </c>
      <c r="AH567">
        <v>41283</v>
      </c>
      <c r="AI567">
        <v>20</v>
      </c>
      <c r="AJ567" t="s">
        <v>615</v>
      </c>
      <c r="AK567">
        <v>16</v>
      </c>
      <c r="AL567">
        <v>8</v>
      </c>
      <c r="AM567">
        <v>187</v>
      </c>
      <c r="AN567">
        <v>30</v>
      </c>
      <c r="AO567">
        <v>4</v>
      </c>
      <c r="AP567" t="s">
        <v>93</v>
      </c>
      <c r="AQ567" t="s">
        <v>89</v>
      </c>
      <c r="AR567" t="s">
        <v>89</v>
      </c>
      <c r="AS567" t="s">
        <v>93</v>
      </c>
      <c r="AT567" t="s">
        <v>89</v>
      </c>
      <c r="AU567" t="s">
        <v>89</v>
      </c>
      <c r="AV567" t="s">
        <v>89</v>
      </c>
      <c r="AW567">
        <v>14</v>
      </c>
      <c r="AX567">
        <v>13</v>
      </c>
      <c r="AY567" t="s">
        <v>111</v>
      </c>
      <c r="AZ567">
        <v>19</v>
      </c>
      <c r="BA567">
        <v>77</v>
      </c>
      <c r="BB567">
        <v>6870</v>
      </c>
      <c r="BC567">
        <v>0</v>
      </c>
      <c r="BD567">
        <v>572</v>
      </c>
      <c r="BE567">
        <v>51606</v>
      </c>
      <c r="BF567">
        <v>0</v>
      </c>
      <c r="BG567" t="s">
        <v>89</v>
      </c>
      <c r="BH567">
        <v>649</v>
      </c>
      <c r="BI567">
        <v>58476</v>
      </c>
      <c r="BJ567">
        <v>0</v>
      </c>
      <c r="BK567">
        <f t="shared" si="74"/>
        <v>649</v>
      </c>
      <c r="BL567">
        <f t="shared" si="75"/>
        <v>58476</v>
      </c>
      <c r="BM567">
        <f t="shared" si="76"/>
        <v>0</v>
      </c>
      <c r="BN567">
        <f t="shared" si="77"/>
        <v>0</v>
      </c>
      <c r="BO567">
        <f t="shared" si="78"/>
        <v>0</v>
      </c>
      <c r="BP567">
        <f t="shared" si="79"/>
        <v>0</v>
      </c>
      <c r="BQ567" t="s">
        <v>186</v>
      </c>
      <c r="BR567" t="s">
        <v>186</v>
      </c>
      <c r="BS567" s="1">
        <v>33976</v>
      </c>
      <c r="BT567">
        <v>33</v>
      </c>
      <c r="BU567" t="s">
        <v>89</v>
      </c>
      <c r="BV567" t="s">
        <v>89</v>
      </c>
      <c r="BW567">
        <v>17</v>
      </c>
      <c r="BX567">
        <v>1993</v>
      </c>
      <c r="BY567">
        <v>16</v>
      </c>
      <c r="BZ567">
        <f t="shared" si="80"/>
        <v>-3</v>
      </c>
      <c r="CA567">
        <f t="shared" si="81"/>
        <v>1</v>
      </c>
      <c r="CB567" t="b">
        <f t="shared" si="82"/>
        <v>0</v>
      </c>
    </row>
    <row r="568" spans="1:80" x14ac:dyDescent="0.3">
      <c r="A568" t="s">
        <v>4942</v>
      </c>
      <c r="B568" t="s">
        <v>776</v>
      </c>
      <c r="C568" t="s">
        <v>4943</v>
      </c>
      <c r="D568">
        <v>43</v>
      </c>
      <c r="E568">
        <v>29860</v>
      </c>
      <c r="F568" t="s">
        <v>89</v>
      </c>
      <c r="G568" t="s">
        <v>226</v>
      </c>
      <c r="H568" t="s">
        <v>778</v>
      </c>
      <c r="I568" t="s">
        <v>161</v>
      </c>
      <c r="J568" t="s">
        <v>639</v>
      </c>
      <c r="K568" t="s">
        <v>89</v>
      </c>
      <c r="L568" t="s">
        <v>657</v>
      </c>
      <c r="M568">
        <v>21</v>
      </c>
      <c r="N568" t="s">
        <v>304</v>
      </c>
      <c r="O568">
        <v>2003</v>
      </c>
      <c r="P568" t="s">
        <v>4944</v>
      </c>
      <c r="Q568" t="s">
        <v>4945</v>
      </c>
      <c r="R568">
        <v>15952</v>
      </c>
      <c r="S568" t="s">
        <v>4942</v>
      </c>
      <c r="T568">
        <v>29596</v>
      </c>
      <c r="U568">
        <v>1981</v>
      </c>
      <c r="V568" t="s">
        <v>3033</v>
      </c>
      <c r="W568">
        <v>1.85</v>
      </c>
      <c r="X568" t="s">
        <v>783</v>
      </c>
      <c r="Y568" t="s">
        <v>106</v>
      </c>
      <c r="Z568" t="s">
        <v>392</v>
      </c>
      <c r="AA568" t="s">
        <v>4946</v>
      </c>
      <c r="AB568" t="s">
        <v>4947</v>
      </c>
      <c r="AC568" t="s">
        <v>108</v>
      </c>
      <c r="AD568" t="s">
        <v>89</v>
      </c>
      <c r="AE568">
        <v>36868</v>
      </c>
      <c r="AF568">
        <v>18</v>
      </c>
      <c r="AG568" t="s">
        <v>786</v>
      </c>
      <c r="AH568" t="s">
        <v>92</v>
      </c>
      <c r="AI568" t="s">
        <v>89</v>
      </c>
      <c r="AJ568" t="s">
        <v>92</v>
      </c>
      <c r="AK568">
        <v>18</v>
      </c>
      <c r="AL568">
        <v>13</v>
      </c>
      <c r="AM568">
        <v>670</v>
      </c>
      <c r="AN568">
        <v>121</v>
      </c>
      <c r="AO568">
        <v>6</v>
      </c>
      <c r="AP568" t="s">
        <v>93</v>
      </c>
      <c r="AQ568" t="s">
        <v>89</v>
      </c>
      <c r="AR568" t="s">
        <v>89</v>
      </c>
      <c r="AS568" t="s">
        <v>111</v>
      </c>
      <c r="AT568" t="s">
        <v>4947</v>
      </c>
      <c r="AU568">
        <v>2019</v>
      </c>
      <c r="AV568">
        <v>16</v>
      </c>
      <c r="AW568">
        <v>16</v>
      </c>
      <c r="AX568" t="s">
        <v>89</v>
      </c>
      <c r="AY568" t="s">
        <v>111</v>
      </c>
      <c r="AZ568">
        <v>4</v>
      </c>
      <c r="BA568">
        <v>6</v>
      </c>
      <c r="BB568">
        <v>190</v>
      </c>
      <c r="BC568">
        <v>0</v>
      </c>
      <c r="BD568">
        <v>314</v>
      </c>
      <c r="BE568">
        <v>19089</v>
      </c>
      <c r="BF568">
        <v>96</v>
      </c>
      <c r="BG568">
        <v>38</v>
      </c>
      <c r="BH568">
        <v>320</v>
      </c>
      <c r="BI568">
        <v>19279</v>
      </c>
      <c r="BJ568">
        <v>96</v>
      </c>
      <c r="BK568">
        <f t="shared" si="74"/>
        <v>320</v>
      </c>
      <c r="BL568">
        <f t="shared" si="75"/>
        <v>19279</v>
      </c>
      <c r="BM568">
        <f t="shared" si="76"/>
        <v>96</v>
      </c>
      <c r="BN568">
        <f t="shared" si="77"/>
        <v>0</v>
      </c>
      <c r="BO568">
        <f t="shared" si="78"/>
        <v>0</v>
      </c>
      <c r="BP568">
        <f t="shared" si="79"/>
        <v>0</v>
      </c>
      <c r="BQ568" t="s">
        <v>106</v>
      </c>
      <c r="BR568" t="s">
        <v>112</v>
      </c>
      <c r="BS568" t="s">
        <v>89</v>
      </c>
      <c r="BT568">
        <v>45</v>
      </c>
      <c r="BU568" t="s">
        <v>4947</v>
      </c>
      <c r="BV568" s="1">
        <v>43608</v>
      </c>
      <c r="BW568">
        <v>20</v>
      </c>
      <c r="BX568">
        <v>1981</v>
      </c>
      <c r="BY568">
        <v>20</v>
      </c>
      <c r="BZ568">
        <f t="shared" si="80"/>
        <v>-4</v>
      </c>
      <c r="CA568">
        <f t="shared" si="81"/>
        <v>0</v>
      </c>
      <c r="CB568" t="b">
        <f t="shared" si="82"/>
        <v>0</v>
      </c>
    </row>
    <row r="569" spans="1:80" x14ac:dyDescent="0.3">
      <c r="A569" t="s">
        <v>4948</v>
      </c>
      <c r="B569" t="s">
        <v>776</v>
      </c>
      <c r="C569" t="s">
        <v>4949</v>
      </c>
      <c r="D569">
        <v>38</v>
      </c>
      <c r="E569" s="1">
        <v>31657</v>
      </c>
      <c r="F569" t="s">
        <v>89</v>
      </c>
      <c r="G569" t="s">
        <v>334</v>
      </c>
      <c r="H569" t="s">
        <v>89</v>
      </c>
      <c r="I569" t="s">
        <v>178</v>
      </c>
      <c r="J569" t="s">
        <v>89</v>
      </c>
      <c r="K569" t="s">
        <v>89</v>
      </c>
      <c r="L569" t="s">
        <v>180</v>
      </c>
      <c r="M569">
        <v>20</v>
      </c>
      <c r="N569" t="s">
        <v>2036</v>
      </c>
      <c r="O569">
        <v>2007</v>
      </c>
      <c r="P569" t="s">
        <v>4950</v>
      </c>
      <c r="Q569" t="s">
        <v>4951</v>
      </c>
      <c r="R569">
        <v>52647</v>
      </c>
      <c r="S569" t="s">
        <v>4948</v>
      </c>
      <c r="T569" t="s">
        <v>4952</v>
      </c>
      <c r="U569">
        <v>1986</v>
      </c>
      <c r="V569" t="s">
        <v>4953</v>
      </c>
      <c r="W569">
        <v>1.91</v>
      </c>
      <c r="X569" t="s">
        <v>778</v>
      </c>
      <c r="Y569" t="s">
        <v>186</v>
      </c>
      <c r="Z569" t="s">
        <v>87</v>
      </c>
      <c r="AA569" t="s">
        <v>4954</v>
      </c>
      <c r="AB569" s="1">
        <v>45658</v>
      </c>
      <c r="AC569" t="s">
        <v>108</v>
      </c>
      <c r="AD569" t="s">
        <v>89</v>
      </c>
      <c r="AE569" t="s">
        <v>4955</v>
      </c>
      <c r="AF569">
        <v>20</v>
      </c>
      <c r="AG569" t="s">
        <v>786</v>
      </c>
      <c r="AH569" t="s">
        <v>4956</v>
      </c>
      <c r="AI569">
        <v>37</v>
      </c>
      <c r="AJ569" t="s">
        <v>986</v>
      </c>
      <c r="AK569">
        <v>20</v>
      </c>
      <c r="AL569" t="s">
        <v>89</v>
      </c>
      <c r="AM569" t="s">
        <v>89</v>
      </c>
      <c r="AN569" t="s">
        <v>89</v>
      </c>
      <c r="AO569">
        <v>0</v>
      </c>
      <c r="AP569" t="s">
        <v>93</v>
      </c>
      <c r="AQ569" t="s">
        <v>89</v>
      </c>
      <c r="AR569" t="s">
        <v>89</v>
      </c>
      <c r="AS569" t="s">
        <v>93</v>
      </c>
      <c r="AT569" t="s">
        <v>89</v>
      </c>
      <c r="AU569" t="s">
        <v>89</v>
      </c>
      <c r="AV569" t="s">
        <v>89</v>
      </c>
      <c r="AW569">
        <v>18</v>
      </c>
      <c r="AX569" t="s">
        <v>89</v>
      </c>
      <c r="AY569" t="s">
        <v>93</v>
      </c>
      <c r="AZ569">
        <v>0</v>
      </c>
      <c r="BA569">
        <v>0</v>
      </c>
      <c r="BB569">
        <v>0</v>
      </c>
      <c r="BC569">
        <v>0</v>
      </c>
      <c r="BD569">
        <v>165</v>
      </c>
      <c r="BE569">
        <v>14637</v>
      </c>
      <c r="BF569">
        <v>0</v>
      </c>
      <c r="BG569" t="s">
        <v>89</v>
      </c>
      <c r="BH569">
        <v>165</v>
      </c>
      <c r="BI569">
        <v>14637</v>
      </c>
      <c r="BJ569">
        <v>0</v>
      </c>
      <c r="BK569">
        <f t="shared" si="74"/>
        <v>165</v>
      </c>
      <c r="BL569">
        <f t="shared" si="75"/>
        <v>14637</v>
      </c>
      <c r="BM569">
        <f t="shared" si="76"/>
        <v>0</v>
      </c>
      <c r="BN569">
        <f t="shared" si="77"/>
        <v>0</v>
      </c>
      <c r="BO569">
        <f t="shared" si="78"/>
        <v>0</v>
      </c>
      <c r="BP569">
        <f t="shared" si="79"/>
        <v>0</v>
      </c>
      <c r="BQ569" t="s">
        <v>186</v>
      </c>
      <c r="BR569" t="s">
        <v>186</v>
      </c>
      <c r="BS569" t="s">
        <v>89</v>
      </c>
      <c r="BT569">
        <v>40</v>
      </c>
      <c r="BU569" t="s">
        <v>89</v>
      </c>
      <c r="BV569" t="s">
        <v>89</v>
      </c>
      <c r="BW569">
        <v>20</v>
      </c>
      <c r="BX569">
        <v>1986</v>
      </c>
      <c r="BY569">
        <v>18</v>
      </c>
      <c r="BZ569">
        <f t="shared" si="80"/>
        <v>-2</v>
      </c>
      <c r="CA569">
        <f t="shared" si="81"/>
        <v>2</v>
      </c>
      <c r="CB569" t="b">
        <f t="shared" si="82"/>
        <v>0</v>
      </c>
    </row>
    <row r="570" spans="1:80" x14ac:dyDescent="0.3">
      <c r="A570" t="s">
        <v>4957</v>
      </c>
      <c r="B570" t="s">
        <v>71</v>
      </c>
      <c r="C570" t="s">
        <v>4958</v>
      </c>
      <c r="D570">
        <v>31</v>
      </c>
      <c r="E570" t="s">
        <v>4959</v>
      </c>
      <c r="F570" t="s">
        <v>4960</v>
      </c>
      <c r="G570" t="s">
        <v>75</v>
      </c>
      <c r="H570" t="s">
        <v>89</v>
      </c>
      <c r="I570" t="s">
        <v>668</v>
      </c>
      <c r="J570" t="s">
        <v>78</v>
      </c>
      <c r="K570" t="s">
        <v>990</v>
      </c>
      <c r="L570" t="s">
        <v>324</v>
      </c>
      <c r="M570">
        <v>19</v>
      </c>
      <c r="N570" t="s">
        <v>751</v>
      </c>
      <c r="O570">
        <v>2013</v>
      </c>
      <c r="P570" t="s">
        <v>4961</v>
      </c>
      <c r="Q570" t="s">
        <v>4962</v>
      </c>
      <c r="R570">
        <v>263860</v>
      </c>
      <c r="S570" t="s">
        <v>4963</v>
      </c>
      <c r="T570" t="s">
        <v>4964</v>
      </c>
      <c r="U570">
        <v>1995</v>
      </c>
      <c r="V570" t="s">
        <v>258</v>
      </c>
      <c r="W570">
        <v>1.78</v>
      </c>
      <c r="X570" t="s">
        <v>76</v>
      </c>
      <c r="Y570" t="s">
        <v>494</v>
      </c>
      <c r="Z570" t="s">
        <v>87</v>
      </c>
      <c r="AA570" t="s">
        <v>990</v>
      </c>
      <c r="AB570" s="1">
        <v>45723</v>
      </c>
      <c r="AC570" t="s">
        <v>170</v>
      </c>
      <c r="AD570" t="s">
        <v>89</v>
      </c>
      <c r="AE570" t="s">
        <v>2284</v>
      </c>
      <c r="AF570">
        <v>19</v>
      </c>
      <c r="AG570" t="s">
        <v>91</v>
      </c>
      <c r="AH570">
        <v>42164</v>
      </c>
      <c r="AI570">
        <v>21</v>
      </c>
      <c r="AJ570" t="s">
        <v>110</v>
      </c>
      <c r="AK570">
        <v>19</v>
      </c>
      <c r="AL570">
        <v>2</v>
      </c>
      <c r="AM570">
        <v>58</v>
      </c>
      <c r="AN570">
        <v>8</v>
      </c>
      <c r="AO570">
        <v>1</v>
      </c>
      <c r="AP570" t="s">
        <v>93</v>
      </c>
      <c r="AQ570" t="s">
        <v>89</v>
      </c>
      <c r="AR570" t="s">
        <v>89</v>
      </c>
      <c r="AS570" t="s">
        <v>93</v>
      </c>
      <c r="AT570" t="s">
        <v>89</v>
      </c>
      <c r="AU570" t="s">
        <v>89</v>
      </c>
      <c r="AV570" t="s">
        <v>89</v>
      </c>
      <c r="AW570">
        <v>12</v>
      </c>
      <c r="AX570">
        <v>23</v>
      </c>
      <c r="AY570" t="s">
        <v>93</v>
      </c>
      <c r="AZ570">
        <v>0</v>
      </c>
      <c r="BA570">
        <v>0</v>
      </c>
      <c r="BB570">
        <v>0</v>
      </c>
      <c r="BC570">
        <v>0</v>
      </c>
      <c r="BD570">
        <v>280</v>
      </c>
      <c r="BE570">
        <v>17208</v>
      </c>
      <c r="BF570">
        <v>28</v>
      </c>
      <c r="BG570" t="s">
        <v>89</v>
      </c>
      <c r="BH570">
        <v>280</v>
      </c>
      <c r="BI570">
        <v>17208</v>
      </c>
      <c r="BJ570">
        <v>28</v>
      </c>
      <c r="BK570">
        <f t="shared" si="74"/>
        <v>280</v>
      </c>
      <c r="BL570">
        <f t="shared" si="75"/>
        <v>17208</v>
      </c>
      <c r="BM570">
        <f t="shared" si="76"/>
        <v>28</v>
      </c>
      <c r="BN570">
        <f t="shared" si="77"/>
        <v>0</v>
      </c>
      <c r="BO570">
        <f t="shared" si="78"/>
        <v>0</v>
      </c>
      <c r="BP570">
        <f t="shared" si="79"/>
        <v>0</v>
      </c>
      <c r="BQ570" t="s">
        <v>494</v>
      </c>
      <c r="BR570" t="s">
        <v>112</v>
      </c>
      <c r="BS570" t="s">
        <v>89</v>
      </c>
      <c r="BT570">
        <v>31</v>
      </c>
      <c r="BU570" t="s">
        <v>89</v>
      </c>
      <c r="BV570" t="s">
        <v>89</v>
      </c>
      <c r="BW570">
        <v>12</v>
      </c>
      <c r="BX570">
        <v>1995</v>
      </c>
      <c r="BY570">
        <v>12</v>
      </c>
      <c r="BZ570">
        <f t="shared" si="80"/>
        <v>0</v>
      </c>
      <c r="CA570">
        <f t="shared" si="81"/>
        <v>0</v>
      </c>
      <c r="CB570" t="b">
        <f t="shared" si="82"/>
        <v>1</v>
      </c>
    </row>
    <row r="571" spans="1:80" x14ac:dyDescent="0.3">
      <c r="A571" t="s">
        <v>4965</v>
      </c>
      <c r="B571" t="s">
        <v>71</v>
      </c>
      <c r="C571" t="s">
        <v>4966</v>
      </c>
      <c r="D571">
        <v>37</v>
      </c>
      <c r="E571" s="1">
        <v>32220</v>
      </c>
      <c r="F571" t="s">
        <v>89</v>
      </c>
      <c r="G571" t="s">
        <v>1946</v>
      </c>
      <c r="H571" t="s">
        <v>76</v>
      </c>
      <c r="I571" t="s">
        <v>195</v>
      </c>
      <c r="J571" t="s">
        <v>300</v>
      </c>
      <c r="K571" t="s">
        <v>89</v>
      </c>
      <c r="L571" t="s">
        <v>254</v>
      </c>
      <c r="M571">
        <v>21</v>
      </c>
      <c r="N571" t="s">
        <v>267</v>
      </c>
      <c r="O571">
        <v>2009</v>
      </c>
      <c r="P571" t="s">
        <v>4967</v>
      </c>
      <c r="Q571" t="s">
        <v>4968</v>
      </c>
      <c r="R571">
        <v>65318</v>
      </c>
      <c r="S571" t="s">
        <v>4965</v>
      </c>
      <c r="T571" t="s">
        <v>4969</v>
      </c>
      <c r="U571">
        <v>1988</v>
      </c>
      <c r="V571" t="s">
        <v>214</v>
      </c>
      <c r="W571">
        <v>1.71</v>
      </c>
      <c r="X571" t="s">
        <v>76</v>
      </c>
      <c r="Y571" t="s">
        <v>203</v>
      </c>
      <c r="Z571" t="s">
        <v>152</v>
      </c>
      <c r="AA571" t="s">
        <v>361</v>
      </c>
      <c r="AB571" s="1">
        <v>45664</v>
      </c>
      <c r="AC571" t="s">
        <v>108</v>
      </c>
      <c r="AD571" t="s">
        <v>89</v>
      </c>
      <c r="AE571">
        <v>41002</v>
      </c>
      <c r="AF571">
        <v>23</v>
      </c>
      <c r="AG571" t="s">
        <v>91</v>
      </c>
      <c r="AH571">
        <v>39913</v>
      </c>
      <c r="AI571">
        <v>21</v>
      </c>
      <c r="AJ571" t="s">
        <v>110</v>
      </c>
      <c r="AK571">
        <v>21</v>
      </c>
      <c r="AL571">
        <v>14</v>
      </c>
      <c r="AM571">
        <v>338</v>
      </c>
      <c r="AN571">
        <v>62</v>
      </c>
      <c r="AO571">
        <v>8</v>
      </c>
      <c r="AP571" t="s">
        <v>93</v>
      </c>
      <c r="AQ571" t="s">
        <v>89</v>
      </c>
      <c r="AR571" t="s">
        <v>89</v>
      </c>
      <c r="AS571" t="s">
        <v>111</v>
      </c>
      <c r="AT571" s="1">
        <v>45664</v>
      </c>
      <c r="AU571">
        <v>2025</v>
      </c>
      <c r="AV571">
        <v>16</v>
      </c>
      <c r="AW571">
        <v>16</v>
      </c>
      <c r="AX571" t="s">
        <v>89</v>
      </c>
      <c r="AY571" t="s">
        <v>93</v>
      </c>
      <c r="AZ571">
        <v>0</v>
      </c>
      <c r="BA571">
        <v>0</v>
      </c>
      <c r="BB571">
        <v>0</v>
      </c>
      <c r="BC571">
        <v>0</v>
      </c>
      <c r="BD571">
        <v>475</v>
      </c>
      <c r="BE571">
        <v>35831</v>
      </c>
      <c r="BF571">
        <v>8</v>
      </c>
      <c r="BG571">
        <v>37</v>
      </c>
      <c r="BH571">
        <v>475</v>
      </c>
      <c r="BI571">
        <v>35831</v>
      </c>
      <c r="BJ571">
        <v>8</v>
      </c>
      <c r="BK571">
        <f t="shared" si="74"/>
        <v>475</v>
      </c>
      <c r="BL571">
        <f t="shared" si="75"/>
        <v>35831</v>
      </c>
      <c r="BM571">
        <f t="shared" si="76"/>
        <v>8</v>
      </c>
      <c r="BN571">
        <f t="shared" si="77"/>
        <v>0</v>
      </c>
      <c r="BO571">
        <f t="shared" si="78"/>
        <v>0</v>
      </c>
      <c r="BP571">
        <f t="shared" si="79"/>
        <v>0</v>
      </c>
      <c r="BQ571" t="s">
        <v>203</v>
      </c>
      <c r="BR571" t="s">
        <v>140</v>
      </c>
      <c r="BS571" s="1">
        <v>32220</v>
      </c>
      <c r="BT571">
        <v>37</v>
      </c>
      <c r="BU571" s="1">
        <v>45664</v>
      </c>
      <c r="BV571" s="1">
        <v>45839</v>
      </c>
      <c r="BW571">
        <v>16</v>
      </c>
      <c r="BX571">
        <v>1988</v>
      </c>
      <c r="BY571">
        <v>16</v>
      </c>
      <c r="BZ571">
        <f t="shared" si="80"/>
        <v>0</v>
      </c>
      <c r="CA571">
        <f t="shared" si="81"/>
        <v>0</v>
      </c>
      <c r="CB571" t="b">
        <f t="shared" si="82"/>
        <v>1</v>
      </c>
    </row>
    <row r="572" spans="1:80" x14ac:dyDescent="0.3">
      <c r="A572" t="s">
        <v>4970</v>
      </c>
      <c r="B572" t="s">
        <v>4971</v>
      </c>
      <c r="C572" t="s">
        <v>4972</v>
      </c>
      <c r="D572">
        <v>44</v>
      </c>
      <c r="E572" s="1">
        <v>29471</v>
      </c>
      <c r="F572" t="s">
        <v>89</v>
      </c>
      <c r="G572" t="s">
        <v>193</v>
      </c>
      <c r="H572" t="s">
        <v>4973</v>
      </c>
      <c r="I572" t="s">
        <v>253</v>
      </c>
      <c r="J572" t="s">
        <v>89</v>
      </c>
      <c r="K572" t="s">
        <v>89</v>
      </c>
      <c r="L572" t="s">
        <v>163</v>
      </c>
      <c r="M572">
        <v>25</v>
      </c>
      <c r="N572" t="s">
        <v>820</v>
      </c>
      <c r="O572">
        <v>2006</v>
      </c>
      <c r="P572" t="s">
        <v>4974</v>
      </c>
      <c r="Q572" t="s">
        <v>4975</v>
      </c>
      <c r="R572">
        <v>24619</v>
      </c>
      <c r="S572" t="s">
        <v>4970</v>
      </c>
      <c r="T572">
        <v>29411</v>
      </c>
      <c r="U572">
        <v>1980</v>
      </c>
      <c r="V572" t="s">
        <v>4976</v>
      </c>
      <c r="W572">
        <v>1.86</v>
      </c>
      <c r="X572" t="s">
        <v>4973</v>
      </c>
      <c r="Y572" t="s">
        <v>259</v>
      </c>
      <c r="Z572" t="s">
        <v>87</v>
      </c>
      <c r="AA572" t="s">
        <v>4977</v>
      </c>
      <c r="AB572" s="1">
        <v>42376</v>
      </c>
      <c r="AC572" t="s">
        <v>108</v>
      </c>
      <c r="AD572" t="s">
        <v>89</v>
      </c>
      <c r="AE572">
        <v>1998</v>
      </c>
      <c r="AF572">
        <v>18</v>
      </c>
      <c r="AG572">
        <v>0</v>
      </c>
      <c r="AH572">
        <v>2014</v>
      </c>
      <c r="AI572">
        <v>33</v>
      </c>
      <c r="AJ572">
        <v>0</v>
      </c>
      <c r="AK572">
        <v>18</v>
      </c>
      <c r="AL572">
        <v>3</v>
      </c>
      <c r="AM572">
        <v>192</v>
      </c>
      <c r="AN572">
        <v>29</v>
      </c>
      <c r="AO572">
        <v>2</v>
      </c>
      <c r="AP572" t="s">
        <v>93</v>
      </c>
      <c r="AQ572" t="s">
        <v>89</v>
      </c>
      <c r="AR572" t="s">
        <v>89</v>
      </c>
      <c r="AS572" t="s">
        <v>111</v>
      </c>
      <c r="AT572" s="1">
        <v>42376</v>
      </c>
      <c r="AU572">
        <v>2016</v>
      </c>
      <c r="AV572">
        <v>10</v>
      </c>
      <c r="AW572">
        <v>10</v>
      </c>
      <c r="AX572" t="s">
        <v>89</v>
      </c>
      <c r="AY572" t="s">
        <v>111</v>
      </c>
      <c r="AZ572">
        <v>15</v>
      </c>
      <c r="BA572">
        <v>85</v>
      </c>
      <c r="BB572">
        <v>7501</v>
      </c>
      <c r="BC572">
        <v>27</v>
      </c>
      <c r="BD572">
        <v>182</v>
      </c>
      <c r="BE572">
        <v>15037</v>
      </c>
      <c r="BF572">
        <v>31</v>
      </c>
      <c r="BG572">
        <v>36</v>
      </c>
      <c r="BH572">
        <v>267</v>
      </c>
      <c r="BI572">
        <v>22538</v>
      </c>
      <c r="BJ572">
        <v>58</v>
      </c>
      <c r="BK572">
        <f t="shared" si="74"/>
        <v>267</v>
      </c>
      <c r="BL572">
        <f t="shared" si="75"/>
        <v>22538</v>
      </c>
      <c r="BM572">
        <f t="shared" si="76"/>
        <v>58</v>
      </c>
      <c r="BN572">
        <f t="shared" si="77"/>
        <v>0</v>
      </c>
      <c r="BO572">
        <f t="shared" si="78"/>
        <v>0</v>
      </c>
      <c r="BP572">
        <f t="shared" si="79"/>
        <v>0</v>
      </c>
      <c r="BQ572" t="s">
        <v>259</v>
      </c>
      <c r="BR572" t="s">
        <v>94</v>
      </c>
      <c r="BS572" t="s">
        <v>89</v>
      </c>
      <c r="BT572">
        <v>46</v>
      </c>
      <c r="BU572" s="1">
        <v>42376</v>
      </c>
      <c r="BV572" s="1">
        <v>42552</v>
      </c>
      <c r="BW572">
        <v>18</v>
      </c>
      <c r="BX572">
        <v>1980</v>
      </c>
      <c r="BY572">
        <v>18</v>
      </c>
      <c r="BZ572">
        <f t="shared" si="80"/>
        <v>-8</v>
      </c>
      <c r="CA572">
        <f t="shared" si="81"/>
        <v>0</v>
      </c>
      <c r="CB572" t="b">
        <f t="shared" si="82"/>
        <v>0</v>
      </c>
    </row>
    <row r="573" spans="1:80" x14ac:dyDescent="0.3">
      <c r="A573" t="s">
        <v>4978</v>
      </c>
      <c r="B573" t="s">
        <v>71</v>
      </c>
      <c r="C573" t="s">
        <v>4979</v>
      </c>
      <c r="D573">
        <v>36</v>
      </c>
      <c r="E573">
        <v>32373</v>
      </c>
      <c r="F573" t="s">
        <v>89</v>
      </c>
      <c r="G573" t="s">
        <v>241</v>
      </c>
      <c r="H573" t="s">
        <v>89</v>
      </c>
      <c r="I573" t="s">
        <v>340</v>
      </c>
      <c r="J573" t="s">
        <v>78</v>
      </c>
      <c r="K573" t="s">
        <v>89</v>
      </c>
      <c r="L573" t="s">
        <v>278</v>
      </c>
      <c r="M573">
        <v>22</v>
      </c>
      <c r="N573" t="s">
        <v>2278</v>
      </c>
      <c r="O573">
        <v>2011</v>
      </c>
      <c r="P573" t="s">
        <v>4980</v>
      </c>
      <c r="Q573" t="s">
        <v>4981</v>
      </c>
      <c r="R573">
        <v>164816</v>
      </c>
      <c r="S573" t="s">
        <v>4978</v>
      </c>
      <c r="T573" t="s">
        <v>4982</v>
      </c>
      <c r="U573">
        <v>1988</v>
      </c>
      <c r="V573" t="s">
        <v>4983</v>
      </c>
      <c r="W573">
        <v>1.9</v>
      </c>
      <c r="X573" t="s">
        <v>76</v>
      </c>
      <c r="Y573" t="s">
        <v>494</v>
      </c>
      <c r="Z573" t="s">
        <v>87</v>
      </c>
      <c r="AA573" t="s">
        <v>4984</v>
      </c>
      <c r="AB573" t="s">
        <v>2578</v>
      </c>
      <c r="AC573" t="s">
        <v>108</v>
      </c>
      <c r="AD573" t="s">
        <v>89</v>
      </c>
      <c r="AE573" t="s">
        <v>4985</v>
      </c>
      <c r="AF573">
        <v>24</v>
      </c>
      <c r="AG573" t="s">
        <v>91</v>
      </c>
      <c r="AH573" t="s">
        <v>306</v>
      </c>
      <c r="AI573">
        <v>23</v>
      </c>
      <c r="AJ573" t="s">
        <v>110</v>
      </c>
      <c r="AK573">
        <v>23</v>
      </c>
      <c r="AL573">
        <v>2</v>
      </c>
      <c r="AM573">
        <v>301</v>
      </c>
      <c r="AN573">
        <v>31</v>
      </c>
      <c r="AO573">
        <v>2</v>
      </c>
      <c r="AP573" t="s">
        <v>93</v>
      </c>
      <c r="AQ573" t="s">
        <v>89</v>
      </c>
      <c r="AR573" t="s">
        <v>89</v>
      </c>
      <c r="AS573" t="s">
        <v>111</v>
      </c>
      <c r="AT573" t="s">
        <v>2578</v>
      </c>
      <c r="AU573">
        <v>2023</v>
      </c>
      <c r="AV573">
        <v>12</v>
      </c>
      <c r="AW573">
        <v>12</v>
      </c>
      <c r="AX573" t="s">
        <v>89</v>
      </c>
      <c r="AY573" t="s">
        <v>93</v>
      </c>
      <c r="AZ573">
        <v>0</v>
      </c>
      <c r="BA573">
        <v>0</v>
      </c>
      <c r="BB573">
        <v>0</v>
      </c>
      <c r="BC573">
        <v>0</v>
      </c>
      <c r="BD573">
        <v>145</v>
      </c>
      <c r="BE573">
        <v>8122</v>
      </c>
      <c r="BF573">
        <v>8</v>
      </c>
      <c r="BG573">
        <v>35</v>
      </c>
      <c r="BH573">
        <v>145</v>
      </c>
      <c r="BI573">
        <v>8122</v>
      </c>
      <c r="BJ573">
        <v>8</v>
      </c>
      <c r="BK573">
        <f t="shared" si="74"/>
        <v>145</v>
      </c>
      <c r="BL573">
        <f t="shared" si="75"/>
        <v>8122</v>
      </c>
      <c r="BM573">
        <f t="shared" si="76"/>
        <v>8</v>
      </c>
      <c r="BN573">
        <f t="shared" si="77"/>
        <v>0</v>
      </c>
      <c r="BO573">
        <f t="shared" si="78"/>
        <v>0</v>
      </c>
      <c r="BP573">
        <f t="shared" si="79"/>
        <v>0</v>
      </c>
      <c r="BQ573" t="s">
        <v>494</v>
      </c>
      <c r="BR573" t="s">
        <v>112</v>
      </c>
      <c r="BS573" s="1">
        <v>32373</v>
      </c>
      <c r="BT573">
        <v>37</v>
      </c>
      <c r="BU573" t="s">
        <v>2578</v>
      </c>
      <c r="BV573" s="1">
        <v>44957</v>
      </c>
      <c r="BW573">
        <v>12</v>
      </c>
      <c r="BX573">
        <v>1988</v>
      </c>
      <c r="BY573">
        <v>12</v>
      </c>
      <c r="BZ573">
        <f t="shared" si="80"/>
        <v>0</v>
      </c>
      <c r="CA573">
        <f t="shared" si="81"/>
        <v>0</v>
      </c>
      <c r="CB573" t="b">
        <f t="shared" si="82"/>
        <v>1</v>
      </c>
    </row>
    <row r="574" spans="1:80" x14ac:dyDescent="0.3">
      <c r="A574" t="s">
        <v>4986</v>
      </c>
      <c r="B574" t="s">
        <v>71</v>
      </c>
      <c r="C574" t="s">
        <v>4987</v>
      </c>
      <c r="D574">
        <v>39</v>
      </c>
      <c r="E574" s="1">
        <v>31452</v>
      </c>
      <c r="F574" t="s">
        <v>89</v>
      </c>
      <c r="G574" t="s">
        <v>535</v>
      </c>
      <c r="H574" t="s">
        <v>89</v>
      </c>
      <c r="I574" t="s">
        <v>791</v>
      </c>
      <c r="J574" t="s">
        <v>78</v>
      </c>
      <c r="K574" t="s">
        <v>89</v>
      </c>
      <c r="L574" t="s">
        <v>180</v>
      </c>
      <c r="M574">
        <v>21</v>
      </c>
      <c r="N574" t="s">
        <v>1858</v>
      </c>
      <c r="O574">
        <v>2007</v>
      </c>
      <c r="P574" t="s">
        <v>4988</v>
      </c>
      <c r="Q574" t="s">
        <v>4989</v>
      </c>
      <c r="R574">
        <v>58009</v>
      </c>
      <c r="S574" t="s">
        <v>4986</v>
      </c>
      <c r="T574">
        <v>31657</v>
      </c>
      <c r="U574">
        <v>1986</v>
      </c>
      <c r="V574" t="s">
        <v>1858</v>
      </c>
      <c r="W574">
        <v>1.7</v>
      </c>
      <c r="X574" t="s">
        <v>76</v>
      </c>
      <c r="Y574" t="s">
        <v>106</v>
      </c>
      <c r="Z574" t="s">
        <v>87</v>
      </c>
      <c r="AA574" t="s">
        <v>3118</v>
      </c>
      <c r="AB574">
        <v>44933</v>
      </c>
      <c r="AC574" t="s">
        <v>108</v>
      </c>
      <c r="AD574" t="s">
        <v>89</v>
      </c>
      <c r="AE574" t="s">
        <v>808</v>
      </c>
      <c r="AF574">
        <v>28</v>
      </c>
      <c r="AG574" t="s">
        <v>91</v>
      </c>
      <c r="AH574" t="s">
        <v>4990</v>
      </c>
      <c r="AI574">
        <v>22</v>
      </c>
      <c r="AJ574" t="s">
        <v>110</v>
      </c>
      <c r="AK574">
        <v>22</v>
      </c>
      <c r="AL574">
        <v>5</v>
      </c>
      <c r="AM574">
        <v>472</v>
      </c>
      <c r="AN574">
        <v>66</v>
      </c>
      <c r="AO574">
        <v>4</v>
      </c>
      <c r="AP574" t="s">
        <v>93</v>
      </c>
      <c r="AQ574" t="s">
        <v>89</v>
      </c>
      <c r="AR574" t="s">
        <v>89</v>
      </c>
      <c r="AS574" t="s">
        <v>111</v>
      </c>
      <c r="AT574">
        <v>44933</v>
      </c>
      <c r="AU574">
        <v>2023</v>
      </c>
      <c r="AV574">
        <v>16</v>
      </c>
      <c r="AW574">
        <v>16</v>
      </c>
      <c r="AX574" t="s">
        <v>89</v>
      </c>
      <c r="AY574" t="s">
        <v>93</v>
      </c>
      <c r="AZ574">
        <v>0</v>
      </c>
      <c r="BA574">
        <v>0</v>
      </c>
      <c r="BB574">
        <v>0</v>
      </c>
      <c r="BC574">
        <v>0</v>
      </c>
      <c r="BD574">
        <v>132</v>
      </c>
      <c r="BE574">
        <v>8653</v>
      </c>
      <c r="BF574">
        <v>6</v>
      </c>
      <c r="BG574">
        <v>37</v>
      </c>
      <c r="BH574">
        <v>132</v>
      </c>
      <c r="BI574">
        <v>8653</v>
      </c>
      <c r="BJ574">
        <v>6</v>
      </c>
      <c r="BK574">
        <f t="shared" si="74"/>
        <v>132</v>
      </c>
      <c r="BL574">
        <f t="shared" si="75"/>
        <v>8653</v>
      </c>
      <c r="BM574">
        <f t="shared" si="76"/>
        <v>6</v>
      </c>
      <c r="BN574">
        <f t="shared" si="77"/>
        <v>0</v>
      </c>
      <c r="BO574">
        <f t="shared" si="78"/>
        <v>0</v>
      </c>
      <c r="BP574">
        <f t="shared" si="79"/>
        <v>0</v>
      </c>
      <c r="BQ574" t="s">
        <v>106</v>
      </c>
      <c r="BR574" t="s">
        <v>112</v>
      </c>
      <c r="BS574" t="s">
        <v>89</v>
      </c>
      <c r="BT574">
        <v>40</v>
      </c>
      <c r="BU574">
        <v>44933</v>
      </c>
      <c r="BV574" t="s">
        <v>89</v>
      </c>
      <c r="BW574">
        <v>15</v>
      </c>
      <c r="BX574">
        <v>1986</v>
      </c>
      <c r="BY574">
        <v>15</v>
      </c>
      <c r="BZ574">
        <f t="shared" si="80"/>
        <v>1</v>
      </c>
      <c r="CA574">
        <f t="shared" si="81"/>
        <v>0</v>
      </c>
      <c r="CB574" t="b">
        <f t="shared" si="82"/>
        <v>0</v>
      </c>
    </row>
    <row r="575" spans="1:80" x14ac:dyDescent="0.3">
      <c r="A575" t="s">
        <v>4991</v>
      </c>
      <c r="B575" t="s">
        <v>71</v>
      </c>
      <c r="C575" t="s">
        <v>4992</v>
      </c>
      <c r="D575">
        <v>41</v>
      </c>
      <c r="E575">
        <v>30685</v>
      </c>
      <c r="F575" t="s">
        <v>89</v>
      </c>
      <c r="G575" t="s">
        <v>97</v>
      </c>
      <c r="H575" t="s">
        <v>76</v>
      </c>
      <c r="I575" t="s">
        <v>288</v>
      </c>
      <c r="J575" t="s">
        <v>78</v>
      </c>
      <c r="K575" t="s">
        <v>89</v>
      </c>
      <c r="L575" t="s">
        <v>845</v>
      </c>
      <c r="M575">
        <v>18</v>
      </c>
      <c r="N575" t="s">
        <v>279</v>
      </c>
      <c r="O575">
        <v>2002</v>
      </c>
      <c r="P575" t="s">
        <v>4993</v>
      </c>
      <c r="Q575" t="s">
        <v>4994</v>
      </c>
      <c r="R575">
        <v>56134</v>
      </c>
      <c r="S575" t="s">
        <v>4991</v>
      </c>
      <c r="T575">
        <v>30773</v>
      </c>
      <c r="U575">
        <v>1984</v>
      </c>
      <c r="V575" t="s">
        <v>4995</v>
      </c>
      <c r="W575">
        <v>1.82</v>
      </c>
      <c r="X575" t="s">
        <v>76</v>
      </c>
      <c r="Y575" t="s">
        <v>259</v>
      </c>
      <c r="Z575" t="s">
        <v>87</v>
      </c>
      <c r="AA575" t="s">
        <v>279</v>
      </c>
      <c r="AB575">
        <v>44203</v>
      </c>
      <c r="AC575" t="s">
        <v>108</v>
      </c>
      <c r="AD575" t="s">
        <v>442</v>
      </c>
      <c r="AE575" t="s">
        <v>449</v>
      </c>
      <c r="AF575">
        <v>23</v>
      </c>
      <c r="AG575" t="s">
        <v>91</v>
      </c>
      <c r="AH575" s="1">
        <v>37351</v>
      </c>
      <c r="AI575">
        <v>18</v>
      </c>
      <c r="AJ575" t="s">
        <v>110</v>
      </c>
      <c r="AK575">
        <v>18</v>
      </c>
      <c r="AL575">
        <v>11</v>
      </c>
      <c r="AM575">
        <v>374</v>
      </c>
      <c r="AN575">
        <v>58</v>
      </c>
      <c r="AO575">
        <v>6</v>
      </c>
      <c r="AP575" t="s">
        <v>93</v>
      </c>
      <c r="AQ575" t="s">
        <v>89</v>
      </c>
      <c r="AR575" t="s">
        <v>89</v>
      </c>
      <c r="AS575" t="s">
        <v>111</v>
      </c>
      <c r="AT575">
        <v>44203</v>
      </c>
      <c r="AU575">
        <v>2021</v>
      </c>
      <c r="AV575">
        <v>19</v>
      </c>
      <c r="AW575">
        <v>19</v>
      </c>
      <c r="AX575" t="s">
        <v>89</v>
      </c>
      <c r="AY575" t="s">
        <v>93</v>
      </c>
      <c r="AZ575">
        <v>0</v>
      </c>
      <c r="BA575">
        <v>0</v>
      </c>
      <c r="BB575">
        <v>0</v>
      </c>
      <c r="BC575">
        <v>0</v>
      </c>
      <c r="BD575">
        <v>569</v>
      </c>
      <c r="BE575">
        <v>43232</v>
      </c>
      <c r="BF575">
        <v>18</v>
      </c>
      <c r="BG575">
        <v>37</v>
      </c>
      <c r="BH575">
        <v>569</v>
      </c>
      <c r="BI575">
        <v>43232</v>
      </c>
      <c r="BJ575">
        <v>18</v>
      </c>
      <c r="BK575">
        <f t="shared" si="74"/>
        <v>569</v>
      </c>
      <c r="BL575">
        <f t="shared" si="75"/>
        <v>43232</v>
      </c>
      <c r="BM575">
        <f t="shared" si="76"/>
        <v>18</v>
      </c>
      <c r="BN575">
        <f t="shared" si="77"/>
        <v>0</v>
      </c>
      <c r="BO575">
        <f t="shared" si="78"/>
        <v>0</v>
      </c>
      <c r="BP575">
        <f t="shared" si="79"/>
        <v>0</v>
      </c>
      <c r="BQ575" t="s">
        <v>259</v>
      </c>
      <c r="BR575" t="s">
        <v>94</v>
      </c>
      <c r="BS575" t="s">
        <v>89</v>
      </c>
      <c r="BT575">
        <v>42</v>
      </c>
      <c r="BU575">
        <v>44203</v>
      </c>
      <c r="BV575" t="s">
        <v>89</v>
      </c>
      <c r="BW575">
        <v>19</v>
      </c>
      <c r="BX575">
        <v>1984</v>
      </c>
      <c r="BY575">
        <v>19</v>
      </c>
      <c r="BZ575">
        <f t="shared" si="80"/>
        <v>0</v>
      </c>
      <c r="CA575">
        <f t="shared" si="81"/>
        <v>0</v>
      </c>
      <c r="CB575" t="b">
        <f t="shared" si="82"/>
        <v>1</v>
      </c>
    </row>
    <row r="576" spans="1:80" x14ac:dyDescent="0.3">
      <c r="A576" t="s">
        <v>4996</v>
      </c>
      <c r="B576" t="s">
        <v>71</v>
      </c>
      <c r="C576" t="s">
        <v>4997</v>
      </c>
      <c r="D576">
        <v>43</v>
      </c>
      <c r="E576">
        <v>30025</v>
      </c>
      <c r="F576" t="s">
        <v>89</v>
      </c>
      <c r="G576" t="s">
        <v>321</v>
      </c>
      <c r="H576" t="s">
        <v>89</v>
      </c>
      <c r="I576" t="s">
        <v>437</v>
      </c>
      <c r="J576" t="s">
        <v>78</v>
      </c>
      <c r="K576" t="s">
        <v>89</v>
      </c>
      <c r="L576" t="s">
        <v>657</v>
      </c>
      <c r="M576">
        <v>21</v>
      </c>
      <c r="N576" t="s">
        <v>267</v>
      </c>
      <c r="O576">
        <v>2003</v>
      </c>
      <c r="P576" t="s">
        <v>4998</v>
      </c>
      <c r="Q576" t="s">
        <v>4999</v>
      </c>
      <c r="R576">
        <v>46215</v>
      </c>
      <c r="S576" t="s">
        <v>4996</v>
      </c>
      <c r="T576" t="s">
        <v>5000</v>
      </c>
      <c r="U576">
        <v>1982</v>
      </c>
      <c r="V576" t="s">
        <v>5001</v>
      </c>
      <c r="W576">
        <v>1.78</v>
      </c>
      <c r="X576" t="s">
        <v>76</v>
      </c>
      <c r="Y576" t="s">
        <v>123</v>
      </c>
      <c r="Z576" t="s">
        <v>87</v>
      </c>
      <c r="AA576" t="s">
        <v>162</v>
      </c>
      <c r="AB576">
        <v>43472</v>
      </c>
      <c r="AC576" t="s">
        <v>108</v>
      </c>
      <c r="AD576" t="s">
        <v>89</v>
      </c>
      <c r="AE576">
        <v>39388</v>
      </c>
      <c r="AF576">
        <v>24</v>
      </c>
      <c r="AG576" t="s">
        <v>91</v>
      </c>
      <c r="AH576" t="s">
        <v>5002</v>
      </c>
      <c r="AI576">
        <v>21</v>
      </c>
      <c r="AJ576" t="s">
        <v>110</v>
      </c>
      <c r="AK576">
        <v>21</v>
      </c>
      <c r="AL576">
        <v>7</v>
      </c>
      <c r="AM576">
        <v>146</v>
      </c>
      <c r="AN576">
        <v>22</v>
      </c>
      <c r="AO576">
        <v>4</v>
      </c>
      <c r="AP576" t="s">
        <v>93</v>
      </c>
      <c r="AQ576" t="s">
        <v>89</v>
      </c>
      <c r="AR576" t="s">
        <v>89</v>
      </c>
      <c r="AS576" t="s">
        <v>111</v>
      </c>
      <c r="AT576">
        <v>43472</v>
      </c>
      <c r="AU576">
        <v>2019</v>
      </c>
      <c r="AV576">
        <v>16</v>
      </c>
      <c r="AW576">
        <v>16</v>
      </c>
      <c r="AX576" t="s">
        <v>89</v>
      </c>
      <c r="AY576" t="s">
        <v>93</v>
      </c>
      <c r="AZ576">
        <v>0</v>
      </c>
      <c r="BA576">
        <v>0</v>
      </c>
      <c r="BB576">
        <v>0</v>
      </c>
      <c r="BC576">
        <v>0</v>
      </c>
      <c r="BD576">
        <v>376</v>
      </c>
      <c r="BE576">
        <v>26460</v>
      </c>
      <c r="BF576">
        <v>126</v>
      </c>
      <c r="BG576">
        <v>37</v>
      </c>
      <c r="BH576">
        <v>376</v>
      </c>
      <c r="BI576">
        <v>26460</v>
      </c>
      <c r="BJ576">
        <v>126</v>
      </c>
      <c r="BK576">
        <f t="shared" si="74"/>
        <v>376</v>
      </c>
      <c r="BL576">
        <f t="shared" si="75"/>
        <v>26460</v>
      </c>
      <c r="BM576">
        <f t="shared" si="76"/>
        <v>126</v>
      </c>
      <c r="BN576">
        <f t="shared" si="77"/>
        <v>0</v>
      </c>
      <c r="BO576">
        <f t="shared" si="78"/>
        <v>0</v>
      </c>
      <c r="BP576">
        <f t="shared" si="79"/>
        <v>0</v>
      </c>
      <c r="BQ576" t="s">
        <v>123</v>
      </c>
      <c r="BR576" t="s">
        <v>112</v>
      </c>
      <c r="BS576" t="s">
        <v>89</v>
      </c>
      <c r="BT576">
        <v>44</v>
      </c>
      <c r="BU576">
        <v>43472</v>
      </c>
      <c r="BV576" t="s">
        <v>89</v>
      </c>
      <c r="BW576">
        <v>16</v>
      </c>
      <c r="BX576">
        <v>1982</v>
      </c>
      <c r="BY576">
        <v>16</v>
      </c>
      <c r="BZ576">
        <f t="shared" si="80"/>
        <v>0</v>
      </c>
      <c r="CA576">
        <f t="shared" si="81"/>
        <v>0</v>
      </c>
      <c r="CB576" t="b">
        <f t="shared" si="82"/>
        <v>1</v>
      </c>
    </row>
    <row r="577" spans="1:80" x14ac:dyDescent="0.3">
      <c r="A577" t="s">
        <v>5003</v>
      </c>
      <c r="B577" t="s">
        <v>71</v>
      </c>
      <c r="C577" t="s">
        <v>5004</v>
      </c>
      <c r="D577">
        <v>38</v>
      </c>
      <c r="E577" s="1">
        <v>31936</v>
      </c>
      <c r="F577" t="s">
        <v>89</v>
      </c>
      <c r="G577" t="s">
        <v>413</v>
      </c>
      <c r="H577" t="s">
        <v>89</v>
      </c>
      <c r="I577" t="s">
        <v>178</v>
      </c>
      <c r="J577" t="s">
        <v>89</v>
      </c>
      <c r="K577" t="s">
        <v>89</v>
      </c>
      <c r="L577" t="s">
        <v>228</v>
      </c>
      <c r="M577">
        <v>23</v>
      </c>
      <c r="N577" t="s">
        <v>100</v>
      </c>
      <c r="O577">
        <v>2010</v>
      </c>
      <c r="P577" t="s">
        <v>5005</v>
      </c>
      <c r="Q577" t="s">
        <v>5006</v>
      </c>
      <c r="R577">
        <v>69611</v>
      </c>
      <c r="S577" t="s">
        <v>5003</v>
      </c>
      <c r="T577">
        <v>31995</v>
      </c>
      <c r="U577">
        <v>1987</v>
      </c>
      <c r="V577" t="s">
        <v>234</v>
      </c>
      <c r="W577">
        <v>1.88</v>
      </c>
      <c r="X577" t="s">
        <v>76</v>
      </c>
      <c r="Y577" t="s">
        <v>186</v>
      </c>
      <c r="Z577" t="s">
        <v>87</v>
      </c>
      <c r="AA577" t="s">
        <v>476</v>
      </c>
      <c r="AB577" s="1">
        <v>45664</v>
      </c>
      <c r="AC577" t="s">
        <v>108</v>
      </c>
      <c r="AD577" t="s">
        <v>89</v>
      </c>
      <c r="AE577" t="s">
        <v>2406</v>
      </c>
      <c r="AF577">
        <v>26</v>
      </c>
      <c r="AG577" t="s">
        <v>91</v>
      </c>
      <c r="AH577" t="s">
        <v>2950</v>
      </c>
      <c r="AI577">
        <v>23</v>
      </c>
      <c r="AJ577" t="s">
        <v>110</v>
      </c>
      <c r="AK577">
        <v>23</v>
      </c>
      <c r="AL577">
        <v>1</v>
      </c>
      <c r="AM577">
        <v>272</v>
      </c>
      <c r="AN577">
        <v>38</v>
      </c>
      <c r="AO577">
        <v>1</v>
      </c>
      <c r="AP577" t="s">
        <v>93</v>
      </c>
      <c r="AQ577" t="s">
        <v>89</v>
      </c>
      <c r="AR577" t="s">
        <v>89</v>
      </c>
      <c r="AS577" t="s">
        <v>93</v>
      </c>
      <c r="AT577" t="s">
        <v>89</v>
      </c>
      <c r="AU577" t="s">
        <v>89</v>
      </c>
      <c r="AV577" t="s">
        <v>89</v>
      </c>
      <c r="AW577">
        <v>15</v>
      </c>
      <c r="AX577" t="s">
        <v>89</v>
      </c>
      <c r="AY577" t="s">
        <v>93</v>
      </c>
      <c r="AZ577">
        <v>0</v>
      </c>
      <c r="BA577">
        <v>0</v>
      </c>
      <c r="BB577">
        <v>0</v>
      </c>
      <c r="BC577">
        <v>0</v>
      </c>
      <c r="BD577">
        <v>131</v>
      </c>
      <c r="BE577">
        <v>11687</v>
      </c>
      <c r="BF577">
        <v>0</v>
      </c>
      <c r="BG577" t="s">
        <v>89</v>
      </c>
      <c r="BH577">
        <v>131</v>
      </c>
      <c r="BI577">
        <v>11687</v>
      </c>
      <c r="BJ577">
        <v>0</v>
      </c>
      <c r="BK577">
        <f t="shared" si="74"/>
        <v>131</v>
      </c>
      <c r="BL577">
        <f t="shared" si="75"/>
        <v>11687</v>
      </c>
      <c r="BM577">
        <f t="shared" si="76"/>
        <v>0</v>
      </c>
      <c r="BN577">
        <f t="shared" si="77"/>
        <v>0</v>
      </c>
      <c r="BO577">
        <f t="shared" si="78"/>
        <v>0</v>
      </c>
      <c r="BP577">
        <f t="shared" si="79"/>
        <v>0</v>
      </c>
      <c r="BQ577" t="s">
        <v>186</v>
      </c>
      <c r="BR577" t="s">
        <v>186</v>
      </c>
      <c r="BS577" t="s">
        <v>89</v>
      </c>
      <c r="BT577">
        <v>39</v>
      </c>
      <c r="BU577" t="s">
        <v>89</v>
      </c>
      <c r="BV577" t="s">
        <v>89</v>
      </c>
      <c r="BW577">
        <v>16</v>
      </c>
      <c r="BX577">
        <v>1987</v>
      </c>
      <c r="BY577">
        <v>15</v>
      </c>
      <c r="BZ577">
        <f t="shared" si="80"/>
        <v>-1</v>
      </c>
      <c r="CA577">
        <f t="shared" si="81"/>
        <v>1</v>
      </c>
      <c r="CB577" t="b">
        <f t="shared" si="82"/>
        <v>0</v>
      </c>
    </row>
    <row r="578" spans="1:80" x14ac:dyDescent="0.3">
      <c r="A578" t="s">
        <v>5007</v>
      </c>
      <c r="B578" t="s">
        <v>71</v>
      </c>
      <c r="C578" t="s">
        <v>5008</v>
      </c>
      <c r="D578">
        <v>39</v>
      </c>
      <c r="E578" s="1">
        <v>31433</v>
      </c>
      <c r="F578" t="s">
        <v>89</v>
      </c>
      <c r="G578" t="s">
        <v>115</v>
      </c>
      <c r="H578" t="s">
        <v>89</v>
      </c>
      <c r="I578" t="s">
        <v>596</v>
      </c>
      <c r="J578" t="s">
        <v>78</v>
      </c>
      <c r="K578" t="s">
        <v>89</v>
      </c>
      <c r="L578" t="s">
        <v>254</v>
      </c>
      <c r="M578">
        <v>23</v>
      </c>
      <c r="N578" t="s">
        <v>146</v>
      </c>
      <c r="O578">
        <v>2009</v>
      </c>
      <c r="P578" t="s">
        <v>5009</v>
      </c>
      <c r="Q578" t="s">
        <v>5010</v>
      </c>
      <c r="R578">
        <v>72310</v>
      </c>
      <c r="S578" t="s">
        <v>5007</v>
      </c>
      <c r="T578" t="s">
        <v>5011</v>
      </c>
      <c r="U578">
        <v>1986</v>
      </c>
      <c r="V578" t="s">
        <v>5012</v>
      </c>
      <c r="W578">
        <v>1.8</v>
      </c>
      <c r="X578" t="s">
        <v>76</v>
      </c>
      <c r="Y578" t="s">
        <v>136</v>
      </c>
      <c r="Z578" t="s">
        <v>87</v>
      </c>
      <c r="AA578" t="s">
        <v>4710</v>
      </c>
      <c r="AB578" s="1">
        <v>45664</v>
      </c>
      <c r="AC578" t="s">
        <v>108</v>
      </c>
      <c r="AD578" t="s">
        <v>89</v>
      </c>
      <c r="AE578" t="s">
        <v>237</v>
      </c>
      <c r="AF578">
        <v>24</v>
      </c>
      <c r="AG578" t="s">
        <v>91</v>
      </c>
      <c r="AH578" t="s">
        <v>92</v>
      </c>
      <c r="AI578" t="s">
        <v>89</v>
      </c>
      <c r="AJ578" t="s">
        <v>92</v>
      </c>
      <c r="AK578">
        <v>24</v>
      </c>
      <c r="AL578">
        <v>11</v>
      </c>
      <c r="AM578">
        <v>403</v>
      </c>
      <c r="AN578">
        <v>48</v>
      </c>
      <c r="AO578">
        <v>7</v>
      </c>
      <c r="AP578" t="s">
        <v>93</v>
      </c>
      <c r="AQ578" t="s">
        <v>89</v>
      </c>
      <c r="AR578" t="s">
        <v>89</v>
      </c>
      <c r="AS578" t="s">
        <v>111</v>
      </c>
      <c r="AT578" s="1">
        <v>45664</v>
      </c>
      <c r="AU578">
        <v>2025</v>
      </c>
      <c r="AV578">
        <v>16</v>
      </c>
      <c r="AW578">
        <v>16</v>
      </c>
      <c r="AX578" t="s">
        <v>89</v>
      </c>
      <c r="AY578" t="s">
        <v>93</v>
      </c>
      <c r="AZ578">
        <v>0</v>
      </c>
      <c r="BA578">
        <v>0</v>
      </c>
      <c r="BB578">
        <v>0</v>
      </c>
      <c r="BC578">
        <v>0</v>
      </c>
      <c r="BD578">
        <v>349</v>
      </c>
      <c r="BE578">
        <v>27687</v>
      </c>
      <c r="BF578">
        <v>6</v>
      </c>
      <c r="BG578">
        <v>39</v>
      </c>
      <c r="BH578">
        <v>349</v>
      </c>
      <c r="BI578">
        <v>27687</v>
      </c>
      <c r="BJ578">
        <v>6</v>
      </c>
      <c r="BK578">
        <f t="shared" si="74"/>
        <v>349</v>
      </c>
      <c r="BL578">
        <f t="shared" si="75"/>
        <v>27687</v>
      </c>
      <c r="BM578">
        <f t="shared" si="76"/>
        <v>6</v>
      </c>
      <c r="BN578">
        <f t="shared" si="77"/>
        <v>0</v>
      </c>
      <c r="BO578">
        <f t="shared" si="78"/>
        <v>0</v>
      </c>
      <c r="BP578">
        <f t="shared" si="79"/>
        <v>0</v>
      </c>
      <c r="BQ578" t="s">
        <v>136</v>
      </c>
      <c r="BR578" t="s">
        <v>140</v>
      </c>
      <c r="BS578" t="s">
        <v>89</v>
      </c>
      <c r="BT578">
        <v>40</v>
      </c>
      <c r="BU578" s="1">
        <v>45664</v>
      </c>
      <c r="BV578" s="1">
        <v>45839</v>
      </c>
      <c r="BW578">
        <v>15</v>
      </c>
      <c r="BX578">
        <v>1986</v>
      </c>
      <c r="BY578">
        <v>15</v>
      </c>
      <c r="BZ578">
        <f t="shared" si="80"/>
        <v>1</v>
      </c>
      <c r="CA578">
        <f t="shared" si="81"/>
        <v>0</v>
      </c>
      <c r="CB578" t="b">
        <f t="shared" si="82"/>
        <v>0</v>
      </c>
    </row>
    <row r="579" spans="1:80" x14ac:dyDescent="0.3">
      <c r="A579" t="s">
        <v>5013</v>
      </c>
      <c r="B579" t="s">
        <v>71</v>
      </c>
      <c r="C579" t="s">
        <v>5014</v>
      </c>
      <c r="D579">
        <v>39</v>
      </c>
      <c r="E579">
        <v>31385</v>
      </c>
      <c r="F579" t="s">
        <v>89</v>
      </c>
      <c r="G579" t="s">
        <v>321</v>
      </c>
      <c r="H579" t="s">
        <v>89</v>
      </c>
      <c r="I579" t="s">
        <v>555</v>
      </c>
      <c r="J579" t="s">
        <v>78</v>
      </c>
      <c r="K579" t="s">
        <v>89</v>
      </c>
      <c r="L579" t="s">
        <v>254</v>
      </c>
      <c r="M579">
        <v>23</v>
      </c>
      <c r="N579" t="s">
        <v>402</v>
      </c>
      <c r="O579">
        <v>2009</v>
      </c>
      <c r="P579" t="s">
        <v>5015</v>
      </c>
      <c r="Q579" t="s">
        <v>5016</v>
      </c>
      <c r="R579">
        <v>119622</v>
      </c>
      <c r="S579" t="s">
        <v>5013</v>
      </c>
      <c r="T579">
        <v>31149</v>
      </c>
      <c r="U579">
        <v>1985</v>
      </c>
      <c r="V579" t="s">
        <v>5017</v>
      </c>
      <c r="W579">
        <v>1.79</v>
      </c>
      <c r="X579" t="s">
        <v>76</v>
      </c>
      <c r="Y579" t="s">
        <v>106</v>
      </c>
      <c r="Z579" t="s">
        <v>87</v>
      </c>
      <c r="AA579" t="s">
        <v>5018</v>
      </c>
      <c r="AB579" s="1">
        <v>45839</v>
      </c>
      <c r="AC579" t="s">
        <v>108</v>
      </c>
      <c r="AD579" t="s">
        <v>89</v>
      </c>
      <c r="AE579">
        <v>42073</v>
      </c>
      <c r="AF579">
        <v>29</v>
      </c>
      <c r="AG579" t="s">
        <v>5019</v>
      </c>
      <c r="AH579">
        <v>39973</v>
      </c>
      <c r="AI579">
        <v>23</v>
      </c>
      <c r="AJ579" t="s">
        <v>110</v>
      </c>
      <c r="AK579">
        <v>23</v>
      </c>
      <c r="AL579">
        <v>2</v>
      </c>
      <c r="AM579">
        <v>78</v>
      </c>
      <c r="AN579">
        <v>12</v>
      </c>
      <c r="AO579">
        <v>1</v>
      </c>
      <c r="AP579" t="s">
        <v>93</v>
      </c>
      <c r="AQ579" t="s">
        <v>89</v>
      </c>
      <c r="AR579" t="s">
        <v>89</v>
      </c>
      <c r="AS579" t="s">
        <v>111</v>
      </c>
      <c r="AT579">
        <v>45839</v>
      </c>
      <c r="AU579">
        <v>2025</v>
      </c>
      <c r="AV579">
        <v>16</v>
      </c>
      <c r="AW579">
        <v>16</v>
      </c>
      <c r="AX579" t="s">
        <v>89</v>
      </c>
      <c r="AY579" t="s">
        <v>93</v>
      </c>
      <c r="AZ579">
        <v>0</v>
      </c>
      <c r="BA579">
        <v>0</v>
      </c>
      <c r="BB579">
        <v>0</v>
      </c>
      <c r="BC579">
        <v>0</v>
      </c>
      <c r="BD579">
        <v>244</v>
      </c>
      <c r="BE579">
        <v>14779</v>
      </c>
      <c r="BF579">
        <v>17</v>
      </c>
      <c r="BG579">
        <v>40</v>
      </c>
      <c r="BH579">
        <v>244</v>
      </c>
      <c r="BI579">
        <v>14779</v>
      </c>
      <c r="BJ579">
        <v>17</v>
      </c>
      <c r="BK579">
        <f t="shared" ref="BK579:BK642" si="83">+BA579+BD579</f>
        <v>244</v>
      </c>
      <c r="BL579">
        <f t="shared" ref="BL579:BL642" si="84">+BB579+BE579</f>
        <v>14779</v>
      </c>
      <c r="BM579">
        <f t="shared" ref="BM579:BM642" si="85">+BC579+BF579</f>
        <v>17</v>
      </c>
      <c r="BN579">
        <f t="shared" ref="BN579:BN642" si="86">+BK579-BH579</f>
        <v>0</v>
      </c>
      <c r="BO579">
        <f t="shared" ref="BO579:BO642" si="87">+BL579-BI579</f>
        <v>0</v>
      </c>
      <c r="BP579">
        <f t="shared" ref="BP579:BP642" si="88">+BM579-BJ579</f>
        <v>0</v>
      </c>
      <c r="BQ579" t="s">
        <v>106</v>
      </c>
      <c r="BR579" t="s">
        <v>112</v>
      </c>
      <c r="BS579" t="s">
        <v>89</v>
      </c>
      <c r="BT579">
        <v>41</v>
      </c>
      <c r="BU579">
        <v>45839</v>
      </c>
      <c r="BV579" t="s">
        <v>89</v>
      </c>
      <c r="BW579">
        <v>17</v>
      </c>
      <c r="BX579">
        <v>1985</v>
      </c>
      <c r="BY579">
        <v>17</v>
      </c>
      <c r="BZ579">
        <f t="shared" ref="BZ579:BZ642" si="89">+AW579-BW579</f>
        <v>-1</v>
      </c>
      <c r="CA579">
        <f t="shared" ref="CA579:CA642" si="90">+BW579-BY579</f>
        <v>0</v>
      </c>
      <c r="CB579" t="b">
        <f t="shared" ref="CB579:CB642" si="91">+BW579=AW579</f>
        <v>0</v>
      </c>
    </row>
    <row r="580" spans="1:80" x14ac:dyDescent="0.3">
      <c r="A580" t="s">
        <v>5020</v>
      </c>
      <c r="B580" t="s">
        <v>71</v>
      </c>
      <c r="C580" t="s">
        <v>5021</v>
      </c>
      <c r="D580">
        <v>39</v>
      </c>
      <c r="E580" s="1">
        <v>31543</v>
      </c>
      <c r="F580" t="s">
        <v>89</v>
      </c>
      <c r="G580" t="s">
        <v>211</v>
      </c>
      <c r="H580" t="s">
        <v>89</v>
      </c>
      <c r="I580" t="s">
        <v>722</v>
      </c>
      <c r="J580" t="s">
        <v>300</v>
      </c>
      <c r="K580" t="s">
        <v>89</v>
      </c>
      <c r="L580" t="s">
        <v>254</v>
      </c>
      <c r="M580">
        <v>23</v>
      </c>
      <c r="N580" t="s">
        <v>146</v>
      </c>
      <c r="O580">
        <v>2009</v>
      </c>
      <c r="P580" t="s">
        <v>5022</v>
      </c>
      <c r="Q580" t="s">
        <v>5023</v>
      </c>
      <c r="R580">
        <v>72315</v>
      </c>
      <c r="S580" t="s">
        <v>5020</v>
      </c>
      <c r="T580">
        <v>31721</v>
      </c>
      <c r="U580">
        <v>1986</v>
      </c>
      <c r="V580" t="s">
        <v>644</v>
      </c>
      <c r="W580">
        <v>1.79</v>
      </c>
      <c r="X580" t="s">
        <v>76</v>
      </c>
      <c r="Y580" t="s">
        <v>86</v>
      </c>
      <c r="Z580" t="s">
        <v>152</v>
      </c>
      <c r="AA580" t="s">
        <v>1831</v>
      </c>
      <c r="AB580" s="1">
        <v>43837</v>
      </c>
      <c r="AC580" t="s">
        <v>108</v>
      </c>
      <c r="AD580" t="s">
        <v>89</v>
      </c>
      <c r="AE580" t="s">
        <v>1579</v>
      </c>
      <c r="AF580">
        <v>23</v>
      </c>
      <c r="AG580" t="s">
        <v>91</v>
      </c>
      <c r="AH580">
        <v>42770</v>
      </c>
      <c r="AI580">
        <v>30</v>
      </c>
      <c r="AJ580" t="s">
        <v>2918</v>
      </c>
      <c r="AK580">
        <v>23</v>
      </c>
      <c r="AL580">
        <v>7</v>
      </c>
      <c r="AM580">
        <v>262</v>
      </c>
      <c r="AN580">
        <v>44</v>
      </c>
      <c r="AO580">
        <v>5</v>
      </c>
      <c r="AP580" t="s">
        <v>93</v>
      </c>
      <c r="AQ580" t="s">
        <v>89</v>
      </c>
      <c r="AR580" t="s">
        <v>89</v>
      </c>
      <c r="AS580" t="s">
        <v>111</v>
      </c>
      <c r="AT580" s="1">
        <v>43837</v>
      </c>
      <c r="AU580">
        <v>2020</v>
      </c>
      <c r="AV580">
        <v>11</v>
      </c>
      <c r="AW580">
        <v>11</v>
      </c>
      <c r="AX580" t="s">
        <v>89</v>
      </c>
      <c r="AY580" t="s">
        <v>93</v>
      </c>
      <c r="AZ580">
        <v>0</v>
      </c>
      <c r="BA580">
        <v>0</v>
      </c>
      <c r="BB580">
        <v>0</v>
      </c>
      <c r="BC580">
        <v>0</v>
      </c>
      <c r="BD580">
        <v>229</v>
      </c>
      <c r="BE580">
        <v>15241</v>
      </c>
      <c r="BF580">
        <v>15</v>
      </c>
      <c r="BG580">
        <v>34</v>
      </c>
      <c r="BH580">
        <v>229</v>
      </c>
      <c r="BI580">
        <v>15241</v>
      </c>
      <c r="BJ580">
        <v>15</v>
      </c>
      <c r="BK580">
        <f t="shared" si="83"/>
        <v>229</v>
      </c>
      <c r="BL580">
        <f t="shared" si="84"/>
        <v>15241</v>
      </c>
      <c r="BM580">
        <f t="shared" si="85"/>
        <v>15</v>
      </c>
      <c r="BN580">
        <f t="shared" si="86"/>
        <v>0</v>
      </c>
      <c r="BO580">
        <f t="shared" si="87"/>
        <v>0</v>
      </c>
      <c r="BP580">
        <f t="shared" si="88"/>
        <v>0</v>
      </c>
      <c r="BQ580" t="s">
        <v>86</v>
      </c>
      <c r="BR580" t="s">
        <v>94</v>
      </c>
      <c r="BS580" t="s">
        <v>89</v>
      </c>
      <c r="BT580">
        <v>40</v>
      </c>
      <c r="BU580" s="1">
        <v>43837</v>
      </c>
      <c r="BV580" s="1">
        <v>44013</v>
      </c>
      <c r="BW580">
        <v>11</v>
      </c>
      <c r="BX580">
        <v>1986</v>
      </c>
      <c r="BY580">
        <v>11</v>
      </c>
      <c r="BZ580">
        <f t="shared" si="89"/>
        <v>0</v>
      </c>
      <c r="CA580">
        <f t="shared" si="90"/>
        <v>0</v>
      </c>
      <c r="CB580" t="b">
        <f t="shared" si="91"/>
        <v>1</v>
      </c>
    </row>
    <row r="581" spans="1:80" x14ac:dyDescent="0.3">
      <c r="A581" t="s">
        <v>5024</v>
      </c>
      <c r="B581" t="s">
        <v>71</v>
      </c>
      <c r="C581" t="s">
        <v>5025</v>
      </c>
      <c r="D581">
        <v>36</v>
      </c>
      <c r="E581" t="s">
        <v>5026</v>
      </c>
      <c r="F581" t="s">
        <v>5027</v>
      </c>
      <c r="G581" t="s">
        <v>241</v>
      </c>
      <c r="H581" t="s">
        <v>76</v>
      </c>
      <c r="I581" t="s">
        <v>243</v>
      </c>
      <c r="J581" t="s">
        <v>78</v>
      </c>
      <c r="K581" t="s">
        <v>89</v>
      </c>
      <c r="L581" t="s">
        <v>163</v>
      </c>
      <c r="M581">
        <v>17</v>
      </c>
      <c r="N581" t="s">
        <v>137</v>
      </c>
      <c r="O581">
        <v>2006</v>
      </c>
      <c r="P581" t="s">
        <v>5028</v>
      </c>
      <c r="Q581" t="s">
        <v>5029</v>
      </c>
      <c r="R581">
        <v>44017</v>
      </c>
      <c r="S581" t="s">
        <v>5024</v>
      </c>
      <c r="T581">
        <v>32182</v>
      </c>
      <c r="U581">
        <v>1988</v>
      </c>
      <c r="V581" t="s">
        <v>5030</v>
      </c>
      <c r="W581">
        <v>1.89</v>
      </c>
      <c r="X581" t="s">
        <v>76</v>
      </c>
      <c r="Y581" t="s">
        <v>235</v>
      </c>
      <c r="Z581" t="s">
        <v>87</v>
      </c>
      <c r="AA581" t="s">
        <v>5031</v>
      </c>
      <c r="AB581" t="s">
        <v>5032</v>
      </c>
      <c r="AC581" t="s">
        <v>108</v>
      </c>
      <c r="AD581" t="s">
        <v>442</v>
      </c>
      <c r="AE581" s="1">
        <v>2006</v>
      </c>
      <c r="AF581">
        <v>17</v>
      </c>
      <c r="AG581" t="s">
        <v>91</v>
      </c>
      <c r="AH581">
        <v>2025</v>
      </c>
      <c r="AI581">
        <v>36</v>
      </c>
      <c r="AJ581">
        <v>0</v>
      </c>
      <c r="AK581">
        <v>17</v>
      </c>
      <c r="AL581">
        <v>30</v>
      </c>
      <c r="AM581">
        <v>870</v>
      </c>
      <c r="AN581">
        <v>169</v>
      </c>
      <c r="AO581">
        <v>13</v>
      </c>
      <c r="AP581" t="s">
        <v>93</v>
      </c>
      <c r="AQ581" t="s">
        <v>89</v>
      </c>
      <c r="AR581" t="s">
        <v>89</v>
      </c>
      <c r="AS581" t="s">
        <v>93</v>
      </c>
      <c r="AT581" t="s">
        <v>89</v>
      </c>
      <c r="AU581" t="s">
        <v>89</v>
      </c>
      <c r="AV581" t="s">
        <v>89</v>
      </c>
      <c r="AW581">
        <v>19</v>
      </c>
      <c r="AX581">
        <v>8</v>
      </c>
      <c r="AY581" t="s">
        <v>111</v>
      </c>
      <c r="AZ581">
        <v>10</v>
      </c>
      <c r="BA581">
        <v>11</v>
      </c>
      <c r="BB581">
        <v>646</v>
      </c>
      <c r="BC581">
        <v>0</v>
      </c>
      <c r="BD581">
        <v>475</v>
      </c>
      <c r="BE581">
        <v>34702</v>
      </c>
      <c r="BF581">
        <v>35</v>
      </c>
      <c r="BG581" t="s">
        <v>89</v>
      </c>
      <c r="BH581">
        <v>486</v>
      </c>
      <c r="BI581">
        <v>35348</v>
      </c>
      <c r="BJ581">
        <v>35</v>
      </c>
      <c r="BK581">
        <f t="shared" si="83"/>
        <v>486</v>
      </c>
      <c r="BL581">
        <f t="shared" si="84"/>
        <v>35348</v>
      </c>
      <c r="BM581">
        <f t="shared" si="85"/>
        <v>35</v>
      </c>
      <c r="BN581">
        <f t="shared" si="86"/>
        <v>0</v>
      </c>
      <c r="BO581">
        <f t="shared" si="87"/>
        <v>0</v>
      </c>
      <c r="BP581">
        <f t="shared" si="88"/>
        <v>0</v>
      </c>
      <c r="BQ581" t="s">
        <v>235</v>
      </c>
      <c r="BR581" t="s">
        <v>140</v>
      </c>
      <c r="BS581" t="s">
        <v>89</v>
      </c>
      <c r="BT581">
        <v>38</v>
      </c>
      <c r="BU581" t="s">
        <v>89</v>
      </c>
      <c r="BV581" t="s">
        <v>89</v>
      </c>
      <c r="BW581">
        <v>21</v>
      </c>
      <c r="BX581">
        <v>1988</v>
      </c>
      <c r="BY581">
        <v>19</v>
      </c>
      <c r="BZ581">
        <f t="shared" si="89"/>
        <v>-2</v>
      </c>
      <c r="CA581">
        <f t="shared" si="90"/>
        <v>2</v>
      </c>
      <c r="CB581" t="b">
        <f t="shared" si="91"/>
        <v>0</v>
      </c>
    </row>
    <row r="582" spans="1:80" x14ac:dyDescent="0.3">
      <c r="A582" t="s">
        <v>5033</v>
      </c>
      <c r="B582" t="s">
        <v>71</v>
      </c>
      <c r="C582" t="s">
        <v>5034</v>
      </c>
      <c r="D582">
        <v>38</v>
      </c>
      <c r="E582" s="1">
        <v>31683</v>
      </c>
      <c r="F582" t="s">
        <v>89</v>
      </c>
      <c r="G582" t="s">
        <v>176</v>
      </c>
      <c r="H582" t="s">
        <v>89</v>
      </c>
      <c r="I582" t="s">
        <v>1747</v>
      </c>
      <c r="J582" t="s">
        <v>89</v>
      </c>
      <c r="K582" t="s">
        <v>89</v>
      </c>
      <c r="L582" t="s">
        <v>228</v>
      </c>
      <c r="M582">
        <v>23</v>
      </c>
      <c r="N582" t="s">
        <v>279</v>
      </c>
      <c r="O582">
        <v>2010</v>
      </c>
      <c r="P582" t="s">
        <v>5035</v>
      </c>
      <c r="Q582" t="s">
        <v>5036</v>
      </c>
      <c r="R582">
        <v>89515</v>
      </c>
      <c r="S582" t="s">
        <v>5033</v>
      </c>
      <c r="T582" t="s">
        <v>1281</v>
      </c>
      <c r="U582">
        <v>1986</v>
      </c>
      <c r="V582" t="s">
        <v>122</v>
      </c>
      <c r="W582">
        <v>1.84</v>
      </c>
      <c r="X582" t="s">
        <v>76</v>
      </c>
      <c r="Y582" t="s">
        <v>235</v>
      </c>
      <c r="Z582" t="s">
        <v>87</v>
      </c>
      <c r="AA582" t="s">
        <v>236</v>
      </c>
      <c r="AB582" s="1">
        <v>42011</v>
      </c>
      <c r="AC582" t="s">
        <v>108</v>
      </c>
      <c r="AD582" t="s">
        <v>89</v>
      </c>
      <c r="AE582" t="s">
        <v>2065</v>
      </c>
      <c r="AF582">
        <v>24</v>
      </c>
      <c r="AG582" t="s">
        <v>91</v>
      </c>
      <c r="AH582" t="s">
        <v>92</v>
      </c>
      <c r="AI582" t="s">
        <v>89</v>
      </c>
      <c r="AJ582" t="s">
        <v>89</v>
      </c>
      <c r="AK582">
        <v>24</v>
      </c>
      <c r="AL582" t="s">
        <v>89</v>
      </c>
      <c r="AM582" t="s">
        <v>89</v>
      </c>
      <c r="AN582" t="s">
        <v>89</v>
      </c>
      <c r="AO582">
        <v>0</v>
      </c>
      <c r="AP582" t="s">
        <v>93</v>
      </c>
      <c r="AQ582" t="s">
        <v>89</v>
      </c>
      <c r="AR582" t="s">
        <v>89</v>
      </c>
      <c r="AS582" t="s">
        <v>111</v>
      </c>
      <c r="AT582" s="1">
        <v>42011</v>
      </c>
      <c r="AU582">
        <v>2015</v>
      </c>
      <c r="AV582">
        <v>5</v>
      </c>
      <c r="AW582">
        <v>5</v>
      </c>
      <c r="AX582" t="s">
        <v>89</v>
      </c>
      <c r="AY582" t="s">
        <v>93</v>
      </c>
      <c r="AZ582">
        <v>0</v>
      </c>
      <c r="BA582">
        <v>0</v>
      </c>
      <c r="BB582">
        <v>0</v>
      </c>
      <c r="BC582">
        <v>0</v>
      </c>
      <c r="BD582">
        <v>1</v>
      </c>
      <c r="BE582">
        <v>12</v>
      </c>
      <c r="BF582">
        <v>0</v>
      </c>
      <c r="BG582">
        <v>29</v>
      </c>
      <c r="BH582">
        <v>1</v>
      </c>
      <c r="BI582">
        <v>12</v>
      </c>
      <c r="BJ582">
        <v>0</v>
      </c>
      <c r="BK582">
        <f t="shared" si="83"/>
        <v>1</v>
      </c>
      <c r="BL582">
        <f t="shared" si="84"/>
        <v>12</v>
      </c>
      <c r="BM582">
        <f t="shared" si="85"/>
        <v>0</v>
      </c>
      <c r="BN582">
        <f t="shared" si="86"/>
        <v>0</v>
      </c>
      <c r="BO582">
        <f t="shared" si="87"/>
        <v>0</v>
      </c>
      <c r="BP582">
        <f t="shared" si="88"/>
        <v>0</v>
      </c>
      <c r="BQ582" t="s">
        <v>235</v>
      </c>
      <c r="BR582" t="s">
        <v>140</v>
      </c>
      <c r="BS582" s="1">
        <v>31683</v>
      </c>
      <c r="BT582">
        <v>39</v>
      </c>
      <c r="BU582" s="1">
        <v>42011</v>
      </c>
      <c r="BV582" s="1">
        <v>42186</v>
      </c>
      <c r="BW582">
        <v>5</v>
      </c>
      <c r="BX582">
        <v>1986</v>
      </c>
      <c r="BY582">
        <v>5</v>
      </c>
      <c r="BZ582">
        <f t="shared" si="89"/>
        <v>0</v>
      </c>
      <c r="CA582">
        <f t="shared" si="90"/>
        <v>0</v>
      </c>
      <c r="CB582" t="b">
        <f t="shared" si="91"/>
        <v>1</v>
      </c>
    </row>
    <row r="583" spans="1:80" x14ac:dyDescent="0.3">
      <c r="A583" t="s">
        <v>5037</v>
      </c>
      <c r="B583" t="s">
        <v>71</v>
      </c>
      <c r="C583" t="s">
        <v>5038</v>
      </c>
      <c r="D583">
        <v>42</v>
      </c>
      <c r="E583" s="1">
        <v>30204</v>
      </c>
      <c r="F583" t="s">
        <v>89</v>
      </c>
      <c r="G583" t="s">
        <v>400</v>
      </c>
      <c r="H583" t="s">
        <v>89</v>
      </c>
      <c r="I583" t="s">
        <v>178</v>
      </c>
      <c r="J583" t="s">
        <v>78</v>
      </c>
      <c r="K583" t="s">
        <v>89</v>
      </c>
      <c r="L583" t="s">
        <v>180</v>
      </c>
      <c r="M583">
        <v>24</v>
      </c>
      <c r="N583" t="s">
        <v>892</v>
      </c>
      <c r="O583">
        <v>2007</v>
      </c>
      <c r="P583" t="s">
        <v>5039</v>
      </c>
      <c r="Q583" t="s">
        <v>5040</v>
      </c>
      <c r="R583">
        <v>58341</v>
      </c>
      <c r="S583" t="s">
        <v>5037</v>
      </c>
      <c r="T583" s="1">
        <v>30233</v>
      </c>
      <c r="U583">
        <v>1982</v>
      </c>
      <c r="V583" t="s">
        <v>304</v>
      </c>
      <c r="W583">
        <v>1.82</v>
      </c>
      <c r="X583" t="s">
        <v>76</v>
      </c>
      <c r="Y583" t="s">
        <v>186</v>
      </c>
      <c r="Z583" t="s">
        <v>87</v>
      </c>
      <c r="AA583" t="s">
        <v>3878</v>
      </c>
      <c r="AB583" t="s">
        <v>5041</v>
      </c>
      <c r="AC583" t="s">
        <v>108</v>
      </c>
      <c r="AD583" t="s">
        <v>89</v>
      </c>
      <c r="AE583" t="s">
        <v>934</v>
      </c>
      <c r="AF583">
        <v>26</v>
      </c>
      <c r="AG583" t="s">
        <v>91</v>
      </c>
      <c r="AH583" t="s">
        <v>449</v>
      </c>
      <c r="AI583">
        <v>24</v>
      </c>
      <c r="AJ583" t="s">
        <v>110</v>
      </c>
      <c r="AK583">
        <v>24</v>
      </c>
      <c r="AL583" t="s">
        <v>89</v>
      </c>
      <c r="AM583" t="s">
        <v>89</v>
      </c>
      <c r="AN583" t="s">
        <v>89</v>
      </c>
      <c r="AO583">
        <v>0</v>
      </c>
      <c r="AP583" t="s">
        <v>93</v>
      </c>
      <c r="AQ583" t="s">
        <v>89</v>
      </c>
      <c r="AR583" t="s">
        <v>89</v>
      </c>
      <c r="AS583" t="s">
        <v>111</v>
      </c>
      <c r="AT583" t="s">
        <v>5041</v>
      </c>
      <c r="AU583">
        <v>2019</v>
      </c>
      <c r="AV583">
        <v>12</v>
      </c>
      <c r="AW583">
        <v>12</v>
      </c>
      <c r="AX583" t="s">
        <v>89</v>
      </c>
      <c r="AY583" t="s">
        <v>93</v>
      </c>
      <c r="AZ583">
        <v>0</v>
      </c>
      <c r="BA583">
        <v>0</v>
      </c>
      <c r="BB583">
        <v>0</v>
      </c>
      <c r="BC583">
        <v>0</v>
      </c>
      <c r="BD583">
        <v>281</v>
      </c>
      <c r="BE583">
        <v>25063</v>
      </c>
      <c r="BF583">
        <v>0</v>
      </c>
      <c r="BG583">
        <v>37</v>
      </c>
      <c r="BH583">
        <v>281</v>
      </c>
      <c r="BI583">
        <v>25063</v>
      </c>
      <c r="BJ583">
        <v>0</v>
      </c>
      <c r="BK583">
        <f t="shared" si="83"/>
        <v>281</v>
      </c>
      <c r="BL583">
        <f t="shared" si="84"/>
        <v>25063</v>
      </c>
      <c r="BM583">
        <f t="shared" si="85"/>
        <v>0</v>
      </c>
      <c r="BN583">
        <f t="shared" si="86"/>
        <v>0</v>
      </c>
      <c r="BO583">
        <f t="shared" si="87"/>
        <v>0</v>
      </c>
      <c r="BP583">
        <f t="shared" si="88"/>
        <v>0</v>
      </c>
      <c r="BQ583" t="s">
        <v>186</v>
      </c>
      <c r="BR583" t="s">
        <v>186</v>
      </c>
      <c r="BS583" s="1">
        <v>30204</v>
      </c>
      <c r="BT583">
        <v>43</v>
      </c>
      <c r="BU583" t="s">
        <v>5041</v>
      </c>
      <c r="BV583" s="1">
        <v>43760</v>
      </c>
      <c r="BW583">
        <v>13</v>
      </c>
      <c r="BX583">
        <v>1982</v>
      </c>
      <c r="BY583">
        <v>13</v>
      </c>
      <c r="BZ583">
        <f t="shared" si="89"/>
        <v>-1</v>
      </c>
      <c r="CA583">
        <f t="shared" si="90"/>
        <v>0</v>
      </c>
      <c r="CB583" t="b">
        <f t="shared" si="91"/>
        <v>0</v>
      </c>
    </row>
    <row r="584" spans="1:80" x14ac:dyDescent="0.3">
      <c r="A584" t="s">
        <v>5042</v>
      </c>
      <c r="B584" t="s">
        <v>71</v>
      </c>
      <c r="C584" t="s">
        <v>5043</v>
      </c>
      <c r="D584">
        <v>49</v>
      </c>
      <c r="E584" s="1">
        <v>27741</v>
      </c>
      <c r="F584" t="s">
        <v>89</v>
      </c>
      <c r="G584" t="s">
        <v>115</v>
      </c>
      <c r="H584" t="s">
        <v>89</v>
      </c>
      <c r="I584" t="s">
        <v>348</v>
      </c>
      <c r="J584" t="s">
        <v>89</v>
      </c>
      <c r="K584" t="s">
        <v>89</v>
      </c>
      <c r="L584" t="s">
        <v>99</v>
      </c>
      <c r="M584">
        <v>25</v>
      </c>
      <c r="N584" t="s">
        <v>519</v>
      </c>
      <c r="O584">
        <v>2001</v>
      </c>
      <c r="P584" t="s">
        <v>5044</v>
      </c>
      <c r="Q584" t="s">
        <v>5045</v>
      </c>
      <c r="R584">
        <v>7831</v>
      </c>
      <c r="S584" t="s">
        <v>5042</v>
      </c>
      <c r="T584" t="s">
        <v>5046</v>
      </c>
      <c r="U584">
        <v>1975</v>
      </c>
      <c r="V584" t="s">
        <v>5047</v>
      </c>
      <c r="W584">
        <v>1.81</v>
      </c>
      <c r="X584" t="s">
        <v>76</v>
      </c>
      <c r="Y584" t="s">
        <v>136</v>
      </c>
      <c r="Z584" t="s">
        <v>87</v>
      </c>
      <c r="AA584" t="s">
        <v>5048</v>
      </c>
      <c r="AB584" s="1">
        <v>41284</v>
      </c>
      <c r="AC584" t="s">
        <v>108</v>
      </c>
      <c r="AD584" t="s">
        <v>89</v>
      </c>
      <c r="AE584" t="s">
        <v>2088</v>
      </c>
      <c r="AF584">
        <v>25</v>
      </c>
      <c r="AG584" t="s">
        <v>91</v>
      </c>
      <c r="AH584">
        <v>36808</v>
      </c>
      <c r="AI584">
        <v>24</v>
      </c>
      <c r="AJ584" t="s">
        <v>110</v>
      </c>
      <c r="AK584">
        <v>24</v>
      </c>
      <c r="AL584">
        <v>1</v>
      </c>
      <c r="AM584">
        <v>32</v>
      </c>
      <c r="AN584">
        <v>5</v>
      </c>
      <c r="AO584">
        <v>1</v>
      </c>
      <c r="AP584" t="s">
        <v>93</v>
      </c>
      <c r="AQ584" t="s">
        <v>89</v>
      </c>
      <c r="AR584" t="s">
        <v>89</v>
      </c>
      <c r="AS584" t="s">
        <v>111</v>
      </c>
      <c r="AT584" s="1">
        <v>41284</v>
      </c>
      <c r="AU584">
        <v>2013</v>
      </c>
      <c r="AV584">
        <v>12</v>
      </c>
      <c r="AW584">
        <v>12</v>
      </c>
      <c r="AX584" t="s">
        <v>89</v>
      </c>
      <c r="AY584" t="s">
        <v>93</v>
      </c>
      <c r="AZ584">
        <v>0</v>
      </c>
      <c r="BA584">
        <v>0</v>
      </c>
      <c r="BB584">
        <v>0</v>
      </c>
      <c r="BC584">
        <v>0</v>
      </c>
      <c r="BD584">
        <v>323</v>
      </c>
      <c r="BE584">
        <v>25717</v>
      </c>
      <c r="BF584">
        <v>5</v>
      </c>
      <c r="BG584">
        <v>38</v>
      </c>
      <c r="BH584">
        <v>323</v>
      </c>
      <c r="BI584">
        <v>25717</v>
      </c>
      <c r="BJ584">
        <v>5</v>
      </c>
      <c r="BK584">
        <f t="shared" si="83"/>
        <v>323</v>
      </c>
      <c r="BL584">
        <f t="shared" si="84"/>
        <v>25717</v>
      </c>
      <c r="BM584">
        <f t="shared" si="85"/>
        <v>5</v>
      </c>
      <c r="BN584">
        <f t="shared" si="86"/>
        <v>0</v>
      </c>
      <c r="BO584">
        <f t="shared" si="87"/>
        <v>0</v>
      </c>
      <c r="BP584">
        <f t="shared" si="88"/>
        <v>0</v>
      </c>
      <c r="BQ584" t="s">
        <v>136</v>
      </c>
      <c r="BR584" t="s">
        <v>140</v>
      </c>
      <c r="BS584" s="1">
        <v>27741</v>
      </c>
      <c r="BT584">
        <v>50</v>
      </c>
      <c r="BU584" s="1">
        <v>41284</v>
      </c>
      <c r="BV584" s="1">
        <v>41548</v>
      </c>
      <c r="BW584">
        <v>14</v>
      </c>
      <c r="BX584">
        <v>1975</v>
      </c>
      <c r="BY584">
        <v>14</v>
      </c>
      <c r="BZ584">
        <f t="shared" si="89"/>
        <v>-2</v>
      </c>
      <c r="CA584">
        <f t="shared" si="90"/>
        <v>0</v>
      </c>
      <c r="CB584" t="b">
        <f t="shared" si="91"/>
        <v>0</v>
      </c>
    </row>
    <row r="585" spans="1:80" x14ac:dyDescent="0.3">
      <c r="A585" t="s">
        <v>5049</v>
      </c>
      <c r="B585" t="s">
        <v>2322</v>
      </c>
      <c r="C585" t="s">
        <v>5050</v>
      </c>
      <c r="D585">
        <v>37</v>
      </c>
      <c r="E585" s="1">
        <v>32317</v>
      </c>
      <c r="F585" t="s">
        <v>89</v>
      </c>
      <c r="G585" t="s">
        <v>143</v>
      </c>
      <c r="H585" t="s">
        <v>2324</v>
      </c>
      <c r="I585" t="s">
        <v>437</v>
      </c>
      <c r="J585" t="s">
        <v>78</v>
      </c>
      <c r="K585" t="s">
        <v>89</v>
      </c>
      <c r="L585" t="s">
        <v>163</v>
      </c>
      <c r="M585">
        <v>18</v>
      </c>
      <c r="N585" t="s">
        <v>267</v>
      </c>
      <c r="O585">
        <v>2006</v>
      </c>
      <c r="P585" t="s">
        <v>5051</v>
      </c>
      <c r="Q585" t="s">
        <v>5052</v>
      </c>
      <c r="R585">
        <v>35532</v>
      </c>
      <c r="S585" t="s">
        <v>5053</v>
      </c>
      <c r="T585" t="s">
        <v>5054</v>
      </c>
      <c r="U585">
        <v>1988</v>
      </c>
      <c r="V585" t="s">
        <v>5055</v>
      </c>
      <c r="W585">
        <v>1.75</v>
      </c>
      <c r="X585" t="s">
        <v>4486</v>
      </c>
      <c r="Y585" t="s">
        <v>123</v>
      </c>
      <c r="Z585" t="s">
        <v>87</v>
      </c>
      <c r="AA585" t="s">
        <v>5056</v>
      </c>
      <c r="AB585" s="1">
        <v>45937</v>
      </c>
      <c r="AC585" t="s">
        <v>170</v>
      </c>
      <c r="AD585" t="s">
        <v>89</v>
      </c>
      <c r="AE585">
        <v>41974</v>
      </c>
      <c r="AF585">
        <v>25</v>
      </c>
      <c r="AG585" t="s">
        <v>91</v>
      </c>
      <c r="AH585" t="s">
        <v>727</v>
      </c>
      <c r="AI585">
        <v>18</v>
      </c>
      <c r="AJ585" t="s">
        <v>110</v>
      </c>
      <c r="AK585">
        <v>18</v>
      </c>
      <c r="AL585">
        <v>5</v>
      </c>
      <c r="AM585">
        <v>718</v>
      </c>
      <c r="AN585">
        <v>82</v>
      </c>
      <c r="AO585">
        <v>5</v>
      </c>
      <c r="AP585" t="s">
        <v>93</v>
      </c>
      <c r="AQ585" t="s">
        <v>89</v>
      </c>
      <c r="AR585" t="s">
        <v>89</v>
      </c>
      <c r="AS585" t="s">
        <v>93</v>
      </c>
      <c r="AT585" t="s">
        <v>89</v>
      </c>
      <c r="AU585" t="s">
        <v>89</v>
      </c>
      <c r="AV585" t="s">
        <v>89</v>
      </c>
      <c r="AW585">
        <v>19</v>
      </c>
      <c r="AX585">
        <v>22</v>
      </c>
      <c r="AY585" t="s">
        <v>93</v>
      </c>
      <c r="AZ585">
        <v>0</v>
      </c>
      <c r="BA585">
        <v>0</v>
      </c>
      <c r="BB585">
        <v>0</v>
      </c>
      <c r="BC585">
        <v>0</v>
      </c>
      <c r="BD585">
        <v>251</v>
      </c>
      <c r="BE585">
        <v>10881</v>
      </c>
      <c r="BF585">
        <v>35</v>
      </c>
      <c r="BG585" t="s">
        <v>89</v>
      </c>
      <c r="BH585">
        <v>251</v>
      </c>
      <c r="BI585">
        <v>10881</v>
      </c>
      <c r="BJ585">
        <v>35</v>
      </c>
      <c r="BK585">
        <f t="shared" si="83"/>
        <v>251</v>
      </c>
      <c r="BL585">
        <f t="shared" si="84"/>
        <v>10881</v>
      </c>
      <c r="BM585">
        <f t="shared" si="85"/>
        <v>35</v>
      </c>
      <c r="BN585">
        <f t="shared" si="86"/>
        <v>0</v>
      </c>
      <c r="BO585">
        <f t="shared" si="87"/>
        <v>0</v>
      </c>
      <c r="BP585">
        <f t="shared" si="88"/>
        <v>0</v>
      </c>
      <c r="BQ585" t="s">
        <v>123</v>
      </c>
      <c r="BR585" t="s">
        <v>112</v>
      </c>
      <c r="BS585" t="s">
        <v>89</v>
      </c>
      <c r="BT585">
        <v>38</v>
      </c>
      <c r="BU585" t="s">
        <v>89</v>
      </c>
      <c r="BV585" t="s">
        <v>89</v>
      </c>
      <c r="BW585">
        <v>20</v>
      </c>
      <c r="BX585">
        <v>1988</v>
      </c>
      <c r="BY585">
        <v>19</v>
      </c>
      <c r="BZ585">
        <f t="shared" si="89"/>
        <v>-1</v>
      </c>
      <c r="CA585">
        <f t="shared" si="90"/>
        <v>1</v>
      </c>
      <c r="CB585" t="b">
        <f t="shared" si="91"/>
        <v>0</v>
      </c>
    </row>
    <row r="586" spans="1:80" x14ac:dyDescent="0.3">
      <c r="A586" t="s">
        <v>5057</v>
      </c>
      <c r="B586" t="s">
        <v>1274</v>
      </c>
      <c r="C586" t="s">
        <v>5058</v>
      </c>
      <c r="D586">
        <v>35</v>
      </c>
      <c r="E586" t="s">
        <v>5059</v>
      </c>
      <c r="F586" t="s">
        <v>5060</v>
      </c>
      <c r="G586" t="s">
        <v>858</v>
      </c>
      <c r="H586" t="s">
        <v>1276</v>
      </c>
      <c r="I586" t="s">
        <v>5061</v>
      </c>
      <c r="J586" t="s">
        <v>78</v>
      </c>
      <c r="K586" t="s">
        <v>5062</v>
      </c>
      <c r="L586" t="s">
        <v>228</v>
      </c>
      <c r="M586">
        <v>20</v>
      </c>
      <c r="N586" t="s">
        <v>2112</v>
      </c>
      <c r="O586">
        <v>2010</v>
      </c>
      <c r="P586" t="s">
        <v>5063</v>
      </c>
      <c r="Q586" t="s">
        <v>5064</v>
      </c>
      <c r="R586">
        <v>111082</v>
      </c>
      <c r="S586" t="s">
        <v>5057</v>
      </c>
      <c r="T586" s="1">
        <v>33179</v>
      </c>
      <c r="U586">
        <v>1990</v>
      </c>
      <c r="V586" t="s">
        <v>5065</v>
      </c>
      <c r="W586">
        <v>1.67</v>
      </c>
      <c r="X586" t="s">
        <v>1276</v>
      </c>
      <c r="Y586" t="s">
        <v>136</v>
      </c>
      <c r="Z586" t="s">
        <v>87</v>
      </c>
      <c r="AA586" t="s">
        <v>5062</v>
      </c>
      <c r="AB586">
        <v>42011</v>
      </c>
      <c r="AC586" t="s">
        <v>222</v>
      </c>
      <c r="AD586" t="s">
        <v>442</v>
      </c>
      <c r="AE586" t="s">
        <v>5066</v>
      </c>
      <c r="AF586">
        <v>20</v>
      </c>
      <c r="AG586" t="s">
        <v>1286</v>
      </c>
      <c r="AH586" t="s">
        <v>5067</v>
      </c>
      <c r="AI586">
        <v>18</v>
      </c>
      <c r="AJ586" t="s">
        <v>4538</v>
      </c>
      <c r="AK586">
        <v>18</v>
      </c>
      <c r="AL586">
        <v>5</v>
      </c>
      <c r="AM586">
        <v>67</v>
      </c>
      <c r="AN586">
        <v>13</v>
      </c>
      <c r="AO586">
        <v>5</v>
      </c>
      <c r="AP586" t="s">
        <v>93</v>
      </c>
      <c r="AQ586" t="s">
        <v>89</v>
      </c>
      <c r="AR586" t="s">
        <v>89</v>
      </c>
      <c r="AS586" t="s">
        <v>93</v>
      </c>
      <c r="AT586" t="s">
        <v>89</v>
      </c>
      <c r="AU586" t="s">
        <v>89</v>
      </c>
      <c r="AV586" t="s">
        <v>89</v>
      </c>
      <c r="AW586">
        <v>15</v>
      </c>
      <c r="AX586">
        <v>20</v>
      </c>
      <c r="AY586" t="s">
        <v>111</v>
      </c>
      <c r="AZ586">
        <v>11</v>
      </c>
      <c r="BA586">
        <v>38</v>
      </c>
      <c r="BB586">
        <v>1966</v>
      </c>
      <c r="BC586">
        <v>0</v>
      </c>
      <c r="BD586">
        <v>467</v>
      </c>
      <c r="BE586">
        <v>34660</v>
      </c>
      <c r="BF586">
        <v>28</v>
      </c>
      <c r="BG586" t="s">
        <v>89</v>
      </c>
      <c r="BH586">
        <v>505</v>
      </c>
      <c r="BI586">
        <v>36626</v>
      </c>
      <c r="BJ586">
        <v>28</v>
      </c>
      <c r="BK586">
        <f t="shared" si="83"/>
        <v>505</v>
      </c>
      <c r="BL586">
        <f t="shared" si="84"/>
        <v>36626</v>
      </c>
      <c r="BM586">
        <f t="shared" si="85"/>
        <v>28</v>
      </c>
      <c r="BN586">
        <f t="shared" si="86"/>
        <v>0</v>
      </c>
      <c r="BO586">
        <f t="shared" si="87"/>
        <v>0</v>
      </c>
      <c r="BP586">
        <f t="shared" si="88"/>
        <v>0</v>
      </c>
      <c r="BQ586" t="s">
        <v>136</v>
      </c>
      <c r="BR586" t="s">
        <v>140</v>
      </c>
      <c r="BS586" s="1">
        <v>32915</v>
      </c>
      <c r="BT586">
        <v>36</v>
      </c>
      <c r="BU586" t="s">
        <v>89</v>
      </c>
      <c r="BV586" t="s">
        <v>89</v>
      </c>
      <c r="BW586">
        <v>18</v>
      </c>
      <c r="BX586">
        <v>1990</v>
      </c>
      <c r="BY586">
        <v>17</v>
      </c>
      <c r="BZ586">
        <f t="shared" si="89"/>
        <v>-3</v>
      </c>
      <c r="CA586">
        <f t="shared" si="90"/>
        <v>1</v>
      </c>
      <c r="CB586" t="b">
        <f t="shared" si="91"/>
        <v>0</v>
      </c>
    </row>
    <row r="587" spans="1:80" x14ac:dyDescent="0.3">
      <c r="A587" t="s">
        <v>5068</v>
      </c>
      <c r="B587" t="s">
        <v>71</v>
      </c>
      <c r="C587" t="s">
        <v>5069</v>
      </c>
      <c r="D587">
        <v>41</v>
      </c>
      <c r="E587" s="1">
        <v>30744</v>
      </c>
      <c r="F587" t="s">
        <v>89</v>
      </c>
      <c r="G587" t="s">
        <v>374</v>
      </c>
      <c r="H587" t="s">
        <v>76</v>
      </c>
      <c r="I587" t="s">
        <v>340</v>
      </c>
      <c r="J587" t="s">
        <v>89</v>
      </c>
      <c r="K587" t="s">
        <v>89</v>
      </c>
      <c r="L587" t="s">
        <v>657</v>
      </c>
      <c r="M587">
        <v>19</v>
      </c>
      <c r="N587" t="s">
        <v>81</v>
      </c>
      <c r="O587">
        <v>2003</v>
      </c>
      <c r="P587" t="s">
        <v>5070</v>
      </c>
      <c r="Q587" t="s">
        <v>5071</v>
      </c>
      <c r="R587">
        <v>25411</v>
      </c>
      <c r="S587" t="s">
        <v>5068</v>
      </c>
      <c r="T587">
        <v>30744</v>
      </c>
      <c r="U587">
        <v>1984</v>
      </c>
      <c r="V587" t="s">
        <v>122</v>
      </c>
      <c r="W587">
        <v>1.91</v>
      </c>
      <c r="X587" t="s">
        <v>76</v>
      </c>
      <c r="Y587" t="s">
        <v>123</v>
      </c>
      <c r="Z587" t="s">
        <v>87</v>
      </c>
      <c r="AA587" t="s">
        <v>260</v>
      </c>
      <c r="AB587" t="s">
        <v>5072</v>
      </c>
      <c r="AC587" t="s">
        <v>108</v>
      </c>
      <c r="AD587" t="s">
        <v>89</v>
      </c>
      <c r="AE587" t="s">
        <v>1087</v>
      </c>
      <c r="AF587">
        <v>19</v>
      </c>
      <c r="AG587" t="s">
        <v>91</v>
      </c>
      <c r="AH587" t="s">
        <v>961</v>
      </c>
      <c r="AI587">
        <v>24</v>
      </c>
      <c r="AJ587" t="s">
        <v>110</v>
      </c>
      <c r="AK587">
        <v>19</v>
      </c>
      <c r="AL587">
        <v>1</v>
      </c>
      <c r="AM587">
        <v>45</v>
      </c>
      <c r="AN587">
        <v>7</v>
      </c>
      <c r="AO587">
        <v>1</v>
      </c>
      <c r="AP587" t="s">
        <v>93</v>
      </c>
      <c r="AQ587" t="s">
        <v>89</v>
      </c>
      <c r="AR587" t="s">
        <v>89</v>
      </c>
      <c r="AS587" t="s">
        <v>111</v>
      </c>
      <c r="AT587" t="s">
        <v>5072</v>
      </c>
      <c r="AU587">
        <v>2014</v>
      </c>
      <c r="AV587">
        <v>11</v>
      </c>
      <c r="AW587">
        <v>11</v>
      </c>
      <c r="AX587" t="s">
        <v>89</v>
      </c>
      <c r="AY587" t="s">
        <v>93</v>
      </c>
      <c r="AZ587">
        <v>0</v>
      </c>
      <c r="BA587">
        <v>0</v>
      </c>
      <c r="BB587">
        <v>0</v>
      </c>
      <c r="BC587">
        <v>0</v>
      </c>
      <c r="BD587">
        <v>256</v>
      </c>
      <c r="BE587">
        <v>15121</v>
      </c>
      <c r="BF587">
        <v>37</v>
      </c>
      <c r="BG587">
        <v>30</v>
      </c>
      <c r="BH587">
        <v>256</v>
      </c>
      <c r="BI587">
        <v>15121</v>
      </c>
      <c r="BJ587">
        <v>37</v>
      </c>
      <c r="BK587">
        <f t="shared" si="83"/>
        <v>256</v>
      </c>
      <c r="BL587">
        <f t="shared" si="84"/>
        <v>15121</v>
      </c>
      <c r="BM587">
        <f t="shared" si="85"/>
        <v>37</v>
      </c>
      <c r="BN587">
        <f t="shared" si="86"/>
        <v>0</v>
      </c>
      <c r="BO587">
        <f t="shared" si="87"/>
        <v>0</v>
      </c>
      <c r="BP587">
        <f t="shared" si="88"/>
        <v>0</v>
      </c>
      <c r="BQ587" t="s">
        <v>123</v>
      </c>
      <c r="BR587" t="s">
        <v>112</v>
      </c>
      <c r="BS587" t="s">
        <v>89</v>
      </c>
      <c r="BT587">
        <v>42</v>
      </c>
      <c r="BU587" t="s">
        <v>5072</v>
      </c>
      <c r="BV587" s="1">
        <v>41873</v>
      </c>
      <c r="BW587">
        <v>11</v>
      </c>
      <c r="BX587">
        <v>1984</v>
      </c>
      <c r="BY587">
        <v>11</v>
      </c>
      <c r="BZ587">
        <f t="shared" si="89"/>
        <v>0</v>
      </c>
      <c r="CA587">
        <f t="shared" si="90"/>
        <v>0</v>
      </c>
      <c r="CB587" t="b">
        <f t="shared" si="91"/>
        <v>1</v>
      </c>
    </row>
    <row r="588" spans="1:80" x14ac:dyDescent="0.3">
      <c r="A588" t="s">
        <v>5073</v>
      </c>
      <c r="B588" t="s">
        <v>71</v>
      </c>
      <c r="C588" t="s">
        <v>5074</v>
      </c>
      <c r="D588">
        <v>44</v>
      </c>
      <c r="E588" s="1">
        <v>29457</v>
      </c>
      <c r="F588" t="s">
        <v>89</v>
      </c>
      <c r="G588" t="s">
        <v>321</v>
      </c>
      <c r="H588" t="s">
        <v>76</v>
      </c>
      <c r="I588" t="s">
        <v>243</v>
      </c>
      <c r="J588" t="s">
        <v>89</v>
      </c>
      <c r="K588" t="s">
        <v>89</v>
      </c>
      <c r="L588" t="s">
        <v>99</v>
      </c>
      <c r="M588">
        <v>20</v>
      </c>
      <c r="N588" t="s">
        <v>100</v>
      </c>
      <c r="O588">
        <v>2001</v>
      </c>
      <c r="P588" t="s">
        <v>5075</v>
      </c>
      <c r="Q588" t="s">
        <v>5076</v>
      </c>
      <c r="R588">
        <v>29061</v>
      </c>
      <c r="S588" t="s">
        <v>5077</v>
      </c>
      <c r="T588" t="s">
        <v>5078</v>
      </c>
      <c r="U588">
        <v>1980</v>
      </c>
      <c r="V588" t="s">
        <v>100</v>
      </c>
      <c r="W588">
        <v>1.79</v>
      </c>
      <c r="X588" t="s">
        <v>76</v>
      </c>
      <c r="Y588" t="s">
        <v>259</v>
      </c>
      <c r="Z588" t="s">
        <v>87</v>
      </c>
      <c r="AA588" t="s">
        <v>107</v>
      </c>
      <c r="AB588" s="1">
        <v>41646</v>
      </c>
      <c r="AC588" t="s">
        <v>108</v>
      </c>
      <c r="AD588" t="s">
        <v>89</v>
      </c>
      <c r="AE588" t="s">
        <v>2088</v>
      </c>
      <c r="AF588">
        <v>21</v>
      </c>
      <c r="AG588" t="s">
        <v>91</v>
      </c>
      <c r="AH588" t="s">
        <v>2751</v>
      </c>
      <c r="AI588">
        <v>22</v>
      </c>
      <c r="AJ588" t="s">
        <v>110</v>
      </c>
      <c r="AK588">
        <v>21</v>
      </c>
      <c r="AL588">
        <v>1</v>
      </c>
      <c r="AM588">
        <v>32</v>
      </c>
      <c r="AN588">
        <v>5</v>
      </c>
      <c r="AO588">
        <v>1</v>
      </c>
      <c r="AP588" t="s">
        <v>93</v>
      </c>
      <c r="AQ588" t="s">
        <v>89</v>
      </c>
      <c r="AR588" t="s">
        <v>89</v>
      </c>
      <c r="AS588" t="s">
        <v>111</v>
      </c>
      <c r="AT588">
        <v>41646</v>
      </c>
      <c r="AU588">
        <v>2014</v>
      </c>
      <c r="AV588">
        <v>13</v>
      </c>
      <c r="AW588">
        <v>13</v>
      </c>
      <c r="AX588" t="s">
        <v>89</v>
      </c>
      <c r="AY588" t="s">
        <v>93</v>
      </c>
      <c r="AZ588">
        <v>0</v>
      </c>
      <c r="BA588">
        <v>0</v>
      </c>
      <c r="BB588">
        <v>0</v>
      </c>
      <c r="BC588">
        <v>0</v>
      </c>
      <c r="BD588">
        <v>260</v>
      </c>
      <c r="BE588">
        <v>17675</v>
      </c>
      <c r="BF588">
        <v>5</v>
      </c>
      <c r="BG588">
        <v>34</v>
      </c>
      <c r="BH588">
        <v>260</v>
      </c>
      <c r="BI588">
        <v>17675</v>
      </c>
      <c r="BJ588">
        <v>5</v>
      </c>
      <c r="BK588">
        <f t="shared" si="83"/>
        <v>260</v>
      </c>
      <c r="BL588">
        <f t="shared" si="84"/>
        <v>17675</v>
      </c>
      <c r="BM588">
        <f t="shared" si="85"/>
        <v>5</v>
      </c>
      <c r="BN588">
        <f t="shared" si="86"/>
        <v>0</v>
      </c>
      <c r="BO588">
        <f t="shared" si="87"/>
        <v>0</v>
      </c>
      <c r="BP588">
        <f t="shared" si="88"/>
        <v>0</v>
      </c>
      <c r="BQ588" t="s">
        <v>259</v>
      </c>
      <c r="BR588" t="s">
        <v>94</v>
      </c>
      <c r="BS588" s="1">
        <v>29457</v>
      </c>
      <c r="BT588">
        <v>45</v>
      </c>
      <c r="BU588">
        <v>41646</v>
      </c>
      <c r="BV588" t="s">
        <v>89</v>
      </c>
      <c r="BW588">
        <v>13</v>
      </c>
      <c r="BX588">
        <v>1980</v>
      </c>
      <c r="BY588">
        <v>13</v>
      </c>
      <c r="BZ588">
        <f t="shared" si="89"/>
        <v>0</v>
      </c>
      <c r="CA588">
        <f t="shared" si="90"/>
        <v>0</v>
      </c>
      <c r="CB588" t="b">
        <f t="shared" si="91"/>
        <v>1</v>
      </c>
    </row>
    <row r="589" spans="1:80" x14ac:dyDescent="0.3">
      <c r="A589" t="s">
        <v>5079</v>
      </c>
      <c r="B589" t="s">
        <v>71</v>
      </c>
      <c r="C589" t="s">
        <v>5080</v>
      </c>
      <c r="D589">
        <v>47</v>
      </c>
      <c r="E589" s="1">
        <v>28622</v>
      </c>
      <c r="F589" t="s">
        <v>89</v>
      </c>
      <c r="G589" t="s">
        <v>1289</v>
      </c>
      <c r="H589" t="s">
        <v>76</v>
      </c>
      <c r="I589" t="s">
        <v>1548</v>
      </c>
      <c r="J589" t="s">
        <v>300</v>
      </c>
      <c r="K589" t="s">
        <v>89</v>
      </c>
      <c r="L589" t="s">
        <v>196</v>
      </c>
      <c r="M589">
        <v>22</v>
      </c>
      <c r="N589" t="s">
        <v>763</v>
      </c>
      <c r="O589">
        <v>2000</v>
      </c>
      <c r="P589" t="s">
        <v>5081</v>
      </c>
      <c r="Q589" t="s">
        <v>5082</v>
      </c>
      <c r="R589">
        <v>7842</v>
      </c>
      <c r="S589" t="s">
        <v>5079</v>
      </c>
      <c r="T589" s="1">
        <v>28829</v>
      </c>
      <c r="U589">
        <v>1978</v>
      </c>
      <c r="V589" t="s">
        <v>122</v>
      </c>
      <c r="W589">
        <v>1.71</v>
      </c>
      <c r="X589" t="s">
        <v>76</v>
      </c>
      <c r="Y589" t="s">
        <v>151</v>
      </c>
      <c r="Z589" t="s">
        <v>152</v>
      </c>
      <c r="AA589" t="s">
        <v>3885</v>
      </c>
      <c r="AB589">
        <v>40915</v>
      </c>
      <c r="AC589" t="s">
        <v>108</v>
      </c>
      <c r="AD589" t="s">
        <v>89</v>
      </c>
      <c r="AE589">
        <v>36808</v>
      </c>
      <c r="AF589">
        <v>22</v>
      </c>
      <c r="AG589" t="s">
        <v>91</v>
      </c>
      <c r="AH589" t="s">
        <v>5083</v>
      </c>
      <c r="AI589">
        <v>21</v>
      </c>
      <c r="AJ589" t="s">
        <v>459</v>
      </c>
      <c r="AK589">
        <v>21</v>
      </c>
      <c r="AL589" t="s">
        <v>89</v>
      </c>
      <c r="AM589" t="s">
        <v>89</v>
      </c>
      <c r="AN589" t="s">
        <v>89</v>
      </c>
      <c r="AO589">
        <v>0</v>
      </c>
      <c r="AP589" t="s">
        <v>93</v>
      </c>
      <c r="AQ589" t="s">
        <v>89</v>
      </c>
      <c r="AR589" t="s">
        <v>89</v>
      </c>
      <c r="AS589" t="s">
        <v>111</v>
      </c>
      <c r="AT589">
        <v>40915</v>
      </c>
      <c r="AU589">
        <v>2012</v>
      </c>
      <c r="AV589">
        <v>12</v>
      </c>
      <c r="AW589">
        <v>12</v>
      </c>
      <c r="AX589" t="s">
        <v>89</v>
      </c>
      <c r="AY589" t="s">
        <v>93</v>
      </c>
      <c r="AZ589">
        <v>0</v>
      </c>
      <c r="BA589">
        <v>0</v>
      </c>
      <c r="BB589">
        <v>0</v>
      </c>
      <c r="BC589">
        <v>0</v>
      </c>
      <c r="BD589">
        <v>266</v>
      </c>
      <c r="BE589">
        <v>15536</v>
      </c>
      <c r="BF589">
        <v>14</v>
      </c>
      <c r="BG589">
        <v>34</v>
      </c>
      <c r="BH589">
        <v>266</v>
      </c>
      <c r="BI589">
        <v>15536</v>
      </c>
      <c r="BJ589">
        <v>14</v>
      </c>
      <c r="BK589">
        <f t="shared" si="83"/>
        <v>266</v>
      </c>
      <c r="BL589">
        <f t="shared" si="84"/>
        <v>15536</v>
      </c>
      <c r="BM589">
        <f t="shared" si="85"/>
        <v>14</v>
      </c>
      <c r="BN589">
        <f t="shared" si="86"/>
        <v>0</v>
      </c>
      <c r="BO589">
        <f t="shared" si="87"/>
        <v>0</v>
      </c>
      <c r="BP589">
        <f t="shared" si="88"/>
        <v>0</v>
      </c>
      <c r="BQ589" t="s">
        <v>151</v>
      </c>
      <c r="BR589" t="s">
        <v>94</v>
      </c>
      <c r="BS589" s="1">
        <v>28622</v>
      </c>
      <c r="BT589">
        <v>47</v>
      </c>
      <c r="BU589">
        <v>40915</v>
      </c>
      <c r="BV589" t="s">
        <v>89</v>
      </c>
      <c r="BW589">
        <v>13</v>
      </c>
      <c r="BX589">
        <v>1978</v>
      </c>
      <c r="BY589">
        <v>13</v>
      </c>
      <c r="BZ589">
        <f t="shared" si="89"/>
        <v>-1</v>
      </c>
      <c r="CA589">
        <f t="shared" si="90"/>
        <v>0</v>
      </c>
      <c r="CB589" t="b">
        <f t="shared" si="91"/>
        <v>0</v>
      </c>
    </row>
    <row r="590" spans="1:80" x14ac:dyDescent="0.3">
      <c r="A590" t="s">
        <v>5084</v>
      </c>
      <c r="B590" t="s">
        <v>71</v>
      </c>
      <c r="C590" t="s">
        <v>5085</v>
      </c>
      <c r="D590">
        <v>45</v>
      </c>
      <c r="E590">
        <v>29419</v>
      </c>
      <c r="F590" t="s">
        <v>89</v>
      </c>
      <c r="G590" t="s">
        <v>143</v>
      </c>
      <c r="H590" t="s">
        <v>89</v>
      </c>
      <c r="I590" t="s">
        <v>161</v>
      </c>
      <c r="J590" t="s">
        <v>89</v>
      </c>
      <c r="K590" t="s">
        <v>89</v>
      </c>
      <c r="L590" t="s">
        <v>845</v>
      </c>
      <c r="M590">
        <v>22</v>
      </c>
      <c r="N590" t="s">
        <v>162</v>
      </c>
      <c r="O590">
        <v>2002</v>
      </c>
      <c r="P590" t="s">
        <v>5086</v>
      </c>
      <c r="Q590" t="s">
        <v>5087</v>
      </c>
      <c r="R590">
        <v>29170</v>
      </c>
      <c r="S590" t="s">
        <v>5084</v>
      </c>
      <c r="T590" t="s">
        <v>5088</v>
      </c>
      <c r="U590">
        <v>1980</v>
      </c>
      <c r="V590" t="s">
        <v>122</v>
      </c>
      <c r="W590">
        <v>1.72</v>
      </c>
      <c r="X590" t="s">
        <v>76</v>
      </c>
      <c r="Y590" t="s">
        <v>494</v>
      </c>
      <c r="Z590" t="s">
        <v>87</v>
      </c>
      <c r="AA590" t="s">
        <v>763</v>
      </c>
      <c r="AB590" t="s">
        <v>5089</v>
      </c>
      <c r="AC590" t="s">
        <v>108</v>
      </c>
      <c r="AD590" t="s">
        <v>89</v>
      </c>
      <c r="AE590" s="1">
        <v>37265</v>
      </c>
      <c r="AF590">
        <v>22</v>
      </c>
      <c r="AG590" t="s">
        <v>91</v>
      </c>
      <c r="AH590" t="s">
        <v>2556</v>
      </c>
      <c r="AI590">
        <v>23</v>
      </c>
      <c r="AJ590" t="s">
        <v>110</v>
      </c>
      <c r="AK590">
        <v>22</v>
      </c>
      <c r="AL590">
        <v>1</v>
      </c>
      <c r="AM590">
        <v>33</v>
      </c>
      <c r="AN590">
        <v>4</v>
      </c>
      <c r="AO590">
        <v>1</v>
      </c>
      <c r="AP590" t="s">
        <v>93</v>
      </c>
      <c r="AQ590" t="s">
        <v>89</v>
      </c>
      <c r="AR590" t="s">
        <v>89</v>
      </c>
      <c r="AS590" t="s">
        <v>111</v>
      </c>
      <c r="AT590" t="s">
        <v>5089</v>
      </c>
      <c r="AU590">
        <v>2013</v>
      </c>
      <c r="AV590">
        <v>11</v>
      </c>
      <c r="AW590">
        <v>11</v>
      </c>
      <c r="AX590" t="s">
        <v>89</v>
      </c>
      <c r="AY590" t="s">
        <v>93</v>
      </c>
      <c r="AZ590">
        <v>0</v>
      </c>
      <c r="BA590">
        <v>0</v>
      </c>
      <c r="BB590">
        <v>0</v>
      </c>
      <c r="BC590">
        <v>0</v>
      </c>
      <c r="BD590">
        <v>363</v>
      </c>
      <c r="BE590">
        <v>25540</v>
      </c>
      <c r="BF590">
        <v>54</v>
      </c>
      <c r="BG590">
        <v>33</v>
      </c>
      <c r="BH590">
        <v>363</v>
      </c>
      <c r="BI590">
        <v>25540</v>
      </c>
      <c r="BJ590">
        <v>54</v>
      </c>
      <c r="BK590">
        <f t="shared" si="83"/>
        <v>363</v>
      </c>
      <c r="BL590">
        <f t="shared" si="84"/>
        <v>25540</v>
      </c>
      <c r="BM590">
        <f t="shared" si="85"/>
        <v>54</v>
      </c>
      <c r="BN590">
        <f t="shared" si="86"/>
        <v>0</v>
      </c>
      <c r="BO590">
        <f t="shared" si="87"/>
        <v>0</v>
      </c>
      <c r="BP590">
        <f t="shared" si="88"/>
        <v>0</v>
      </c>
      <c r="BQ590" t="s">
        <v>494</v>
      </c>
      <c r="BR590" t="s">
        <v>112</v>
      </c>
      <c r="BS590" s="1">
        <v>29419</v>
      </c>
      <c r="BT590">
        <v>45</v>
      </c>
      <c r="BU590" t="s">
        <v>5089</v>
      </c>
      <c r="BV590" s="1">
        <v>41508</v>
      </c>
      <c r="BW590">
        <v>11</v>
      </c>
      <c r="BX590">
        <v>1980</v>
      </c>
      <c r="BY590">
        <v>11</v>
      </c>
      <c r="BZ590">
        <f t="shared" si="89"/>
        <v>0</v>
      </c>
      <c r="CA590">
        <f t="shared" si="90"/>
        <v>0</v>
      </c>
      <c r="CB590" t="b">
        <f t="shared" si="91"/>
        <v>1</v>
      </c>
    </row>
    <row r="591" spans="1:80" x14ac:dyDescent="0.3">
      <c r="A591" t="s">
        <v>5090</v>
      </c>
      <c r="B591" t="s">
        <v>71</v>
      </c>
      <c r="C591" t="s">
        <v>5091</v>
      </c>
      <c r="D591">
        <v>49</v>
      </c>
      <c r="E591">
        <v>27830</v>
      </c>
      <c r="F591" t="s">
        <v>89</v>
      </c>
      <c r="G591" t="s">
        <v>115</v>
      </c>
      <c r="H591" t="s">
        <v>89</v>
      </c>
      <c r="I591" t="s">
        <v>555</v>
      </c>
      <c r="J591" t="s">
        <v>89</v>
      </c>
      <c r="K591" t="s">
        <v>89</v>
      </c>
      <c r="L591" t="s">
        <v>99</v>
      </c>
      <c r="M591">
        <v>25</v>
      </c>
      <c r="N591" t="s">
        <v>304</v>
      </c>
      <c r="O591">
        <v>2001</v>
      </c>
      <c r="P591" t="s">
        <v>5092</v>
      </c>
      <c r="Q591" t="s">
        <v>5093</v>
      </c>
      <c r="R591">
        <v>7705</v>
      </c>
      <c r="S591" t="s">
        <v>5094</v>
      </c>
      <c r="T591" s="1">
        <v>28067</v>
      </c>
      <c r="U591">
        <v>1976</v>
      </c>
      <c r="V591" t="s">
        <v>5095</v>
      </c>
      <c r="W591">
        <v>1.8</v>
      </c>
      <c r="X591" t="s">
        <v>76</v>
      </c>
      <c r="Y591" t="s">
        <v>259</v>
      </c>
      <c r="Z591" t="s">
        <v>392</v>
      </c>
      <c r="AA591" t="s">
        <v>279</v>
      </c>
      <c r="AB591">
        <v>41646</v>
      </c>
      <c r="AC591" t="s">
        <v>108</v>
      </c>
      <c r="AD591" t="s">
        <v>89</v>
      </c>
      <c r="AE591" t="s">
        <v>2088</v>
      </c>
      <c r="AF591">
        <v>21</v>
      </c>
      <c r="AG591" t="s">
        <v>91</v>
      </c>
      <c r="AH591" s="1">
        <v>34821</v>
      </c>
      <c r="AI591">
        <v>18</v>
      </c>
      <c r="AJ591" t="s">
        <v>110</v>
      </c>
      <c r="AK591">
        <v>18</v>
      </c>
      <c r="AL591" t="s">
        <v>89</v>
      </c>
      <c r="AM591" t="s">
        <v>89</v>
      </c>
      <c r="AN591" t="s">
        <v>89</v>
      </c>
      <c r="AO591">
        <v>0</v>
      </c>
      <c r="AP591" t="s">
        <v>93</v>
      </c>
      <c r="AQ591" t="s">
        <v>89</v>
      </c>
      <c r="AR591" t="s">
        <v>89</v>
      </c>
      <c r="AS591" t="s">
        <v>111</v>
      </c>
      <c r="AT591">
        <v>41646</v>
      </c>
      <c r="AU591">
        <v>2014</v>
      </c>
      <c r="AV591">
        <v>13</v>
      </c>
      <c r="AW591">
        <v>13</v>
      </c>
      <c r="AX591" t="s">
        <v>89</v>
      </c>
      <c r="AY591" t="s">
        <v>93</v>
      </c>
      <c r="AZ591">
        <v>0</v>
      </c>
      <c r="BA591">
        <v>0</v>
      </c>
      <c r="BB591">
        <v>0</v>
      </c>
      <c r="BC591">
        <v>0</v>
      </c>
      <c r="BD591">
        <v>374</v>
      </c>
      <c r="BE591">
        <v>26268</v>
      </c>
      <c r="BF591">
        <v>47</v>
      </c>
      <c r="BG591">
        <v>38</v>
      </c>
      <c r="BH591">
        <v>374</v>
      </c>
      <c r="BI591">
        <v>26268</v>
      </c>
      <c r="BJ591">
        <v>47</v>
      </c>
      <c r="BK591">
        <f t="shared" si="83"/>
        <v>374</v>
      </c>
      <c r="BL591">
        <f t="shared" si="84"/>
        <v>26268</v>
      </c>
      <c r="BM591">
        <f t="shared" si="85"/>
        <v>47</v>
      </c>
      <c r="BN591">
        <f t="shared" si="86"/>
        <v>0</v>
      </c>
      <c r="BO591">
        <f t="shared" si="87"/>
        <v>0</v>
      </c>
      <c r="BP591">
        <f t="shared" si="88"/>
        <v>0</v>
      </c>
      <c r="BQ591" t="s">
        <v>259</v>
      </c>
      <c r="BR591" t="s">
        <v>94</v>
      </c>
      <c r="BS591" s="1">
        <v>27830</v>
      </c>
      <c r="BT591">
        <v>49</v>
      </c>
      <c r="BU591">
        <v>41646</v>
      </c>
      <c r="BV591" t="s">
        <v>89</v>
      </c>
      <c r="BW591">
        <v>20</v>
      </c>
      <c r="BX591">
        <v>1976</v>
      </c>
      <c r="BY591">
        <v>20</v>
      </c>
      <c r="BZ591">
        <f t="shared" si="89"/>
        <v>-7</v>
      </c>
      <c r="CA591">
        <f t="shared" si="90"/>
        <v>0</v>
      </c>
      <c r="CB591" t="b">
        <f t="shared" si="91"/>
        <v>0</v>
      </c>
    </row>
    <row r="592" spans="1:80" x14ac:dyDescent="0.3">
      <c r="A592" t="s">
        <v>5096</v>
      </c>
      <c r="B592" t="s">
        <v>71</v>
      </c>
      <c r="C592" t="s">
        <v>5097</v>
      </c>
      <c r="D592">
        <v>40</v>
      </c>
      <c r="E592" s="1">
        <v>31184</v>
      </c>
      <c r="F592" t="s">
        <v>89</v>
      </c>
      <c r="G592" t="s">
        <v>298</v>
      </c>
      <c r="H592" t="s">
        <v>76</v>
      </c>
      <c r="I592" t="s">
        <v>5098</v>
      </c>
      <c r="J592" t="s">
        <v>89</v>
      </c>
      <c r="K592" t="s">
        <v>89</v>
      </c>
      <c r="L592" t="s">
        <v>163</v>
      </c>
      <c r="M592">
        <v>21</v>
      </c>
      <c r="N592" t="s">
        <v>146</v>
      </c>
      <c r="O592">
        <v>2006</v>
      </c>
      <c r="P592" t="s">
        <v>5099</v>
      </c>
      <c r="Q592" t="s">
        <v>5100</v>
      </c>
      <c r="R592">
        <v>44860</v>
      </c>
      <c r="S592" t="s">
        <v>5101</v>
      </c>
      <c r="T592" t="s">
        <v>5102</v>
      </c>
      <c r="U592">
        <v>1985</v>
      </c>
      <c r="V592" t="s">
        <v>644</v>
      </c>
      <c r="W592">
        <v>1.75</v>
      </c>
      <c r="X592" t="s">
        <v>76</v>
      </c>
      <c r="Y592" t="s">
        <v>136</v>
      </c>
      <c r="Z592" t="s">
        <v>87</v>
      </c>
      <c r="AA592" t="s">
        <v>5103</v>
      </c>
      <c r="AB592">
        <v>43472</v>
      </c>
      <c r="AC592" t="s">
        <v>108</v>
      </c>
      <c r="AD592" t="s">
        <v>89</v>
      </c>
      <c r="AE592" t="s">
        <v>2043</v>
      </c>
      <c r="AF592">
        <v>21</v>
      </c>
      <c r="AG592" t="s">
        <v>91</v>
      </c>
      <c r="AH592" t="s">
        <v>561</v>
      </c>
      <c r="AI592">
        <v>29</v>
      </c>
      <c r="AJ592" t="s">
        <v>110</v>
      </c>
      <c r="AK592">
        <v>21</v>
      </c>
      <c r="AL592">
        <v>3</v>
      </c>
      <c r="AM592">
        <v>137</v>
      </c>
      <c r="AN592">
        <v>18</v>
      </c>
      <c r="AO592">
        <v>3</v>
      </c>
      <c r="AP592" t="s">
        <v>93</v>
      </c>
      <c r="AQ592" t="s">
        <v>89</v>
      </c>
      <c r="AR592" t="s">
        <v>89</v>
      </c>
      <c r="AS592" t="s">
        <v>111</v>
      </c>
      <c r="AT592">
        <v>43472</v>
      </c>
      <c r="AU592">
        <v>2019</v>
      </c>
      <c r="AV592">
        <v>13</v>
      </c>
      <c r="AW592">
        <v>13</v>
      </c>
      <c r="AX592" t="s">
        <v>89</v>
      </c>
      <c r="AY592" t="s">
        <v>93</v>
      </c>
      <c r="AZ592">
        <v>0</v>
      </c>
      <c r="BA592">
        <v>0</v>
      </c>
      <c r="BB592">
        <v>0</v>
      </c>
      <c r="BC592">
        <v>0</v>
      </c>
      <c r="BD592">
        <v>248</v>
      </c>
      <c r="BE592">
        <v>20610</v>
      </c>
      <c r="BF592">
        <v>2</v>
      </c>
      <c r="BG592">
        <v>34</v>
      </c>
      <c r="BH592">
        <v>248</v>
      </c>
      <c r="BI592">
        <v>20610</v>
      </c>
      <c r="BJ592">
        <v>2</v>
      </c>
      <c r="BK592">
        <f t="shared" si="83"/>
        <v>248</v>
      </c>
      <c r="BL592">
        <f t="shared" si="84"/>
        <v>20610</v>
      </c>
      <c r="BM592">
        <f t="shared" si="85"/>
        <v>2</v>
      </c>
      <c r="BN592">
        <f t="shared" si="86"/>
        <v>0</v>
      </c>
      <c r="BO592">
        <f t="shared" si="87"/>
        <v>0</v>
      </c>
      <c r="BP592">
        <f t="shared" si="88"/>
        <v>0</v>
      </c>
      <c r="BQ592" t="s">
        <v>136</v>
      </c>
      <c r="BR592" t="s">
        <v>140</v>
      </c>
      <c r="BS592" s="1">
        <v>31184</v>
      </c>
      <c r="BT592">
        <v>40</v>
      </c>
      <c r="BU592">
        <v>43472</v>
      </c>
      <c r="BV592" t="s">
        <v>89</v>
      </c>
      <c r="BW592">
        <v>13</v>
      </c>
      <c r="BX592">
        <v>1985</v>
      </c>
      <c r="BY592">
        <v>13</v>
      </c>
      <c r="BZ592">
        <f t="shared" si="89"/>
        <v>0</v>
      </c>
      <c r="CA592">
        <f t="shared" si="90"/>
        <v>0</v>
      </c>
      <c r="CB592" t="b">
        <f t="shared" si="91"/>
        <v>1</v>
      </c>
    </row>
    <row r="593" spans="1:80" x14ac:dyDescent="0.3">
      <c r="A593" t="s">
        <v>5104</v>
      </c>
      <c r="B593" t="s">
        <v>71</v>
      </c>
      <c r="C593" t="s">
        <v>5105</v>
      </c>
      <c r="D593">
        <v>32</v>
      </c>
      <c r="E593" s="1">
        <v>33866</v>
      </c>
      <c r="F593" t="s">
        <v>89</v>
      </c>
      <c r="G593" t="s">
        <v>211</v>
      </c>
      <c r="H593" t="s">
        <v>76</v>
      </c>
      <c r="I593" t="s">
        <v>555</v>
      </c>
      <c r="J593" t="s">
        <v>78</v>
      </c>
      <c r="K593" t="s">
        <v>89</v>
      </c>
      <c r="L593" t="s">
        <v>228</v>
      </c>
      <c r="M593">
        <v>17</v>
      </c>
      <c r="N593" t="s">
        <v>649</v>
      </c>
      <c r="O593">
        <v>2010</v>
      </c>
      <c r="P593" t="s">
        <v>5106</v>
      </c>
      <c r="Q593" t="s">
        <v>5107</v>
      </c>
      <c r="R593">
        <v>128219</v>
      </c>
      <c r="S593" t="s">
        <v>5104</v>
      </c>
      <c r="T593" t="s">
        <v>5108</v>
      </c>
      <c r="U593">
        <v>1992</v>
      </c>
      <c r="V593" t="s">
        <v>2342</v>
      </c>
      <c r="W593">
        <v>1.73</v>
      </c>
      <c r="X593" t="s">
        <v>76</v>
      </c>
      <c r="Y593" t="s">
        <v>86</v>
      </c>
      <c r="Z593" t="s">
        <v>87</v>
      </c>
      <c r="AA593" t="s">
        <v>476</v>
      </c>
      <c r="AB593" t="s">
        <v>5109</v>
      </c>
      <c r="AC593" t="s">
        <v>108</v>
      </c>
      <c r="AD593" t="s">
        <v>223</v>
      </c>
      <c r="AE593" t="s">
        <v>1729</v>
      </c>
      <c r="AF593">
        <v>21</v>
      </c>
      <c r="AG593" t="s">
        <v>91</v>
      </c>
      <c r="AH593" t="s">
        <v>5110</v>
      </c>
      <c r="AI593">
        <v>18</v>
      </c>
      <c r="AJ593" t="s">
        <v>110</v>
      </c>
      <c r="AK593">
        <v>18</v>
      </c>
      <c r="AL593">
        <v>2</v>
      </c>
      <c r="AM593">
        <v>26</v>
      </c>
      <c r="AN593">
        <v>4</v>
      </c>
      <c r="AO593">
        <v>2</v>
      </c>
      <c r="AP593" t="s">
        <v>93</v>
      </c>
      <c r="AQ593" t="s">
        <v>89</v>
      </c>
      <c r="AR593" t="s">
        <v>89</v>
      </c>
      <c r="AS593" t="s">
        <v>93</v>
      </c>
      <c r="AT593" t="s">
        <v>89</v>
      </c>
      <c r="AU593" t="s">
        <v>89</v>
      </c>
      <c r="AV593" t="s">
        <v>89</v>
      </c>
      <c r="AW593">
        <v>15</v>
      </c>
      <c r="AX593" t="s">
        <v>89</v>
      </c>
      <c r="AY593" t="s">
        <v>93</v>
      </c>
      <c r="AZ593">
        <v>0</v>
      </c>
      <c r="BA593">
        <v>0</v>
      </c>
      <c r="BB593">
        <v>0</v>
      </c>
      <c r="BC593">
        <v>0</v>
      </c>
      <c r="BD593">
        <v>290</v>
      </c>
      <c r="BE593">
        <v>18053</v>
      </c>
      <c r="BF593">
        <v>25</v>
      </c>
      <c r="BG593" t="s">
        <v>89</v>
      </c>
      <c r="BH593">
        <v>290</v>
      </c>
      <c r="BI593">
        <v>18053</v>
      </c>
      <c r="BJ593">
        <v>25</v>
      </c>
      <c r="BK593">
        <f t="shared" si="83"/>
        <v>290</v>
      </c>
      <c r="BL593">
        <f t="shared" si="84"/>
        <v>18053</v>
      </c>
      <c r="BM593">
        <f t="shared" si="85"/>
        <v>25</v>
      </c>
      <c r="BN593">
        <f t="shared" si="86"/>
        <v>0</v>
      </c>
      <c r="BO593">
        <f t="shared" si="87"/>
        <v>0</v>
      </c>
      <c r="BP593">
        <f t="shared" si="88"/>
        <v>0</v>
      </c>
      <c r="BQ593" t="s">
        <v>86</v>
      </c>
      <c r="BR593" t="s">
        <v>94</v>
      </c>
      <c r="BS593" s="1">
        <v>33866</v>
      </c>
      <c r="BT593">
        <v>33</v>
      </c>
      <c r="BU593" t="s">
        <v>89</v>
      </c>
      <c r="BV593" t="s">
        <v>89</v>
      </c>
      <c r="BW593">
        <v>15</v>
      </c>
      <c r="BX593">
        <v>1992</v>
      </c>
      <c r="BY593">
        <v>14</v>
      </c>
      <c r="BZ593">
        <f t="shared" si="89"/>
        <v>0</v>
      </c>
      <c r="CA593">
        <f t="shared" si="90"/>
        <v>1</v>
      </c>
      <c r="CB593" t="b">
        <f t="shared" si="91"/>
        <v>1</v>
      </c>
    </row>
    <row r="594" spans="1:80" x14ac:dyDescent="0.3">
      <c r="A594" t="s">
        <v>5111</v>
      </c>
      <c r="B594" t="s">
        <v>71</v>
      </c>
      <c r="C594" t="s">
        <v>5112</v>
      </c>
      <c r="D594">
        <v>47</v>
      </c>
      <c r="E594">
        <v>28578</v>
      </c>
      <c r="F594" t="s">
        <v>89</v>
      </c>
      <c r="G594" t="s">
        <v>518</v>
      </c>
      <c r="H594" t="s">
        <v>76</v>
      </c>
      <c r="I594" t="s">
        <v>750</v>
      </c>
      <c r="J594" t="s">
        <v>89</v>
      </c>
      <c r="K594" t="s">
        <v>89</v>
      </c>
      <c r="L594" t="s">
        <v>3857</v>
      </c>
      <c r="M594">
        <v>18</v>
      </c>
      <c r="N594" t="s">
        <v>214</v>
      </c>
      <c r="O594">
        <v>1996</v>
      </c>
      <c r="P594" t="s">
        <v>5113</v>
      </c>
      <c r="Q594" t="s">
        <v>5114</v>
      </c>
      <c r="R594">
        <v>5785</v>
      </c>
      <c r="S594" t="s">
        <v>5111</v>
      </c>
      <c r="T594" t="s">
        <v>5115</v>
      </c>
      <c r="U594">
        <v>1978</v>
      </c>
      <c r="V594" t="s">
        <v>214</v>
      </c>
      <c r="W594">
        <v>1.73</v>
      </c>
      <c r="X594" t="s">
        <v>76</v>
      </c>
      <c r="Y594" t="s">
        <v>259</v>
      </c>
      <c r="Z594" t="s">
        <v>87</v>
      </c>
      <c r="AA594" t="s">
        <v>763</v>
      </c>
      <c r="AB594" s="1">
        <v>41641</v>
      </c>
      <c r="AC594" t="s">
        <v>108</v>
      </c>
      <c r="AD594" t="s">
        <v>89</v>
      </c>
      <c r="AE594">
        <v>35289</v>
      </c>
      <c r="AF594">
        <v>18</v>
      </c>
      <c r="AG594" t="s">
        <v>91</v>
      </c>
      <c r="AH594" t="s">
        <v>727</v>
      </c>
      <c r="AI594">
        <v>28</v>
      </c>
      <c r="AJ594" t="s">
        <v>110</v>
      </c>
      <c r="AK594">
        <v>18</v>
      </c>
      <c r="AL594">
        <v>3</v>
      </c>
      <c r="AM594">
        <v>297</v>
      </c>
      <c r="AN594">
        <v>19</v>
      </c>
      <c r="AO594">
        <v>2</v>
      </c>
      <c r="AP594" t="s">
        <v>93</v>
      </c>
      <c r="AQ594" t="s">
        <v>89</v>
      </c>
      <c r="AR594" t="s">
        <v>89</v>
      </c>
      <c r="AS594" t="s">
        <v>111</v>
      </c>
      <c r="AT594">
        <v>41641</v>
      </c>
      <c r="AU594">
        <v>2014</v>
      </c>
      <c r="AV594">
        <v>18</v>
      </c>
      <c r="AW594">
        <v>18</v>
      </c>
      <c r="AX594" t="s">
        <v>89</v>
      </c>
      <c r="AY594" t="s">
        <v>93</v>
      </c>
      <c r="AZ594">
        <v>0</v>
      </c>
      <c r="BA594">
        <v>0</v>
      </c>
      <c r="BB594">
        <v>0</v>
      </c>
      <c r="BC594">
        <v>0</v>
      </c>
      <c r="BD594">
        <v>454</v>
      </c>
      <c r="BE594">
        <v>32878</v>
      </c>
      <c r="BF594">
        <v>44</v>
      </c>
      <c r="BG594">
        <v>36</v>
      </c>
      <c r="BH594">
        <v>454</v>
      </c>
      <c r="BI594">
        <v>32878</v>
      </c>
      <c r="BJ594">
        <v>44</v>
      </c>
      <c r="BK594">
        <f t="shared" si="83"/>
        <v>454</v>
      </c>
      <c r="BL594">
        <f t="shared" si="84"/>
        <v>32878</v>
      </c>
      <c r="BM594">
        <f t="shared" si="85"/>
        <v>44</v>
      </c>
      <c r="BN594">
        <f t="shared" si="86"/>
        <v>0</v>
      </c>
      <c r="BO594">
        <f t="shared" si="87"/>
        <v>0</v>
      </c>
      <c r="BP594">
        <f t="shared" si="88"/>
        <v>0</v>
      </c>
      <c r="BQ594" t="s">
        <v>259</v>
      </c>
      <c r="BR594" t="s">
        <v>94</v>
      </c>
      <c r="BS594" s="1">
        <v>28578</v>
      </c>
      <c r="BT594">
        <v>47</v>
      </c>
      <c r="BU594">
        <v>41641</v>
      </c>
      <c r="BV594" t="s">
        <v>89</v>
      </c>
      <c r="BW594">
        <v>18</v>
      </c>
      <c r="BX594">
        <v>1978</v>
      </c>
      <c r="BY594">
        <v>18</v>
      </c>
      <c r="BZ594">
        <f t="shared" si="89"/>
        <v>0</v>
      </c>
      <c r="CA594">
        <f t="shared" si="90"/>
        <v>0</v>
      </c>
      <c r="CB594" t="b">
        <f t="shared" si="91"/>
        <v>1</v>
      </c>
    </row>
    <row r="595" spans="1:80" x14ac:dyDescent="0.3">
      <c r="A595" t="s">
        <v>5116</v>
      </c>
      <c r="B595" t="s">
        <v>1274</v>
      </c>
      <c r="C595" t="s">
        <v>5117</v>
      </c>
      <c r="D595">
        <v>37</v>
      </c>
      <c r="E595" t="s">
        <v>5118</v>
      </c>
      <c r="F595" t="s">
        <v>5119</v>
      </c>
      <c r="G595" t="s">
        <v>143</v>
      </c>
      <c r="H595" t="s">
        <v>1276</v>
      </c>
      <c r="I595" t="s">
        <v>437</v>
      </c>
      <c r="J595" t="s">
        <v>78</v>
      </c>
      <c r="K595" t="s">
        <v>1282</v>
      </c>
      <c r="L595" t="s">
        <v>163</v>
      </c>
      <c r="M595">
        <v>18</v>
      </c>
      <c r="N595" t="s">
        <v>1282</v>
      </c>
      <c r="O595">
        <v>2006</v>
      </c>
      <c r="P595" t="s">
        <v>5120</v>
      </c>
      <c r="Q595" t="s">
        <v>5121</v>
      </c>
      <c r="R595">
        <v>50935</v>
      </c>
      <c r="S595" t="s">
        <v>5122</v>
      </c>
      <c r="T595">
        <v>32148</v>
      </c>
      <c r="U595">
        <v>1988</v>
      </c>
      <c r="V595" t="s">
        <v>1282</v>
      </c>
      <c r="W595">
        <v>1.75</v>
      </c>
      <c r="X595" t="s">
        <v>1276</v>
      </c>
      <c r="Y595" t="s">
        <v>123</v>
      </c>
      <c r="Z595" t="s">
        <v>87</v>
      </c>
      <c r="AA595" t="s">
        <v>5123</v>
      </c>
      <c r="AB595" t="s">
        <v>5124</v>
      </c>
      <c r="AC595" t="s">
        <v>108</v>
      </c>
      <c r="AD595" t="s">
        <v>395</v>
      </c>
      <c r="AE595" t="s">
        <v>5125</v>
      </c>
      <c r="AF595">
        <v>18</v>
      </c>
      <c r="AG595" t="s">
        <v>5126</v>
      </c>
      <c r="AH595" s="1">
        <v>38812</v>
      </c>
      <c r="AI595">
        <v>17</v>
      </c>
      <c r="AJ595" t="s">
        <v>5127</v>
      </c>
      <c r="AK595">
        <v>17</v>
      </c>
      <c r="AL595">
        <v>18</v>
      </c>
      <c r="AM595">
        <v>676</v>
      </c>
      <c r="AN595">
        <v>98</v>
      </c>
      <c r="AO595">
        <v>9</v>
      </c>
      <c r="AP595" t="s">
        <v>93</v>
      </c>
      <c r="AQ595" t="s">
        <v>89</v>
      </c>
      <c r="AR595" t="s">
        <v>89</v>
      </c>
      <c r="AS595" t="s">
        <v>93</v>
      </c>
      <c r="AT595" t="s">
        <v>89</v>
      </c>
      <c r="AU595" t="s">
        <v>89</v>
      </c>
      <c r="AV595" t="s">
        <v>89</v>
      </c>
      <c r="AW595">
        <v>19</v>
      </c>
      <c r="AX595">
        <v>14</v>
      </c>
      <c r="AY595" t="s">
        <v>111</v>
      </c>
      <c r="AZ595">
        <v>13</v>
      </c>
      <c r="BA595">
        <v>65</v>
      </c>
      <c r="BB595">
        <v>4296</v>
      </c>
      <c r="BC595">
        <v>24</v>
      </c>
      <c r="BD595">
        <v>491</v>
      </c>
      <c r="BE595">
        <v>28785</v>
      </c>
      <c r="BF595">
        <v>182</v>
      </c>
      <c r="BG595" t="s">
        <v>89</v>
      </c>
      <c r="BH595">
        <v>556</v>
      </c>
      <c r="BI595">
        <v>33081</v>
      </c>
      <c r="BJ595">
        <v>206</v>
      </c>
      <c r="BK595">
        <f t="shared" si="83"/>
        <v>556</v>
      </c>
      <c r="BL595">
        <f t="shared" si="84"/>
        <v>33081</v>
      </c>
      <c r="BM595">
        <f t="shared" si="85"/>
        <v>206</v>
      </c>
      <c r="BN595">
        <f t="shared" si="86"/>
        <v>0</v>
      </c>
      <c r="BO595">
        <f t="shared" si="87"/>
        <v>0</v>
      </c>
      <c r="BP595">
        <f t="shared" si="88"/>
        <v>0</v>
      </c>
      <c r="BQ595" t="s">
        <v>123</v>
      </c>
      <c r="BR595" t="s">
        <v>112</v>
      </c>
      <c r="BS595" t="s">
        <v>89</v>
      </c>
      <c r="BT595">
        <v>38</v>
      </c>
      <c r="BU595" t="s">
        <v>89</v>
      </c>
      <c r="BV595" t="s">
        <v>89</v>
      </c>
      <c r="BW595">
        <v>21</v>
      </c>
      <c r="BX595">
        <v>1988</v>
      </c>
      <c r="BY595">
        <v>20</v>
      </c>
      <c r="BZ595">
        <f t="shared" si="89"/>
        <v>-2</v>
      </c>
      <c r="CA595">
        <f t="shared" si="90"/>
        <v>1</v>
      </c>
      <c r="CB595" t="b">
        <f t="shared" si="91"/>
        <v>0</v>
      </c>
    </row>
    <row r="596" spans="1:80" x14ac:dyDescent="0.3">
      <c r="A596" t="s">
        <v>5128</v>
      </c>
      <c r="B596" t="s">
        <v>71</v>
      </c>
      <c r="C596" t="s">
        <v>5129</v>
      </c>
      <c r="D596">
        <v>36</v>
      </c>
      <c r="E596" t="s">
        <v>5130</v>
      </c>
      <c r="F596" t="s">
        <v>3610</v>
      </c>
      <c r="G596" t="s">
        <v>298</v>
      </c>
      <c r="H596" t="s">
        <v>89</v>
      </c>
      <c r="I596" t="s">
        <v>555</v>
      </c>
      <c r="J596" t="s">
        <v>300</v>
      </c>
      <c r="K596" t="s">
        <v>5131</v>
      </c>
      <c r="L596" t="s">
        <v>228</v>
      </c>
      <c r="M596">
        <v>21</v>
      </c>
      <c r="N596" t="s">
        <v>1858</v>
      </c>
      <c r="O596">
        <v>2010</v>
      </c>
      <c r="P596" t="s">
        <v>5132</v>
      </c>
      <c r="Q596" t="s">
        <v>5133</v>
      </c>
      <c r="R596">
        <v>184218</v>
      </c>
      <c r="S596" t="s">
        <v>5134</v>
      </c>
      <c r="T596" s="1">
        <v>32757</v>
      </c>
      <c r="U596">
        <v>1989</v>
      </c>
      <c r="V596" t="s">
        <v>1858</v>
      </c>
      <c r="W596">
        <v>1.78</v>
      </c>
      <c r="X596" t="s">
        <v>76</v>
      </c>
      <c r="Y596" t="s">
        <v>86</v>
      </c>
      <c r="Z596" t="s">
        <v>152</v>
      </c>
      <c r="AA596" t="s">
        <v>476</v>
      </c>
      <c r="AB596" s="1">
        <v>45664</v>
      </c>
      <c r="AC596" t="s">
        <v>108</v>
      </c>
      <c r="AD596" t="s">
        <v>89</v>
      </c>
      <c r="AE596" t="s">
        <v>294</v>
      </c>
      <c r="AF596">
        <v>23</v>
      </c>
      <c r="AG596" t="s">
        <v>91</v>
      </c>
      <c r="AH596" s="1">
        <v>40639</v>
      </c>
      <c r="AI596">
        <v>21</v>
      </c>
      <c r="AJ596" t="s">
        <v>110</v>
      </c>
      <c r="AK596">
        <v>21</v>
      </c>
      <c r="AL596">
        <v>1</v>
      </c>
      <c r="AM596">
        <v>21</v>
      </c>
      <c r="AN596">
        <v>3</v>
      </c>
      <c r="AO596">
        <v>1</v>
      </c>
      <c r="AP596" t="s">
        <v>93</v>
      </c>
      <c r="AQ596" t="s">
        <v>89</v>
      </c>
      <c r="AR596" t="s">
        <v>89</v>
      </c>
      <c r="AS596" t="s">
        <v>93</v>
      </c>
      <c r="AT596" t="s">
        <v>89</v>
      </c>
      <c r="AU596" t="s">
        <v>89</v>
      </c>
      <c r="AV596" t="s">
        <v>89</v>
      </c>
      <c r="AW596">
        <v>15</v>
      </c>
      <c r="AX596" t="s">
        <v>89</v>
      </c>
      <c r="AY596" t="s">
        <v>93</v>
      </c>
      <c r="AZ596">
        <v>0</v>
      </c>
      <c r="BA596">
        <v>0</v>
      </c>
      <c r="BB596">
        <v>0</v>
      </c>
      <c r="BC596">
        <v>0</v>
      </c>
      <c r="BD596">
        <v>210</v>
      </c>
      <c r="BE596">
        <v>14443</v>
      </c>
      <c r="BF596">
        <v>12</v>
      </c>
      <c r="BG596" t="s">
        <v>89</v>
      </c>
      <c r="BH596">
        <v>210</v>
      </c>
      <c r="BI596">
        <v>14443</v>
      </c>
      <c r="BJ596">
        <v>12</v>
      </c>
      <c r="BK596">
        <f t="shared" si="83"/>
        <v>210</v>
      </c>
      <c r="BL596">
        <f t="shared" si="84"/>
        <v>14443</v>
      </c>
      <c r="BM596">
        <f t="shared" si="85"/>
        <v>12</v>
      </c>
      <c r="BN596">
        <f t="shared" si="86"/>
        <v>0</v>
      </c>
      <c r="BO596">
        <f t="shared" si="87"/>
        <v>0</v>
      </c>
      <c r="BP596">
        <f t="shared" si="88"/>
        <v>0</v>
      </c>
      <c r="BQ596" t="s">
        <v>86</v>
      </c>
      <c r="BR596" t="s">
        <v>94</v>
      </c>
      <c r="BS596" s="1">
        <v>32668</v>
      </c>
      <c r="BT596">
        <v>36</v>
      </c>
      <c r="BU596" t="s">
        <v>89</v>
      </c>
      <c r="BV596" t="s">
        <v>89</v>
      </c>
      <c r="BW596">
        <v>15</v>
      </c>
      <c r="BX596">
        <v>1989</v>
      </c>
      <c r="BY596">
        <v>15</v>
      </c>
      <c r="BZ596">
        <f t="shared" si="89"/>
        <v>0</v>
      </c>
      <c r="CA596">
        <f t="shared" si="90"/>
        <v>0</v>
      </c>
      <c r="CB596" t="b">
        <f t="shared" si="91"/>
        <v>1</v>
      </c>
    </row>
    <row r="597" spans="1:80" x14ac:dyDescent="0.3">
      <c r="A597" t="s">
        <v>5135</v>
      </c>
      <c r="B597" t="s">
        <v>71</v>
      </c>
      <c r="C597" t="s">
        <v>5136</v>
      </c>
      <c r="D597">
        <v>31</v>
      </c>
      <c r="E597" s="1">
        <v>34459</v>
      </c>
      <c r="F597" t="s">
        <v>89</v>
      </c>
      <c r="G597" t="s">
        <v>143</v>
      </c>
      <c r="H597" t="s">
        <v>76</v>
      </c>
      <c r="I597" t="s">
        <v>348</v>
      </c>
      <c r="J597" t="s">
        <v>78</v>
      </c>
      <c r="K597" t="s">
        <v>89</v>
      </c>
      <c r="L597" t="s">
        <v>80</v>
      </c>
      <c r="M597">
        <v>18</v>
      </c>
      <c r="N597" t="s">
        <v>81</v>
      </c>
      <c r="O597">
        <v>2012</v>
      </c>
      <c r="P597" t="s">
        <v>5137</v>
      </c>
      <c r="Q597" t="s">
        <v>5138</v>
      </c>
      <c r="R597">
        <v>162029</v>
      </c>
      <c r="S597" t="s">
        <v>5135</v>
      </c>
      <c r="T597">
        <v>34459</v>
      </c>
      <c r="U597">
        <v>1994</v>
      </c>
      <c r="V597" t="s">
        <v>122</v>
      </c>
      <c r="W597">
        <v>1.78</v>
      </c>
      <c r="X597" t="s">
        <v>76</v>
      </c>
      <c r="Y597" t="s">
        <v>136</v>
      </c>
      <c r="Z597" t="s">
        <v>87</v>
      </c>
      <c r="AA597" t="s">
        <v>476</v>
      </c>
      <c r="AB597">
        <v>45664</v>
      </c>
      <c r="AC597" t="s">
        <v>108</v>
      </c>
      <c r="AD597" t="s">
        <v>89</v>
      </c>
      <c r="AE597">
        <v>41164</v>
      </c>
      <c r="AF597">
        <v>18</v>
      </c>
      <c r="AG597" t="s">
        <v>91</v>
      </c>
      <c r="AH597" t="s">
        <v>92</v>
      </c>
      <c r="AI597" t="s">
        <v>89</v>
      </c>
      <c r="AJ597" t="s">
        <v>92</v>
      </c>
      <c r="AK597">
        <v>18</v>
      </c>
      <c r="AL597">
        <v>10</v>
      </c>
      <c r="AM597">
        <v>238</v>
      </c>
      <c r="AN597">
        <v>44</v>
      </c>
      <c r="AO597">
        <v>7</v>
      </c>
      <c r="AP597" t="s">
        <v>93</v>
      </c>
      <c r="AQ597" t="s">
        <v>89</v>
      </c>
      <c r="AR597" t="s">
        <v>89</v>
      </c>
      <c r="AS597" t="s">
        <v>93</v>
      </c>
      <c r="AT597" t="s">
        <v>89</v>
      </c>
      <c r="AU597" t="s">
        <v>89</v>
      </c>
      <c r="AV597" t="s">
        <v>89</v>
      </c>
      <c r="AW597">
        <v>13</v>
      </c>
      <c r="AX597" t="s">
        <v>89</v>
      </c>
      <c r="AY597" t="s">
        <v>93</v>
      </c>
      <c r="AZ597">
        <v>0</v>
      </c>
      <c r="BA597">
        <v>0</v>
      </c>
      <c r="BB597">
        <v>0</v>
      </c>
      <c r="BC597">
        <v>0</v>
      </c>
      <c r="BD597">
        <v>224</v>
      </c>
      <c r="BE597">
        <v>16362</v>
      </c>
      <c r="BF597">
        <v>2</v>
      </c>
      <c r="BG597" t="s">
        <v>89</v>
      </c>
      <c r="BH597">
        <v>224</v>
      </c>
      <c r="BI597">
        <v>16362</v>
      </c>
      <c r="BJ597">
        <v>2</v>
      </c>
      <c r="BK597">
        <f t="shared" si="83"/>
        <v>224</v>
      </c>
      <c r="BL597">
        <f t="shared" si="84"/>
        <v>16362</v>
      </c>
      <c r="BM597">
        <f t="shared" si="85"/>
        <v>2</v>
      </c>
      <c r="BN597">
        <f t="shared" si="86"/>
        <v>0</v>
      </c>
      <c r="BO597">
        <f t="shared" si="87"/>
        <v>0</v>
      </c>
      <c r="BP597">
        <f t="shared" si="88"/>
        <v>0</v>
      </c>
      <c r="BQ597" t="s">
        <v>136</v>
      </c>
      <c r="BR597" t="s">
        <v>140</v>
      </c>
      <c r="BS597" t="s">
        <v>89</v>
      </c>
      <c r="BT597">
        <v>32</v>
      </c>
      <c r="BU597" t="s">
        <v>89</v>
      </c>
      <c r="BV597" t="s">
        <v>89</v>
      </c>
      <c r="BW597">
        <v>14</v>
      </c>
      <c r="BX597">
        <v>1994</v>
      </c>
      <c r="BY597">
        <v>13</v>
      </c>
      <c r="BZ597">
        <f t="shared" si="89"/>
        <v>-1</v>
      </c>
      <c r="CA597">
        <f t="shared" si="90"/>
        <v>1</v>
      </c>
      <c r="CB597" t="b">
        <f t="shared" si="91"/>
        <v>0</v>
      </c>
    </row>
    <row r="598" spans="1:80" x14ac:dyDescent="0.3">
      <c r="A598" t="s">
        <v>5139</v>
      </c>
      <c r="B598" t="s">
        <v>156</v>
      </c>
      <c r="C598" t="s">
        <v>5140</v>
      </c>
      <c r="D598">
        <v>41</v>
      </c>
      <c r="E598" s="1">
        <v>30841</v>
      </c>
      <c r="F598" t="s">
        <v>89</v>
      </c>
      <c r="G598" t="s">
        <v>211</v>
      </c>
      <c r="H598" t="s">
        <v>177</v>
      </c>
      <c r="I598" t="s">
        <v>243</v>
      </c>
      <c r="J598" t="s">
        <v>78</v>
      </c>
      <c r="K598" t="s">
        <v>89</v>
      </c>
      <c r="L598" t="s">
        <v>163</v>
      </c>
      <c r="M598">
        <v>22</v>
      </c>
      <c r="N598" t="s">
        <v>352</v>
      </c>
      <c r="O598">
        <v>2006</v>
      </c>
      <c r="P598" t="s">
        <v>5141</v>
      </c>
      <c r="Q598" t="s">
        <v>5142</v>
      </c>
      <c r="R598">
        <v>19981</v>
      </c>
      <c r="S598" t="s">
        <v>5139</v>
      </c>
      <c r="T598" s="1">
        <v>30900</v>
      </c>
      <c r="U598">
        <v>1984</v>
      </c>
      <c r="V598" t="s">
        <v>4171</v>
      </c>
      <c r="W598">
        <v>1.74</v>
      </c>
      <c r="X598" t="s">
        <v>169</v>
      </c>
      <c r="Y598" t="s">
        <v>259</v>
      </c>
      <c r="Z598" t="s">
        <v>87</v>
      </c>
      <c r="AA598" t="s">
        <v>3638</v>
      </c>
      <c r="AB598" t="s">
        <v>5143</v>
      </c>
      <c r="AC598" t="s">
        <v>108</v>
      </c>
      <c r="AD598" t="s">
        <v>223</v>
      </c>
      <c r="AE598">
        <v>37688</v>
      </c>
      <c r="AF598">
        <v>19</v>
      </c>
      <c r="AG598" t="s">
        <v>189</v>
      </c>
      <c r="AH598" t="s">
        <v>92</v>
      </c>
      <c r="AI598" t="s">
        <v>89</v>
      </c>
      <c r="AJ598" t="s">
        <v>92</v>
      </c>
      <c r="AK598">
        <v>19</v>
      </c>
      <c r="AL598">
        <v>13</v>
      </c>
      <c r="AM598">
        <v>431</v>
      </c>
      <c r="AN598">
        <v>75</v>
      </c>
      <c r="AO598">
        <v>7</v>
      </c>
      <c r="AP598" t="s">
        <v>93</v>
      </c>
      <c r="AQ598" t="s">
        <v>89</v>
      </c>
      <c r="AR598" t="s">
        <v>89</v>
      </c>
      <c r="AS598" t="s">
        <v>111</v>
      </c>
      <c r="AT598" t="s">
        <v>5143</v>
      </c>
      <c r="AU598">
        <v>2020</v>
      </c>
      <c r="AV598">
        <v>14</v>
      </c>
      <c r="AW598">
        <v>14</v>
      </c>
      <c r="AX598" t="s">
        <v>89</v>
      </c>
      <c r="AY598" t="s">
        <v>111</v>
      </c>
      <c r="AZ598">
        <v>11</v>
      </c>
      <c r="BA598">
        <v>59</v>
      </c>
      <c r="BB598">
        <v>5309</v>
      </c>
      <c r="BC598">
        <v>1</v>
      </c>
      <c r="BD598">
        <v>497</v>
      </c>
      <c r="BE598">
        <v>40851</v>
      </c>
      <c r="BF598">
        <v>3</v>
      </c>
      <c r="BG598">
        <v>36</v>
      </c>
      <c r="BH598">
        <v>556</v>
      </c>
      <c r="BI598">
        <v>46160</v>
      </c>
      <c r="BJ598">
        <v>4</v>
      </c>
      <c r="BK598">
        <f t="shared" si="83"/>
        <v>556</v>
      </c>
      <c r="BL598">
        <f t="shared" si="84"/>
        <v>46160</v>
      </c>
      <c r="BM598">
        <f t="shared" si="85"/>
        <v>4</v>
      </c>
      <c r="BN598">
        <f t="shared" si="86"/>
        <v>0</v>
      </c>
      <c r="BO598">
        <f t="shared" si="87"/>
        <v>0</v>
      </c>
      <c r="BP598">
        <f t="shared" si="88"/>
        <v>0</v>
      </c>
      <c r="BQ598" t="s">
        <v>259</v>
      </c>
      <c r="BR598" t="s">
        <v>94</v>
      </c>
      <c r="BS598" s="1">
        <v>30841</v>
      </c>
      <c r="BT598">
        <v>41</v>
      </c>
      <c r="BU598" t="s">
        <v>5143</v>
      </c>
      <c r="BV598" s="1">
        <v>44151</v>
      </c>
      <c r="BW598">
        <v>17</v>
      </c>
      <c r="BX598">
        <v>1984</v>
      </c>
      <c r="BY598">
        <v>17</v>
      </c>
      <c r="BZ598">
        <f t="shared" si="89"/>
        <v>-3</v>
      </c>
      <c r="CA598">
        <f t="shared" si="90"/>
        <v>0</v>
      </c>
      <c r="CB598" t="b">
        <f t="shared" si="91"/>
        <v>0</v>
      </c>
    </row>
    <row r="599" spans="1:80" x14ac:dyDescent="0.3">
      <c r="A599" t="s">
        <v>5144</v>
      </c>
      <c r="B599" t="s">
        <v>71</v>
      </c>
      <c r="C599" t="s">
        <v>5145</v>
      </c>
      <c r="D599">
        <v>36</v>
      </c>
      <c r="E599" s="1">
        <v>32371</v>
      </c>
      <c r="F599" t="s">
        <v>5146</v>
      </c>
      <c r="G599" t="s">
        <v>298</v>
      </c>
      <c r="H599" t="s">
        <v>76</v>
      </c>
      <c r="I599" t="s">
        <v>288</v>
      </c>
      <c r="J599" t="s">
        <v>78</v>
      </c>
      <c r="K599" t="s">
        <v>3307</v>
      </c>
      <c r="L599" t="s">
        <v>130</v>
      </c>
      <c r="M599">
        <v>19</v>
      </c>
      <c r="N599" t="s">
        <v>763</v>
      </c>
      <c r="O599">
        <v>2008</v>
      </c>
      <c r="P599" t="s">
        <v>5147</v>
      </c>
      <c r="Q599" t="s">
        <v>5148</v>
      </c>
      <c r="R599">
        <v>73269</v>
      </c>
      <c r="S599" t="s">
        <v>5144</v>
      </c>
      <c r="T599" t="s">
        <v>5149</v>
      </c>
      <c r="U599">
        <v>1988</v>
      </c>
      <c r="V599" t="s">
        <v>5150</v>
      </c>
      <c r="W599">
        <v>1.78</v>
      </c>
      <c r="X599" t="s">
        <v>76</v>
      </c>
      <c r="Y599" t="s">
        <v>86</v>
      </c>
      <c r="Z599" t="s">
        <v>87</v>
      </c>
      <c r="AA599" t="s">
        <v>3307</v>
      </c>
      <c r="AB599" t="s">
        <v>2578</v>
      </c>
      <c r="AC599" t="s">
        <v>170</v>
      </c>
      <c r="AD599" t="s">
        <v>89</v>
      </c>
      <c r="AE599">
        <v>39907</v>
      </c>
      <c r="AF599">
        <v>20</v>
      </c>
      <c r="AG599" t="s">
        <v>91</v>
      </c>
      <c r="AH599" t="s">
        <v>371</v>
      </c>
      <c r="AI599">
        <v>21</v>
      </c>
      <c r="AJ599" t="s">
        <v>110</v>
      </c>
      <c r="AK599">
        <v>20</v>
      </c>
      <c r="AL599">
        <v>4</v>
      </c>
      <c r="AM599">
        <v>471</v>
      </c>
      <c r="AN599">
        <v>57</v>
      </c>
      <c r="AO599">
        <v>4</v>
      </c>
      <c r="AP599" t="s">
        <v>93</v>
      </c>
      <c r="AQ599" t="s">
        <v>89</v>
      </c>
      <c r="AR599" t="s">
        <v>89</v>
      </c>
      <c r="AS599" t="s">
        <v>93</v>
      </c>
      <c r="AT599" t="s">
        <v>89</v>
      </c>
      <c r="AU599" t="s">
        <v>89</v>
      </c>
      <c r="AV599" t="s">
        <v>89</v>
      </c>
      <c r="AW599">
        <v>17</v>
      </c>
      <c r="AX599">
        <v>8</v>
      </c>
      <c r="AY599" t="s">
        <v>93</v>
      </c>
      <c r="AZ599">
        <v>0</v>
      </c>
      <c r="BA599">
        <v>0</v>
      </c>
      <c r="BB599">
        <v>0</v>
      </c>
      <c r="BC599">
        <v>0</v>
      </c>
      <c r="BD599">
        <v>328</v>
      </c>
      <c r="BE599">
        <v>22338</v>
      </c>
      <c r="BF599">
        <v>28</v>
      </c>
      <c r="BG599" t="s">
        <v>89</v>
      </c>
      <c r="BH599">
        <v>328</v>
      </c>
      <c r="BI599">
        <v>22338</v>
      </c>
      <c r="BJ599">
        <v>28</v>
      </c>
      <c r="BK599">
        <f t="shared" si="83"/>
        <v>328</v>
      </c>
      <c r="BL599">
        <f t="shared" si="84"/>
        <v>22338</v>
      </c>
      <c r="BM599">
        <f t="shared" si="85"/>
        <v>28</v>
      </c>
      <c r="BN599">
        <f t="shared" si="86"/>
        <v>0</v>
      </c>
      <c r="BO599">
        <f t="shared" si="87"/>
        <v>0</v>
      </c>
      <c r="BP599">
        <f t="shared" si="88"/>
        <v>0</v>
      </c>
      <c r="BQ599" t="s">
        <v>86</v>
      </c>
      <c r="BR599" t="s">
        <v>94</v>
      </c>
      <c r="BS599" s="1">
        <v>32371</v>
      </c>
      <c r="BT599">
        <v>37</v>
      </c>
      <c r="BU599" t="s">
        <v>89</v>
      </c>
      <c r="BV599" t="s">
        <v>89</v>
      </c>
      <c r="BW599">
        <v>17</v>
      </c>
      <c r="BX599">
        <v>1988</v>
      </c>
      <c r="BY599">
        <v>16</v>
      </c>
      <c r="BZ599">
        <f t="shared" si="89"/>
        <v>0</v>
      </c>
      <c r="CA599">
        <f t="shared" si="90"/>
        <v>1</v>
      </c>
      <c r="CB599" t="b">
        <f t="shared" si="91"/>
        <v>1</v>
      </c>
    </row>
    <row r="600" spans="1:80" x14ac:dyDescent="0.3">
      <c r="A600" t="s">
        <v>5151</v>
      </c>
      <c r="B600" t="s">
        <v>71</v>
      </c>
      <c r="C600" t="s">
        <v>5152</v>
      </c>
      <c r="D600">
        <v>43</v>
      </c>
      <c r="E600" s="1">
        <v>30137</v>
      </c>
      <c r="F600" t="s">
        <v>89</v>
      </c>
      <c r="G600" t="s">
        <v>143</v>
      </c>
      <c r="H600" t="s">
        <v>76</v>
      </c>
      <c r="I600" t="s">
        <v>195</v>
      </c>
      <c r="J600" t="s">
        <v>89</v>
      </c>
      <c r="K600" t="s">
        <v>89</v>
      </c>
      <c r="L600" t="s">
        <v>99</v>
      </c>
      <c r="M600">
        <v>19</v>
      </c>
      <c r="N600" t="s">
        <v>716</v>
      </c>
      <c r="O600">
        <v>2001</v>
      </c>
      <c r="P600" t="s">
        <v>5153</v>
      </c>
      <c r="Q600" t="s">
        <v>5154</v>
      </c>
      <c r="R600">
        <v>35512</v>
      </c>
      <c r="S600" t="s">
        <v>5151</v>
      </c>
      <c r="T600">
        <v>30078</v>
      </c>
      <c r="U600">
        <v>1982</v>
      </c>
      <c r="V600" t="s">
        <v>716</v>
      </c>
      <c r="W600">
        <v>1.77</v>
      </c>
      <c r="X600" t="s">
        <v>76</v>
      </c>
      <c r="Y600" t="s">
        <v>203</v>
      </c>
      <c r="Z600" t="s">
        <v>152</v>
      </c>
      <c r="AA600" t="s">
        <v>5155</v>
      </c>
      <c r="AB600" t="s">
        <v>5156</v>
      </c>
      <c r="AC600" t="s">
        <v>108</v>
      </c>
      <c r="AD600" t="s">
        <v>89</v>
      </c>
      <c r="AE600" t="s">
        <v>513</v>
      </c>
      <c r="AF600">
        <v>23</v>
      </c>
      <c r="AG600" t="s">
        <v>91</v>
      </c>
      <c r="AH600">
        <v>36992</v>
      </c>
      <c r="AI600">
        <v>19</v>
      </c>
      <c r="AJ600" t="s">
        <v>110</v>
      </c>
      <c r="AK600">
        <v>19</v>
      </c>
      <c r="AL600" t="s">
        <v>89</v>
      </c>
      <c r="AM600" t="s">
        <v>89</v>
      </c>
      <c r="AN600" t="s">
        <v>89</v>
      </c>
      <c r="AO600">
        <v>0</v>
      </c>
      <c r="AP600" t="s">
        <v>93</v>
      </c>
      <c r="AQ600" t="s">
        <v>89</v>
      </c>
      <c r="AR600" t="s">
        <v>89</v>
      </c>
      <c r="AS600" t="s">
        <v>111</v>
      </c>
      <c r="AT600" t="s">
        <v>5156</v>
      </c>
      <c r="AU600">
        <v>2017</v>
      </c>
      <c r="AV600">
        <v>16</v>
      </c>
      <c r="AW600">
        <v>16</v>
      </c>
      <c r="AX600" t="s">
        <v>89</v>
      </c>
      <c r="AY600" t="s">
        <v>93</v>
      </c>
      <c r="AZ600">
        <v>0</v>
      </c>
      <c r="BA600">
        <v>0</v>
      </c>
      <c r="BB600">
        <v>0</v>
      </c>
      <c r="BC600">
        <v>0</v>
      </c>
      <c r="BD600">
        <v>295</v>
      </c>
      <c r="BE600">
        <v>23706</v>
      </c>
      <c r="BF600">
        <v>4</v>
      </c>
      <c r="BG600">
        <v>35</v>
      </c>
      <c r="BH600">
        <v>295</v>
      </c>
      <c r="BI600">
        <v>23706</v>
      </c>
      <c r="BJ600">
        <v>4</v>
      </c>
      <c r="BK600">
        <f t="shared" si="83"/>
        <v>295</v>
      </c>
      <c r="BL600">
        <f t="shared" si="84"/>
        <v>23706</v>
      </c>
      <c r="BM600">
        <f t="shared" si="85"/>
        <v>4</v>
      </c>
      <c r="BN600">
        <f t="shared" si="86"/>
        <v>0</v>
      </c>
      <c r="BO600">
        <f t="shared" si="87"/>
        <v>0</v>
      </c>
      <c r="BP600">
        <f t="shared" si="88"/>
        <v>0</v>
      </c>
      <c r="BQ600" t="s">
        <v>203</v>
      </c>
      <c r="BR600" t="s">
        <v>140</v>
      </c>
      <c r="BS600" t="s">
        <v>89</v>
      </c>
      <c r="BT600">
        <v>44</v>
      </c>
      <c r="BU600" t="s">
        <v>5156</v>
      </c>
      <c r="BV600" s="1">
        <v>43001</v>
      </c>
      <c r="BW600">
        <v>16</v>
      </c>
      <c r="BX600">
        <v>1982</v>
      </c>
      <c r="BY600">
        <v>16</v>
      </c>
      <c r="BZ600">
        <f t="shared" si="89"/>
        <v>0</v>
      </c>
      <c r="CA600">
        <f t="shared" si="90"/>
        <v>0</v>
      </c>
      <c r="CB600" t="b">
        <f t="shared" si="91"/>
        <v>1</v>
      </c>
    </row>
    <row r="601" spans="1:80" x14ac:dyDescent="0.3">
      <c r="A601" t="s">
        <v>5157</v>
      </c>
      <c r="B601" t="s">
        <v>71</v>
      </c>
      <c r="C601" t="s">
        <v>5158</v>
      </c>
      <c r="D601">
        <v>43</v>
      </c>
      <c r="E601" s="1">
        <v>30040</v>
      </c>
      <c r="F601" t="s">
        <v>89</v>
      </c>
      <c r="G601" t="s">
        <v>400</v>
      </c>
      <c r="H601" t="s">
        <v>76</v>
      </c>
      <c r="I601" t="s">
        <v>437</v>
      </c>
      <c r="J601" t="s">
        <v>89</v>
      </c>
      <c r="K601" t="s">
        <v>89</v>
      </c>
      <c r="L601" t="s">
        <v>845</v>
      </c>
      <c r="M601">
        <v>20</v>
      </c>
      <c r="N601" t="s">
        <v>268</v>
      </c>
      <c r="O601">
        <v>2002</v>
      </c>
      <c r="P601" t="s">
        <v>5159</v>
      </c>
      <c r="Q601" t="s">
        <v>5160</v>
      </c>
      <c r="R601">
        <v>7532</v>
      </c>
      <c r="S601" t="s">
        <v>5157</v>
      </c>
      <c r="T601" t="s">
        <v>5161</v>
      </c>
      <c r="U601">
        <v>1982</v>
      </c>
      <c r="V601" t="s">
        <v>5162</v>
      </c>
      <c r="W601">
        <v>1.83</v>
      </c>
      <c r="X601" t="s">
        <v>76</v>
      </c>
      <c r="Y601" t="s">
        <v>123</v>
      </c>
      <c r="Z601" t="s">
        <v>152</v>
      </c>
      <c r="AA601" t="s">
        <v>3843</v>
      </c>
      <c r="AB601" t="s">
        <v>5163</v>
      </c>
      <c r="AC601" t="s">
        <v>108</v>
      </c>
      <c r="AD601" t="s">
        <v>89</v>
      </c>
      <c r="AE601">
        <v>2002</v>
      </c>
      <c r="AF601">
        <v>20</v>
      </c>
      <c r="AG601" t="s">
        <v>91</v>
      </c>
      <c r="AH601">
        <v>2010</v>
      </c>
      <c r="AI601">
        <v>27</v>
      </c>
      <c r="AJ601">
        <v>0</v>
      </c>
      <c r="AK601">
        <v>20</v>
      </c>
      <c r="AL601" t="s">
        <v>89</v>
      </c>
      <c r="AM601" t="s">
        <v>89</v>
      </c>
      <c r="AN601" t="s">
        <v>89</v>
      </c>
      <c r="AO601">
        <v>0</v>
      </c>
      <c r="AP601" t="s">
        <v>93</v>
      </c>
      <c r="AQ601" t="s">
        <v>89</v>
      </c>
      <c r="AR601" t="s">
        <v>89</v>
      </c>
      <c r="AS601" t="s">
        <v>111</v>
      </c>
      <c r="AT601" t="s">
        <v>5163</v>
      </c>
      <c r="AU601">
        <v>2015</v>
      </c>
      <c r="AV601">
        <v>13</v>
      </c>
      <c r="AW601">
        <v>13</v>
      </c>
      <c r="AX601" t="s">
        <v>89</v>
      </c>
      <c r="AY601" t="s">
        <v>93</v>
      </c>
      <c r="AZ601">
        <v>0</v>
      </c>
      <c r="BA601">
        <v>0</v>
      </c>
      <c r="BB601">
        <v>0</v>
      </c>
      <c r="BC601">
        <v>0</v>
      </c>
      <c r="BD601">
        <v>316</v>
      </c>
      <c r="BE601">
        <v>17898</v>
      </c>
      <c r="BF601">
        <v>75</v>
      </c>
      <c r="BG601">
        <v>33</v>
      </c>
      <c r="BH601">
        <v>316</v>
      </c>
      <c r="BI601">
        <v>17898</v>
      </c>
      <c r="BJ601">
        <v>75</v>
      </c>
      <c r="BK601">
        <f t="shared" si="83"/>
        <v>316</v>
      </c>
      <c r="BL601">
        <f t="shared" si="84"/>
        <v>17898</v>
      </c>
      <c r="BM601">
        <f t="shared" si="85"/>
        <v>75</v>
      </c>
      <c r="BN601">
        <f t="shared" si="86"/>
        <v>0</v>
      </c>
      <c r="BO601">
        <f t="shared" si="87"/>
        <v>0</v>
      </c>
      <c r="BP601">
        <f t="shared" si="88"/>
        <v>0</v>
      </c>
      <c r="BQ601" t="s">
        <v>123</v>
      </c>
      <c r="BR601" t="s">
        <v>112</v>
      </c>
      <c r="BS601" s="1">
        <v>30040</v>
      </c>
      <c r="BT601">
        <v>43</v>
      </c>
      <c r="BU601" t="s">
        <v>5163</v>
      </c>
      <c r="BV601" s="1">
        <v>42366</v>
      </c>
      <c r="BW601">
        <v>13</v>
      </c>
      <c r="BX601">
        <v>1982</v>
      </c>
      <c r="BY601">
        <v>13</v>
      </c>
      <c r="BZ601">
        <f t="shared" si="89"/>
        <v>0</v>
      </c>
      <c r="CA601">
        <f t="shared" si="90"/>
        <v>0</v>
      </c>
      <c r="CB601" t="b">
        <f t="shared" si="91"/>
        <v>1</v>
      </c>
    </row>
    <row r="602" spans="1:80" x14ac:dyDescent="0.3">
      <c r="A602" t="s">
        <v>5164</v>
      </c>
      <c r="B602" t="s">
        <v>71</v>
      </c>
      <c r="C602" t="s">
        <v>5165</v>
      </c>
      <c r="D602">
        <v>35</v>
      </c>
      <c r="E602" s="1">
        <v>32920</v>
      </c>
      <c r="F602" t="s">
        <v>89</v>
      </c>
      <c r="G602" t="s">
        <v>518</v>
      </c>
      <c r="H602" t="s">
        <v>89</v>
      </c>
      <c r="I602" t="s">
        <v>288</v>
      </c>
      <c r="J602" t="s">
        <v>300</v>
      </c>
      <c r="K602" t="s">
        <v>89</v>
      </c>
      <c r="L602" t="s">
        <v>130</v>
      </c>
      <c r="M602">
        <v>18</v>
      </c>
      <c r="N602" t="s">
        <v>1365</v>
      </c>
      <c r="O602">
        <v>2008</v>
      </c>
      <c r="P602" t="s">
        <v>5166</v>
      </c>
      <c r="Q602" t="s">
        <v>5167</v>
      </c>
      <c r="R602">
        <v>89330</v>
      </c>
      <c r="S602" t="s">
        <v>5168</v>
      </c>
      <c r="T602" t="s">
        <v>5169</v>
      </c>
      <c r="U602">
        <v>1990</v>
      </c>
      <c r="V602" t="s">
        <v>5170</v>
      </c>
      <c r="W602">
        <v>1.73</v>
      </c>
      <c r="X602" t="s">
        <v>76</v>
      </c>
      <c r="Y602" t="s">
        <v>86</v>
      </c>
      <c r="Z602" t="s">
        <v>87</v>
      </c>
      <c r="AA602" t="s">
        <v>924</v>
      </c>
      <c r="AB602" s="1">
        <v>45298</v>
      </c>
      <c r="AC602" t="s">
        <v>108</v>
      </c>
      <c r="AD602" t="s">
        <v>89</v>
      </c>
      <c r="AE602" t="s">
        <v>90</v>
      </c>
      <c r="AF602">
        <v>22</v>
      </c>
      <c r="AG602" t="s">
        <v>91</v>
      </c>
      <c r="AH602" t="s">
        <v>5171</v>
      </c>
      <c r="AI602">
        <v>19</v>
      </c>
      <c r="AJ602" t="s">
        <v>110</v>
      </c>
      <c r="AK602">
        <v>19</v>
      </c>
      <c r="AL602">
        <v>5</v>
      </c>
      <c r="AM602">
        <v>414</v>
      </c>
      <c r="AN602">
        <v>48</v>
      </c>
      <c r="AO602">
        <v>5</v>
      </c>
      <c r="AP602" t="s">
        <v>93</v>
      </c>
      <c r="AQ602" t="s">
        <v>89</v>
      </c>
      <c r="AR602" t="s">
        <v>89</v>
      </c>
      <c r="AS602" t="s">
        <v>111</v>
      </c>
      <c r="AT602" s="1">
        <v>45298</v>
      </c>
      <c r="AU602">
        <v>2024</v>
      </c>
      <c r="AV602">
        <v>16</v>
      </c>
      <c r="AW602">
        <v>16</v>
      </c>
      <c r="AX602" t="s">
        <v>89</v>
      </c>
      <c r="AY602" t="s">
        <v>93</v>
      </c>
      <c r="AZ602">
        <v>0</v>
      </c>
      <c r="BA602">
        <v>0</v>
      </c>
      <c r="BB602">
        <v>0</v>
      </c>
      <c r="BC602">
        <v>0</v>
      </c>
      <c r="BD602">
        <v>231</v>
      </c>
      <c r="BE602">
        <v>14446</v>
      </c>
      <c r="BF602">
        <v>18</v>
      </c>
      <c r="BG602">
        <v>34</v>
      </c>
      <c r="BH602">
        <v>231</v>
      </c>
      <c r="BI602">
        <v>14446</v>
      </c>
      <c r="BJ602">
        <v>18</v>
      </c>
      <c r="BK602">
        <f t="shared" si="83"/>
        <v>231</v>
      </c>
      <c r="BL602">
        <f t="shared" si="84"/>
        <v>14446</v>
      </c>
      <c r="BM602">
        <f t="shared" si="85"/>
        <v>18</v>
      </c>
      <c r="BN602">
        <f t="shared" si="86"/>
        <v>0</v>
      </c>
      <c r="BO602">
        <f t="shared" si="87"/>
        <v>0</v>
      </c>
      <c r="BP602">
        <f t="shared" si="88"/>
        <v>0</v>
      </c>
      <c r="BQ602" t="s">
        <v>86</v>
      </c>
      <c r="BR602" t="s">
        <v>94</v>
      </c>
      <c r="BS602" t="s">
        <v>89</v>
      </c>
      <c r="BT602">
        <v>36</v>
      </c>
      <c r="BU602" s="1">
        <v>45298</v>
      </c>
      <c r="BV602" s="1">
        <v>45474</v>
      </c>
      <c r="BW602">
        <v>15</v>
      </c>
      <c r="BX602">
        <v>1990</v>
      </c>
      <c r="BY602">
        <v>15</v>
      </c>
      <c r="BZ602">
        <f t="shared" si="89"/>
        <v>1</v>
      </c>
      <c r="CA602">
        <f t="shared" si="90"/>
        <v>0</v>
      </c>
      <c r="CB602" t="b">
        <f t="shared" si="91"/>
        <v>0</v>
      </c>
    </row>
    <row r="603" spans="1:80" x14ac:dyDescent="0.3">
      <c r="A603" t="s">
        <v>5172</v>
      </c>
      <c r="B603" t="s">
        <v>156</v>
      </c>
      <c r="C603" t="s">
        <v>5173</v>
      </c>
      <c r="D603">
        <v>43</v>
      </c>
      <c r="E603" s="1">
        <v>29931</v>
      </c>
      <c r="F603" t="s">
        <v>89</v>
      </c>
      <c r="G603" t="s">
        <v>1946</v>
      </c>
      <c r="H603" t="s">
        <v>177</v>
      </c>
      <c r="I603" t="s">
        <v>437</v>
      </c>
      <c r="J603" t="s">
        <v>78</v>
      </c>
      <c r="K603" t="s">
        <v>89</v>
      </c>
      <c r="L603" t="s">
        <v>99</v>
      </c>
      <c r="M603">
        <v>19</v>
      </c>
      <c r="N603" t="s">
        <v>644</v>
      </c>
      <c r="O603">
        <v>2001</v>
      </c>
      <c r="P603" t="s">
        <v>5174</v>
      </c>
      <c r="Q603" t="s">
        <v>5175</v>
      </c>
      <c r="R603">
        <v>7611</v>
      </c>
      <c r="S603" t="s">
        <v>5172</v>
      </c>
      <c r="T603" s="1">
        <v>29902</v>
      </c>
      <c r="U603">
        <v>1981</v>
      </c>
      <c r="V603" t="s">
        <v>982</v>
      </c>
      <c r="W603">
        <v>1.68</v>
      </c>
      <c r="X603" t="s">
        <v>219</v>
      </c>
      <c r="Y603" t="s">
        <v>369</v>
      </c>
      <c r="Z603" t="s">
        <v>87</v>
      </c>
      <c r="AA603" t="s">
        <v>3450</v>
      </c>
      <c r="AB603" s="1">
        <v>42552</v>
      </c>
      <c r="AC603" t="s">
        <v>108</v>
      </c>
      <c r="AD603" t="s">
        <v>89</v>
      </c>
      <c r="AE603" s="1">
        <v>36344</v>
      </c>
      <c r="AF603">
        <v>17</v>
      </c>
      <c r="AG603" t="s">
        <v>171</v>
      </c>
      <c r="AH603" t="s">
        <v>92</v>
      </c>
      <c r="AI603" t="s">
        <v>89</v>
      </c>
      <c r="AJ603" t="s">
        <v>92</v>
      </c>
      <c r="AK603">
        <v>17</v>
      </c>
      <c r="AL603">
        <v>2</v>
      </c>
      <c r="AM603">
        <v>25</v>
      </c>
      <c r="AN603">
        <v>6</v>
      </c>
      <c r="AO603">
        <v>2</v>
      </c>
      <c r="AP603" t="s">
        <v>93</v>
      </c>
      <c r="AQ603" t="s">
        <v>89</v>
      </c>
      <c r="AR603" t="s">
        <v>89</v>
      </c>
      <c r="AS603" t="s">
        <v>111</v>
      </c>
      <c r="AT603" s="1">
        <v>42552</v>
      </c>
      <c r="AU603">
        <v>2016</v>
      </c>
      <c r="AV603">
        <v>15</v>
      </c>
      <c r="AW603">
        <v>15</v>
      </c>
      <c r="AX603" t="s">
        <v>89</v>
      </c>
      <c r="AY603" t="s">
        <v>111</v>
      </c>
      <c r="AZ603">
        <v>2</v>
      </c>
      <c r="BA603">
        <v>6</v>
      </c>
      <c r="BB603">
        <v>441</v>
      </c>
      <c r="BC603">
        <v>2</v>
      </c>
      <c r="BD603">
        <v>441</v>
      </c>
      <c r="BE603">
        <v>27929</v>
      </c>
      <c r="BF603">
        <v>148</v>
      </c>
      <c r="BG603">
        <v>35</v>
      </c>
      <c r="BH603">
        <v>447</v>
      </c>
      <c r="BI603">
        <v>28370</v>
      </c>
      <c r="BJ603">
        <v>150</v>
      </c>
      <c r="BK603">
        <f t="shared" si="83"/>
        <v>447</v>
      </c>
      <c r="BL603">
        <f t="shared" si="84"/>
        <v>28370</v>
      </c>
      <c r="BM603">
        <f t="shared" si="85"/>
        <v>150</v>
      </c>
      <c r="BN603">
        <f t="shared" si="86"/>
        <v>0</v>
      </c>
      <c r="BO603">
        <f t="shared" si="87"/>
        <v>0</v>
      </c>
      <c r="BP603">
        <f t="shared" si="88"/>
        <v>0</v>
      </c>
      <c r="BQ603" t="s">
        <v>369</v>
      </c>
      <c r="BR603" t="s">
        <v>112</v>
      </c>
      <c r="BS603" s="1">
        <v>29931</v>
      </c>
      <c r="BT603">
        <v>44</v>
      </c>
      <c r="BU603" s="1">
        <v>42552</v>
      </c>
      <c r="BV603" s="1">
        <v>42376</v>
      </c>
      <c r="BW603">
        <v>18</v>
      </c>
      <c r="BX603">
        <v>1981</v>
      </c>
      <c r="BY603">
        <v>18</v>
      </c>
      <c r="BZ603">
        <f t="shared" si="89"/>
        <v>-3</v>
      </c>
      <c r="CA603">
        <f t="shared" si="90"/>
        <v>0</v>
      </c>
      <c r="CB603" t="b">
        <f t="shared" si="91"/>
        <v>0</v>
      </c>
    </row>
    <row r="604" spans="1:80" x14ac:dyDescent="0.3">
      <c r="A604" t="s">
        <v>5176</v>
      </c>
      <c r="B604" t="s">
        <v>1056</v>
      </c>
      <c r="C604" t="s">
        <v>5177</v>
      </c>
      <c r="D604">
        <v>30</v>
      </c>
      <c r="E604" s="1">
        <v>34809</v>
      </c>
      <c r="F604" t="s">
        <v>89</v>
      </c>
      <c r="G604" t="s">
        <v>687</v>
      </c>
      <c r="H604" t="s">
        <v>1058</v>
      </c>
      <c r="I604" t="s">
        <v>437</v>
      </c>
      <c r="J604" t="s">
        <v>639</v>
      </c>
      <c r="K604" t="s">
        <v>89</v>
      </c>
      <c r="L604" t="s">
        <v>278</v>
      </c>
      <c r="M604">
        <v>16</v>
      </c>
      <c r="N604" t="s">
        <v>649</v>
      </c>
      <c r="O604">
        <v>2011</v>
      </c>
      <c r="P604" t="s">
        <v>5178</v>
      </c>
      <c r="Q604" t="s">
        <v>5179</v>
      </c>
      <c r="R604">
        <v>166666</v>
      </c>
      <c r="S604" t="s">
        <v>5176</v>
      </c>
      <c r="T604" t="s">
        <v>3835</v>
      </c>
      <c r="U604">
        <v>1995</v>
      </c>
      <c r="V604" t="s">
        <v>1064</v>
      </c>
      <c r="W604">
        <v>1.75</v>
      </c>
      <c r="X604" t="s">
        <v>1058</v>
      </c>
      <c r="Y604" t="s">
        <v>123</v>
      </c>
      <c r="Z604" t="s">
        <v>87</v>
      </c>
      <c r="AA604" t="s">
        <v>5180</v>
      </c>
      <c r="AB604" t="s">
        <v>5181</v>
      </c>
      <c r="AC604" t="s">
        <v>108</v>
      </c>
      <c r="AD604" t="s">
        <v>89</v>
      </c>
      <c r="AE604" t="s">
        <v>5182</v>
      </c>
      <c r="AF604">
        <v>18</v>
      </c>
      <c r="AG604" t="s">
        <v>91</v>
      </c>
      <c r="AH604" t="s">
        <v>2460</v>
      </c>
      <c r="AI604">
        <v>16</v>
      </c>
      <c r="AJ604" t="s">
        <v>110</v>
      </c>
      <c r="AK604">
        <v>16</v>
      </c>
      <c r="AL604">
        <v>3</v>
      </c>
      <c r="AM604">
        <v>350</v>
      </c>
      <c r="AN604">
        <v>42</v>
      </c>
      <c r="AO604">
        <v>2</v>
      </c>
      <c r="AP604" t="s">
        <v>93</v>
      </c>
      <c r="AQ604" t="s">
        <v>89</v>
      </c>
      <c r="AR604" t="s">
        <v>89</v>
      </c>
      <c r="AS604" t="s">
        <v>111</v>
      </c>
      <c r="AT604" t="s">
        <v>5181</v>
      </c>
      <c r="AU604">
        <v>2023</v>
      </c>
      <c r="AV604">
        <v>12</v>
      </c>
      <c r="AW604">
        <v>12</v>
      </c>
      <c r="AX604" t="s">
        <v>89</v>
      </c>
      <c r="AY604" t="s">
        <v>93</v>
      </c>
      <c r="AZ604">
        <v>0</v>
      </c>
      <c r="BA604">
        <v>0</v>
      </c>
      <c r="BB604">
        <v>0</v>
      </c>
      <c r="BC604">
        <v>0</v>
      </c>
      <c r="BD604">
        <v>194</v>
      </c>
      <c r="BE604">
        <v>10911</v>
      </c>
      <c r="BF604">
        <v>44</v>
      </c>
      <c r="BG604">
        <v>28</v>
      </c>
      <c r="BH604">
        <v>194</v>
      </c>
      <c r="BI604">
        <v>10911</v>
      </c>
      <c r="BJ604">
        <v>44</v>
      </c>
      <c r="BK604">
        <f t="shared" si="83"/>
        <v>194</v>
      </c>
      <c r="BL604">
        <f t="shared" si="84"/>
        <v>10911</v>
      </c>
      <c r="BM604">
        <f t="shared" si="85"/>
        <v>44</v>
      </c>
      <c r="BN604">
        <f t="shared" si="86"/>
        <v>0</v>
      </c>
      <c r="BO604">
        <f t="shared" si="87"/>
        <v>0</v>
      </c>
      <c r="BP604">
        <f t="shared" si="88"/>
        <v>0</v>
      </c>
      <c r="BQ604" t="s">
        <v>123</v>
      </c>
      <c r="BR604" t="s">
        <v>112</v>
      </c>
      <c r="BS604" s="1">
        <v>34809</v>
      </c>
      <c r="BT604">
        <v>30</v>
      </c>
      <c r="BU604" t="s">
        <v>5181</v>
      </c>
      <c r="BV604" s="1">
        <v>45155</v>
      </c>
      <c r="BW604">
        <v>12</v>
      </c>
      <c r="BX604">
        <v>1995</v>
      </c>
      <c r="BY604">
        <v>12</v>
      </c>
      <c r="BZ604">
        <f t="shared" si="89"/>
        <v>0</v>
      </c>
      <c r="CA604">
        <f t="shared" si="90"/>
        <v>0</v>
      </c>
      <c r="CB604" t="b">
        <f t="shared" si="91"/>
        <v>1</v>
      </c>
    </row>
    <row r="605" spans="1:80" x14ac:dyDescent="0.3">
      <c r="A605" t="s">
        <v>5183</v>
      </c>
      <c r="B605" t="s">
        <v>4192</v>
      </c>
      <c r="C605" t="s">
        <v>5184</v>
      </c>
      <c r="D605">
        <v>38</v>
      </c>
      <c r="E605">
        <v>31699</v>
      </c>
      <c r="F605" t="s">
        <v>89</v>
      </c>
      <c r="G605" t="s">
        <v>400</v>
      </c>
      <c r="H605" t="s">
        <v>5185</v>
      </c>
      <c r="I605" t="s">
        <v>227</v>
      </c>
      <c r="J605" t="s">
        <v>78</v>
      </c>
      <c r="K605" t="s">
        <v>89</v>
      </c>
      <c r="L605" t="s">
        <v>228</v>
      </c>
      <c r="M605">
        <v>23</v>
      </c>
      <c r="N605" t="s">
        <v>1955</v>
      </c>
      <c r="O605">
        <v>2010</v>
      </c>
      <c r="P605" t="s">
        <v>5186</v>
      </c>
      <c r="Q605" t="s">
        <v>5187</v>
      </c>
      <c r="R605">
        <v>45256</v>
      </c>
      <c r="S605" t="s">
        <v>5183</v>
      </c>
      <c r="T605" t="s">
        <v>4446</v>
      </c>
      <c r="U605">
        <v>1986</v>
      </c>
      <c r="V605" t="s">
        <v>5188</v>
      </c>
      <c r="W605">
        <v>1.81</v>
      </c>
      <c r="X605" t="s">
        <v>4197</v>
      </c>
      <c r="Y605" t="s">
        <v>235</v>
      </c>
      <c r="Z605" t="s">
        <v>87</v>
      </c>
      <c r="AA605" t="s">
        <v>5189</v>
      </c>
      <c r="AB605" t="s">
        <v>4536</v>
      </c>
      <c r="AC605" t="s">
        <v>170</v>
      </c>
      <c r="AD605" t="s">
        <v>89</v>
      </c>
      <c r="AE605" t="s">
        <v>561</v>
      </c>
      <c r="AF605">
        <v>27</v>
      </c>
      <c r="AG605" t="s">
        <v>91</v>
      </c>
      <c r="AH605" t="s">
        <v>1017</v>
      </c>
      <c r="AI605">
        <v>17</v>
      </c>
      <c r="AJ605" t="s">
        <v>1044</v>
      </c>
      <c r="AK605">
        <v>17</v>
      </c>
      <c r="AL605">
        <v>7</v>
      </c>
      <c r="AM605">
        <v>208</v>
      </c>
      <c r="AN605">
        <v>23</v>
      </c>
      <c r="AO605">
        <v>4</v>
      </c>
      <c r="AP605" t="s">
        <v>93</v>
      </c>
      <c r="AQ605" t="s">
        <v>89</v>
      </c>
      <c r="AR605" t="s">
        <v>89</v>
      </c>
      <c r="AS605" t="s">
        <v>93</v>
      </c>
      <c r="AT605" t="s">
        <v>89</v>
      </c>
      <c r="AU605" t="s">
        <v>89</v>
      </c>
      <c r="AV605" t="s">
        <v>89</v>
      </c>
      <c r="AW605">
        <v>15</v>
      </c>
      <c r="AX605">
        <v>5</v>
      </c>
      <c r="AY605" t="s">
        <v>111</v>
      </c>
      <c r="AZ605">
        <v>2</v>
      </c>
      <c r="BA605">
        <v>6</v>
      </c>
      <c r="BB605">
        <v>452</v>
      </c>
      <c r="BC605">
        <v>0</v>
      </c>
      <c r="BD605">
        <v>411</v>
      </c>
      <c r="BE605">
        <v>35320</v>
      </c>
      <c r="BF605">
        <v>23</v>
      </c>
      <c r="BG605" t="s">
        <v>89</v>
      </c>
      <c r="BH605">
        <v>417</v>
      </c>
      <c r="BI605">
        <v>35772</v>
      </c>
      <c r="BJ605">
        <v>23</v>
      </c>
      <c r="BK605">
        <f t="shared" si="83"/>
        <v>417</v>
      </c>
      <c r="BL605">
        <f t="shared" si="84"/>
        <v>35772</v>
      </c>
      <c r="BM605">
        <f t="shared" si="85"/>
        <v>23</v>
      </c>
      <c r="BN605">
        <f t="shared" si="86"/>
        <v>0</v>
      </c>
      <c r="BO605">
        <f t="shared" si="87"/>
        <v>0</v>
      </c>
      <c r="BP605">
        <f t="shared" si="88"/>
        <v>0</v>
      </c>
      <c r="BQ605" t="s">
        <v>235</v>
      </c>
      <c r="BR605" t="s">
        <v>140</v>
      </c>
      <c r="BS605" t="s">
        <v>89</v>
      </c>
      <c r="BT605">
        <v>40</v>
      </c>
      <c r="BU605" t="s">
        <v>89</v>
      </c>
      <c r="BV605" t="s">
        <v>89</v>
      </c>
      <c r="BW605">
        <v>23</v>
      </c>
      <c r="BX605">
        <v>1986</v>
      </c>
      <c r="BY605">
        <v>21</v>
      </c>
      <c r="BZ605">
        <f t="shared" si="89"/>
        <v>-8</v>
      </c>
      <c r="CA605">
        <f t="shared" si="90"/>
        <v>2</v>
      </c>
      <c r="CB605" t="b">
        <f t="shared" si="91"/>
        <v>0</v>
      </c>
    </row>
    <row r="606" spans="1:80" x14ac:dyDescent="0.3">
      <c r="A606" t="s">
        <v>5190</v>
      </c>
      <c r="B606" t="s">
        <v>3651</v>
      </c>
      <c r="C606" t="s">
        <v>5191</v>
      </c>
      <c r="D606">
        <v>35</v>
      </c>
      <c r="E606" s="1">
        <v>32752</v>
      </c>
      <c r="F606" t="s">
        <v>89</v>
      </c>
      <c r="G606" t="s">
        <v>1946</v>
      </c>
      <c r="H606" t="s">
        <v>3655</v>
      </c>
      <c r="I606" t="s">
        <v>116</v>
      </c>
      <c r="J606" t="s">
        <v>300</v>
      </c>
      <c r="K606" t="s">
        <v>89</v>
      </c>
      <c r="L606" t="s">
        <v>254</v>
      </c>
      <c r="M606">
        <v>19</v>
      </c>
      <c r="N606" t="s">
        <v>2060</v>
      </c>
      <c r="O606">
        <v>2009</v>
      </c>
      <c r="P606" t="s">
        <v>5192</v>
      </c>
      <c r="Q606" t="s">
        <v>5193</v>
      </c>
      <c r="R606">
        <v>77932</v>
      </c>
      <c r="S606" t="s">
        <v>5190</v>
      </c>
      <c r="T606">
        <v>32517</v>
      </c>
      <c r="U606">
        <v>1989</v>
      </c>
      <c r="V606" t="s">
        <v>5194</v>
      </c>
      <c r="W606">
        <v>1.7</v>
      </c>
      <c r="X606" t="s">
        <v>3655</v>
      </c>
      <c r="Y606" t="s">
        <v>391</v>
      </c>
      <c r="Z606" t="s">
        <v>87</v>
      </c>
      <c r="AA606" t="s">
        <v>5195</v>
      </c>
      <c r="AB606" t="s">
        <v>1203</v>
      </c>
      <c r="AC606" t="s">
        <v>108</v>
      </c>
      <c r="AD606" t="s">
        <v>89</v>
      </c>
      <c r="AE606" t="s">
        <v>237</v>
      </c>
      <c r="AF606">
        <v>20</v>
      </c>
      <c r="AG606" t="s">
        <v>91</v>
      </c>
      <c r="AH606" t="s">
        <v>5196</v>
      </c>
      <c r="AI606">
        <v>19</v>
      </c>
      <c r="AJ606" t="s">
        <v>4538</v>
      </c>
      <c r="AK606">
        <v>19</v>
      </c>
      <c r="AL606">
        <v>10</v>
      </c>
      <c r="AM606">
        <v>445</v>
      </c>
      <c r="AN606">
        <v>59</v>
      </c>
      <c r="AO606">
        <v>6</v>
      </c>
      <c r="AP606" t="s">
        <v>93</v>
      </c>
      <c r="AQ606" t="s">
        <v>89</v>
      </c>
      <c r="AR606" t="s">
        <v>89</v>
      </c>
      <c r="AS606" t="s">
        <v>93</v>
      </c>
      <c r="AT606" t="s">
        <v>89</v>
      </c>
      <c r="AU606" t="s">
        <v>89</v>
      </c>
      <c r="AV606" t="s">
        <v>89</v>
      </c>
      <c r="AW606">
        <v>16</v>
      </c>
      <c r="AX606" t="s">
        <v>89</v>
      </c>
      <c r="AY606" t="s">
        <v>111</v>
      </c>
      <c r="AZ606">
        <v>7</v>
      </c>
      <c r="BA606">
        <v>29</v>
      </c>
      <c r="BB606">
        <v>1951</v>
      </c>
      <c r="BC606">
        <v>4</v>
      </c>
      <c r="BD606">
        <v>324</v>
      </c>
      <c r="BE606">
        <v>16108</v>
      </c>
      <c r="BF606">
        <v>23</v>
      </c>
      <c r="BG606" t="s">
        <v>89</v>
      </c>
      <c r="BH606">
        <v>353</v>
      </c>
      <c r="BI606">
        <v>18059</v>
      </c>
      <c r="BJ606">
        <v>27</v>
      </c>
      <c r="BK606">
        <f t="shared" si="83"/>
        <v>353</v>
      </c>
      <c r="BL606">
        <f t="shared" si="84"/>
        <v>18059</v>
      </c>
      <c r="BM606">
        <f t="shared" si="85"/>
        <v>27</v>
      </c>
      <c r="BN606">
        <f t="shared" si="86"/>
        <v>0</v>
      </c>
      <c r="BO606">
        <f t="shared" si="87"/>
        <v>0</v>
      </c>
      <c r="BP606">
        <f t="shared" si="88"/>
        <v>0</v>
      </c>
      <c r="BQ606" t="s">
        <v>391</v>
      </c>
      <c r="BR606" t="s">
        <v>112</v>
      </c>
      <c r="BS606" t="s">
        <v>89</v>
      </c>
      <c r="BT606">
        <v>37</v>
      </c>
      <c r="BU606" t="s">
        <v>89</v>
      </c>
      <c r="BV606" t="s">
        <v>89</v>
      </c>
      <c r="BW606">
        <v>18</v>
      </c>
      <c r="BX606">
        <v>1989</v>
      </c>
      <c r="BY606">
        <v>16</v>
      </c>
      <c r="BZ606">
        <f t="shared" si="89"/>
        <v>-2</v>
      </c>
      <c r="CA606">
        <f t="shared" si="90"/>
        <v>2</v>
      </c>
      <c r="CB606" t="b">
        <f t="shared" si="91"/>
        <v>0</v>
      </c>
    </row>
    <row r="607" spans="1:80" x14ac:dyDescent="0.3">
      <c r="A607" t="s">
        <v>5197</v>
      </c>
      <c r="B607" t="s">
        <v>1305</v>
      </c>
      <c r="C607" t="s">
        <v>5198</v>
      </c>
      <c r="D607">
        <v>37</v>
      </c>
      <c r="E607" s="1">
        <v>32162</v>
      </c>
      <c r="F607" t="s">
        <v>89</v>
      </c>
      <c r="G607" t="s">
        <v>143</v>
      </c>
      <c r="H607" t="s">
        <v>3679</v>
      </c>
      <c r="I607" t="s">
        <v>340</v>
      </c>
      <c r="J607" t="s">
        <v>639</v>
      </c>
      <c r="K607" t="s">
        <v>89</v>
      </c>
      <c r="L607" t="s">
        <v>130</v>
      </c>
      <c r="M607">
        <v>20</v>
      </c>
      <c r="N607" t="s">
        <v>644</v>
      </c>
      <c r="O607">
        <v>2008</v>
      </c>
      <c r="P607" t="s">
        <v>5199</v>
      </c>
      <c r="Q607" t="s">
        <v>5200</v>
      </c>
      <c r="R607">
        <v>53309</v>
      </c>
      <c r="S607" t="s">
        <v>5201</v>
      </c>
      <c r="T607" t="s">
        <v>5202</v>
      </c>
      <c r="U607">
        <v>1988</v>
      </c>
      <c r="V607" t="s">
        <v>5203</v>
      </c>
      <c r="W607">
        <v>1.73</v>
      </c>
      <c r="X607" t="s">
        <v>1313</v>
      </c>
      <c r="Y607" t="s">
        <v>494</v>
      </c>
      <c r="Z607" t="s">
        <v>152</v>
      </c>
      <c r="AA607" t="s">
        <v>5204</v>
      </c>
      <c r="AB607" t="s">
        <v>5205</v>
      </c>
      <c r="AC607" t="s">
        <v>108</v>
      </c>
      <c r="AD607" t="s">
        <v>223</v>
      </c>
      <c r="AE607" t="s">
        <v>3291</v>
      </c>
      <c r="AF607">
        <v>21</v>
      </c>
      <c r="AG607" t="s">
        <v>91</v>
      </c>
      <c r="AH607" t="s">
        <v>561</v>
      </c>
      <c r="AI607">
        <v>26</v>
      </c>
      <c r="AJ607" t="s">
        <v>110</v>
      </c>
      <c r="AK607">
        <v>21</v>
      </c>
      <c r="AL607">
        <v>22</v>
      </c>
      <c r="AM607">
        <v>538</v>
      </c>
      <c r="AN607">
        <v>101</v>
      </c>
      <c r="AO607">
        <v>7</v>
      </c>
      <c r="AP607" t="s">
        <v>93</v>
      </c>
      <c r="AQ607" t="s">
        <v>89</v>
      </c>
      <c r="AR607" t="s">
        <v>89</v>
      </c>
      <c r="AS607" t="s">
        <v>111</v>
      </c>
      <c r="AT607" t="s">
        <v>5205</v>
      </c>
      <c r="AU607">
        <v>2024</v>
      </c>
      <c r="AV607">
        <v>16</v>
      </c>
      <c r="AW607">
        <v>16</v>
      </c>
      <c r="AX607" t="s">
        <v>89</v>
      </c>
      <c r="AY607" t="s">
        <v>111</v>
      </c>
      <c r="AZ607">
        <v>3</v>
      </c>
      <c r="BA607">
        <v>4</v>
      </c>
      <c r="BB607">
        <v>235</v>
      </c>
      <c r="BC607">
        <v>0</v>
      </c>
      <c r="BD607">
        <v>206</v>
      </c>
      <c r="BE607">
        <v>10474</v>
      </c>
      <c r="BF607">
        <v>22</v>
      </c>
      <c r="BG607">
        <v>36</v>
      </c>
      <c r="BH607">
        <v>210</v>
      </c>
      <c r="BI607">
        <v>10709</v>
      </c>
      <c r="BJ607">
        <v>22</v>
      </c>
      <c r="BK607">
        <f t="shared" si="83"/>
        <v>210</v>
      </c>
      <c r="BL607">
        <f t="shared" si="84"/>
        <v>10709</v>
      </c>
      <c r="BM607">
        <f t="shared" si="85"/>
        <v>22</v>
      </c>
      <c r="BN607">
        <f t="shared" si="86"/>
        <v>0</v>
      </c>
      <c r="BO607">
        <f t="shared" si="87"/>
        <v>0</v>
      </c>
      <c r="BP607">
        <f t="shared" si="88"/>
        <v>0</v>
      </c>
      <c r="BQ607" t="s">
        <v>494</v>
      </c>
      <c r="BR607" t="s">
        <v>112</v>
      </c>
      <c r="BS607" s="1">
        <v>32162</v>
      </c>
      <c r="BT607">
        <v>38</v>
      </c>
      <c r="BU607" t="s">
        <v>5205</v>
      </c>
      <c r="BV607" s="1">
        <v>45499</v>
      </c>
      <c r="BW607">
        <v>15</v>
      </c>
      <c r="BX607">
        <v>1988</v>
      </c>
      <c r="BY607">
        <v>15</v>
      </c>
      <c r="BZ607">
        <f t="shared" si="89"/>
        <v>1</v>
      </c>
      <c r="CA607">
        <f t="shared" si="90"/>
        <v>0</v>
      </c>
      <c r="CB607" t="b">
        <f t="shared" si="91"/>
        <v>0</v>
      </c>
    </row>
    <row r="608" spans="1:80" x14ac:dyDescent="0.3">
      <c r="A608" t="s">
        <v>5206</v>
      </c>
      <c r="B608" t="s">
        <v>4104</v>
      </c>
      <c r="C608" t="s">
        <v>5207</v>
      </c>
      <c r="D608">
        <v>36</v>
      </c>
      <c r="E608" s="1">
        <v>32358</v>
      </c>
      <c r="F608" t="s">
        <v>89</v>
      </c>
      <c r="G608" t="s">
        <v>298</v>
      </c>
      <c r="H608" t="s">
        <v>4106</v>
      </c>
      <c r="I608" t="s">
        <v>791</v>
      </c>
      <c r="J608" t="s">
        <v>78</v>
      </c>
      <c r="K608" t="s">
        <v>89</v>
      </c>
      <c r="L608" t="s">
        <v>117</v>
      </c>
      <c r="M608">
        <v>16</v>
      </c>
      <c r="N608" t="s">
        <v>4403</v>
      </c>
      <c r="O608">
        <v>2005</v>
      </c>
      <c r="P608" t="s">
        <v>5208</v>
      </c>
      <c r="Q608" t="s">
        <v>5209</v>
      </c>
      <c r="R608">
        <v>35529</v>
      </c>
      <c r="S608" t="s">
        <v>5206</v>
      </c>
      <c r="T608">
        <v>32210</v>
      </c>
      <c r="U608">
        <v>1988</v>
      </c>
      <c r="V608" t="s">
        <v>5210</v>
      </c>
      <c r="W608">
        <v>1.76</v>
      </c>
      <c r="X608" t="s">
        <v>5211</v>
      </c>
      <c r="Y608" t="s">
        <v>585</v>
      </c>
      <c r="Z608" t="s">
        <v>87</v>
      </c>
      <c r="AA608" t="s">
        <v>476</v>
      </c>
      <c r="AB608" s="1">
        <v>45331</v>
      </c>
      <c r="AC608" t="s">
        <v>108</v>
      </c>
      <c r="AD608" t="s">
        <v>89</v>
      </c>
      <c r="AE608">
        <v>38839</v>
      </c>
      <c r="AF608">
        <v>17</v>
      </c>
      <c r="AG608" t="s">
        <v>5212</v>
      </c>
      <c r="AH608" s="1">
        <v>40948</v>
      </c>
      <c r="AI608">
        <v>24</v>
      </c>
      <c r="AJ608" t="s">
        <v>110</v>
      </c>
      <c r="AK608">
        <v>17</v>
      </c>
      <c r="AL608">
        <v>1</v>
      </c>
      <c r="AM608">
        <v>24</v>
      </c>
      <c r="AN608">
        <v>4</v>
      </c>
      <c r="AO608">
        <v>1</v>
      </c>
      <c r="AP608" t="s">
        <v>93</v>
      </c>
      <c r="AQ608" t="s">
        <v>89</v>
      </c>
      <c r="AR608" t="s">
        <v>89</v>
      </c>
      <c r="AS608" t="s">
        <v>93</v>
      </c>
      <c r="AT608" t="s">
        <v>89</v>
      </c>
      <c r="AU608" t="s">
        <v>89</v>
      </c>
      <c r="AV608" t="s">
        <v>89</v>
      </c>
      <c r="AW608">
        <v>20</v>
      </c>
      <c r="AX608" t="s">
        <v>89</v>
      </c>
      <c r="AY608" t="s">
        <v>93</v>
      </c>
      <c r="AZ608">
        <v>0</v>
      </c>
      <c r="BA608">
        <v>0</v>
      </c>
      <c r="BB608">
        <v>0</v>
      </c>
      <c r="BC608">
        <v>0</v>
      </c>
      <c r="BD608">
        <v>196</v>
      </c>
      <c r="BE608">
        <v>11754</v>
      </c>
      <c r="BF608">
        <v>15</v>
      </c>
      <c r="BG608" t="s">
        <v>89</v>
      </c>
      <c r="BH608">
        <v>196</v>
      </c>
      <c r="BI608">
        <v>11754</v>
      </c>
      <c r="BJ608">
        <v>15</v>
      </c>
      <c r="BK608">
        <f t="shared" si="83"/>
        <v>196</v>
      </c>
      <c r="BL608">
        <f t="shared" si="84"/>
        <v>11754</v>
      </c>
      <c r="BM608">
        <f t="shared" si="85"/>
        <v>15</v>
      </c>
      <c r="BN608">
        <f t="shared" si="86"/>
        <v>0</v>
      </c>
      <c r="BO608">
        <f t="shared" si="87"/>
        <v>0</v>
      </c>
      <c r="BP608">
        <f t="shared" si="88"/>
        <v>0</v>
      </c>
      <c r="BQ608" t="s">
        <v>585</v>
      </c>
      <c r="BR608" t="s">
        <v>94</v>
      </c>
      <c r="BS608" t="s">
        <v>89</v>
      </c>
      <c r="BT608">
        <v>38</v>
      </c>
      <c r="BU608" t="s">
        <v>89</v>
      </c>
      <c r="BV608" t="s">
        <v>89</v>
      </c>
      <c r="BW608">
        <v>21</v>
      </c>
      <c r="BX608">
        <v>1988</v>
      </c>
      <c r="BY608">
        <v>19</v>
      </c>
      <c r="BZ608">
        <f t="shared" si="89"/>
        <v>-1</v>
      </c>
      <c r="CA608">
        <f t="shared" si="90"/>
        <v>2</v>
      </c>
      <c r="CB608" t="b">
        <f t="shared" si="91"/>
        <v>0</v>
      </c>
    </row>
    <row r="609" spans="1:80" x14ac:dyDescent="0.3">
      <c r="A609" t="s">
        <v>5213</v>
      </c>
      <c r="B609" t="s">
        <v>617</v>
      </c>
      <c r="C609" t="s">
        <v>5214</v>
      </c>
      <c r="D609">
        <v>33</v>
      </c>
      <c r="E609" t="s">
        <v>5215</v>
      </c>
      <c r="F609" t="s">
        <v>1935</v>
      </c>
      <c r="G609" t="s">
        <v>400</v>
      </c>
      <c r="H609" t="s">
        <v>619</v>
      </c>
      <c r="I609" t="s">
        <v>227</v>
      </c>
      <c r="J609" t="s">
        <v>78</v>
      </c>
      <c r="K609" t="s">
        <v>5216</v>
      </c>
      <c r="L609" t="s">
        <v>80</v>
      </c>
      <c r="M609">
        <v>20</v>
      </c>
      <c r="N609" t="s">
        <v>364</v>
      </c>
      <c r="O609">
        <v>2012</v>
      </c>
      <c r="P609" t="s">
        <v>5217</v>
      </c>
      <c r="Q609" t="s">
        <v>5218</v>
      </c>
      <c r="R609">
        <v>131102</v>
      </c>
      <c r="S609" t="s">
        <v>5213</v>
      </c>
      <c r="T609" t="s">
        <v>5219</v>
      </c>
      <c r="U609">
        <v>1992</v>
      </c>
      <c r="V609" t="s">
        <v>5220</v>
      </c>
      <c r="W609">
        <v>1.82</v>
      </c>
      <c r="X609" t="s">
        <v>1670</v>
      </c>
      <c r="Y609" t="s">
        <v>235</v>
      </c>
      <c r="Z609" t="s">
        <v>87</v>
      </c>
      <c r="AA609" t="s">
        <v>5221</v>
      </c>
      <c r="AB609" t="s">
        <v>3790</v>
      </c>
      <c r="AC609" t="s">
        <v>170</v>
      </c>
      <c r="AD609" t="s">
        <v>223</v>
      </c>
      <c r="AE609" t="s">
        <v>331</v>
      </c>
      <c r="AF609">
        <v>21</v>
      </c>
      <c r="AG609" t="s">
        <v>91</v>
      </c>
      <c r="AH609" t="s">
        <v>90</v>
      </c>
      <c r="AI609">
        <v>20</v>
      </c>
      <c r="AJ609" t="s">
        <v>110</v>
      </c>
      <c r="AK609">
        <v>20</v>
      </c>
      <c r="AL609">
        <v>8</v>
      </c>
      <c r="AM609">
        <v>280</v>
      </c>
      <c r="AN609">
        <v>50</v>
      </c>
      <c r="AO609">
        <v>5</v>
      </c>
      <c r="AP609" t="s">
        <v>93</v>
      </c>
      <c r="AQ609" t="s">
        <v>89</v>
      </c>
      <c r="AR609" t="s">
        <v>89</v>
      </c>
      <c r="AS609" t="s">
        <v>93</v>
      </c>
      <c r="AT609" t="s">
        <v>89</v>
      </c>
      <c r="AU609" t="s">
        <v>89</v>
      </c>
      <c r="AV609" t="s">
        <v>89</v>
      </c>
      <c r="AW609">
        <v>13</v>
      </c>
      <c r="AX609">
        <v>24</v>
      </c>
      <c r="AY609" t="s">
        <v>111</v>
      </c>
      <c r="AZ609">
        <v>7</v>
      </c>
      <c r="BA609">
        <v>22</v>
      </c>
      <c r="BB609">
        <v>1769</v>
      </c>
      <c r="BC609">
        <v>0</v>
      </c>
      <c r="BD609">
        <v>287</v>
      </c>
      <c r="BE609">
        <v>22879</v>
      </c>
      <c r="BF609">
        <v>10</v>
      </c>
      <c r="BG609" t="s">
        <v>89</v>
      </c>
      <c r="BH609">
        <v>309</v>
      </c>
      <c r="BI609">
        <v>24648</v>
      </c>
      <c r="BJ609">
        <v>10</v>
      </c>
      <c r="BK609">
        <f t="shared" si="83"/>
        <v>309</v>
      </c>
      <c r="BL609">
        <f t="shared" si="84"/>
        <v>24648</v>
      </c>
      <c r="BM609">
        <f t="shared" si="85"/>
        <v>10</v>
      </c>
      <c r="BN609">
        <f t="shared" si="86"/>
        <v>0</v>
      </c>
      <c r="BO609">
        <f t="shared" si="87"/>
        <v>0</v>
      </c>
      <c r="BP609">
        <f t="shared" si="88"/>
        <v>0</v>
      </c>
      <c r="BQ609" t="s">
        <v>235</v>
      </c>
      <c r="BR609" t="s">
        <v>140</v>
      </c>
      <c r="BS609" s="1">
        <v>33751</v>
      </c>
      <c r="BT609">
        <v>33</v>
      </c>
      <c r="BU609" t="s">
        <v>89</v>
      </c>
      <c r="BV609" t="s">
        <v>89</v>
      </c>
      <c r="BW609">
        <v>13</v>
      </c>
      <c r="BX609">
        <v>1992</v>
      </c>
      <c r="BY609">
        <v>13</v>
      </c>
      <c r="BZ609">
        <f t="shared" si="89"/>
        <v>0</v>
      </c>
      <c r="CA609">
        <f t="shared" si="90"/>
        <v>0</v>
      </c>
      <c r="CB609" t="b">
        <f t="shared" si="91"/>
        <v>1</v>
      </c>
    </row>
    <row r="610" spans="1:80" x14ac:dyDescent="0.3">
      <c r="A610" t="s">
        <v>5222</v>
      </c>
      <c r="B610" t="s">
        <v>1618</v>
      </c>
      <c r="C610" t="s">
        <v>5223</v>
      </c>
      <c r="D610">
        <v>52</v>
      </c>
      <c r="E610">
        <v>26746</v>
      </c>
      <c r="F610" t="s">
        <v>89</v>
      </c>
      <c r="G610" t="s">
        <v>819</v>
      </c>
      <c r="H610" t="s">
        <v>1622</v>
      </c>
      <c r="I610" t="s">
        <v>178</v>
      </c>
      <c r="J610" t="s">
        <v>89</v>
      </c>
      <c r="K610" t="s">
        <v>89</v>
      </c>
      <c r="L610" t="s">
        <v>196</v>
      </c>
      <c r="M610">
        <v>27</v>
      </c>
      <c r="N610" t="s">
        <v>4107</v>
      </c>
      <c r="O610">
        <v>2000</v>
      </c>
      <c r="P610" t="s">
        <v>5224</v>
      </c>
      <c r="Q610" t="s">
        <v>5225</v>
      </c>
      <c r="R610">
        <v>3209</v>
      </c>
      <c r="S610" t="s">
        <v>5222</v>
      </c>
      <c r="T610" t="s">
        <v>5226</v>
      </c>
      <c r="U610">
        <v>1973</v>
      </c>
      <c r="V610" t="s">
        <v>5227</v>
      </c>
      <c r="W610">
        <v>1.88</v>
      </c>
      <c r="X610" t="s">
        <v>1622</v>
      </c>
      <c r="Y610" t="s">
        <v>186</v>
      </c>
      <c r="Z610" t="s">
        <v>152</v>
      </c>
      <c r="AA610" t="s">
        <v>268</v>
      </c>
      <c r="AB610" s="1">
        <v>40550</v>
      </c>
      <c r="AC610" t="s">
        <v>108</v>
      </c>
      <c r="AD610" t="s">
        <v>89</v>
      </c>
      <c r="AE610">
        <v>1996</v>
      </c>
      <c r="AF610">
        <v>22</v>
      </c>
      <c r="AG610" t="s">
        <v>1631</v>
      </c>
      <c r="AH610" t="s">
        <v>89</v>
      </c>
      <c r="AI610" t="s">
        <v>89</v>
      </c>
      <c r="AJ610" t="s">
        <v>89</v>
      </c>
      <c r="AK610">
        <v>22</v>
      </c>
      <c r="AL610">
        <v>3</v>
      </c>
      <c r="AM610">
        <v>82</v>
      </c>
      <c r="AN610">
        <v>18</v>
      </c>
      <c r="AO610">
        <v>3</v>
      </c>
      <c r="AP610" t="s">
        <v>93</v>
      </c>
      <c r="AQ610" t="s">
        <v>89</v>
      </c>
      <c r="AR610" t="s">
        <v>89</v>
      </c>
      <c r="AS610" t="s">
        <v>111</v>
      </c>
      <c r="AT610">
        <v>40550</v>
      </c>
      <c r="AU610">
        <v>2011</v>
      </c>
      <c r="AV610">
        <v>11</v>
      </c>
      <c r="AW610">
        <v>11</v>
      </c>
      <c r="AX610" t="s">
        <v>89</v>
      </c>
      <c r="AY610" t="s">
        <v>111</v>
      </c>
      <c r="AZ610">
        <v>4</v>
      </c>
      <c r="BA610">
        <v>11</v>
      </c>
      <c r="BB610">
        <v>990</v>
      </c>
      <c r="BC610">
        <v>0</v>
      </c>
      <c r="BD610">
        <v>224</v>
      </c>
      <c r="BE610">
        <v>20001</v>
      </c>
      <c r="BF610">
        <v>0</v>
      </c>
      <c r="BG610">
        <v>38</v>
      </c>
      <c r="BH610">
        <v>235</v>
      </c>
      <c r="BI610">
        <v>20991</v>
      </c>
      <c r="BJ610">
        <v>0</v>
      </c>
      <c r="BK610">
        <f t="shared" si="83"/>
        <v>235</v>
      </c>
      <c r="BL610">
        <f t="shared" si="84"/>
        <v>20991</v>
      </c>
      <c r="BM610">
        <f t="shared" si="85"/>
        <v>0</v>
      </c>
      <c r="BN610">
        <f t="shared" si="86"/>
        <v>0</v>
      </c>
      <c r="BO610">
        <f t="shared" si="87"/>
        <v>0</v>
      </c>
      <c r="BP610">
        <f t="shared" si="88"/>
        <v>0</v>
      </c>
      <c r="BQ610" t="s">
        <v>186</v>
      </c>
      <c r="BR610" t="s">
        <v>186</v>
      </c>
      <c r="BS610" s="1">
        <v>26746</v>
      </c>
      <c r="BT610">
        <v>52</v>
      </c>
      <c r="BU610">
        <v>40550</v>
      </c>
      <c r="BV610" t="s">
        <v>89</v>
      </c>
      <c r="BW610">
        <v>16</v>
      </c>
      <c r="BX610">
        <v>1973</v>
      </c>
      <c r="BY610">
        <v>16</v>
      </c>
      <c r="BZ610">
        <f t="shared" si="89"/>
        <v>-5</v>
      </c>
      <c r="CA610">
        <f t="shared" si="90"/>
        <v>0</v>
      </c>
      <c r="CB610" t="b">
        <f t="shared" si="91"/>
        <v>0</v>
      </c>
    </row>
    <row r="611" spans="1:80" x14ac:dyDescent="0.3">
      <c r="A611" t="s">
        <v>5228</v>
      </c>
      <c r="B611" t="s">
        <v>71</v>
      </c>
      <c r="C611" t="s">
        <v>5229</v>
      </c>
      <c r="D611">
        <v>32</v>
      </c>
      <c r="E611" t="s">
        <v>5230</v>
      </c>
      <c r="F611" t="s">
        <v>2400</v>
      </c>
      <c r="G611" t="s">
        <v>75</v>
      </c>
      <c r="H611" t="s">
        <v>76</v>
      </c>
      <c r="I611" t="s">
        <v>401</v>
      </c>
      <c r="J611" t="s">
        <v>78</v>
      </c>
      <c r="K611" t="s">
        <v>364</v>
      </c>
      <c r="L611" t="s">
        <v>278</v>
      </c>
      <c r="M611">
        <v>18</v>
      </c>
      <c r="N611" t="s">
        <v>268</v>
      </c>
      <c r="O611">
        <v>2011</v>
      </c>
      <c r="P611" t="s">
        <v>5231</v>
      </c>
      <c r="Q611" t="s">
        <v>5232</v>
      </c>
      <c r="R611">
        <v>134936</v>
      </c>
      <c r="S611" t="s">
        <v>5228</v>
      </c>
      <c r="T611" t="s">
        <v>5233</v>
      </c>
      <c r="U611">
        <v>1993</v>
      </c>
      <c r="V611" t="s">
        <v>502</v>
      </c>
      <c r="W611">
        <v>1.78</v>
      </c>
      <c r="X611" t="s">
        <v>76</v>
      </c>
      <c r="Y611" t="s">
        <v>391</v>
      </c>
      <c r="Z611" t="s">
        <v>87</v>
      </c>
      <c r="AA611" t="s">
        <v>503</v>
      </c>
      <c r="AB611" t="s">
        <v>1482</v>
      </c>
      <c r="AC611" t="s">
        <v>170</v>
      </c>
      <c r="AD611" t="s">
        <v>223</v>
      </c>
      <c r="AE611">
        <v>2012</v>
      </c>
      <c r="AF611">
        <v>19</v>
      </c>
      <c r="AG611" t="s">
        <v>91</v>
      </c>
      <c r="AH611">
        <v>2012</v>
      </c>
      <c r="AI611">
        <v>19</v>
      </c>
      <c r="AJ611">
        <v>0</v>
      </c>
      <c r="AK611">
        <v>19</v>
      </c>
      <c r="AL611">
        <v>6</v>
      </c>
      <c r="AM611">
        <v>287</v>
      </c>
      <c r="AN611">
        <v>50</v>
      </c>
      <c r="AO611">
        <v>6</v>
      </c>
      <c r="AP611" t="s">
        <v>93</v>
      </c>
      <c r="AQ611" t="s">
        <v>89</v>
      </c>
      <c r="AR611" t="s">
        <v>89</v>
      </c>
      <c r="AS611" t="s">
        <v>93</v>
      </c>
      <c r="AT611" t="s">
        <v>89</v>
      </c>
      <c r="AU611" t="s">
        <v>89</v>
      </c>
      <c r="AV611" t="s">
        <v>89</v>
      </c>
      <c r="AW611">
        <v>14</v>
      </c>
      <c r="AX611">
        <v>10</v>
      </c>
      <c r="AY611" t="s">
        <v>93</v>
      </c>
      <c r="AZ611">
        <v>0</v>
      </c>
      <c r="BA611">
        <v>0</v>
      </c>
      <c r="BB611">
        <v>0</v>
      </c>
      <c r="BC611">
        <v>0</v>
      </c>
      <c r="BD611">
        <v>291</v>
      </c>
      <c r="BE611">
        <v>14623</v>
      </c>
      <c r="BF611">
        <v>63</v>
      </c>
      <c r="BG611" t="s">
        <v>89</v>
      </c>
      <c r="BH611">
        <v>291</v>
      </c>
      <c r="BI611">
        <v>14623</v>
      </c>
      <c r="BJ611">
        <v>63</v>
      </c>
      <c r="BK611">
        <f t="shared" si="83"/>
        <v>291</v>
      </c>
      <c r="BL611">
        <f t="shared" si="84"/>
        <v>14623</v>
      </c>
      <c r="BM611">
        <f t="shared" si="85"/>
        <v>63</v>
      </c>
      <c r="BN611">
        <f t="shared" si="86"/>
        <v>0</v>
      </c>
      <c r="BO611">
        <f t="shared" si="87"/>
        <v>0</v>
      </c>
      <c r="BP611">
        <f t="shared" si="88"/>
        <v>0</v>
      </c>
      <c r="BQ611" t="s">
        <v>391</v>
      </c>
      <c r="BR611" t="s">
        <v>112</v>
      </c>
      <c r="BS611" t="s">
        <v>89</v>
      </c>
      <c r="BT611">
        <v>33</v>
      </c>
      <c r="BU611" t="s">
        <v>89</v>
      </c>
      <c r="BV611" t="s">
        <v>89</v>
      </c>
      <c r="BW611">
        <v>14</v>
      </c>
      <c r="BX611">
        <v>1993</v>
      </c>
      <c r="BY611">
        <v>13</v>
      </c>
      <c r="BZ611">
        <f t="shared" si="89"/>
        <v>0</v>
      </c>
      <c r="CA611">
        <f t="shared" si="90"/>
        <v>1</v>
      </c>
      <c r="CB611" t="b">
        <f t="shared" si="91"/>
        <v>1</v>
      </c>
    </row>
    <row r="612" spans="1:80" x14ac:dyDescent="0.3">
      <c r="A612" t="s">
        <v>5234</v>
      </c>
      <c r="B612" t="s">
        <v>71</v>
      </c>
      <c r="C612" t="s">
        <v>5235</v>
      </c>
      <c r="D612">
        <v>37</v>
      </c>
      <c r="E612" t="s">
        <v>5236</v>
      </c>
      <c r="F612" t="s">
        <v>265</v>
      </c>
      <c r="G612" t="s">
        <v>241</v>
      </c>
      <c r="H612" t="s">
        <v>89</v>
      </c>
      <c r="I612" t="s">
        <v>178</v>
      </c>
      <c r="J612" t="s">
        <v>300</v>
      </c>
      <c r="K612" t="s">
        <v>5237</v>
      </c>
      <c r="L612" t="s">
        <v>254</v>
      </c>
      <c r="M612">
        <v>21</v>
      </c>
      <c r="N612" t="s">
        <v>1926</v>
      </c>
      <c r="O612">
        <v>2009</v>
      </c>
      <c r="P612" t="s">
        <v>5238</v>
      </c>
      <c r="Q612" t="s">
        <v>5239</v>
      </c>
      <c r="R612">
        <v>91885</v>
      </c>
      <c r="S612" t="s">
        <v>5240</v>
      </c>
      <c r="T612" t="s">
        <v>5241</v>
      </c>
      <c r="U612">
        <v>1988</v>
      </c>
      <c r="V612" t="s">
        <v>122</v>
      </c>
      <c r="W612">
        <v>1.9</v>
      </c>
      <c r="X612" t="s">
        <v>76</v>
      </c>
      <c r="Y612" t="s">
        <v>186</v>
      </c>
      <c r="Z612" t="s">
        <v>152</v>
      </c>
      <c r="AA612" t="s">
        <v>5242</v>
      </c>
      <c r="AB612" s="1">
        <v>45298</v>
      </c>
      <c r="AC612" t="s">
        <v>170</v>
      </c>
      <c r="AD612" t="s">
        <v>89</v>
      </c>
      <c r="AE612" t="s">
        <v>2065</v>
      </c>
      <c r="AF612">
        <v>22</v>
      </c>
      <c r="AG612" t="s">
        <v>91</v>
      </c>
      <c r="AH612" t="s">
        <v>5243</v>
      </c>
      <c r="AI612">
        <v>21</v>
      </c>
      <c r="AJ612" t="s">
        <v>110</v>
      </c>
      <c r="AK612">
        <v>21</v>
      </c>
      <c r="AL612" t="s">
        <v>89</v>
      </c>
      <c r="AM612" t="s">
        <v>89</v>
      </c>
      <c r="AN612" t="s">
        <v>89</v>
      </c>
      <c r="AO612">
        <v>0</v>
      </c>
      <c r="AP612" t="s">
        <v>93</v>
      </c>
      <c r="AQ612" t="s">
        <v>89</v>
      </c>
      <c r="AR612" t="s">
        <v>89</v>
      </c>
      <c r="AS612" t="s">
        <v>93</v>
      </c>
      <c r="AT612" t="s">
        <v>89</v>
      </c>
      <c r="AU612" t="s">
        <v>89</v>
      </c>
      <c r="AV612" t="s">
        <v>89</v>
      </c>
      <c r="AW612">
        <v>16</v>
      </c>
      <c r="AX612">
        <v>88</v>
      </c>
      <c r="AY612" t="s">
        <v>93</v>
      </c>
      <c r="AZ612">
        <v>0</v>
      </c>
      <c r="BA612">
        <v>0</v>
      </c>
      <c r="BB612">
        <v>0</v>
      </c>
      <c r="BC612">
        <v>0</v>
      </c>
      <c r="BD612">
        <v>141</v>
      </c>
      <c r="BE612">
        <v>12509</v>
      </c>
      <c r="BF612">
        <v>0</v>
      </c>
      <c r="BG612" t="s">
        <v>89</v>
      </c>
      <c r="BH612">
        <v>141</v>
      </c>
      <c r="BI612">
        <v>12509</v>
      </c>
      <c r="BJ612">
        <v>0</v>
      </c>
      <c r="BK612">
        <f t="shared" si="83"/>
        <v>141</v>
      </c>
      <c r="BL612">
        <f t="shared" si="84"/>
        <v>12509</v>
      </c>
      <c r="BM612">
        <f t="shared" si="85"/>
        <v>0</v>
      </c>
      <c r="BN612">
        <f t="shared" si="86"/>
        <v>0</v>
      </c>
      <c r="BO612">
        <f t="shared" si="87"/>
        <v>0</v>
      </c>
      <c r="BP612">
        <f t="shared" si="88"/>
        <v>0</v>
      </c>
      <c r="BQ612" t="s">
        <v>186</v>
      </c>
      <c r="BR612" t="s">
        <v>186</v>
      </c>
      <c r="BS612" t="s">
        <v>89</v>
      </c>
      <c r="BT612">
        <v>38</v>
      </c>
      <c r="BU612" t="s">
        <v>89</v>
      </c>
      <c r="BV612" t="s">
        <v>89</v>
      </c>
      <c r="BW612">
        <v>17</v>
      </c>
      <c r="BX612">
        <v>1988</v>
      </c>
      <c r="BY612">
        <v>16</v>
      </c>
      <c r="BZ612">
        <f t="shared" si="89"/>
        <v>-1</v>
      </c>
      <c r="CA612">
        <f t="shared" si="90"/>
        <v>1</v>
      </c>
      <c r="CB612" t="b">
        <f t="shared" si="91"/>
        <v>0</v>
      </c>
    </row>
    <row r="613" spans="1:80" x14ac:dyDescent="0.3">
      <c r="A613" t="s">
        <v>5244</v>
      </c>
      <c r="B613" t="s">
        <v>156</v>
      </c>
      <c r="C613" t="s">
        <v>5245</v>
      </c>
      <c r="D613">
        <v>41</v>
      </c>
      <c r="E613" s="1">
        <v>30821</v>
      </c>
      <c r="F613" t="s">
        <v>89</v>
      </c>
      <c r="G613" t="s">
        <v>160</v>
      </c>
      <c r="H613" t="s">
        <v>177</v>
      </c>
      <c r="I613" t="s">
        <v>98</v>
      </c>
      <c r="J613" t="s">
        <v>300</v>
      </c>
      <c r="K613" t="s">
        <v>89</v>
      </c>
      <c r="L613" t="s">
        <v>130</v>
      </c>
      <c r="M613">
        <v>24</v>
      </c>
      <c r="N613" t="s">
        <v>1403</v>
      </c>
      <c r="O613">
        <v>2008</v>
      </c>
      <c r="P613" t="s">
        <v>5246</v>
      </c>
      <c r="Q613" t="s">
        <v>5247</v>
      </c>
      <c r="R613">
        <v>30759</v>
      </c>
      <c r="S613" t="s">
        <v>5244</v>
      </c>
      <c r="T613" t="s">
        <v>5248</v>
      </c>
      <c r="U613">
        <v>1984</v>
      </c>
      <c r="V613" t="s">
        <v>5249</v>
      </c>
      <c r="W613">
        <v>1.75</v>
      </c>
      <c r="X613" t="s">
        <v>169</v>
      </c>
      <c r="Y613" t="s">
        <v>151</v>
      </c>
      <c r="Z613" t="s">
        <v>152</v>
      </c>
      <c r="AA613" t="s">
        <v>5250</v>
      </c>
      <c r="AB613" s="1">
        <v>45292</v>
      </c>
      <c r="AC613" t="s">
        <v>108</v>
      </c>
      <c r="AD613" t="s">
        <v>89</v>
      </c>
      <c r="AE613" t="s">
        <v>505</v>
      </c>
      <c r="AF613">
        <v>20</v>
      </c>
      <c r="AG613" t="s">
        <v>189</v>
      </c>
      <c r="AH613" t="s">
        <v>5251</v>
      </c>
      <c r="AI613">
        <v>38</v>
      </c>
      <c r="AJ613" t="s">
        <v>2210</v>
      </c>
      <c r="AK613">
        <v>20</v>
      </c>
      <c r="AL613">
        <v>3</v>
      </c>
      <c r="AM613">
        <v>108</v>
      </c>
      <c r="AN613">
        <v>16</v>
      </c>
      <c r="AO613">
        <v>3</v>
      </c>
      <c r="AP613" t="s">
        <v>93</v>
      </c>
      <c r="AQ613" t="s">
        <v>89</v>
      </c>
      <c r="AR613" t="s">
        <v>89</v>
      </c>
      <c r="AS613" t="s">
        <v>111</v>
      </c>
      <c r="AT613" s="1">
        <v>45292</v>
      </c>
      <c r="AU613">
        <v>2024</v>
      </c>
      <c r="AV613">
        <v>16</v>
      </c>
      <c r="AW613">
        <v>16</v>
      </c>
      <c r="AX613" t="s">
        <v>89</v>
      </c>
      <c r="AY613" t="s">
        <v>93</v>
      </c>
      <c r="AZ613">
        <v>0</v>
      </c>
      <c r="BA613">
        <v>0</v>
      </c>
      <c r="BB613">
        <v>0</v>
      </c>
      <c r="BC613">
        <v>0</v>
      </c>
      <c r="BD613">
        <v>230</v>
      </c>
      <c r="BE613">
        <v>13166</v>
      </c>
      <c r="BF613">
        <v>31</v>
      </c>
      <c r="BG613">
        <v>40</v>
      </c>
      <c r="BH613">
        <v>230</v>
      </c>
      <c r="BI613">
        <v>13166</v>
      </c>
      <c r="BJ613">
        <v>31</v>
      </c>
      <c r="BK613">
        <f t="shared" si="83"/>
        <v>230</v>
      </c>
      <c r="BL613">
        <f t="shared" si="84"/>
        <v>13166</v>
      </c>
      <c r="BM613">
        <f t="shared" si="85"/>
        <v>31</v>
      </c>
      <c r="BN613">
        <f t="shared" si="86"/>
        <v>0</v>
      </c>
      <c r="BO613">
        <f t="shared" si="87"/>
        <v>0</v>
      </c>
      <c r="BP613">
        <f t="shared" si="88"/>
        <v>0</v>
      </c>
      <c r="BQ613" t="s">
        <v>151</v>
      </c>
      <c r="BR613" t="s">
        <v>94</v>
      </c>
      <c r="BS613" s="1">
        <v>30821</v>
      </c>
      <c r="BT613">
        <v>41</v>
      </c>
      <c r="BU613" s="1">
        <v>45292</v>
      </c>
      <c r="BV613" s="1">
        <v>45292</v>
      </c>
      <c r="BW613">
        <v>20</v>
      </c>
      <c r="BX613">
        <v>1984</v>
      </c>
      <c r="BY613">
        <v>20</v>
      </c>
      <c r="BZ613">
        <f t="shared" si="89"/>
        <v>-4</v>
      </c>
      <c r="CA613">
        <f t="shared" si="90"/>
        <v>0</v>
      </c>
      <c r="CB613" t="b">
        <f t="shared" si="91"/>
        <v>0</v>
      </c>
    </row>
    <row r="614" spans="1:80" x14ac:dyDescent="0.3">
      <c r="A614" t="s">
        <v>5252</v>
      </c>
      <c r="B614" t="s">
        <v>71</v>
      </c>
      <c r="C614" t="s">
        <v>5253</v>
      </c>
      <c r="D614">
        <v>40</v>
      </c>
      <c r="E614" s="1">
        <v>31147</v>
      </c>
      <c r="F614" t="s">
        <v>89</v>
      </c>
      <c r="G614" t="s">
        <v>400</v>
      </c>
      <c r="H614" t="s">
        <v>76</v>
      </c>
      <c r="I614" t="s">
        <v>348</v>
      </c>
      <c r="J614" t="s">
        <v>78</v>
      </c>
      <c r="K614" t="s">
        <v>89</v>
      </c>
      <c r="L614" t="s">
        <v>657</v>
      </c>
      <c r="M614">
        <v>18</v>
      </c>
      <c r="N614" t="s">
        <v>629</v>
      </c>
      <c r="O614">
        <v>2003</v>
      </c>
      <c r="P614" t="s">
        <v>5254</v>
      </c>
      <c r="Q614" t="s">
        <v>5255</v>
      </c>
      <c r="R614">
        <v>29055</v>
      </c>
      <c r="S614" t="s">
        <v>5252</v>
      </c>
      <c r="T614">
        <v>31324</v>
      </c>
      <c r="U614">
        <v>1985</v>
      </c>
      <c r="V614" t="s">
        <v>5256</v>
      </c>
      <c r="W614">
        <v>1.77</v>
      </c>
      <c r="X614" t="s">
        <v>76</v>
      </c>
      <c r="Y614" t="s">
        <v>136</v>
      </c>
      <c r="Z614" t="s">
        <v>87</v>
      </c>
      <c r="AA614" t="s">
        <v>5257</v>
      </c>
      <c r="AB614">
        <v>43107</v>
      </c>
      <c r="AC614" t="s">
        <v>108</v>
      </c>
      <c r="AD614" t="s">
        <v>223</v>
      </c>
      <c r="AE614" t="s">
        <v>450</v>
      </c>
      <c r="AF614">
        <v>20</v>
      </c>
      <c r="AG614" t="s">
        <v>91</v>
      </c>
      <c r="AH614">
        <v>38050</v>
      </c>
      <c r="AI614">
        <v>18</v>
      </c>
      <c r="AJ614" t="s">
        <v>110</v>
      </c>
      <c r="AK614">
        <v>18</v>
      </c>
      <c r="AL614">
        <v>8</v>
      </c>
      <c r="AM614">
        <v>274</v>
      </c>
      <c r="AN614">
        <v>40</v>
      </c>
      <c r="AO614">
        <v>5</v>
      </c>
      <c r="AP614" t="s">
        <v>93</v>
      </c>
      <c r="AQ614" t="s">
        <v>89</v>
      </c>
      <c r="AR614" t="s">
        <v>89</v>
      </c>
      <c r="AS614" t="s">
        <v>111</v>
      </c>
      <c r="AT614">
        <v>43107</v>
      </c>
      <c r="AU614">
        <v>2018</v>
      </c>
      <c r="AV614">
        <v>15</v>
      </c>
      <c r="AW614">
        <v>15</v>
      </c>
      <c r="AX614" t="s">
        <v>89</v>
      </c>
      <c r="AY614" t="s">
        <v>93</v>
      </c>
      <c r="AZ614">
        <v>0</v>
      </c>
      <c r="BA614">
        <v>0</v>
      </c>
      <c r="BB614">
        <v>0</v>
      </c>
      <c r="BC614">
        <v>0</v>
      </c>
      <c r="BD614">
        <v>361</v>
      </c>
      <c r="BE614">
        <v>30270</v>
      </c>
      <c r="BF614">
        <v>3</v>
      </c>
      <c r="BG614">
        <v>33</v>
      </c>
      <c r="BH614">
        <v>361</v>
      </c>
      <c r="BI614">
        <v>30270</v>
      </c>
      <c r="BJ614">
        <v>3</v>
      </c>
      <c r="BK614">
        <f t="shared" si="83"/>
        <v>361</v>
      </c>
      <c r="BL614">
        <f t="shared" si="84"/>
        <v>30270</v>
      </c>
      <c r="BM614">
        <f t="shared" si="85"/>
        <v>3</v>
      </c>
      <c r="BN614">
        <f t="shared" si="86"/>
        <v>0</v>
      </c>
      <c r="BO614">
        <f t="shared" si="87"/>
        <v>0</v>
      </c>
      <c r="BP614">
        <f t="shared" si="88"/>
        <v>0</v>
      </c>
      <c r="BQ614" t="s">
        <v>136</v>
      </c>
      <c r="BR614" t="s">
        <v>140</v>
      </c>
      <c r="BS614" t="s">
        <v>89</v>
      </c>
      <c r="BT614">
        <v>41</v>
      </c>
      <c r="BU614">
        <v>43107</v>
      </c>
      <c r="BV614" t="s">
        <v>89</v>
      </c>
      <c r="BW614">
        <v>15</v>
      </c>
      <c r="BX614">
        <v>1985</v>
      </c>
      <c r="BY614">
        <v>15</v>
      </c>
      <c r="BZ614">
        <f t="shared" si="89"/>
        <v>0</v>
      </c>
      <c r="CA614">
        <f t="shared" si="90"/>
        <v>0</v>
      </c>
      <c r="CB614" t="b">
        <f t="shared" si="91"/>
        <v>1</v>
      </c>
    </row>
    <row r="615" spans="1:80" x14ac:dyDescent="0.3">
      <c r="A615" t="s">
        <v>5258</v>
      </c>
      <c r="B615" t="s">
        <v>71</v>
      </c>
      <c r="C615" t="s">
        <v>5259</v>
      </c>
      <c r="D615">
        <v>39</v>
      </c>
      <c r="E615" s="1">
        <v>31372</v>
      </c>
      <c r="F615" t="s">
        <v>89</v>
      </c>
      <c r="G615" t="s">
        <v>518</v>
      </c>
      <c r="H615" t="s">
        <v>76</v>
      </c>
      <c r="I615" t="s">
        <v>5260</v>
      </c>
      <c r="J615" t="s">
        <v>78</v>
      </c>
      <c r="K615" t="s">
        <v>89</v>
      </c>
      <c r="L615" t="s">
        <v>657</v>
      </c>
      <c r="M615">
        <v>17</v>
      </c>
      <c r="N615" t="s">
        <v>304</v>
      </c>
      <c r="O615">
        <v>2003</v>
      </c>
      <c r="P615" t="s">
        <v>5261</v>
      </c>
      <c r="Q615" t="s">
        <v>5262</v>
      </c>
      <c r="R615">
        <v>15956</v>
      </c>
      <c r="S615" t="s">
        <v>5258</v>
      </c>
      <c r="T615" t="s">
        <v>5263</v>
      </c>
      <c r="U615">
        <v>1985</v>
      </c>
      <c r="V615" t="s">
        <v>5264</v>
      </c>
      <c r="W615">
        <v>1.7</v>
      </c>
      <c r="X615" t="s">
        <v>76</v>
      </c>
      <c r="Y615" t="s">
        <v>136</v>
      </c>
      <c r="Z615" t="s">
        <v>87</v>
      </c>
      <c r="AA615" t="s">
        <v>1098</v>
      </c>
      <c r="AB615" s="1">
        <v>45658</v>
      </c>
      <c r="AC615" t="s">
        <v>108</v>
      </c>
      <c r="AD615" t="s">
        <v>448</v>
      </c>
      <c r="AE615" t="s">
        <v>5265</v>
      </c>
      <c r="AF615">
        <v>18</v>
      </c>
      <c r="AG615" t="s">
        <v>91</v>
      </c>
      <c r="AH615" t="s">
        <v>92</v>
      </c>
      <c r="AI615" t="s">
        <v>89</v>
      </c>
      <c r="AJ615" t="s">
        <v>92</v>
      </c>
      <c r="AK615">
        <v>18</v>
      </c>
      <c r="AL615">
        <v>15</v>
      </c>
      <c r="AM615">
        <v>414</v>
      </c>
      <c r="AN615">
        <v>79</v>
      </c>
      <c r="AO615">
        <v>7</v>
      </c>
      <c r="AP615" t="s">
        <v>93</v>
      </c>
      <c r="AQ615" t="s">
        <v>89</v>
      </c>
      <c r="AR615" t="s">
        <v>89</v>
      </c>
      <c r="AS615" t="s">
        <v>111</v>
      </c>
      <c r="AT615" s="1">
        <v>45658</v>
      </c>
      <c r="AU615">
        <v>2025</v>
      </c>
      <c r="AV615">
        <v>22</v>
      </c>
      <c r="AW615">
        <v>22</v>
      </c>
      <c r="AX615" t="s">
        <v>89</v>
      </c>
      <c r="AY615" t="s">
        <v>111</v>
      </c>
      <c r="AZ615">
        <v>13</v>
      </c>
      <c r="BA615">
        <v>35</v>
      </c>
      <c r="BB615">
        <v>2039</v>
      </c>
      <c r="BC615">
        <v>3</v>
      </c>
      <c r="BD615">
        <v>814</v>
      </c>
      <c r="BE615">
        <v>59857</v>
      </c>
      <c r="BF615">
        <v>36</v>
      </c>
      <c r="BG615">
        <v>40</v>
      </c>
      <c r="BH615">
        <v>849</v>
      </c>
      <c r="BI615">
        <v>61896</v>
      </c>
      <c r="BJ615">
        <v>39</v>
      </c>
      <c r="BK615">
        <f t="shared" si="83"/>
        <v>849</v>
      </c>
      <c r="BL615">
        <f t="shared" si="84"/>
        <v>61896</v>
      </c>
      <c r="BM615">
        <f t="shared" si="85"/>
        <v>39</v>
      </c>
      <c r="BN615">
        <f t="shared" si="86"/>
        <v>0</v>
      </c>
      <c r="BO615">
        <f t="shared" si="87"/>
        <v>0</v>
      </c>
      <c r="BP615">
        <f t="shared" si="88"/>
        <v>0</v>
      </c>
      <c r="BQ615" t="s">
        <v>136</v>
      </c>
      <c r="BR615" t="s">
        <v>140</v>
      </c>
      <c r="BS615" s="1">
        <v>31372</v>
      </c>
      <c r="BT615">
        <v>40</v>
      </c>
      <c r="BU615" s="1">
        <v>45658</v>
      </c>
      <c r="BV615" s="1">
        <v>45658</v>
      </c>
      <c r="BW615">
        <v>22</v>
      </c>
      <c r="BX615">
        <v>1985</v>
      </c>
      <c r="BY615">
        <v>22</v>
      </c>
      <c r="BZ615">
        <f t="shared" si="89"/>
        <v>0</v>
      </c>
      <c r="CA615">
        <f t="shared" si="90"/>
        <v>0</v>
      </c>
      <c r="CB615" t="b">
        <f t="shared" si="91"/>
        <v>1</v>
      </c>
    </row>
    <row r="616" spans="1:80" x14ac:dyDescent="0.3">
      <c r="A616" t="s">
        <v>5266</v>
      </c>
      <c r="B616" t="s">
        <v>71</v>
      </c>
      <c r="C616" t="s">
        <v>5267</v>
      </c>
      <c r="D616">
        <v>38</v>
      </c>
      <c r="E616" s="1">
        <v>31827</v>
      </c>
      <c r="F616" t="s">
        <v>89</v>
      </c>
      <c r="G616" t="s">
        <v>97</v>
      </c>
      <c r="H616" t="s">
        <v>89</v>
      </c>
      <c r="I616" t="s">
        <v>243</v>
      </c>
      <c r="J616" t="s">
        <v>89</v>
      </c>
      <c r="K616" t="s">
        <v>89</v>
      </c>
      <c r="L616" t="s">
        <v>130</v>
      </c>
      <c r="M616">
        <v>21</v>
      </c>
      <c r="N616" t="s">
        <v>100</v>
      </c>
      <c r="O616">
        <v>2008</v>
      </c>
      <c r="P616" t="s">
        <v>5268</v>
      </c>
      <c r="Q616" t="s">
        <v>5269</v>
      </c>
      <c r="R616">
        <v>56543</v>
      </c>
      <c r="S616" t="s">
        <v>5266</v>
      </c>
      <c r="T616" t="s">
        <v>1636</v>
      </c>
      <c r="U616">
        <v>1987</v>
      </c>
      <c r="V616" t="s">
        <v>5270</v>
      </c>
      <c r="W616">
        <v>1.86</v>
      </c>
      <c r="X616" t="s">
        <v>76</v>
      </c>
      <c r="Y616" t="s">
        <v>235</v>
      </c>
      <c r="Z616" t="s">
        <v>87</v>
      </c>
      <c r="AA616" t="s">
        <v>5271</v>
      </c>
      <c r="AB616" s="1">
        <v>45723</v>
      </c>
      <c r="AC616" t="s">
        <v>170</v>
      </c>
      <c r="AD616" t="s">
        <v>89</v>
      </c>
      <c r="AE616" t="s">
        <v>3392</v>
      </c>
      <c r="AF616">
        <v>22</v>
      </c>
      <c r="AG616" t="s">
        <v>91</v>
      </c>
      <c r="AH616">
        <v>39942</v>
      </c>
      <c r="AI616">
        <v>22</v>
      </c>
      <c r="AJ616" t="s">
        <v>110</v>
      </c>
      <c r="AK616">
        <v>22</v>
      </c>
      <c r="AL616">
        <v>1</v>
      </c>
      <c r="AM616">
        <v>32</v>
      </c>
      <c r="AN616">
        <v>6</v>
      </c>
      <c r="AO616">
        <v>1</v>
      </c>
      <c r="AP616" t="s">
        <v>93</v>
      </c>
      <c r="AQ616" t="s">
        <v>89</v>
      </c>
      <c r="AR616" t="s">
        <v>89</v>
      </c>
      <c r="AS616" t="s">
        <v>93</v>
      </c>
      <c r="AT616" t="s">
        <v>89</v>
      </c>
      <c r="AU616" t="s">
        <v>89</v>
      </c>
      <c r="AV616" t="s">
        <v>89</v>
      </c>
      <c r="AW616">
        <v>17</v>
      </c>
      <c r="AX616" t="s">
        <v>89</v>
      </c>
      <c r="AY616" t="s">
        <v>93</v>
      </c>
      <c r="AZ616">
        <v>0</v>
      </c>
      <c r="BA616">
        <v>0</v>
      </c>
      <c r="BB616">
        <v>0</v>
      </c>
      <c r="BC616">
        <v>0</v>
      </c>
      <c r="BD616">
        <v>188</v>
      </c>
      <c r="BE616">
        <v>15807</v>
      </c>
      <c r="BF616">
        <v>5</v>
      </c>
      <c r="BG616" t="s">
        <v>89</v>
      </c>
      <c r="BH616">
        <v>188</v>
      </c>
      <c r="BI616">
        <v>15807</v>
      </c>
      <c r="BJ616">
        <v>5</v>
      </c>
      <c r="BK616">
        <f t="shared" si="83"/>
        <v>188</v>
      </c>
      <c r="BL616">
        <f t="shared" si="84"/>
        <v>15807</v>
      </c>
      <c r="BM616">
        <f t="shared" si="85"/>
        <v>5</v>
      </c>
      <c r="BN616">
        <f t="shared" si="86"/>
        <v>0</v>
      </c>
      <c r="BO616">
        <f t="shared" si="87"/>
        <v>0</v>
      </c>
      <c r="BP616">
        <f t="shared" si="88"/>
        <v>0</v>
      </c>
      <c r="BQ616" t="s">
        <v>235</v>
      </c>
      <c r="BR616" t="s">
        <v>140</v>
      </c>
      <c r="BS616" s="1">
        <v>31827</v>
      </c>
      <c r="BT616">
        <v>38</v>
      </c>
      <c r="BU616" t="s">
        <v>89</v>
      </c>
      <c r="BV616" t="s">
        <v>89</v>
      </c>
      <c r="BW616">
        <v>16</v>
      </c>
      <c r="BX616">
        <v>1987</v>
      </c>
      <c r="BY616">
        <v>16</v>
      </c>
      <c r="BZ616">
        <f t="shared" si="89"/>
        <v>1</v>
      </c>
      <c r="CA616">
        <f t="shared" si="90"/>
        <v>0</v>
      </c>
      <c r="CB616" t="b">
        <f t="shared" si="91"/>
        <v>0</v>
      </c>
    </row>
    <row r="617" spans="1:80" x14ac:dyDescent="0.3">
      <c r="A617" t="s">
        <v>5272</v>
      </c>
      <c r="B617" t="s">
        <v>71</v>
      </c>
      <c r="C617" t="s">
        <v>5273</v>
      </c>
      <c r="D617">
        <v>45</v>
      </c>
      <c r="E617" s="1">
        <v>29238</v>
      </c>
      <c r="F617" t="s">
        <v>89</v>
      </c>
      <c r="G617" t="s">
        <v>400</v>
      </c>
      <c r="H617" t="s">
        <v>89</v>
      </c>
      <c r="I617" t="s">
        <v>555</v>
      </c>
      <c r="J617" t="s">
        <v>89</v>
      </c>
      <c r="K617" t="s">
        <v>89</v>
      </c>
      <c r="L617" t="s">
        <v>866</v>
      </c>
      <c r="M617">
        <v>18</v>
      </c>
      <c r="N617" t="s">
        <v>2106</v>
      </c>
      <c r="O617">
        <v>1998</v>
      </c>
      <c r="P617" t="s">
        <v>5274</v>
      </c>
      <c r="Q617" t="s">
        <v>5275</v>
      </c>
      <c r="R617">
        <v>27683</v>
      </c>
      <c r="S617" t="s">
        <v>5272</v>
      </c>
      <c r="T617" t="s">
        <v>5276</v>
      </c>
      <c r="U617">
        <v>1980</v>
      </c>
      <c r="V617" t="s">
        <v>5277</v>
      </c>
      <c r="W617">
        <v>1.83</v>
      </c>
      <c r="X617" t="s">
        <v>76</v>
      </c>
      <c r="Y617" t="s">
        <v>86</v>
      </c>
      <c r="Z617" t="s">
        <v>87</v>
      </c>
      <c r="AA617" t="s">
        <v>4790</v>
      </c>
      <c r="AB617">
        <v>42921</v>
      </c>
      <c r="AC617" t="s">
        <v>108</v>
      </c>
      <c r="AD617" t="s">
        <v>89</v>
      </c>
      <c r="AE617" t="s">
        <v>727</v>
      </c>
      <c r="AF617">
        <v>26</v>
      </c>
      <c r="AG617" t="s">
        <v>91</v>
      </c>
      <c r="AH617" t="s">
        <v>2021</v>
      </c>
      <c r="AI617">
        <v>19</v>
      </c>
      <c r="AJ617" t="s">
        <v>110</v>
      </c>
      <c r="AK617">
        <v>19</v>
      </c>
      <c r="AL617">
        <v>4</v>
      </c>
      <c r="AM617">
        <v>335</v>
      </c>
      <c r="AN617">
        <v>37</v>
      </c>
      <c r="AO617">
        <v>4</v>
      </c>
      <c r="AP617" t="s">
        <v>93</v>
      </c>
      <c r="AQ617" t="s">
        <v>89</v>
      </c>
      <c r="AR617" t="s">
        <v>89</v>
      </c>
      <c r="AS617" t="s">
        <v>111</v>
      </c>
      <c r="AT617">
        <v>42921</v>
      </c>
      <c r="AU617">
        <v>2017</v>
      </c>
      <c r="AV617">
        <v>19</v>
      </c>
      <c r="AW617">
        <v>19</v>
      </c>
      <c r="AX617" t="s">
        <v>89</v>
      </c>
      <c r="AY617" t="s">
        <v>93</v>
      </c>
      <c r="AZ617">
        <v>0</v>
      </c>
      <c r="BA617">
        <v>0</v>
      </c>
      <c r="BB617">
        <v>0</v>
      </c>
      <c r="BC617">
        <v>0</v>
      </c>
      <c r="BD617">
        <v>453</v>
      </c>
      <c r="BE617">
        <v>37180</v>
      </c>
      <c r="BF617">
        <v>40</v>
      </c>
      <c r="BG617">
        <v>37</v>
      </c>
      <c r="BH617">
        <v>453</v>
      </c>
      <c r="BI617">
        <v>37180</v>
      </c>
      <c r="BJ617">
        <v>40</v>
      </c>
      <c r="BK617">
        <f t="shared" si="83"/>
        <v>453</v>
      </c>
      <c r="BL617">
        <f t="shared" si="84"/>
        <v>37180</v>
      </c>
      <c r="BM617">
        <f t="shared" si="85"/>
        <v>40</v>
      </c>
      <c r="BN617">
        <f t="shared" si="86"/>
        <v>0</v>
      </c>
      <c r="BO617">
        <f t="shared" si="87"/>
        <v>0</v>
      </c>
      <c r="BP617">
        <f t="shared" si="88"/>
        <v>0</v>
      </c>
      <c r="BQ617" t="s">
        <v>86</v>
      </c>
      <c r="BR617" t="s">
        <v>94</v>
      </c>
      <c r="BS617" t="s">
        <v>89</v>
      </c>
      <c r="BT617">
        <v>46</v>
      </c>
      <c r="BU617">
        <v>42921</v>
      </c>
      <c r="BV617" t="s">
        <v>89</v>
      </c>
      <c r="BW617">
        <v>18</v>
      </c>
      <c r="BX617">
        <v>1980</v>
      </c>
      <c r="BY617">
        <v>18</v>
      </c>
      <c r="BZ617">
        <f t="shared" si="89"/>
        <v>1</v>
      </c>
      <c r="CA617">
        <f t="shared" si="90"/>
        <v>0</v>
      </c>
      <c r="CB617" t="b">
        <f t="shared" si="91"/>
        <v>0</v>
      </c>
    </row>
    <row r="618" spans="1:80" x14ac:dyDescent="0.3">
      <c r="A618" t="s">
        <v>5278</v>
      </c>
      <c r="B618" t="s">
        <v>617</v>
      </c>
      <c r="C618" t="s">
        <v>5279</v>
      </c>
      <c r="D618">
        <v>32</v>
      </c>
      <c r="E618" t="s">
        <v>5280</v>
      </c>
      <c r="F618" t="s">
        <v>5281</v>
      </c>
      <c r="G618" t="s">
        <v>277</v>
      </c>
      <c r="H618" t="s">
        <v>619</v>
      </c>
      <c r="I618" t="s">
        <v>437</v>
      </c>
      <c r="J618" t="s">
        <v>78</v>
      </c>
      <c r="K618" t="s">
        <v>5282</v>
      </c>
      <c r="L618" t="s">
        <v>80</v>
      </c>
      <c r="M618">
        <v>19</v>
      </c>
      <c r="N618" t="s">
        <v>5283</v>
      </c>
      <c r="O618">
        <v>2012</v>
      </c>
      <c r="P618" t="s">
        <v>5284</v>
      </c>
      <c r="Q618" t="s">
        <v>5285</v>
      </c>
      <c r="R618">
        <v>185245</v>
      </c>
      <c r="S618" t="s">
        <v>5278</v>
      </c>
      <c r="T618">
        <v>34278</v>
      </c>
      <c r="U618">
        <v>1993</v>
      </c>
      <c r="V618" t="s">
        <v>5286</v>
      </c>
      <c r="W618">
        <v>1.88</v>
      </c>
      <c r="X618" t="s">
        <v>619</v>
      </c>
      <c r="Y618" t="s">
        <v>123</v>
      </c>
      <c r="Z618" t="s">
        <v>87</v>
      </c>
      <c r="AA618" t="s">
        <v>5282</v>
      </c>
      <c r="AB618" t="s">
        <v>5287</v>
      </c>
      <c r="AC618" t="s">
        <v>88</v>
      </c>
      <c r="AD618" t="s">
        <v>223</v>
      </c>
      <c r="AE618" s="1">
        <v>2011</v>
      </c>
      <c r="AF618">
        <v>17</v>
      </c>
      <c r="AG618" t="s">
        <v>5288</v>
      </c>
      <c r="AH618">
        <v>2018</v>
      </c>
      <c r="AI618">
        <v>25</v>
      </c>
      <c r="AJ618">
        <v>0</v>
      </c>
      <c r="AK618">
        <v>17</v>
      </c>
      <c r="AL618">
        <v>17</v>
      </c>
      <c r="AM618">
        <v>525</v>
      </c>
      <c r="AN618">
        <v>79</v>
      </c>
      <c r="AO618">
        <v>7</v>
      </c>
      <c r="AP618" t="s">
        <v>93</v>
      </c>
      <c r="AQ618" t="s">
        <v>89</v>
      </c>
      <c r="AR618" t="s">
        <v>89</v>
      </c>
      <c r="AS618" t="s">
        <v>93</v>
      </c>
      <c r="AT618" t="s">
        <v>89</v>
      </c>
      <c r="AU618" t="s">
        <v>89</v>
      </c>
      <c r="AV618" t="s">
        <v>89</v>
      </c>
      <c r="AW618">
        <v>13</v>
      </c>
      <c r="AX618">
        <v>9</v>
      </c>
      <c r="AY618" t="s">
        <v>111</v>
      </c>
      <c r="AZ618">
        <v>3</v>
      </c>
      <c r="BA618">
        <v>12</v>
      </c>
      <c r="BB618">
        <v>628</v>
      </c>
      <c r="BC618">
        <v>4</v>
      </c>
      <c r="BD618">
        <v>341</v>
      </c>
      <c r="BE618">
        <v>23286</v>
      </c>
      <c r="BF618">
        <v>119</v>
      </c>
      <c r="BG618" t="s">
        <v>89</v>
      </c>
      <c r="BH618">
        <v>353</v>
      </c>
      <c r="BI618">
        <v>23914</v>
      </c>
      <c r="BJ618">
        <v>123</v>
      </c>
      <c r="BK618">
        <f t="shared" si="83"/>
        <v>353</v>
      </c>
      <c r="BL618">
        <f t="shared" si="84"/>
        <v>23914</v>
      </c>
      <c r="BM618">
        <f t="shared" si="85"/>
        <v>123</v>
      </c>
      <c r="BN618">
        <f t="shared" si="86"/>
        <v>0</v>
      </c>
      <c r="BO618">
        <f t="shared" si="87"/>
        <v>0</v>
      </c>
      <c r="BP618">
        <f t="shared" si="88"/>
        <v>0</v>
      </c>
      <c r="BQ618" t="s">
        <v>123</v>
      </c>
      <c r="BR618" t="s">
        <v>112</v>
      </c>
      <c r="BS618" t="s">
        <v>89</v>
      </c>
      <c r="BT618">
        <v>33</v>
      </c>
      <c r="BU618" t="s">
        <v>89</v>
      </c>
      <c r="BV618" t="s">
        <v>89</v>
      </c>
      <c r="BW618">
        <v>16</v>
      </c>
      <c r="BX618">
        <v>1993</v>
      </c>
      <c r="BY618">
        <v>15</v>
      </c>
      <c r="BZ618">
        <f t="shared" si="89"/>
        <v>-3</v>
      </c>
      <c r="CA618">
        <f t="shared" si="90"/>
        <v>1</v>
      </c>
      <c r="CB618" t="b">
        <f t="shared" si="91"/>
        <v>0</v>
      </c>
    </row>
    <row r="619" spans="1:80" x14ac:dyDescent="0.3">
      <c r="A619" t="s">
        <v>5289</v>
      </c>
      <c r="B619" t="s">
        <v>5290</v>
      </c>
      <c r="C619" t="s">
        <v>5291</v>
      </c>
      <c r="D619">
        <v>47</v>
      </c>
      <c r="E619">
        <v>28425</v>
      </c>
      <c r="F619" t="s">
        <v>89</v>
      </c>
      <c r="G619" t="s">
        <v>2881</v>
      </c>
      <c r="H619" t="s">
        <v>5292</v>
      </c>
      <c r="I619" t="s">
        <v>5293</v>
      </c>
      <c r="J619" t="s">
        <v>78</v>
      </c>
      <c r="K619" t="s">
        <v>89</v>
      </c>
      <c r="L619">
        <v>2003</v>
      </c>
      <c r="M619">
        <v>25</v>
      </c>
      <c r="N619" t="s">
        <v>5294</v>
      </c>
      <c r="O619">
        <v>2003</v>
      </c>
      <c r="P619" t="s">
        <v>5295</v>
      </c>
      <c r="Q619" t="s">
        <v>5296</v>
      </c>
      <c r="R619">
        <v>15581</v>
      </c>
      <c r="S619" t="s">
        <v>5297</v>
      </c>
      <c r="T619" t="s">
        <v>5298</v>
      </c>
      <c r="U619">
        <v>1977</v>
      </c>
      <c r="V619" t="s">
        <v>5299</v>
      </c>
      <c r="W619">
        <v>1.96</v>
      </c>
      <c r="X619" t="s">
        <v>5292</v>
      </c>
      <c r="Y619" t="s">
        <v>235</v>
      </c>
      <c r="Z619" t="s">
        <v>87</v>
      </c>
      <c r="AA619" t="s">
        <v>131</v>
      </c>
      <c r="AB619">
        <v>42011</v>
      </c>
      <c r="AC619" t="s">
        <v>108</v>
      </c>
      <c r="AD619" t="s">
        <v>89</v>
      </c>
      <c r="AE619">
        <v>35407</v>
      </c>
      <c r="AF619">
        <v>18</v>
      </c>
      <c r="AG619">
        <v>0</v>
      </c>
      <c r="AH619" t="s">
        <v>5300</v>
      </c>
      <c r="AI619">
        <v>35</v>
      </c>
      <c r="AJ619" t="s">
        <v>110</v>
      </c>
      <c r="AK619">
        <v>18</v>
      </c>
      <c r="AL619" t="s">
        <v>89</v>
      </c>
      <c r="AM619" t="s">
        <v>89</v>
      </c>
      <c r="AN619" t="s">
        <v>89</v>
      </c>
      <c r="AO619">
        <v>0</v>
      </c>
      <c r="AP619" t="s">
        <v>93</v>
      </c>
      <c r="AQ619" t="s">
        <v>89</v>
      </c>
      <c r="AR619" t="s">
        <v>89</v>
      </c>
      <c r="AS619" t="s">
        <v>111</v>
      </c>
      <c r="AT619">
        <v>42011</v>
      </c>
      <c r="AU619">
        <v>2015</v>
      </c>
      <c r="AV619">
        <v>12</v>
      </c>
      <c r="AW619">
        <v>22</v>
      </c>
      <c r="AX619" t="s">
        <v>89</v>
      </c>
      <c r="AY619" t="s">
        <v>111</v>
      </c>
      <c r="AZ619">
        <v>1</v>
      </c>
      <c r="BA619">
        <v>4</v>
      </c>
      <c r="BB619">
        <v>46</v>
      </c>
      <c r="BC619">
        <v>0</v>
      </c>
      <c r="BD619">
        <v>381</v>
      </c>
      <c r="BE619">
        <v>30254</v>
      </c>
      <c r="BF619">
        <v>49</v>
      </c>
      <c r="BG619">
        <v>38</v>
      </c>
      <c r="BH619">
        <v>385</v>
      </c>
      <c r="BI619">
        <v>30300</v>
      </c>
      <c r="BJ619">
        <v>49</v>
      </c>
      <c r="BK619">
        <f t="shared" si="83"/>
        <v>385</v>
      </c>
      <c r="BL619">
        <f t="shared" si="84"/>
        <v>30300</v>
      </c>
      <c r="BM619">
        <f t="shared" si="85"/>
        <v>49</v>
      </c>
      <c r="BN619">
        <f t="shared" si="86"/>
        <v>0</v>
      </c>
      <c r="BO619">
        <f t="shared" si="87"/>
        <v>0</v>
      </c>
      <c r="BP619">
        <f t="shared" si="88"/>
        <v>0</v>
      </c>
      <c r="BQ619" t="s">
        <v>235</v>
      </c>
      <c r="BR619" t="s">
        <v>140</v>
      </c>
      <c r="BS619" s="1">
        <v>28425</v>
      </c>
      <c r="BT619">
        <v>48</v>
      </c>
      <c r="BU619">
        <v>42011</v>
      </c>
      <c r="BV619" t="s">
        <v>89</v>
      </c>
      <c r="BW619">
        <v>20</v>
      </c>
      <c r="BX619">
        <v>1977</v>
      </c>
      <c r="BY619">
        <v>20</v>
      </c>
      <c r="BZ619">
        <f t="shared" si="89"/>
        <v>2</v>
      </c>
      <c r="CA619">
        <f t="shared" si="90"/>
        <v>0</v>
      </c>
      <c r="CB619" t="b">
        <f t="shared" si="91"/>
        <v>0</v>
      </c>
    </row>
    <row r="620" spans="1:80" x14ac:dyDescent="0.3">
      <c r="A620" t="s">
        <v>5301</v>
      </c>
      <c r="B620" t="s">
        <v>1231</v>
      </c>
      <c r="C620" t="s">
        <v>5302</v>
      </c>
      <c r="D620">
        <v>31</v>
      </c>
      <c r="E620" t="s">
        <v>1556</v>
      </c>
      <c r="F620" t="s">
        <v>5303</v>
      </c>
      <c r="G620" t="s">
        <v>400</v>
      </c>
      <c r="H620" t="s">
        <v>1234</v>
      </c>
      <c r="I620" t="s">
        <v>5304</v>
      </c>
      <c r="J620" t="s">
        <v>78</v>
      </c>
      <c r="K620" t="s">
        <v>5305</v>
      </c>
      <c r="L620" t="s">
        <v>324</v>
      </c>
      <c r="M620">
        <v>19</v>
      </c>
      <c r="N620" t="s">
        <v>490</v>
      </c>
      <c r="O620">
        <v>2013</v>
      </c>
      <c r="P620" t="s">
        <v>5306</v>
      </c>
      <c r="Q620" t="s">
        <v>5307</v>
      </c>
      <c r="R620">
        <v>182712</v>
      </c>
      <c r="S620" t="s">
        <v>5301</v>
      </c>
      <c r="T620" t="s">
        <v>1561</v>
      </c>
      <c r="U620">
        <v>1994</v>
      </c>
      <c r="V620" t="s">
        <v>5308</v>
      </c>
      <c r="W620">
        <v>1.82</v>
      </c>
      <c r="X620" t="s">
        <v>1234</v>
      </c>
      <c r="Y620" t="s">
        <v>136</v>
      </c>
      <c r="Z620" t="s">
        <v>87</v>
      </c>
      <c r="AA620" t="s">
        <v>5305</v>
      </c>
      <c r="AB620" t="s">
        <v>4283</v>
      </c>
      <c r="AC620" t="s">
        <v>88</v>
      </c>
      <c r="AD620" t="s">
        <v>223</v>
      </c>
      <c r="AE620">
        <v>41917</v>
      </c>
      <c r="AF620">
        <v>19</v>
      </c>
      <c r="AG620" t="s">
        <v>613</v>
      </c>
      <c r="AH620" s="1">
        <v>41221</v>
      </c>
      <c r="AI620">
        <v>18</v>
      </c>
      <c r="AJ620" t="s">
        <v>615</v>
      </c>
      <c r="AK620">
        <v>18</v>
      </c>
      <c r="AL620">
        <v>13</v>
      </c>
      <c r="AM620">
        <v>379</v>
      </c>
      <c r="AN620">
        <v>73</v>
      </c>
      <c r="AO620">
        <v>8</v>
      </c>
      <c r="AP620" t="s">
        <v>93</v>
      </c>
      <c r="AQ620" t="s">
        <v>89</v>
      </c>
      <c r="AR620" t="s">
        <v>89</v>
      </c>
      <c r="AS620" t="s">
        <v>93</v>
      </c>
      <c r="AT620" t="s">
        <v>89</v>
      </c>
      <c r="AU620" t="s">
        <v>89</v>
      </c>
      <c r="AV620" t="s">
        <v>89</v>
      </c>
      <c r="AW620">
        <v>12</v>
      </c>
      <c r="AX620">
        <v>20</v>
      </c>
      <c r="AY620" t="s">
        <v>111</v>
      </c>
      <c r="AZ620">
        <v>18</v>
      </c>
      <c r="BA620">
        <v>62</v>
      </c>
      <c r="BB620">
        <v>4962</v>
      </c>
      <c r="BC620">
        <v>12</v>
      </c>
      <c r="BD620">
        <v>400</v>
      </c>
      <c r="BE620">
        <v>30328</v>
      </c>
      <c r="BF620">
        <v>20</v>
      </c>
      <c r="BG620" t="s">
        <v>89</v>
      </c>
      <c r="BH620">
        <v>462</v>
      </c>
      <c r="BI620">
        <v>35290</v>
      </c>
      <c r="BJ620">
        <v>32</v>
      </c>
      <c r="BK620">
        <f t="shared" si="83"/>
        <v>462</v>
      </c>
      <c r="BL620">
        <f t="shared" si="84"/>
        <v>35290</v>
      </c>
      <c r="BM620">
        <f t="shared" si="85"/>
        <v>32</v>
      </c>
      <c r="BN620">
        <f t="shared" si="86"/>
        <v>0</v>
      </c>
      <c r="BO620">
        <f t="shared" si="87"/>
        <v>0</v>
      </c>
      <c r="BP620">
        <f t="shared" si="88"/>
        <v>0</v>
      </c>
      <c r="BQ620" t="s">
        <v>136</v>
      </c>
      <c r="BR620" t="s">
        <v>140</v>
      </c>
      <c r="BS620" s="1">
        <v>34481</v>
      </c>
      <c r="BT620">
        <v>31</v>
      </c>
      <c r="BU620" t="s">
        <v>89</v>
      </c>
      <c r="BV620" t="s">
        <v>89</v>
      </c>
      <c r="BW620">
        <v>13</v>
      </c>
      <c r="BX620">
        <v>1994</v>
      </c>
      <c r="BY620">
        <v>13</v>
      </c>
      <c r="BZ620">
        <f t="shared" si="89"/>
        <v>-1</v>
      </c>
      <c r="CA620">
        <f t="shared" si="90"/>
        <v>0</v>
      </c>
      <c r="CB620" t="b">
        <f t="shared" si="91"/>
        <v>0</v>
      </c>
    </row>
    <row r="621" spans="1:80" x14ac:dyDescent="0.3">
      <c r="A621" t="s">
        <v>5309</v>
      </c>
      <c r="B621" t="s">
        <v>1231</v>
      </c>
      <c r="C621" t="s">
        <v>5310</v>
      </c>
      <c r="D621">
        <v>41</v>
      </c>
      <c r="E621" s="1">
        <v>30737</v>
      </c>
      <c r="F621" t="s">
        <v>89</v>
      </c>
      <c r="G621" t="s">
        <v>518</v>
      </c>
      <c r="H621" t="s">
        <v>1234</v>
      </c>
      <c r="I621" t="s">
        <v>596</v>
      </c>
      <c r="J621" t="s">
        <v>78</v>
      </c>
      <c r="K621" t="s">
        <v>89</v>
      </c>
      <c r="L621" t="s">
        <v>657</v>
      </c>
      <c r="M621">
        <v>19</v>
      </c>
      <c r="N621" t="s">
        <v>490</v>
      </c>
      <c r="O621">
        <v>2003</v>
      </c>
      <c r="P621" t="s">
        <v>5311</v>
      </c>
      <c r="Q621" t="s">
        <v>5312</v>
      </c>
      <c r="R621">
        <v>13217</v>
      </c>
      <c r="S621" t="s">
        <v>5309</v>
      </c>
      <c r="T621" t="s">
        <v>5313</v>
      </c>
      <c r="U621">
        <v>1984</v>
      </c>
      <c r="V621" t="s">
        <v>1650</v>
      </c>
      <c r="W621">
        <v>1.72</v>
      </c>
      <c r="X621" t="s">
        <v>1234</v>
      </c>
      <c r="Y621" t="s">
        <v>136</v>
      </c>
      <c r="Z621" t="s">
        <v>87</v>
      </c>
      <c r="AA621" t="s">
        <v>5314</v>
      </c>
      <c r="AB621">
        <v>44203</v>
      </c>
      <c r="AC621" t="s">
        <v>108</v>
      </c>
      <c r="AD621" t="s">
        <v>223</v>
      </c>
      <c r="AE621" t="s">
        <v>3205</v>
      </c>
      <c r="AF621">
        <v>19</v>
      </c>
      <c r="AG621" t="s">
        <v>613</v>
      </c>
      <c r="AH621">
        <v>38727</v>
      </c>
      <c r="AI621">
        <v>22</v>
      </c>
      <c r="AJ621" t="s">
        <v>615</v>
      </c>
      <c r="AK621">
        <v>19</v>
      </c>
      <c r="AL621">
        <v>11</v>
      </c>
      <c r="AM621">
        <v>192</v>
      </c>
      <c r="AN621">
        <v>35</v>
      </c>
      <c r="AO621">
        <v>6</v>
      </c>
      <c r="AP621" t="s">
        <v>93</v>
      </c>
      <c r="AQ621" t="s">
        <v>89</v>
      </c>
      <c r="AR621" t="s">
        <v>89</v>
      </c>
      <c r="AS621" t="s">
        <v>111</v>
      </c>
      <c r="AT621">
        <v>44203</v>
      </c>
      <c r="AU621">
        <v>2021</v>
      </c>
      <c r="AV621">
        <v>18</v>
      </c>
      <c r="AW621">
        <v>18</v>
      </c>
      <c r="AX621" t="s">
        <v>89</v>
      </c>
      <c r="AY621" t="s">
        <v>111</v>
      </c>
      <c r="AZ621">
        <v>6</v>
      </c>
      <c r="BA621">
        <v>28</v>
      </c>
      <c r="BB621">
        <v>2485</v>
      </c>
      <c r="BC621">
        <v>0</v>
      </c>
      <c r="BD621">
        <v>475</v>
      </c>
      <c r="BE621">
        <v>38204</v>
      </c>
      <c r="BF621">
        <v>13</v>
      </c>
      <c r="BG621">
        <v>37</v>
      </c>
      <c r="BH621">
        <v>503</v>
      </c>
      <c r="BI621">
        <v>40689</v>
      </c>
      <c r="BJ621">
        <v>13</v>
      </c>
      <c r="BK621">
        <f t="shared" si="83"/>
        <v>503</v>
      </c>
      <c r="BL621">
        <f t="shared" si="84"/>
        <v>40689</v>
      </c>
      <c r="BM621">
        <f t="shared" si="85"/>
        <v>13</v>
      </c>
      <c r="BN621">
        <f t="shared" si="86"/>
        <v>0</v>
      </c>
      <c r="BO621">
        <f t="shared" si="87"/>
        <v>0</v>
      </c>
      <c r="BP621">
        <f t="shared" si="88"/>
        <v>0</v>
      </c>
      <c r="BQ621" t="s">
        <v>136</v>
      </c>
      <c r="BR621" t="s">
        <v>140</v>
      </c>
      <c r="BS621" t="s">
        <v>89</v>
      </c>
      <c r="BT621">
        <v>42</v>
      </c>
      <c r="BU621">
        <v>44203</v>
      </c>
      <c r="BV621" t="s">
        <v>89</v>
      </c>
      <c r="BW621">
        <v>18</v>
      </c>
      <c r="BX621">
        <v>1984</v>
      </c>
      <c r="BY621">
        <v>18</v>
      </c>
      <c r="BZ621">
        <f t="shared" si="89"/>
        <v>0</v>
      </c>
      <c r="CA621">
        <f t="shared" si="90"/>
        <v>0</v>
      </c>
      <c r="CB621" t="b">
        <f t="shared" si="91"/>
        <v>1</v>
      </c>
    </row>
    <row r="622" spans="1:80" x14ac:dyDescent="0.3">
      <c r="A622" t="s">
        <v>5315</v>
      </c>
      <c r="B622" t="s">
        <v>776</v>
      </c>
      <c r="C622" t="s">
        <v>5316</v>
      </c>
      <c r="D622">
        <v>36</v>
      </c>
      <c r="E622" s="1">
        <v>32454</v>
      </c>
      <c r="F622" t="s">
        <v>89</v>
      </c>
      <c r="G622" t="s">
        <v>400</v>
      </c>
      <c r="H622" t="s">
        <v>778</v>
      </c>
      <c r="I622" t="s">
        <v>2691</v>
      </c>
      <c r="J622" t="s">
        <v>89</v>
      </c>
      <c r="K622" t="s">
        <v>89</v>
      </c>
      <c r="L622" t="s">
        <v>228</v>
      </c>
      <c r="M622">
        <v>21</v>
      </c>
      <c r="N622" t="s">
        <v>164</v>
      </c>
      <c r="O622">
        <v>2010</v>
      </c>
      <c r="P622" t="s">
        <v>5317</v>
      </c>
      <c r="Q622" t="s">
        <v>5318</v>
      </c>
      <c r="R622">
        <v>54996</v>
      </c>
      <c r="S622" t="s">
        <v>5315</v>
      </c>
      <c r="T622" t="s">
        <v>5319</v>
      </c>
      <c r="U622">
        <v>1988</v>
      </c>
      <c r="V622" t="s">
        <v>5320</v>
      </c>
      <c r="W622">
        <v>1.79</v>
      </c>
      <c r="X622" t="s">
        <v>783</v>
      </c>
      <c r="Y622" t="s">
        <v>259</v>
      </c>
      <c r="Z622" t="s">
        <v>87</v>
      </c>
      <c r="AA622" t="s">
        <v>476</v>
      </c>
      <c r="AB622" s="1">
        <v>45297</v>
      </c>
      <c r="AC622" t="s">
        <v>108</v>
      </c>
      <c r="AD622" t="s">
        <v>442</v>
      </c>
      <c r="AE622" s="1">
        <v>2009</v>
      </c>
      <c r="AF622">
        <v>20</v>
      </c>
      <c r="AG622">
        <v>0</v>
      </c>
      <c r="AH622">
        <v>2014</v>
      </c>
      <c r="AI622">
        <v>25</v>
      </c>
      <c r="AJ622">
        <v>0</v>
      </c>
      <c r="AK622">
        <v>20</v>
      </c>
      <c r="AL622">
        <v>1</v>
      </c>
      <c r="AM622">
        <v>178</v>
      </c>
      <c r="AN622">
        <v>27</v>
      </c>
      <c r="AO622">
        <v>1</v>
      </c>
      <c r="AP622" t="s">
        <v>93</v>
      </c>
      <c r="AQ622" t="s">
        <v>89</v>
      </c>
      <c r="AR622" t="s">
        <v>89</v>
      </c>
      <c r="AS622" t="s">
        <v>93</v>
      </c>
      <c r="AT622" t="s">
        <v>89</v>
      </c>
      <c r="AU622" t="s">
        <v>89</v>
      </c>
      <c r="AV622" t="s">
        <v>89</v>
      </c>
      <c r="AW622">
        <v>15</v>
      </c>
      <c r="AX622" t="s">
        <v>89</v>
      </c>
      <c r="AY622" t="s">
        <v>93</v>
      </c>
      <c r="AZ622">
        <v>0</v>
      </c>
      <c r="BA622">
        <v>0</v>
      </c>
      <c r="BB622">
        <v>0</v>
      </c>
      <c r="BC622">
        <v>0</v>
      </c>
      <c r="BD622">
        <v>164</v>
      </c>
      <c r="BE622">
        <v>12456</v>
      </c>
      <c r="BF622">
        <v>13</v>
      </c>
      <c r="BG622" t="s">
        <v>89</v>
      </c>
      <c r="BH622">
        <v>164</v>
      </c>
      <c r="BI622">
        <v>12456</v>
      </c>
      <c r="BJ622">
        <v>13</v>
      </c>
      <c r="BK622">
        <f t="shared" si="83"/>
        <v>164</v>
      </c>
      <c r="BL622">
        <f t="shared" si="84"/>
        <v>12456</v>
      </c>
      <c r="BM622">
        <f t="shared" si="85"/>
        <v>13</v>
      </c>
      <c r="BN622">
        <f t="shared" si="86"/>
        <v>0</v>
      </c>
      <c r="BO622">
        <f t="shared" si="87"/>
        <v>0</v>
      </c>
      <c r="BP622">
        <f t="shared" si="88"/>
        <v>0</v>
      </c>
      <c r="BQ622" t="s">
        <v>259</v>
      </c>
      <c r="BR622" t="s">
        <v>94</v>
      </c>
      <c r="BS622" t="s">
        <v>89</v>
      </c>
      <c r="BT622">
        <v>38</v>
      </c>
      <c r="BU622" t="s">
        <v>89</v>
      </c>
      <c r="BV622" t="s">
        <v>89</v>
      </c>
      <c r="BW622">
        <v>18</v>
      </c>
      <c r="BX622">
        <v>1988</v>
      </c>
      <c r="BY622">
        <v>16</v>
      </c>
      <c r="BZ622">
        <f t="shared" si="89"/>
        <v>-3</v>
      </c>
      <c r="CA622">
        <f t="shared" si="90"/>
        <v>2</v>
      </c>
      <c r="CB622" t="b">
        <f t="shared" si="91"/>
        <v>0</v>
      </c>
    </row>
    <row r="623" spans="1:80" x14ac:dyDescent="0.3">
      <c r="A623" t="s">
        <v>5321</v>
      </c>
      <c r="B623" t="s">
        <v>71</v>
      </c>
      <c r="C623" t="s">
        <v>5322</v>
      </c>
      <c r="D623">
        <v>32</v>
      </c>
      <c r="E623" t="s">
        <v>5323</v>
      </c>
      <c r="F623" t="s">
        <v>5324</v>
      </c>
      <c r="G623" t="s">
        <v>143</v>
      </c>
      <c r="H623" t="s">
        <v>76</v>
      </c>
      <c r="I623" t="s">
        <v>340</v>
      </c>
      <c r="J623" t="s">
        <v>89</v>
      </c>
      <c r="K623" t="s">
        <v>5325</v>
      </c>
      <c r="L623" t="s">
        <v>80</v>
      </c>
      <c r="M623">
        <v>19</v>
      </c>
      <c r="N623" t="s">
        <v>649</v>
      </c>
      <c r="O623">
        <v>2012</v>
      </c>
      <c r="P623" t="s">
        <v>5326</v>
      </c>
      <c r="Q623" t="s">
        <v>5327</v>
      </c>
      <c r="R623">
        <v>121411</v>
      </c>
      <c r="S623" t="s">
        <v>5328</v>
      </c>
      <c r="T623" t="s">
        <v>5329</v>
      </c>
      <c r="U623">
        <v>1993</v>
      </c>
      <c r="V623" t="s">
        <v>4715</v>
      </c>
      <c r="W623">
        <v>1.7</v>
      </c>
      <c r="X623" t="s">
        <v>76</v>
      </c>
      <c r="Y623" t="s">
        <v>106</v>
      </c>
      <c r="Z623" t="s">
        <v>392</v>
      </c>
      <c r="AA623" t="s">
        <v>5330</v>
      </c>
      <c r="AB623" t="s">
        <v>5331</v>
      </c>
      <c r="AC623" t="s">
        <v>170</v>
      </c>
      <c r="AD623" t="s">
        <v>89</v>
      </c>
      <c r="AE623" s="1">
        <v>41853</v>
      </c>
      <c r="AF623">
        <v>20</v>
      </c>
      <c r="AG623" t="s">
        <v>91</v>
      </c>
      <c r="AH623">
        <v>41130</v>
      </c>
      <c r="AI623">
        <v>19</v>
      </c>
      <c r="AJ623" t="s">
        <v>110</v>
      </c>
      <c r="AK623">
        <v>19</v>
      </c>
      <c r="AL623">
        <v>1</v>
      </c>
      <c r="AM623">
        <v>24</v>
      </c>
      <c r="AN623">
        <v>5</v>
      </c>
      <c r="AO623">
        <v>1</v>
      </c>
      <c r="AP623" t="s">
        <v>93</v>
      </c>
      <c r="AQ623" t="s">
        <v>89</v>
      </c>
      <c r="AR623" t="s">
        <v>89</v>
      </c>
      <c r="AS623" t="s">
        <v>93</v>
      </c>
      <c r="AT623" t="s">
        <v>89</v>
      </c>
      <c r="AU623" t="s">
        <v>89</v>
      </c>
      <c r="AV623" t="s">
        <v>89</v>
      </c>
      <c r="AW623">
        <v>13</v>
      </c>
      <c r="AX623">
        <v>10</v>
      </c>
      <c r="AY623" t="s">
        <v>93</v>
      </c>
      <c r="AZ623">
        <v>0</v>
      </c>
      <c r="BA623">
        <v>0</v>
      </c>
      <c r="BB623">
        <v>0</v>
      </c>
      <c r="BC623">
        <v>0</v>
      </c>
      <c r="BD623">
        <v>115</v>
      </c>
      <c r="BE623">
        <v>5214</v>
      </c>
      <c r="BF623">
        <v>16</v>
      </c>
      <c r="BG623" t="s">
        <v>89</v>
      </c>
      <c r="BH623">
        <v>115</v>
      </c>
      <c r="BI623">
        <v>5214</v>
      </c>
      <c r="BJ623">
        <v>16</v>
      </c>
      <c r="BK623">
        <f t="shared" si="83"/>
        <v>115</v>
      </c>
      <c r="BL623">
        <f t="shared" si="84"/>
        <v>5214</v>
      </c>
      <c r="BM623">
        <f t="shared" si="85"/>
        <v>16</v>
      </c>
      <c r="BN623">
        <f t="shared" si="86"/>
        <v>0</v>
      </c>
      <c r="BO623">
        <f t="shared" si="87"/>
        <v>0</v>
      </c>
      <c r="BP623">
        <f t="shared" si="88"/>
        <v>0</v>
      </c>
      <c r="BQ623" t="s">
        <v>106</v>
      </c>
      <c r="BR623" t="s">
        <v>112</v>
      </c>
      <c r="BS623" s="1">
        <v>34107</v>
      </c>
      <c r="BT623">
        <v>32</v>
      </c>
      <c r="BU623" t="s">
        <v>89</v>
      </c>
      <c r="BV623" t="s">
        <v>89</v>
      </c>
      <c r="BW623">
        <v>13</v>
      </c>
      <c r="BX623">
        <v>1993</v>
      </c>
      <c r="BY623">
        <v>13</v>
      </c>
      <c r="BZ623">
        <f t="shared" si="89"/>
        <v>0</v>
      </c>
      <c r="CA623">
        <f t="shared" si="90"/>
        <v>0</v>
      </c>
      <c r="CB623" t="b">
        <f t="shared" si="91"/>
        <v>1</v>
      </c>
    </row>
    <row r="624" spans="1:80" x14ac:dyDescent="0.3">
      <c r="A624" t="s">
        <v>5332</v>
      </c>
      <c r="B624" t="s">
        <v>71</v>
      </c>
      <c r="C624" t="s">
        <v>5333</v>
      </c>
      <c r="D624">
        <v>47</v>
      </c>
      <c r="E624" s="1">
        <v>28524</v>
      </c>
      <c r="F624" t="s">
        <v>89</v>
      </c>
      <c r="G624" t="s">
        <v>400</v>
      </c>
      <c r="H624" t="s">
        <v>76</v>
      </c>
      <c r="I624" t="s">
        <v>195</v>
      </c>
      <c r="J624" t="s">
        <v>89</v>
      </c>
      <c r="K624" t="s">
        <v>89</v>
      </c>
      <c r="L624" t="s">
        <v>866</v>
      </c>
      <c r="M624">
        <v>20</v>
      </c>
      <c r="N624" t="s">
        <v>146</v>
      </c>
      <c r="O624">
        <v>1998</v>
      </c>
      <c r="P624" t="s">
        <v>5334</v>
      </c>
      <c r="Q624" t="s">
        <v>5335</v>
      </c>
      <c r="R624">
        <v>7486</v>
      </c>
      <c r="S624" t="s">
        <v>5332</v>
      </c>
      <c r="T624">
        <v>28551</v>
      </c>
      <c r="U624">
        <v>1978</v>
      </c>
      <c r="V624" t="s">
        <v>5336</v>
      </c>
      <c r="W624">
        <v>1.82</v>
      </c>
      <c r="X624" t="s">
        <v>76</v>
      </c>
      <c r="Y624" t="s">
        <v>203</v>
      </c>
      <c r="Z624" t="s">
        <v>152</v>
      </c>
      <c r="AA624" t="s">
        <v>5337</v>
      </c>
      <c r="AB624">
        <v>42893</v>
      </c>
      <c r="AC624" t="s">
        <v>108</v>
      </c>
      <c r="AD624" t="s">
        <v>89</v>
      </c>
      <c r="AE624" t="s">
        <v>5338</v>
      </c>
      <c r="AF624">
        <v>20</v>
      </c>
      <c r="AG624" t="s">
        <v>91</v>
      </c>
      <c r="AH624" t="s">
        <v>92</v>
      </c>
      <c r="AI624" t="s">
        <v>89</v>
      </c>
      <c r="AJ624" t="s">
        <v>92</v>
      </c>
      <c r="AK624">
        <v>20</v>
      </c>
      <c r="AL624">
        <v>2</v>
      </c>
      <c r="AM624">
        <v>35</v>
      </c>
      <c r="AN624">
        <v>6</v>
      </c>
      <c r="AO624">
        <v>2</v>
      </c>
      <c r="AP624" t="s">
        <v>93</v>
      </c>
      <c r="AQ624" t="s">
        <v>89</v>
      </c>
      <c r="AR624" t="s">
        <v>89</v>
      </c>
      <c r="AS624" t="s">
        <v>111</v>
      </c>
      <c r="AT624">
        <v>42893</v>
      </c>
      <c r="AU624">
        <v>2017</v>
      </c>
      <c r="AV624">
        <v>19</v>
      </c>
      <c r="AW624">
        <v>19</v>
      </c>
      <c r="AX624" t="s">
        <v>89</v>
      </c>
      <c r="AY624" t="s">
        <v>111</v>
      </c>
      <c r="AZ624">
        <v>8</v>
      </c>
      <c r="BA624">
        <v>37</v>
      </c>
      <c r="BB624">
        <v>3252</v>
      </c>
      <c r="BC624">
        <v>2</v>
      </c>
      <c r="BD624">
        <v>485</v>
      </c>
      <c r="BE624">
        <v>39705</v>
      </c>
      <c r="BF624">
        <v>44</v>
      </c>
      <c r="BG624">
        <v>39</v>
      </c>
      <c r="BH624">
        <v>522</v>
      </c>
      <c r="BI624">
        <v>42957</v>
      </c>
      <c r="BJ624">
        <v>46</v>
      </c>
      <c r="BK624">
        <f t="shared" si="83"/>
        <v>522</v>
      </c>
      <c r="BL624">
        <f t="shared" si="84"/>
        <v>42957</v>
      </c>
      <c r="BM624">
        <f t="shared" si="85"/>
        <v>46</v>
      </c>
      <c r="BN624">
        <f t="shared" si="86"/>
        <v>0</v>
      </c>
      <c r="BO624">
        <f t="shared" si="87"/>
        <v>0</v>
      </c>
      <c r="BP624">
        <f t="shared" si="88"/>
        <v>0</v>
      </c>
      <c r="BQ624" t="s">
        <v>203</v>
      </c>
      <c r="BR624" t="s">
        <v>140</v>
      </c>
      <c r="BS624" t="s">
        <v>89</v>
      </c>
      <c r="BT624">
        <v>48</v>
      </c>
      <c r="BU624">
        <v>42893</v>
      </c>
      <c r="BV624" t="s">
        <v>89</v>
      </c>
      <c r="BW624">
        <v>19</v>
      </c>
      <c r="BX624">
        <v>1978</v>
      </c>
      <c r="BY624">
        <v>19</v>
      </c>
      <c r="BZ624">
        <f t="shared" si="89"/>
        <v>0</v>
      </c>
      <c r="CA624">
        <f t="shared" si="90"/>
        <v>0</v>
      </c>
      <c r="CB624" t="b">
        <f t="shared" si="91"/>
        <v>1</v>
      </c>
    </row>
    <row r="625" spans="1:80" x14ac:dyDescent="0.3">
      <c r="A625" t="s">
        <v>5339</v>
      </c>
      <c r="B625" t="s">
        <v>71</v>
      </c>
      <c r="C625" t="s">
        <v>5340</v>
      </c>
      <c r="D625">
        <v>31</v>
      </c>
      <c r="E625" t="s">
        <v>4959</v>
      </c>
      <c r="F625" t="s">
        <v>5341</v>
      </c>
      <c r="G625" t="s">
        <v>176</v>
      </c>
      <c r="H625" t="s">
        <v>89</v>
      </c>
      <c r="I625" t="s">
        <v>5342</v>
      </c>
      <c r="J625" t="s">
        <v>78</v>
      </c>
      <c r="K625" t="s">
        <v>304</v>
      </c>
      <c r="L625" t="s">
        <v>762</v>
      </c>
      <c r="M625">
        <v>20</v>
      </c>
      <c r="N625" t="s">
        <v>146</v>
      </c>
      <c r="O625">
        <v>2014</v>
      </c>
      <c r="P625" t="s">
        <v>5343</v>
      </c>
      <c r="Q625" t="s">
        <v>5344</v>
      </c>
      <c r="R625">
        <v>263727</v>
      </c>
      <c r="S625" t="s">
        <v>5339</v>
      </c>
      <c r="T625">
        <v>34492</v>
      </c>
      <c r="U625">
        <v>1994</v>
      </c>
      <c r="V625" t="s">
        <v>5345</v>
      </c>
      <c r="W625">
        <v>1.85</v>
      </c>
      <c r="X625" t="s">
        <v>76</v>
      </c>
      <c r="Y625" t="s">
        <v>86</v>
      </c>
      <c r="Z625" t="s">
        <v>87</v>
      </c>
      <c r="AA625" t="s">
        <v>1098</v>
      </c>
      <c r="AB625" s="1">
        <v>43472</v>
      </c>
      <c r="AC625" t="s">
        <v>88</v>
      </c>
      <c r="AD625" t="s">
        <v>89</v>
      </c>
      <c r="AE625" t="s">
        <v>1758</v>
      </c>
      <c r="AF625">
        <v>20</v>
      </c>
      <c r="AG625" t="s">
        <v>91</v>
      </c>
      <c r="AH625" t="s">
        <v>2827</v>
      </c>
      <c r="AI625">
        <v>22</v>
      </c>
      <c r="AJ625" t="s">
        <v>110</v>
      </c>
      <c r="AK625">
        <v>20</v>
      </c>
      <c r="AL625">
        <v>7</v>
      </c>
      <c r="AM625">
        <v>236</v>
      </c>
      <c r="AN625">
        <v>34</v>
      </c>
      <c r="AO625">
        <v>6</v>
      </c>
      <c r="AP625" t="s">
        <v>93</v>
      </c>
      <c r="AQ625" t="s">
        <v>89</v>
      </c>
      <c r="AR625" t="s">
        <v>89</v>
      </c>
      <c r="AS625" t="s">
        <v>93</v>
      </c>
      <c r="AT625" t="s">
        <v>89</v>
      </c>
      <c r="AU625" t="s">
        <v>89</v>
      </c>
      <c r="AV625" t="s">
        <v>89</v>
      </c>
      <c r="AW625">
        <v>11</v>
      </c>
      <c r="AX625">
        <v>8</v>
      </c>
      <c r="AY625" t="s">
        <v>93</v>
      </c>
      <c r="AZ625">
        <v>0</v>
      </c>
      <c r="BA625">
        <v>0</v>
      </c>
      <c r="BB625">
        <v>0</v>
      </c>
      <c r="BC625">
        <v>0</v>
      </c>
      <c r="BD625">
        <v>351</v>
      </c>
      <c r="BE625">
        <v>24220</v>
      </c>
      <c r="BF625">
        <v>26</v>
      </c>
      <c r="BG625" t="s">
        <v>89</v>
      </c>
      <c r="BH625">
        <v>351</v>
      </c>
      <c r="BI625">
        <v>24220</v>
      </c>
      <c r="BJ625">
        <v>26</v>
      </c>
      <c r="BK625">
        <f t="shared" si="83"/>
        <v>351</v>
      </c>
      <c r="BL625">
        <f t="shared" si="84"/>
        <v>24220</v>
      </c>
      <c r="BM625">
        <f t="shared" si="85"/>
        <v>26</v>
      </c>
      <c r="BN625">
        <f t="shared" si="86"/>
        <v>0</v>
      </c>
      <c r="BO625">
        <f t="shared" si="87"/>
        <v>0</v>
      </c>
      <c r="BP625">
        <f t="shared" si="88"/>
        <v>0</v>
      </c>
      <c r="BQ625" t="s">
        <v>86</v>
      </c>
      <c r="BR625" t="s">
        <v>94</v>
      </c>
      <c r="BS625" t="s">
        <v>89</v>
      </c>
      <c r="BT625">
        <v>32</v>
      </c>
      <c r="BU625" t="s">
        <v>89</v>
      </c>
      <c r="BV625" t="s">
        <v>89</v>
      </c>
      <c r="BW625">
        <v>12</v>
      </c>
      <c r="BX625">
        <v>1994</v>
      </c>
      <c r="BY625">
        <v>11</v>
      </c>
      <c r="BZ625">
        <f t="shared" si="89"/>
        <v>-1</v>
      </c>
      <c r="CA625">
        <f t="shared" si="90"/>
        <v>1</v>
      </c>
      <c r="CB625" t="b">
        <f t="shared" si="91"/>
        <v>0</v>
      </c>
    </row>
    <row r="626" spans="1:80" x14ac:dyDescent="0.3">
      <c r="A626" t="s">
        <v>5346</v>
      </c>
      <c r="B626" t="s">
        <v>71</v>
      </c>
      <c r="C626" t="s">
        <v>5347</v>
      </c>
      <c r="D626">
        <v>38</v>
      </c>
      <c r="E626" t="s">
        <v>5348</v>
      </c>
      <c r="F626" t="s">
        <v>5349</v>
      </c>
      <c r="G626" t="s">
        <v>143</v>
      </c>
      <c r="H626" t="s">
        <v>89</v>
      </c>
      <c r="I626" t="s">
        <v>195</v>
      </c>
      <c r="J626" t="s">
        <v>89</v>
      </c>
      <c r="K626" t="s">
        <v>1831</v>
      </c>
      <c r="L626" t="s">
        <v>254</v>
      </c>
      <c r="M626">
        <v>22</v>
      </c>
      <c r="N626" t="s">
        <v>2060</v>
      </c>
      <c r="O626">
        <v>2009</v>
      </c>
      <c r="P626" t="s">
        <v>5350</v>
      </c>
      <c r="Q626" t="s">
        <v>5351</v>
      </c>
      <c r="R626">
        <v>73215</v>
      </c>
      <c r="S626" t="s">
        <v>5346</v>
      </c>
      <c r="T626" s="1">
        <v>31543</v>
      </c>
      <c r="U626">
        <v>1986</v>
      </c>
      <c r="V626" t="s">
        <v>3244</v>
      </c>
      <c r="W626">
        <v>1.75</v>
      </c>
      <c r="X626" t="s">
        <v>76</v>
      </c>
      <c r="Y626" t="s">
        <v>203</v>
      </c>
      <c r="Z626" t="s">
        <v>152</v>
      </c>
      <c r="AA626" t="s">
        <v>1831</v>
      </c>
      <c r="AB626">
        <v>45664</v>
      </c>
      <c r="AC626" t="s">
        <v>108</v>
      </c>
      <c r="AD626" t="s">
        <v>89</v>
      </c>
      <c r="AE626" t="s">
        <v>5352</v>
      </c>
      <c r="AF626">
        <v>24</v>
      </c>
      <c r="AG626" t="s">
        <v>91</v>
      </c>
      <c r="AH626" t="s">
        <v>371</v>
      </c>
      <c r="AI626">
        <v>22</v>
      </c>
      <c r="AJ626" t="s">
        <v>110</v>
      </c>
      <c r="AK626">
        <v>22</v>
      </c>
      <c r="AL626">
        <v>1</v>
      </c>
      <c r="AM626">
        <v>32</v>
      </c>
      <c r="AN626">
        <v>5</v>
      </c>
      <c r="AO626">
        <v>1</v>
      </c>
      <c r="AP626" t="s">
        <v>93</v>
      </c>
      <c r="AQ626" t="s">
        <v>89</v>
      </c>
      <c r="AR626" t="s">
        <v>89</v>
      </c>
      <c r="AS626" t="s">
        <v>111</v>
      </c>
      <c r="AT626">
        <v>45664</v>
      </c>
      <c r="AU626">
        <v>2025</v>
      </c>
      <c r="AV626">
        <v>16</v>
      </c>
      <c r="AW626">
        <v>16</v>
      </c>
      <c r="AX626" t="s">
        <v>89</v>
      </c>
      <c r="AY626" t="s">
        <v>93</v>
      </c>
      <c r="AZ626">
        <v>0</v>
      </c>
      <c r="BA626">
        <v>0</v>
      </c>
      <c r="BB626">
        <v>0</v>
      </c>
      <c r="BC626">
        <v>0</v>
      </c>
      <c r="BD626">
        <v>198</v>
      </c>
      <c r="BE626">
        <v>16009</v>
      </c>
      <c r="BF626">
        <v>2</v>
      </c>
      <c r="BG626">
        <v>39</v>
      </c>
      <c r="BH626">
        <v>198</v>
      </c>
      <c r="BI626">
        <v>16009</v>
      </c>
      <c r="BJ626">
        <v>2</v>
      </c>
      <c r="BK626">
        <f t="shared" si="83"/>
        <v>198</v>
      </c>
      <c r="BL626">
        <f t="shared" si="84"/>
        <v>16009</v>
      </c>
      <c r="BM626">
        <f t="shared" si="85"/>
        <v>2</v>
      </c>
      <c r="BN626">
        <f t="shared" si="86"/>
        <v>0</v>
      </c>
      <c r="BO626">
        <f t="shared" si="87"/>
        <v>0</v>
      </c>
      <c r="BP626">
        <f t="shared" si="88"/>
        <v>0</v>
      </c>
      <c r="BQ626" t="s">
        <v>203</v>
      </c>
      <c r="BR626" t="s">
        <v>140</v>
      </c>
      <c r="BS626" s="1">
        <v>31721</v>
      </c>
      <c r="BT626">
        <v>39</v>
      </c>
      <c r="BU626">
        <v>45664</v>
      </c>
      <c r="BV626" t="s">
        <v>89</v>
      </c>
      <c r="BW626">
        <v>17</v>
      </c>
      <c r="BX626">
        <v>1986</v>
      </c>
      <c r="BY626">
        <v>17</v>
      </c>
      <c r="BZ626">
        <f t="shared" si="89"/>
        <v>-1</v>
      </c>
      <c r="CA626">
        <f t="shared" si="90"/>
        <v>0</v>
      </c>
      <c r="CB626" t="b">
        <f t="shared" si="91"/>
        <v>0</v>
      </c>
    </row>
    <row r="627" spans="1:80" x14ac:dyDescent="0.3">
      <c r="A627" t="s">
        <v>5353</v>
      </c>
      <c r="B627" t="s">
        <v>71</v>
      </c>
      <c r="C627" t="s">
        <v>5354</v>
      </c>
      <c r="D627">
        <v>40</v>
      </c>
      <c r="E627" s="1">
        <v>31184</v>
      </c>
      <c r="F627" t="s">
        <v>89</v>
      </c>
      <c r="G627" t="s">
        <v>731</v>
      </c>
      <c r="H627" t="s">
        <v>76</v>
      </c>
      <c r="I627" t="s">
        <v>116</v>
      </c>
      <c r="J627" t="s">
        <v>89</v>
      </c>
      <c r="K627" t="s">
        <v>89</v>
      </c>
      <c r="L627" t="s">
        <v>130</v>
      </c>
      <c r="M627">
        <v>23</v>
      </c>
      <c r="N627" t="s">
        <v>763</v>
      </c>
      <c r="O627">
        <v>2008</v>
      </c>
      <c r="P627" t="s">
        <v>5355</v>
      </c>
      <c r="Q627" t="s">
        <v>5356</v>
      </c>
      <c r="R627">
        <v>64419</v>
      </c>
      <c r="S627" t="s">
        <v>5357</v>
      </c>
      <c r="T627" t="s">
        <v>5102</v>
      </c>
      <c r="U627">
        <v>1985</v>
      </c>
      <c r="V627" t="s">
        <v>323</v>
      </c>
      <c r="W627">
        <v>1.67</v>
      </c>
      <c r="X627" t="s">
        <v>76</v>
      </c>
      <c r="Y627" t="s">
        <v>391</v>
      </c>
      <c r="Z627" t="s">
        <v>87</v>
      </c>
      <c r="AA627" t="s">
        <v>5358</v>
      </c>
      <c r="AB627">
        <v>44933</v>
      </c>
      <c r="AC627" t="s">
        <v>108</v>
      </c>
      <c r="AD627" t="s">
        <v>89</v>
      </c>
      <c r="AE627" s="1">
        <v>39815</v>
      </c>
      <c r="AF627">
        <v>23</v>
      </c>
      <c r="AG627" t="s">
        <v>91</v>
      </c>
      <c r="AH627" t="s">
        <v>371</v>
      </c>
      <c r="AI627">
        <v>24</v>
      </c>
      <c r="AJ627" t="s">
        <v>110</v>
      </c>
      <c r="AK627">
        <v>23</v>
      </c>
      <c r="AL627" t="s">
        <v>89</v>
      </c>
      <c r="AM627" t="s">
        <v>89</v>
      </c>
      <c r="AN627" t="s">
        <v>89</v>
      </c>
      <c r="AO627">
        <v>0</v>
      </c>
      <c r="AP627" t="s">
        <v>93</v>
      </c>
      <c r="AQ627" t="s">
        <v>89</v>
      </c>
      <c r="AR627" t="s">
        <v>89</v>
      </c>
      <c r="AS627" t="s">
        <v>111</v>
      </c>
      <c r="AT627">
        <v>44933</v>
      </c>
      <c r="AU627">
        <v>2023</v>
      </c>
      <c r="AV627">
        <v>15</v>
      </c>
      <c r="AW627">
        <v>15</v>
      </c>
      <c r="AX627" t="s">
        <v>89</v>
      </c>
      <c r="AY627" t="s">
        <v>93</v>
      </c>
      <c r="AZ627">
        <v>0</v>
      </c>
      <c r="BA627">
        <v>0</v>
      </c>
      <c r="BB627">
        <v>0</v>
      </c>
      <c r="BC627">
        <v>0</v>
      </c>
      <c r="BD627">
        <v>118</v>
      </c>
      <c r="BE627">
        <v>4275</v>
      </c>
      <c r="BF627">
        <v>19</v>
      </c>
      <c r="BG627">
        <v>38</v>
      </c>
      <c r="BH627">
        <v>118</v>
      </c>
      <c r="BI627">
        <v>4275</v>
      </c>
      <c r="BJ627">
        <v>19</v>
      </c>
      <c r="BK627">
        <f t="shared" si="83"/>
        <v>118</v>
      </c>
      <c r="BL627">
        <f t="shared" si="84"/>
        <v>4275</v>
      </c>
      <c r="BM627">
        <f t="shared" si="85"/>
        <v>19</v>
      </c>
      <c r="BN627">
        <f t="shared" si="86"/>
        <v>0</v>
      </c>
      <c r="BO627">
        <f t="shared" si="87"/>
        <v>0</v>
      </c>
      <c r="BP627">
        <f t="shared" si="88"/>
        <v>0</v>
      </c>
      <c r="BQ627" t="s">
        <v>391</v>
      </c>
      <c r="BR627" t="s">
        <v>112</v>
      </c>
      <c r="BS627" s="1">
        <v>31184</v>
      </c>
      <c r="BT627">
        <v>40</v>
      </c>
      <c r="BU627">
        <v>44933</v>
      </c>
      <c r="BV627" t="s">
        <v>89</v>
      </c>
      <c r="BW627">
        <v>15</v>
      </c>
      <c r="BX627">
        <v>1985</v>
      </c>
      <c r="BY627">
        <v>15</v>
      </c>
      <c r="BZ627">
        <f t="shared" si="89"/>
        <v>0</v>
      </c>
      <c r="CA627">
        <f t="shared" si="90"/>
        <v>0</v>
      </c>
      <c r="CB627" t="b">
        <f t="shared" si="91"/>
        <v>1</v>
      </c>
    </row>
    <row r="628" spans="1:80" x14ac:dyDescent="0.3">
      <c r="A628" t="s">
        <v>5359</v>
      </c>
      <c r="B628" t="s">
        <v>71</v>
      </c>
      <c r="C628" t="s">
        <v>5360</v>
      </c>
      <c r="D628">
        <v>42</v>
      </c>
      <c r="E628" s="1">
        <v>30441</v>
      </c>
      <c r="F628" t="s">
        <v>89</v>
      </c>
      <c r="G628" t="s">
        <v>75</v>
      </c>
      <c r="H628" t="s">
        <v>76</v>
      </c>
      <c r="I628" t="s">
        <v>2906</v>
      </c>
      <c r="J628" t="s">
        <v>78</v>
      </c>
      <c r="K628" t="s">
        <v>89</v>
      </c>
      <c r="L628" t="s">
        <v>163</v>
      </c>
      <c r="M628">
        <v>23</v>
      </c>
      <c r="N628" t="s">
        <v>741</v>
      </c>
      <c r="O628">
        <v>2006</v>
      </c>
      <c r="P628" t="s">
        <v>5361</v>
      </c>
      <c r="Q628" t="s">
        <v>5362</v>
      </c>
      <c r="R628">
        <v>28005</v>
      </c>
      <c r="S628" t="s">
        <v>5359</v>
      </c>
      <c r="T628">
        <v>30441</v>
      </c>
      <c r="U628">
        <v>1983</v>
      </c>
      <c r="V628" t="s">
        <v>644</v>
      </c>
      <c r="W628">
        <v>1.72</v>
      </c>
      <c r="X628" t="s">
        <v>76</v>
      </c>
      <c r="Y628" t="s">
        <v>106</v>
      </c>
      <c r="Z628" t="s">
        <v>87</v>
      </c>
      <c r="AA628" t="s">
        <v>700</v>
      </c>
      <c r="AB628" s="1">
        <v>44568</v>
      </c>
      <c r="AC628" t="s">
        <v>108</v>
      </c>
      <c r="AD628" t="s">
        <v>89</v>
      </c>
      <c r="AE628">
        <v>38727</v>
      </c>
      <c r="AF628">
        <v>23</v>
      </c>
      <c r="AG628" t="s">
        <v>91</v>
      </c>
      <c r="AH628">
        <v>43042</v>
      </c>
      <c r="AI628">
        <v>33</v>
      </c>
      <c r="AJ628" t="s">
        <v>4240</v>
      </c>
      <c r="AK628">
        <v>23</v>
      </c>
      <c r="AL628" t="s">
        <v>89</v>
      </c>
      <c r="AM628" t="s">
        <v>89</v>
      </c>
      <c r="AN628" t="s">
        <v>89</v>
      </c>
      <c r="AO628">
        <v>0</v>
      </c>
      <c r="AP628" t="s">
        <v>93</v>
      </c>
      <c r="AQ628" t="s">
        <v>89</v>
      </c>
      <c r="AR628" t="s">
        <v>89</v>
      </c>
      <c r="AS628" t="s">
        <v>111</v>
      </c>
      <c r="AT628" s="1">
        <v>44568</v>
      </c>
      <c r="AU628">
        <v>2022</v>
      </c>
      <c r="AV628">
        <v>16</v>
      </c>
      <c r="AW628">
        <v>16</v>
      </c>
      <c r="AX628" t="s">
        <v>89</v>
      </c>
      <c r="AY628" t="s">
        <v>93</v>
      </c>
      <c r="AZ628">
        <v>0</v>
      </c>
      <c r="BA628">
        <v>0</v>
      </c>
      <c r="BB628">
        <v>0</v>
      </c>
      <c r="BC628">
        <v>0</v>
      </c>
      <c r="BD628">
        <v>280</v>
      </c>
      <c r="BE628">
        <v>20442</v>
      </c>
      <c r="BF628">
        <v>36</v>
      </c>
      <c r="BG628">
        <v>39</v>
      </c>
      <c r="BH628">
        <v>280</v>
      </c>
      <c r="BI628">
        <v>20442</v>
      </c>
      <c r="BJ628">
        <v>36</v>
      </c>
      <c r="BK628">
        <f t="shared" si="83"/>
        <v>280</v>
      </c>
      <c r="BL628">
        <f t="shared" si="84"/>
        <v>20442</v>
      </c>
      <c r="BM628">
        <f t="shared" si="85"/>
        <v>36</v>
      </c>
      <c r="BN628">
        <f t="shared" si="86"/>
        <v>0</v>
      </c>
      <c r="BO628">
        <f t="shared" si="87"/>
        <v>0</v>
      </c>
      <c r="BP628">
        <f t="shared" si="88"/>
        <v>0</v>
      </c>
      <c r="BQ628" t="s">
        <v>106</v>
      </c>
      <c r="BR628" t="s">
        <v>112</v>
      </c>
      <c r="BS628" t="s">
        <v>89</v>
      </c>
      <c r="BT628">
        <v>43</v>
      </c>
      <c r="BU628" s="1">
        <v>44568</v>
      </c>
      <c r="BV628" s="1">
        <v>44743</v>
      </c>
      <c r="BW628">
        <v>16</v>
      </c>
      <c r="BX628">
        <v>1983</v>
      </c>
      <c r="BY628">
        <v>16</v>
      </c>
      <c r="BZ628">
        <f t="shared" si="89"/>
        <v>0</v>
      </c>
      <c r="CA628">
        <f t="shared" si="90"/>
        <v>0</v>
      </c>
      <c r="CB628" t="b">
        <f t="shared" si="91"/>
        <v>1</v>
      </c>
    </row>
    <row r="629" spans="1:80" x14ac:dyDescent="0.3">
      <c r="A629" t="s">
        <v>5363</v>
      </c>
      <c r="B629" t="s">
        <v>71</v>
      </c>
      <c r="C629" t="s">
        <v>5364</v>
      </c>
      <c r="D629">
        <v>44</v>
      </c>
      <c r="E629" s="1">
        <v>29788</v>
      </c>
      <c r="F629" t="s">
        <v>89</v>
      </c>
      <c r="G629" t="s">
        <v>115</v>
      </c>
      <c r="H629" t="s">
        <v>76</v>
      </c>
      <c r="I629" t="s">
        <v>668</v>
      </c>
      <c r="J629" t="s">
        <v>78</v>
      </c>
      <c r="K629" t="s">
        <v>89</v>
      </c>
      <c r="L629" t="s">
        <v>99</v>
      </c>
      <c r="M629">
        <v>20</v>
      </c>
      <c r="N629" t="s">
        <v>301</v>
      </c>
      <c r="O629">
        <v>2001</v>
      </c>
      <c r="P629" t="s">
        <v>5365</v>
      </c>
      <c r="Q629" t="s">
        <v>5366</v>
      </c>
      <c r="R629">
        <v>7663</v>
      </c>
      <c r="S629" t="s">
        <v>5363</v>
      </c>
      <c r="T629" t="s">
        <v>5367</v>
      </c>
      <c r="U629">
        <v>1981</v>
      </c>
      <c r="V629" t="s">
        <v>661</v>
      </c>
      <c r="W629">
        <v>1.81</v>
      </c>
      <c r="X629" t="s">
        <v>76</v>
      </c>
      <c r="Y629" t="s">
        <v>494</v>
      </c>
      <c r="Z629" t="s">
        <v>87</v>
      </c>
      <c r="AA629" t="s">
        <v>706</v>
      </c>
      <c r="AB629" s="1">
        <v>44933</v>
      </c>
      <c r="AC629" t="s">
        <v>108</v>
      </c>
      <c r="AD629" t="s">
        <v>89</v>
      </c>
      <c r="AE629" t="s">
        <v>2088</v>
      </c>
      <c r="AF629">
        <v>20</v>
      </c>
      <c r="AG629" t="s">
        <v>91</v>
      </c>
      <c r="AH629">
        <v>36594</v>
      </c>
      <c r="AI629">
        <v>19</v>
      </c>
      <c r="AJ629" t="s">
        <v>110</v>
      </c>
      <c r="AK629">
        <v>19</v>
      </c>
      <c r="AL629">
        <v>14</v>
      </c>
      <c r="AM629">
        <v>278</v>
      </c>
      <c r="AN629">
        <v>45</v>
      </c>
      <c r="AO629">
        <v>11</v>
      </c>
      <c r="AP629" t="s">
        <v>93</v>
      </c>
      <c r="AQ629" t="s">
        <v>89</v>
      </c>
      <c r="AR629" t="s">
        <v>89</v>
      </c>
      <c r="AS629" t="s">
        <v>111</v>
      </c>
      <c r="AT629" s="1">
        <v>44933</v>
      </c>
      <c r="AU629">
        <v>2023</v>
      </c>
      <c r="AV629">
        <v>22</v>
      </c>
      <c r="AW629">
        <v>22</v>
      </c>
      <c r="AX629" t="s">
        <v>89</v>
      </c>
      <c r="AY629" t="s">
        <v>111</v>
      </c>
      <c r="AZ629">
        <v>5</v>
      </c>
      <c r="BA629">
        <v>21</v>
      </c>
      <c r="BB629">
        <v>1487</v>
      </c>
      <c r="BC629">
        <v>1</v>
      </c>
      <c r="BD629">
        <v>789</v>
      </c>
      <c r="BE629">
        <v>52696</v>
      </c>
      <c r="BF629">
        <v>97</v>
      </c>
      <c r="BG629">
        <v>42</v>
      </c>
      <c r="BH629">
        <v>810</v>
      </c>
      <c r="BI629">
        <v>54183</v>
      </c>
      <c r="BJ629">
        <v>98</v>
      </c>
      <c r="BK629">
        <f t="shared" si="83"/>
        <v>810</v>
      </c>
      <c r="BL629">
        <f t="shared" si="84"/>
        <v>54183</v>
      </c>
      <c r="BM629">
        <f t="shared" si="85"/>
        <v>98</v>
      </c>
      <c r="BN629">
        <f t="shared" si="86"/>
        <v>0</v>
      </c>
      <c r="BO629">
        <f t="shared" si="87"/>
        <v>0</v>
      </c>
      <c r="BP629">
        <f t="shared" si="88"/>
        <v>0</v>
      </c>
      <c r="BQ629" t="s">
        <v>494</v>
      </c>
      <c r="BR629" t="s">
        <v>112</v>
      </c>
      <c r="BS629" t="s">
        <v>89</v>
      </c>
      <c r="BT629">
        <v>45</v>
      </c>
      <c r="BU629" s="1">
        <v>44933</v>
      </c>
      <c r="BV629" s="1">
        <v>45108</v>
      </c>
      <c r="BW629">
        <v>23</v>
      </c>
      <c r="BX629">
        <v>1981</v>
      </c>
      <c r="BY629">
        <v>23</v>
      </c>
      <c r="BZ629">
        <f t="shared" si="89"/>
        <v>-1</v>
      </c>
      <c r="CA629">
        <f t="shared" si="90"/>
        <v>0</v>
      </c>
      <c r="CB629" t="b">
        <f t="shared" si="91"/>
        <v>0</v>
      </c>
    </row>
    <row r="630" spans="1:80" x14ac:dyDescent="0.3">
      <c r="A630" t="s">
        <v>5368</v>
      </c>
      <c r="B630" t="s">
        <v>156</v>
      </c>
      <c r="C630" t="s">
        <v>5369</v>
      </c>
      <c r="D630">
        <v>40</v>
      </c>
      <c r="E630" t="s">
        <v>5370</v>
      </c>
      <c r="F630" t="s">
        <v>5371</v>
      </c>
      <c r="G630" t="s">
        <v>226</v>
      </c>
      <c r="H630" t="s">
        <v>89</v>
      </c>
      <c r="I630" t="s">
        <v>437</v>
      </c>
      <c r="J630" t="s">
        <v>78</v>
      </c>
      <c r="K630" t="s">
        <v>5372</v>
      </c>
      <c r="L630" t="s">
        <v>180</v>
      </c>
      <c r="M630">
        <v>22</v>
      </c>
      <c r="N630" t="s">
        <v>5373</v>
      </c>
      <c r="O630">
        <v>2007</v>
      </c>
      <c r="P630" t="s">
        <v>5374</v>
      </c>
      <c r="Q630" t="s">
        <v>5375</v>
      </c>
      <c r="R630">
        <v>52428</v>
      </c>
      <c r="S630" t="s">
        <v>5368</v>
      </c>
      <c r="T630" t="s">
        <v>5376</v>
      </c>
      <c r="U630">
        <v>1984</v>
      </c>
      <c r="V630" t="s">
        <v>5377</v>
      </c>
      <c r="W630">
        <v>1.86</v>
      </c>
      <c r="X630" t="s">
        <v>169</v>
      </c>
      <c r="Y630" t="s">
        <v>123</v>
      </c>
      <c r="Z630" t="s">
        <v>87</v>
      </c>
      <c r="AA630" t="s">
        <v>5378</v>
      </c>
      <c r="AB630">
        <v>45718</v>
      </c>
      <c r="AC630" t="s">
        <v>188</v>
      </c>
      <c r="AD630" t="s">
        <v>89</v>
      </c>
      <c r="AE630">
        <v>39122</v>
      </c>
      <c r="AF630">
        <v>23</v>
      </c>
      <c r="AG630" t="s">
        <v>573</v>
      </c>
      <c r="AH630" t="s">
        <v>5379</v>
      </c>
      <c r="AI630">
        <v>32</v>
      </c>
      <c r="AJ630" t="s">
        <v>840</v>
      </c>
      <c r="AK630">
        <v>23</v>
      </c>
      <c r="AL630">
        <v>2</v>
      </c>
      <c r="AM630">
        <v>22</v>
      </c>
      <c r="AN630">
        <v>2</v>
      </c>
      <c r="AO630">
        <v>2</v>
      </c>
      <c r="AP630" t="s">
        <v>93</v>
      </c>
      <c r="AQ630" t="s">
        <v>89</v>
      </c>
      <c r="AR630" t="s">
        <v>89</v>
      </c>
      <c r="AS630" t="s">
        <v>93</v>
      </c>
      <c r="AT630" t="s">
        <v>89</v>
      </c>
      <c r="AU630" t="s">
        <v>89</v>
      </c>
      <c r="AV630" t="s">
        <v>89</v>
      </c>
      <c r="AW630">
        <v>18</v>
      </c>
      <c r="AX630">
        <v>32</v>
      </c>
      <c r="AY630" t="s">
        <v>93</v>
      </c>
      <c r="AZ630">
        <v>0</v>
      </c>
      <c r="BA630">
        <v>0</v>
      </c>
      <c r="BB630">
        <v>0</v>
      </c>
      <c r="BC630">
        <v>0</v>
      </c>
      <c r="BD630">
        <v>418</v>
      </c>
      <c r="BE630">
        <v>26540</v>
      </c>
      <c r="BF630">
        <v>138</v>
      </c>
      <c r="BG630" t="s">
        <v>89</v>
      </c>
      <c r="BH630">
        <v>418</v>
      </c>
      <c r="BI630">
        <v>26540</v>
      </c>
      <c r="BJ630">
        <v>138</v>
      </c>
      <c r="BK630">
        <f t="shared" si="83"/>
        <v>418</v>
      </c>
      <c r="BL630">
        <f t="shared" si="84"/>
        <v>26540</v>
      </c>
      <c r="BM630">
        <f t="shared" si="85"/>
        <v>138</v>
      </c>
      <c r="BN630">
        <f t="shared" si="86"/>
        <v>0</v>
      </c>
      <c r="BO630">
        <f t="shared" si="87"/>
        <v>0</v>
      </c>
      <c r="BP630">
        <f t="shared" si="88"/>
        <v>0</v>
      </c>
      <c r="BQ630" t="s">
        <v>123</v>
      </c>
      <c r="BR630" t="s">
        <v>112</v>
      </c>
      <c r="BS630" s="1">
        <v>30914</v>
      </c>
      <c r="BT630">
        <v>41</v>
      </c>
      <c r="BU630" t="s">
        <v>89</v>
      </c>
      <c r="BV630" t="s">
        <v>89</v>
      </c>
      <c r="BW630">
        <v>18</v>
      </c>
      <c r="BX630">
        <v>1984</v>
      </c>
      <c r="BY630">
        <v>17</v>
      </c>
      <c r="BZ630">
        <f t="shared" si="89"/>
        <v>0</v>
      </c>
      <c r="CA630">
        <f t="shared" si="90"/>
        <v>1</v>
      </c>
      <c r="CB630" t="b">
        <f t="shared" si="91"/>
        <v>1</v>
      </c>
    </row>
    <row r="631" spans="1:80" x14ac:dyDescent="0.3">
      <c r="A631" t="s">
        <v>5380</v>
      </c>
      <c r="B631" t="s">
        <v>2131</v>
      </c>
      <c r="C631" t="s">
        <v>5381</v>
      </c>
      <c r="D631">
        <v>33</v>
      </c>
      <c r="E631" t="s">
        <v>5382</v>
      </c>
      <c r="F631" t="s">
        <v>2134</v>
      </c>
      <c r="G631" t="s">
        <v>75</v>
      </c>
      <c r="H631" t="s">
        <v>2135</v>
      </c>
      <c r="I631" t="s">
        <v>161</v>
      </c>
      <c r="J631" t="s">
        <v>300</v>
      </c>
      <c r="K631" t="s">
        <v>2137</v>
      </c>
      <c r="L631" t="s">
        <v>278</v>
      </c>
      <c r="M631">
        <v>19</v>
      </c>
      <c r="N631" t="s">
        <v>5383</v>
      </c>
      <c r="O631">
        <v>2011</v>
      </c>
      <c r="P631" t="s">
        <v>5384</v>
      </c>
      <c r="Q631" t="s">
        <v>5385</v>
      </c>
      <c r="R631">
        <v>131248</v>
      </c>
      <c r="S631" t="s">
        <v>5380</v>
      </c>
      <c r="T631" t="s">
        <v>5386</v>
      </c>
      <c r="U631">
        <v>1992</v>
      </c>
      <c r="V631" t="s">
        <v>2142</v>
      </c>
      <c r="W631">
        <v>1.78</v>
      </c>
      <c r="X631" t="s">
        <v>2135</v>
      </c>
      <c r="Y631" t="s">
        <v>494</v>
      </c>
      <c r="Z631" t="s">
        <v>152</v>
      </c>
      <c r="AA631" t="s">
        <v>2144</v>
      </c>
      <c r="AB631">
        <v>44933</v>
      </c>
      <c r="AC631" t="s">
        <v>170</v>
      </c>
      <c r="AD631" t="s">
        <v>223</v>
      </c>
      <c r="AE631" t="s">
        <v>5387</v>
      </c>
      <c r="AF631">
        <v>17</v>
      </c>
      <c r="AG631" t="s">
        <v>5388</v>
      </c>
      <c r="AH631" t="s">
        <v>92</v>
      </c>
      <c r="AI631" t="s">
        <v>89</v>
      </c>
      <c r="AJ631" t="s">
        <v>92</v>
      </c>
      <c r="AK631">
        <v>17</v>
      </c>
      <c r="AL631">
        <v>12</v>
      </c>
      <c r="AM631">
        <v>367</v>
      </c>
      <c r="AN631">
        <v>64</v>
      </c>
      <c r="AO631">
        <v>7</v>
      </c>
      <c r="AP631" t="s">
        <v>93</v>
      </c>
      <c r="AQ631" t="s">
        <v>89</v>
      </c>
      <c r="AR631" t="s">
        <v>89</v>
      </c>
      <c r="AS631" t="s">
        <v>93</v>
      </c>
      <c r="AT631" t="s">
        <v>89</v>
      </c>
      <c r="AU631" t="s">
        <v>89</v>
      </c>
      <c r="AV631" t="s">
        <v>89</v>
      </c>
      <c r="AW631">
        <v>14</v>
      </c>
      <c r="AX631">
        <v>12</v>
      </c>
      <c r="AY631" t="s">
        <v>111</v>
      </c>
      <c r="AZ631">
        <v>23</v>
      </c>
      <c r="BA631">
        <v>104</v>
      </c>
      <c r="BB631">
        <v>7475</v>
      </c>
      <c r="BC631">
        <v>20</v>
      </c>
      <c r="BD631">
        <v>348</v>
      </c>
      <c r="BE631">
        <v>18630</v>
      </c>
      <c r="BF631">
        <v>36</v>
      </c>
      <c r="BG631" t="s">
        <v>89</v>
      </c>
      <c r="BH631">
        <v>452</v>
      </c>
      <c r="BI631">
        <v>26105</v>
      </c>
      <c r="BJ631">
        <v>56</v>
      </c>
      <c r="BK631">
        <f t="shared" si="83"/>
        <v>452</v>
      </c>
      <c r="BL631">
        <f t="shared" si="84"/>
        <v>26105</v>
      </c>
      <c r="BM631">
        <f t="shared" si="85"/>
        <v>56</v>
      </c>
      <c r="BN631">
        <f t="shared" si="86"/>
        <v>0</v>
      </c>
      <c r="BO631">
        <f t="shared" si="87"/>
        <v>0</v>
      </c>
      <c r="BP631">
        <f t="shared" si="88"/>
        <v>0</v>
      </c>
      <c r="BQ631" t="s">
        <v>494</v>
      </c>
      <c r="BR631" t="s">
        <v>112</v>
      </c>
      <c r="BS631" s="1">
        <v>33781</v>
      </c>
      <c r="BT631">
        <v>33</v>
      </c>
      <c r="BU631" t="s">
        <v>89</v>
      </c>
      <c r="BV631" t="s">
        <v>89</v>
      </c>
      <c r="BW631">
        <v>16</v>
      </c>
      <c r="BX631">
        <v>1992</v>
      </c>
      <c r="BY631">
        <v>16</v>
      </c>
      <c r="BZ631">
        <f t="shared" si="89"/>
        <v>-2</v>
      </c>
      <c r="CA631">
        <f t="shared" si="90"/>
        <v>0</v>
      </c>
      <c r="CB631" t="b">
        <f t="shared" si="91"/>
        <v>0</v>
      </c>
    </row>
    <row r="632" spans="1:80" x14ac:dyDescent="0.3">
      <c r="A632" t="s">
        <v>5389</v>
      </c>
      <c r="B632" t="s">
        <v>71</v>
      </c>
      <c r="C632" t="s">
        <v>5390</v>
      </c>
      <c r="D632">
        <v>35</v>
      </c>
      <c r="E632" t="s">
        <v>5391</v>
      </c>
      <c r="F632" t="s">
        <v>5392</v>
      </c>
      <c r="G632" t="s">
        <v>3627</v>
      </c>
      <c r="H632" t="s">
        <v>76</v>
      </c>
      <c r="I632" t="s">
        <v>178</v>
      </c>
      <c r="J632" t="s">
        <v>78</v>
      </c>
      <c r="K632" t="s">
        <v>5393</v>
      </c>
      <c r="L632" t="s">
        <v>254</v>
      </c>
      <c r="M632">
        <v>19</v>
      </c>
      <c r="N632" t="s">
        <v>81</v>
      </c>
      <c r="O632">
        <v>2009</v>
      </c>
      <c r="P632" t="s">
        <v>5394</v>
      </c>
      <c r="Q632" t="s">
        <v>5395</v>
      </c>
      <c r="R632">
        <v>101118</v>
      </c>
      <c r="S632" t="s">
        <v>5389</v>
      </c>
      <c r="T632" t="s">
        <v>5396</v>
      </c>
      <c r="U632">
        <v>1990</v>
      </c>
      <c r="V632" t="s">
        <v>181</v>
      </c>
      <c r="W632">
        <v>1.94</v>
      </c>
      <c r="X632" t="s">
        <v>76</v>
      </c>
      <c r="Y632" t="s">
        <v>186</v>
      </c>
      <c r="Z632" t="s">
        <v>87</v>
      </c>
      <c r="AA632" t="s">
        <v>5393</v>
      </c>
      <c r="AB632" t="s">
        <v>4536</v>
      </c>
      <c r="AC632" t="s">
        <v>394</v>
      </c>
      <c r="AD632" t="s">
        <v>89</v>
      </c>
      <c r="AE632">
        <v>40395</v>
      </c>
      <c r="AF632">
        <v>19</v>
      </c>
      <c r="AG632" t="s">
        <v>91</v>
      </c>
      <c r="AH632" t="s">
        <v>5397</v>
      </c>
      <c r="AI632">
        <v>33</v>
      </c>
      <c r="AJ632">
        <v>0</v>
      </c>
      <c r="AK632">
        <v>19</v>
      </c>
      <c r="AL632">
        <v>1</v>
      </c>
      <c r="AM632">
        <v>35</v>
      </c>
      <c r="AN632">
        <v>4</v>
      </c>
      <c r="AO632">
        <v>1</v>
      </c>
      <c r="AP632" t="s">
        <v>93</v>
      </c>
      <c r="AQ632" t="s">
        <v>89</v>
      </c>
      <c r="AR632" t="s">
        <v>89</v>
      </c>
      <c r="AS632" t="s">
        <v>93</v>
      </c>
      <c r="AT632" t="s">
        <v>89</v>
      </c>
      <c r="AU632" t="s">
        <v>89</v>
      </c>
      <c r="AV632" t="s">
        <v>89</v>
      </c>
      <c r="AW632">
        <v>16</v>
      </c>
      <c r="AX632">
        <v>1</v>
      </c>
      <c r="AY632" t="s">
        <v>93</v>
      </c>
      <c r="AZ632">
        <v>0</v>
      </c>
      <c r="BA632">
        <v>0</v>
      </c>
      <c r="BB632">
        <v>0</v>
      </c>
      <c r="BC632">
        <v>0</v>
      </c>
      <c r="BD632">
        <v>209</v>
      </c>
      <c r="BE632">
        <v>18794</v>
      </c>
      <c r="BF632">
        <v>0</v>
      </c>
      <c r="BG632" t="s">
        <v>89</v>
      </c>
      <c r="BH632">
        <v>209</v>
      </c>
      <c r="BI632">
        <v>18794</v>
      </c>
      <c r="BJ632">
        <v>0</v>
      </c>
      <c r="BK632">
        <f t="shared" si="83"/>
        <v>209</v>
      </c>
      <c r="BL632">
        <f t="shared" si="84"/>
        <v>18794</v>
      </c>
      <c r="BM632">
        <f t="shared" si="85"/>
        <v>0</v>
      </c>
      <c r="BN632">
        <f t="shared" si="86"/>
        <v>0</v>
      </c>
      <c r="BO632">
        <f t="shared" si="87"/>
        <v>0</v>
      </c>
      <c r="BP632">
        <f t="shared" si="88"/>
        <v>0</v>
      </c>
      <c r="BQ632" t="s">
        <v>186</v>
      </c>
      <c r="BR632" t="s">
        <v>186</v>
      </c>
      <c r="BS632" s="1">
        <v>33041</v>
      </c>
      <c r="BT632">
        <v>35</v>
      </c>
      <c r="BU632" t="s">
        <v>89</v>
      </c>
      <c r="BV632" t="s">
        <v>89</v>
      </c>
      <c r="BW632">
        <v>16</v>
      </c>
      <c r="BX632">
        <v>1990</v>
      </c>
      <c r="BY632">
        <v>16</v>
      </c>
      <c r="BZ632">
        <f t="shared" si="89"/>
        <v>0</v>
      </c>
      <c r="CA632">
        <f t="shared" si="90"/>
        <v>0</v>
      </c>
      <c r="CB632" t="b">
        <f t="shared" si="91"/>
        <v>1</v>
      </c>
    </row>
    <row r="633" spans="1:80" x14ac:dyDescent="0.3">
      <c r="A633" t="s">
        <v>5398</v>
      </c>
      <c r="B633" t="s">
        <v>3651</v>
      </c>
      <c r="C633" t="s">
        <v>5399</v>
      </c>
      <c r="D633">
        <v>30</v>
      </c>
      <c r="E633" t="s">
        <v>5400</v>
      </c>
      <c r="F633" t="s">
        <v>5401</v>
      </c>
      <c r="G633" t="s">
        <v>143</v>
      </c>
      <c r="H633" t="s">
        <v>3655</v>
      </c>
      <c r="I633" t="s">
        <v>1548</v>
      </c>
      <c r="J633" t="s">
        <v>78</v>
      </c>
      <c r="K633" t="s">
        <v>5402</v>
      </c>
      <c r="L633" t="s">
        <v>278</v>
      </c>
      <c r="M633">
        <v>16</v>
      </c>
      <c r="N633" t="s">
        <v>508</v>
      </c>
      <c r="O633">
        <v>2011</v>
      </c>
      <c r="P633" t="s">
        <v>5403</v>
      </c>
      <c r="Q633" t="s">
        <v>5404</v>
      </c>
      <c r="R633">
        <v>175451</v>
      </c>
      <c r="S633" t="s">
        <v>5398</v>
      </c>
      <c r="T633" t="s">
        <v>5405</v>
      </c>
      <c r="U633">
        <v>1994</v>
      </c>
      <c r="V633" t="s">
        <v>5406</v>
      </c>
      <c r="W633">
        <v>1.64</v>
      </c>
      <c r="X633" t="s">
        <v>3659</v>
      </c>
      <c r="Y633" t="s">
        <v>106</v>
      </c>
      <c r="Z633" t="s">
        <v>87</v>
      </c>
      <c r="AA633" t="s">
        <v>5407</v>
      </c>
      <c r="AB633">
        <v>45726</v>
      </c>
      <c r="AC633" t="s">
        <v>170</v>
      </c>
      <c r="AD633" t="s">
        <v>89</v>
      </c>
      <c r="AE633" t="s">
        <v>654</v>
      </c>
      <c r="AF633">
        <v>16</v>
      </c>
      <c r="AG633" t="s">
        <v>91</v>
      </c>
      <c r="AH633" t="s">
        <v>5408</v>
      </c>
      <c r="AI633">
        <v>24</v>
      </c>
      <c r="AJ633" t="s">
        <v>855</v>
      </c>
      <c r="AK633">
        <v>16</v>
      </c>
      <c r="AL633">
        <v>3</v>
      </c>
      <c r="AM633">
        <v>307</v>
      </c>
      <c r="AN633">
        <v>27</v>
      </c>
      <c r="AO633">
        <v>2</v>
      </c>
      <c r="AP633" t="s">
        <v>93</v>
      </c>
      <c r="AQ633" t="s">
        <v>89</v>
      </c>
      <c r="AR633" t="s">
        <v>89</v>
      </c>
      <c r="AS633" t="s">
        <v>93</v>
      </c>
      <c r="AT633" t="s">
        <v>89</v>
      </c>
      <c r="AU633" t="s">
        <v>89</v>
      </c>
      <c r="AV633" t="s">
        <v>89</v>
      </c>
      <c r="AW633">
        <v>14</v>
      </c>
      <c r="AX633">
        <v>33</v>
      </c>
      <c r="AY633" t="s">
        <v>93</v>
      </c>
      <c r="AZ633">
        <v>0</v>
      </c>
      <c r="BA633">
        <v>0</v>
      </c>
      <c r="BB633">
        <v>0</v>
      </c>
      <c r="BC633">
        <v>0</v>
      </c>
      <c r="BD633">
        <v>129</v>
      </c>
      <c r="BE633">
        <v>6925</v>
      </c>
      <c r="BF633">
        <v>10</v>
      </c>
      <c r="BG633" t="s">
        <v>89</v>
      </c>
      <c r="BH633">
        <v>129</v>
      </c>
      <c r="BI633">
        <v>6925</v>
      </c>
      <c r="BJ633">
        <v>10</v>
      </c>
      <c r="BK633">
        <f t="shared" si="83"/>
        <v>129</v>
      </c>
      <c r="BL633">
        <f t="shared" si="84"/>
        <v>6925</v>
      </c>
      <c r="BM633">
        <f t="shared" si="85"/>
        <v>10</v>
      </c>
      <c r="BN633">
        <f t="shared" si="86"/>
        <v>0</v>
      </c>
      <c r="BO633">
        <f t="shared" si="87"/>
        <v>0</v>
      </c>
      <c r="BP633">
        <f t="shared" si="88"/>
        <v>0</v>
      </c>
      <c r="BQ633" t="s">
        <v>106</v>
      </c>
      <c r="BR633" t="s">
        <v>112</v>
      </c>
      <c r="BS633" s="1">
        <v>34654</v>
      </c>
      <c r="BT633">
        <v>31</v>
      </c>
      <c r="BU633" t="s">
        <v>89</v>
      </c>
      <c r="BV633" t="s">
        <v>89</v>
      </c>
      <c r="BW633">
        <v>15</v>
      </c>
      <c r="BX633">
        <v>1994</v>
      </c>
      <c r="BY633">
        <v>14</v>
      </c>
      <c r="BZ633">
        <f t="shared" si="89"/>
        <v>-1</v>
      </c>
      <c r="CA633">
        <f t="shared" si="90"/>
        <v>1</v>
      </c>
      <c r="CB633" t="b">
        <f t="shared" si="91"/>
        <v>0</v>
      </c>
    </row>
    <row r="634" spans="1:80" x14ac:dyDescent="0.3">
      <c r="A634" t="s">
        <v>5409</v>
      </c>
      <c r="B634" t="s">
        <v>617</v>
      </c>
      <c r="C634" t="s">
        <v>5410</v>
      </c>
      <c r="D634">
        <v>32</v>
      </c>
      <c r="E634" t="s">
        <v>5411</v>
      </c>
      <c r="F634" t="s">
        <v>1666</v>
      </c>
      <c r="G634" t="s">
        <v>400</v>
      </c>
      <c r="H634" t="s">
        <v>619</v>
      </c>
      <c r="I634" t="s">
        <v>322</v>
      </c>
      <c r="J634" t="s">
        <v>300</v>
      </c>
      <c r="K634" t="s">
        <v>164</v>
      </c>
      <c r="L634" t="s">
        <v>324</v>
      </c>
      <c r="M634">
        <v>20</v>
      </c>
      <c r="N634" t="s">
        <v>162</v>
      </c>
      <c r="O634">
        <v>2013</v>
      </c>
      <c r="P634" t="s">
        <v>5412</v>
      </c>
      <c r="Q634" t="s">
        <v>5413</v>
      </c>
      <c r="R634">
        <v>262939</v>
      </c>
      <c r="S634" t="s">
        <v>5409</v>
      </c>
      <c r="T634" t="s">
        <v>5414</v>
      </c>
      <c r="U634">
        <v>1992</v>
      </c>
      <c r="V634" t="s">
        <v>623</v>
      </c>
      <c r="W634">
        <v>1.85</v>
      </c>
      <c r="X634" t="s">
        <v>1670</v>
      </c>
      <c r="Y634" t="s">
        <v>203</v>
      </c>
      <c r="Z634" t="s">
        <v>152</v>
      </c>
      <c r="AA634" t="s">
        <v>548</v>
      </c>
      <c r="AB634" t="s">
        <v>5415</v>
      </c>
      <c r="AC634" t="s">
        <v>88</v>
      </c>
      <c r="AD634" t="s">
        <v>223</v>
      </c>
      <c r="AE634" t="s">
        <v>5416</v>
      </c>
      <c r="AF634">
        <v>20</v>
      </c>
      <c r="AG634" t="s">
        <v>5288</v>
      </c>
      <c r="AH634" t="s">
        <v>561</v>
      </c>
      <c r="AI634">
        <v>22</v>
      </c>
      <c r="AJ634" t="s">
        <v>110</v>
      </c>
      <c r="AK634">
        <v>20</v>
      </c>
      <c r="AL634">
        <v>8</v>
      </c>
      <c r="AM634">
        <v>395</v>
      </c>
      <c r="AN634">
        <v>69</v>
      </c>
      <c r="AO634">
        <v>5</v>
      </c>
      <c r="AP634" t="s">
        <v>93</v>
      </c>
      <c r="AQ634" t="s">
        <v>89</v>
      </c>
      <c r="AR634" t="s">
        <v>89</v>
      </c>
      <c r="AS634" t="s">
        <v>93</v>
      </c>
      <c r="AT634" t="s">
        <v>89</v>
      </c>
      <c r="AU634" t="s">
        <v>89</v>
      </c>
      <c r="AV634" t="s">
        <v>89</v>
      </c>
      <c r="AW634">
        <v>12</v>
      </c>
      <c r="AX634">
        <v>22</v>
      </c>
      <c r="AY634" t="s">
        <v>111</v>
      </c>
      <c r="AZ634">
        <v>11</v>
      </c>
      <c r="BA634">
        <v>34</v>
      </c>
      <c r="BB634">
        <v>2799</v>
      </c>
      <c r="BC634">
        <v>1</v>
      </c>
      <c r="BD634">
        <v>335</v>
      </c>
      <c r="BE634">
        <v>23409</v>
      </c>
      <c r="BF634">
        <v>12</v>
      </c>
      <c r="BG634" t="s">
        <v>89</v>
      </c>
      <c r="BH634">
        <v>369</v>
      </c>
      <c r="BI634">
        <v>26208</v>
      </c>
      <c r="BJ634">
        <v>13</v>
      </c>
      <c r="BK634">
        <f t="shared" si="83"/>
        <v>369</v>
      </c>
      <c r="BL634">
        <f t="shared" si="84"/>
        <v>26208</v>
      </c>
      <c r="BM634">
        <f t="shared" si="85"/>
        <v>13</v>
      </c>
      <c r="BN634">
        <f t="shared" si="86"/>
        <v>0</v>
      </c>
      <c r="BO634">
        <f t="shared" si="87"/>
        <v>0</v>
      </c>
      <c r="BP634">
        <f t="shared" si="88"/>
        <v>0</v>
      </c>
      <c r="BQ634" t="s">
        <v>203</v>
      </c>
      <c r="BR634" t="s">
        <v>140</v>
      </c>
      <c r="BS634" s="1">
        <v>33837</v>
      </c>
      <c r="BT634">
        <v>33</v>
      </c>
      <c r="BU634" t="s">
        <v>89</v>
      </c>
      <c r="BV634" t="s">
        <v>89</v>
      </c>
      <c r="BW634">
        <v>13</v>
      </c>
      <c r="BX634">
        <v>1992</v>
      </c>
      <c r="BY634">
        <v>12</v>
      </c>
      <c r="BZ634">
        <f t="shared" si="89"/>
        <v>-1</v>
      </c>
      <c r="CA634">
        <f t="shared" si="90"/>
        <v>1</v>
      </c>
      <c r="CB634" t="b">
        <f t="shared" si="91"/>
        <v>0</v>
      </c>
    </row>
    <row r="635" spans="1:80" x14ac:dyDescent="0.3">
      <c r="A635" t="s">
        <v>5417</v>
      </c>
      <c r="B635" t="s">
        <v>71</v>
      </c>
      <c r="C635" t="s">
        <v>5418</v>
      </c>
      <c r="D635">
        <v>33</v>
      </c>
      <c r="E635" t="s">
        <v>5419</v>
      </c>
      <c r="F635" t="s">
        <v>5420</v>
      </c>
      <c r="G635" t="s">
        <v>400</v>
      </c>
      <c r="H635" t="s">
        <v>76</v>
      </c>
      <c r="I635" t="s">
        <v>375</v>
      </c>
      <c r="J635" t="s">
        <v>300</v>
      </c>
      <c r="K635" t="s">
        <v>5421</v>
      </c>
      <c r="L635" t="s">
        <v>228</v>
      </c>
      <c r="M635">
        <v>18</v>
      </c>
      <c r="N635" t="s">
        <v>137</v>
      </c>
      <c r="O635">
        <v>2010</v>
      </c>
      <c r="P635" t="s">
        <v>5422</v>
      </c>
      <c r="Q635" t="s">
        <v>5423</v>
      </c>
      <c r="R635">
        <v>89726</v>
      </c>
      <c r="S635" t="s">
        <v>5417</v>
      </c>
      <c r="T635">
        <v>33664</v>
      </c>
      <c r="U635">
        <v>1992</v>
      </c>
      <c r="V635" t="s">
        <v>5424</v>
      </c>
      <c r="W635">
        <v>1.83</v>
      </c>
      <c r="X635" t="s">
        <v>76</v>
      </c>
      <c r="Y635" t="s">
        <v>235</v>
      </c>
      <c r="Z635" t="s">
        <v>152</v>
      </c>
      <c r="AA635" t="s">
        <v>476</v>
      </c>
      <c r="AB635">
        <v>45664</v>
      </c>
      <c r="AC635" t="s">
        <v>108</v>
      </c>
      <c r="AD635" t="s">
        <v>223</v>
      </c>
      <c r="AE635">
        <v>2010</v>
      </c>
      <c r="AF635">
        <v>18</v>
      </c>
      <c r="AG635" t="s">
        <v>91</v>
      </c>
      <c r="AH635">
        <v>2015</v>
      </c>
      <c r="AI635">
        <v>23</v>
      </c>
      <c r="AJ635">
        <v>0</v>
      </c>
      <c r="AK635">
        <v>18</v>
      </c>
      <c r="AL635">
        <v>4</v>
      </c>
      <c r="AM635">
        <v>175</v>
      </c>
      <c r="AN635">
        <v>32</v>
      </c>
      <c r="AO635">
        <v>4</v>
      </c>
      <c r="AP635" t="s">
        <v>93</v>
      </c>
      <c r="AQ635" t="s">
        <v>89</v>
      </c>
      <c r="AR635" t="s">
        <v>89</v>
      </c>
      <c r="AS635" t="s">
        <v>93</v>
      </c>
      <c r="AT635" t="s">
        <v>89</v>
      </c>
      <c r="AU635" t="s">
        <v>89</v>
      </c>
      <c r="AV635" t="s">
        <v>89</v>
      </c>
      <c r="AW635">
        <v>15</v>
      </c>
      <c r="AX635" t="s">
        <v>89</v>
      </c>
      <c r="AY635" t="s">
        <v>93</v>
      </c>
      <c r="AZ635">
        <v>0</v>
      </c>
      <c r="BA635">
        <v>0</v>
      </c>
      <c r="BB635">
        <v>0</v>
      </c>
      <c r="BC635">
        <v>0</v>
      </c>
      <c r="BD635">
        <v>178</v>
      </c>
      <c r="BE635">
        <v>13883</v>
      </c>
      <c r="BF635">
        <v>4</v>
      </c>
      <c r="BG635" t="s">
        <v>89</v>
      </c>
      <c r="BH635">
        <v>178</v>
      </c>
      <c r="BI635">
        <v>13883</v>
      </c>
      <c r="BJ635">
        <v>4</v>
      </c>
      <c r="BK635">
        <f t="shared" si="83"/>
        <v>178</v>
      </c>
      <c r="BL635">
        <f t="shared" si="84"/>
        <v>13883</v>
      </c>
      <c r="BM635">
        <f t="shared" si="85"/>
        <v>4</v>
      </c>
      <c r="BN635">
        <f t="shared" si="86"/>
        <v>0</v>
      </c>
      <c r="BO635">
        <f t="shared" si="87"/>
        <v>0</v>
      </c>
      <c r="BP635">
        <f t="shared" si="88"/>
        <v>0</v>
      </c>
      <c r="BQ635" t="s">
        <v>235</v>
      </c>
      <c r="BR635" t="s">
        <v>140</v>
      </c>
      <c r="BS635" t="s">
        <v>89</v>
      </c>
      <c r="BT635">
        <v>34</v>
      </c>
      <c r="BU635" t="s">
        <v>89</v>
      </c>
      <c r="BV635" t="s">
        <v>89</v>
      </c>
      <c r="BW635">
        <v>16</v>
      </c>
      <c r="BX635">
        <v>1992</v>
      </c>
      <c r="BY635">
        <v>15</v>
      </c>
      <c r="BZ635">
        <f t="shared" si="89"/>
        <v>-1</v>
      </c>
      <c r="CA635">
        <f t="shared" si="90"/>
        <v>1</v>
      </c>
      <c r="CB635" t="b">
        <f t="shared" si="91"/>
        <v>0</v>
      </c>
    </row>
    <row r="636" spans="1:80" x14ac:dyDescent="0.3">
      <c r="A636" t="s">
        <v>5425</v>
      </c>
      <c r="B636" t="s">
        <v>71</v>
      </c>
      <c r="C636" t="s">
        <v>5426</v>
      </c>
      <c r="D636">
        <v>37</v>
      </c>
      <c r="E636" s="1">
        <v>32300</v>
      </c>
      <c r="F636" t="s">
        <v>89</v>
      </c>
      <c r="G636" t="s">
        <v>75</v>
      </c>
      <c r="H636" t="s">
        <v>89</v>
      </c>
      <c r="I636" t="s">
        <v>253</v>
      </c>
      <c r="J636" t="s">
        <v>78</v>
      </c>
      <c r="K636" t="s">
        <v>89</v>
      </c>
      <c r="L636" t="s">
        <v>324</v>
      </c>
      <c r="M636">
        <v>25</v>
      </c>
      <c r="N636" t="s">
        <v>1181</v>
      </c>
      <c r="O636">
        <v>2013</v>
      </c>
      <c r="P636" t="s">
        <v>5427</v>
      </c>
      <c r="Q636" t="s">
        <v>5428</v>
      </c>
      <c r="R636">
        <v>158849</v>
      </c>
      <c r="S636" t="s">
        <v>5425</v>
      </c>
      <c r="T636">
        <v>32300</v>
      </c>
      <c r="U636">
        <v>1988</v>
      </c>
      <c r="V636" t="s">
        <v>1181</v>
      </c>
      <c r="W636">
        <v>1.81</v>
      </c>
      <c r="X636" t="s">
        <v>76</v>
      </c>
      <c r="Y636" t="s">
        <v>86</v>
      </c>
      <c r="Z636" t="s">
        <v>87</v>
      </c>
      <c r="AA636" t="s">
        <v>2570</v>
      </c>
      <c r="AB636" s="1">
        <v>44203</v>
      </c>
      <c r="AC636" t="s">
        <v>108</v>
      </c>
      <c r="AD636" t="s">
        <v>89</v>
      </c>
      <c r="AE636" t="s">
        <v>1729</v>
      </c>
      <c r="AF636">
        <v>26</v>
      </c>
      <c r="AG636" t="s">
        <v>91</v>
      </c>
      <c r="AH636" t="s">
        <v>5429</v>
      </c>
      <c r="AI636">
        <v>25</v>
      </c>
      <c r="AJ636" t="s">
        <v>110</v>
      </c>
      <c r="AK636">
        <v>25</v>
      </c>
      <c r="AL636">
        <v>1</v>
      </c>
      <c r="AM636">
        <v>11</v>
      </c>
      <c r="AN636">
        <v>1</v>
      </c>
      <c r="AO636">
        <v>1</v>
      </c>
      <c r="AP636" t="s">
        <v>93</v>
      </c>
      <c r="AQ636" t="s">
        <v>89</v>
      </c>
      <c r="AR636" t="s">
        <v>89</v>
      </c>
      <c r="AS636" t="s">
        <v>111</v>
      </c>
      <c r="AT636" s="1">
        <v>44203</v>
      </c>
      <c r="AU636">
        <v>2021</v>
      </c>
      <c r="AV636">
        <v>8</v>
      </c>
      <c r="AW636">
        <v>8</v>
      </c>
      <c r="AX636" t="s">
        <v>89</v>
      </c>
      <c r="AY636" t="s">
        <v>93</v>
      </c>
      <c r="AZ636">
        <v>0</v>
      </c>
      <c r="BA636">
        <v>0</v>
      </c>
      <c r="BB636">
        <v>0</v>
      </c>
      <c r="BC636">
        <v>0</v>
      </c>
      <c r="BD636">
        <v>152</v>
      </c>
      <c r="BE636">
        <v>10827</v>
      </c>
      <c r="BF636">
        <v>2</v>
      </c>
      <c r="BG636">
        <v>33</v>
      </c>
      <c r="BH636">
        <v>152</v>
      </c>
      <c r="BI636">
        <v>10827</v>
      </c>
      <c r="BJ636">
        <v>2</v>
      </c>
      <c r="BK636">
        <f t="shared" si="83"/>
        <v>152</v>
      </c>
      <c r="BL636">
        <f t="shared" si="84"/>
        <v>10827</v>
      </c>
      <c r="BM636">
        <f t="shared" si="85"/>
        <v>2</v>
      </c>
      <c r="BN636">
        <f t="shared" si="86"/>
        <v>0</v>
      </c>
      <c r="BO636">
        <f t="shared" si="87"/>
        <v>0</v>
      </c>
      <c r="BP636">
        <f t="shared" si="88"/>
        <v>0</v>
      </c>
      <c r="BQ636" t="s">
        <v>86</v>
      </c>
      <c r="BR636" t="s">
        <v>94</v>
      </c>
      <c r="BS636" t="s">
        <v>89</v>
      </c>
      <c r="BT636">
        <v>38</v>
      </c>
      <c r="BU636" s="1">
        <v>44203</v>
      </c>
      <c r="BV636" s="1">
        <v>44378</v>
      </c>
      <c r="BW636">
        <v>8</v>
      </c>
      <c r="BX636">
        <v>1988</v>
      </c>
      <c r="BY636">
        <v>8</v>
      </c>
      <c r="BZ636">
        <f t="shared" si="89"/>
        <v>0</v>
      </c>
      <c r="CA636">
        <f t="shared" si="90"/>
        <v>0</v>
      </c>
      <c r="CB636" t="b">
        <f t="shared" si="91"/>
        <v>1</v>
      </c>
    </row>
    <row r="637" spans="1:80" x14ac:dyDescent="0.3">
      <c r="A637" t="s">
        <v>5430</v>
      </c>
      <c r="B637" t="s">
        <v>71</v>
      </c>
      <c r="C637" t="s">
        <v>5431</v>
      </c>
      <c r="D637">
        <v>34</v>
      </c>
      <c r="E637" t="s">
        <v>5432</v>
      </c>
      <c r="F637" t="s">
        <v>5433</v>
      </c>
      <c r="G637" t="s">
        <v>400</v>
      </c>
      <c r="H637" t="s">
        <v>76</v>
      </c>
      <c r="I637" t="s">
        <v>243</v>
      </c>
      <c r="J637" t="s">
        <v>78</v>
      </c>
      <c r="K637" t="s">
        <v>5434</v>
      </c>
      <c r="L637" t="s">
        <v>324</v>
      </c>
      <c r="M637">
        <v>22</v>
      </c>
      <c r="N637" t="s">
        <v>1365</v>
      </c>
      <c r="O637">
        <v>2013</v>
      </c>
      <c r="P637" t="s">
        <v>5435</v>
      </c>
      <c r="Q637" t="s">
        <v>5436</v>
      </c>
      <c r="R637">
        <v>66110</v>
      </c>
      <c r="S637" t="s">
        <v>5430</v>
      </c>
      <c r="T637" t="s">
        <v>5437</v>
      </c>
      <c r="U637">
        <v>1991</v>
      </c>
      <c r="V637" t="s">
        <v>5438</v>
      </c>
      <c r="W637">
        <v>1.81</v>
      </c>
      <c r="X637" t="s">
        <v>76</v>
      </c>
      <c r="Y637" t="s">
        <v>86</v>
      </c>
      <c r="Z637" t="s">
        <v>87</v>
      </c>
      <c r="AA637" t="s">
        <v>5434</v>
      </c>
      <c r="AB637" t="s">
        <v>5439</v>
      </c>
      <c r="AC637" t="s">
        <v>170</v>
      </c>
      <c r="AD637" t="s">
        <v>89</v>
      </c>
      <c r="AE637" t="s">
        <v>421</v>
      </c>
      <c r="AF637">
        <v>22</v>
      </c>
      <c r="AG637" t="s">
        <v>91</v>
      </c>
      <c r="AH637" t="s">
        <v>3487</v>
      </c>
      <c r="AI637">
        <v>23</v>
      </c>
      <c r="AJ637" t="s">
        <v>110</v>
      </c>
      <c r="AK637">
        <v>22</v>
      </c>
      <c r="AL637">
        <v>2</v>
      </c>
      <c r="AM637">
        <v>61</v>
      </c>
      <c r="AN637">
        <v>8</v>
      </c>
      <c r="AO637">
        <v>2</v>
      </c>
      <c r="AP637" t="s">
        <v>93</v>
      </c>
      <c r="AQ637" t="s">
        <v>89</v>
      </c>
      <c r="AR637" t="s">
        <v>89</v>
      </c>
      <c r="AS637" t="s">
        <v>93</v>
      </c>
      <c r="AT637" t="s">
        <v>89</v>
      </c>
      <c r="AU637" t="s">
        <v>89</v>
      </c>
      <c r="AV637" t="s">
        <v>89</v>
      </c>
      <c r="AW637">
        <v>12</v>
      </c>
      <c r="AX637">
        <v>8</v>
      </c>
      <c r="AY637" t="s">
        <v>93</v>
      </c>
      <c r="AZ637">
        <v>0</v>
      </c>
      <c r="BA637">
        <v>0</v>
      </c>
      <c r="BB637">
        <v>0</v>
      </c>
      <c r="BC637">
        <v>0</v>
      </c>
      <c r="BD637">
        <v>122</v>
      </c>
      <c r="BE637">
        <v>8601</v>
      </c>
      <c r="BF637">
        <v>2</v>
      </c>
      <c r="BG637" t="s">
        <v>89</v>
      </c>
      <c r="BH637">
        <v>122</v>
      </c>
      <c r="BI637">
        <v>8601</v>
      </c>
      <c r="BJ637">
        <v>2</v>
      </c>
      <c r="BK637">
        <f t="shared" si="83"/>
        <v>122</v>
      </c>
      <c r="BL637">
        <f t="shared" si="84"/>
        <v>8601</v>
      </c>
      <c r="BM637">
        <f t="shared" si="85"/>
        <v>2</v>
      </c>
      <c r="BN637">
        <f t="shared" si="86"/>
        <v>0</v>
      </c>
      <c r="BO637">
        <f t="shared" si="87"/>
        <v>0</v>
      </c>
      <c r="BP637">
        <f t="shared" si="88"/>
        <v>0</v>
      </c>
      <c r="BQ637" t="s">
        <v>86</v>
      </c>
      <c r="BR637" t="s">
        <v>94</v>
      </c>
      <c r="BS637" s="1">
        <v>33417</v>
      </c>
      <c r="BT637">
        <v>34</v>
      </c>
      <c r="BU637" t="s">
        <v>89</v>
      </c>
      <c r="BV637" t="s">
        <v>89</v>
      </c>
      <c r="BW637">
        <v>12</v>
      </c>
      <c r="BX637">
        <v>1991</v>
      </c>
      <c r="BY637">
        <v>12</v>
      </c>
      <c r="BZ637">
        <f t="shared" si="89"/>
        <v>0</v>
      </c>
      <c r="CA637">
        <f t="shared" si="90"/>
        <v>0</v>
      </c>
      <c r="CB637" t="b">
        <f t="shared" si="91"/>
        <v>1</v>
      </c>
    </row>
    <row r="638" spans="1:80" x14ac:dyDescent="0.3">
      <c r="A638" t="s">
        <v>5440</v>
      </c>
      <c r="B638" t="s">
        <v>71</v>
      </c>
      <c r="C638" t="s">
        <v>5441</v>
      </c>
      <c r="D638">
        <v>32</v>
      </c>
      <c r="E638" t="s">
        <v>5442</v>
      </c>
      <c r="F638" t="s">
        <v>5443</v>
      </c>
      <c r="G638" t="s">
        <v>97</v>
      </c>
      <c r="H638" t="s">
        <v>5444</v>
      </c>
      <c r="I638" t="s">
        <v>414</v>
      </c>
      <c r="J638" t="s">
        <v>78</v>
      </c>
      <c r="K638" t="s">
        <v>4597</v>
      </c>
      <c r="L638" t="s">
        <v>278</v>
      </c>
      <c r="M638">
        <v>18</v>
      </c>
      <c r="N638" t="s">
        <v>137</v>
      </c>
      <c r="O638">
        <v>2011</v>
      </c>
      <c r="P638" t="s">
        <v>5445</v>
      </c>
      <c r="Q638" t="s">
        <v>5446</v>
      </c>
      <c r="R638">
        <v>69660</v>
      </c>
      <c r="S638" t="s">
        <v>5440</v>
      </c>
      <c r="T638">
        <v>34248</v>
      </c>
      <c r="U638">
        <v>1993</v>
      </c>
      <c r="V638" t="s">
        <v>1504</v>
      </c>
      <c r="W638">
        <v>1.86</v>
      </c>
      <c r="X638" t="s">
        <v>5447</v>
      </c>
      <c r="Y638" t="s">
        <v>235</v>
      </c>
      <c r="Z638" t="s">
        <v>87</v>
      </c>
      <c r="AA638" t="s">
        <v>4601</v>
      </c>
      <c r="AB638" t="s">
        <v>5448</v>
      </c>
      <c r="AC638" t="s">
        <v>170</v>
      </c>
      <c r="AD638" t="s">
        <v>89</v>
      </c>
      <c r="AE638" t="s">
        <v>2395</v>
      </c>
      <c r="AF638">
        <v>18</v>
      </c>
      <c r="AG638" t="s">
        <v>91</v>
      </c>
      <c r="AH638" t="s">
        <v>154</v>
      </c>
      <c r="AI638">
        <v>20</v>
      </c>
      <c r="AJ638" t="s">
        <v>110</v>
      </c>
      <c r="AK638">
        <v>18</v>
      </c>
      <c r="AL638">
        <v>4</v>
      </c>
      <c r="AM638">
        <v>318</v>
      </c>
      <c r="AN638">
        <v>8</v>
      </c>
      <c r="AO638">
        <v>4</v>
      </c>
      <c r="AP638" t="s">
        <v>93</v>
      </c>
      <c r="AQ638" t="s">
        <v>89</v>
      </c>
      <c r="AR638" t="s">
        <v>89</v>
      </c>
      <c r="AS638" t="s">
        <v>93</v>
      </c>
      <c r="AT638" t="s">
        <v>89</v>
      </c>
      <c r="AU638" t="s">
        <v>89</v>
      </c>
      <c r="AV638" t="s">
        <v>89</v>
      </c>
      <c r="AW638">
        <v>14</v>
      </c>
      <c r="AX638">
        <v>12</v>
      </c>
      <c r="AY638" t="s">
        <v>93</v>
      </c>
      <c r="AZ638">
        <v>0</v>
      </c>
      <c r="BA638">
        <v>0</v>
      </c>
      <c r="BB638">
        <v>0</v>
      </c>
      <c r="BC638">
        <v>0</v>
      </c>
      <c r="BD638">
        <v>254</v>
      </c>
      <c r="BE638">
        <v>20419</v>
      </c>
      <c r="BF638">
        <v>5</v>
      </c>
      <c r="BG638" t="s">
        <v>89</v>
      </c>
      <c r="BH638">
        <v>254</v>
      </c>
      <c r="BI638">
        <v>20419</v>
      </c>
      <c r="BJ638">
        <v>5</v>
      </c>
      <c r="BK638">
        <f t="shared" si="83"/>
        <v>254</v>
      </c>
      <c r="BL638">
        <f t="shared" si="84"/>
        <v>20419</v>
      </c>
      <c r="BM638">
        <f t="shared" si="85"/>
        <v>5</v>
      </c>
      <c r="BN638">
        <f t="shared" si="86"/>
        <v>0</v>
      </c>
      <c r="BO638">
        <f t="shared" si="87"/>
        <v>0</v>
      </c>
      <c r="BP638">
        <f t="shared" si="88"/>
        <v>0</v>
      </c>
      <c r="BQ638" t="s">
        <v>235</v>
      </c>
      <c r="BR638" t="s">
        <v>140</v>
      </c>
      <c r="BS638" t="s">
        <v>89</v>
      </c>
      <c r="BT638">
        <v>33</v>
      </c>
      <c r="BU638" t="s">
        <v>89</v>
      </c>
      <c r="BV638" t="s">
        <v>89</v>
      </c>
      <c r="BW638">
        <v>15</v>
      </c>
      <c r="BX638">
        <v>1993</v>
      </c>
      <c r="BY638">
        <v>14</v>
      </c>
      <c r="BZ638">
        <f t="shared" si="89"/>
        <v>-1</v>
      </c>
      <c r="CA638">
        <f t="shared" si="90"/>
        <v>1</v>
      </c>
      <c r="CB638" t="b">
        <f t="shared" si="91"/>
        <v>0</v>
      </c>
    </row>
    <row r="639" spans="1:80" x14ac:dyDescent="0.3">
      <c r="A639" t="s">
        <v>5449</v>
      </c>
      <c r="B639" t="s">
        <v>776</v>
      </c>
      <c r="C639" t="s">
        <v>5450</v>
      </c>
      <c r="D639">
        <v>41</v>
      </c>
      <c r="E639" s="1">
        <v>30773</v>
      </c>
      <c r="F639" t="s">
        <v>89</v>
      </c>
      <c r="G639" t="s">
        <v>97</v>
      </c>
      <c r="H639" t="s">
        <v>778</v>
      </c>
      <c r="I639" t="s">
        <v>437</v>
      </c>
      <c r="J639" t="s">
        <v>78</v>
      </c>
      <c r="K639" t="s">
        <v>89</v>
      </c>
      <c r="L639" t="s">
        <v>228</v>
      </c>
      <c r="M639">
        <v>26</v>
      </c>
      <c r="N639" t="s">
        <v>214</v>
      </c>
      <c r="O639">
        <v>2010</v>
      </c>
      <c r="P639" t="s">
        <v>5451</v>
      </c>
      <c r="Q639" t="s">
        <v>5452</v>
      </c>
      <c r="R639">
        <v>50143</v>
      </c>
      <c r="S639" t="s">
        <v>5449</v>
      </c>
      <c r="T639" t="s">
        <v>5453</v>
      </c>
      <c r="U639">
        <v>1984</v>
      </c>
      <c r="V639" t="s">
        <v>5454</v>
      </c>
      <c r="W639">
        <v>1.82</v>
      </c>
      <c r="X639" t="s">
        <v>2292</v>
      </c>
      <c r="Y639" t="s">
        <v>369</v>
      </c>
      <c r="Z639" t="s">
        <v>87</v>
      </c>
      <c r="AA639" t="s">
        <v>490</v>
      </c>
      <c r="AB639" s="1">
        <v>43715</v>
      </c>
      <c r="AC639" t="s">
        <v>108</v>
      </c>
      <c r="AD639" t="s">
        <v>89</v>
      </c>
      <c r="AE639">
        <v>38876</v>
      </c>
      <c r="AF639">
        <v>22</v>
      </c>
      <c r="AG639" t="s">
        <v>786</v>
      </c>
      <c r="AH639" t="s">
        <v>92</v>
      </c>
      <c r="AI639" t="s">
        <v>89</v>
      </c>
      <c r="AJ639" t="s">
        <v>92</v>
      </c>
      <c r="AK639">
        <v>22</v>
      </c>
      <c r="AL639">
        <v>10</v>
      </c>
      <c r="AM639">
        <v>267</v>
      </c>
      <c r="AN639">
        <v>48</v>
      </c>
      <c r="AO639">
        <v>3</v>
      </c>
      <c r="AP639" t="s">
        <v>93</v>
      </c>
      <c r="AQ639" t="s">
        <v>89</v>
      </c>
      <c r="AR639" t="s">
        <v>89</v>
      </c>
      <c r="AS639" t="s">
        <v>111</v>
      </c>
      <c r="AT639" s="1">
        <v>43715</v>
      </c>
      <c r="AU639">
        <v>2019</v>
      </c>
      <c r="AV639">
        <v>9</v>
      </c>
      <c r="AW639">
        <v>9</v>
      </c>
      <c r="AX639" t="s">
        <v>89</v>
      </c>
      <c r="AY639" t="s">
        <v>111</v>
      </c>
      <c r="AZ639">
        <v>2</v>
      </c>
      <c r="BA639">
        <v>2</v>
      </c>
      <c r="BB639">
        <v>74</v>
      </c>
      <c r="BC639">
        <v>1</v>
      </c>
      <c r="BD639">
        <v>296</v>
      </c>
      <c r="BE639">
        <v>20148</v>
      </c>
      <c r="BF639">
        <v>160</v>
      </c>
      <c r="BG639">
        <v>35</v>
      </c>
      <c r="BH639">
        <v>298</v>
      </c>
      <c r="BI639">
        <v>20222</v>
      </c>
      <c r="BJ639">
        <v>161</v>
      </c>
      <c r="BK639">
        <f t="shared" si="83"/>
        <v>298</v>
      </c>
      <c r="BL639">
        <f t="shared" si="84"/>
        <v>20222</v>
      </c>
      <c r="BM639">
        <f t="shared" si="85"/>
        <v>161</v>
      </c>
      <c r="BN639">
        <f t="shared" si="86"/>
        <v>0</v>
      </c>
      <c r="BO639">
        <f t="shared" si="87"/>
        <v>0</v>
      </c>
      <c r="BP639">
        <f t="shared" si="88"/>
        <v>0</v>
      </c>
      <c r="BQ639" t="s">
        <v>369</v>
      </c>
      <c r="BR639" t="s">
        <v>112</v>
      </c>
      <c r="BS639" t="s">
        <v>89</v>
      </c>
      <c r="BT639">
        <v>42</v>
      </c>
      <c r="BU639" s="1">
        <v>43715</v>
      </c>
      <c r="BV639" s="1">
        <v>43655</v>
      </c>
      <c r="BW639">
        <v>13</v>
      </c>
      <c r="BX639">
        <v>1984</v>
      </c>
      <c r="BY639">
        <v>13</v>
      </c>
      <c r="BZ639">
        <f t="shared" si="89"/>
        <v>-4</v>
      </c>
      <c r="CA639">
        <f t="shared" si="90"/>
        <v>0</v>
      </c>
      <c r="CB639" t="b">
        <f t="shared" si="91"/>
        <v>0</v>
      </c>
    </row>
    <row r="640" spans="1:80" x14ac:dyDescent="0.3">
      <c r="A640" t="s">
        <v>5455</v>
      </c>
      <c r="B640" t="s">
        <v>4104</v>
      </c>
      <c r="C640" t="s">
        <v>5456</v>
      </c>
      <c r="D640">
        <v>37</v>
      </c>
      <c r="E640" t="s">
        <v>5457</v>
      </c>
      <c r="F640" t="s">
        <v>5458</v>
      </c>
      <c r="G640" t="s">
        <v>687</v>
      </c>
      <c r="H640" t="s">
        <v>5459</v>
      </c>
      <c r="I640" t="s">
        <v>1235</v>
      </c>
      <c r="J640" t="s">
        <v>78</v>
      </c>
      <c r="K640" t="s">
        <v>5460</v>
      </c>
      <c r="L640" t="s">
        <v>117</v>
      </c>
      <c r="M640">
        <v>17</v>
      </c>
      <c r="N640" t="s">
        <v>4107</v>
      </c>
      <c r="O640">
        <v>2005</v>
      </c>
      <c r="P640" t="s">
        <v>5461</v>
      </c>
      <c r="Q640" t="s">
        <v>5462</v>
      </c>
      <c r="R640">
        <v>31067</v>
      </c>
      <c r="S640" t="s">
        <v>5455</v>
      </c>
      <c r="T640" t="s">
        <v>5463</v>
      </c>
      <c r="U640">
        <v>1987</v>
      </c>
      <c r="V640" t="s">
        <v>5464</v>
      </c>
      <c r="W640">
        <v>1.73</v>
      </c>
      <c r="X640" t="s">
        <v>5465</v>
      </c>
      <c r="Y640" t="s">
        <v>86</v>
      </c>
      <c r="Z640" t="s">
        <v>87</v>
      </c>
      <c r="AA640" t="s">
        <v>5466</v>
      </c>
      <c r="AB640" t="s">
        <v>5467</v>
      </c>
      <c r="AC640" t="s">
        <v>170</v>
      </c>
      <c r="AD640" t="s">
        <v>89</v>
      </c>
      <c r="AE640" t="s">
        <v>5468</v>
      </c>
      <c r="AF640">
        <v>18</v>
      </c>
      <c r="AG640" t="s">
        <v>5212</v>
      </c>
      <c r="AH640" t="s">
        <v>92</v>
      </c>
      <c r="AI640" t="s">
        <v>89</v>
      </c>
      <c r="AJ640" t="s">
        <v>92</v>
      </c>
      <c r="AK640">
        <v>18</v>
      </c>
      <c r="AL640">
        <v>29</v>
      </c>
      <c r="AM640">
        <v>899</v>
      </c>
      <c r="AN640">
        <v>138</v>
      </c>
      <c r="AO640">
        <v>12</v>
      </c>
      <c r="AP640" t="s">
        <v>93</v>
      </c>
      <c r="AQ640" t="s">
        <v>89</v>
      </c>
      <c r="AR640" t="s">
        <v>89</v>
      </c>
      <c r="AS640" t="s">
        <v>93</v>
      </c>
      <c r="AT640" t="s">
        <v>89</v>
      </c>
      <c r="AU640" t="s">
        <v>89</v>
      </c>
      <c r="AV640" t="s">
        <v>89</v>
      </c>
      <c r="AW640">
        <v>20</v>
      </c>
      <c r="AX640" t="s">
        <v>89</v>
      </c>
      <c r="AY640" t="s">
        <v>111</v>
      </c>
      <c r="AZ640">
        <v>4</v>
      </c>
      <c r="BA640">
        <v>8</v>
      </c>
      <c r="BB640">
        <v>464</v>
      </c>
      <c r="BC640">
        <v>0</v>
      </c>
      <c r="BD640">
        <v>485</v>
      </c>
      <c r="BE640">
        <v>32714</v>
      </c>
      <c r="BF640">
        <v>62</v>
      </c>
      <c r="BG640" t="s">
        <v>89</v>
      </c>
      <c r="BH640">
        <v>493</v>
      </c>
      <c r="BI640">
        <v>33178</v>
      </c>
      <c r="BJ640">
        <v>62</v>
      </c>
      <c r="BK640">
        <f t="shared" si="83"/>
        <v>493</v>
      </c>
      <c r="BL640">
        <f t="shared" si="84"/>
        <v>33178</v>
      </c>
      <c r="BM640">
        <f t="shared" si="85"/>
        <v>62</v>
      </c>
      <c r="BN640">
        <f t="shared" si="86"/>
        <v>0</v>
      </c>
      <c r="BO640">
        <f t="shared" si="87"/>
        <v>0</v>
      </c>
      <c r="BP640">
        <f t="shared" si="88"/>
        <v>0</v>
      </c>
      <c r="BQ640" t="s">
        <v>86</v>
      </c>
      <c r="BR640" t="s">
        <v>94</v>
      </c>
      <c r="BS640" s="1">
        <v>32033</v>
      </c>
      <c r="BT640">
        <v>38</v>
      </c>
      <c r="BU640" t="s">
        <v>89</v>
      </c>
      <c r="BV640" t="s">
        <v>89</v>
      </c>
      <c r="BW640">
        <v>20</v>
      </c>
      <c r="BX640">
        <v>1987</v>
      </c>
      <c r="BY640">
        <v>19</v>
      </c>
      <c r="BZ640">
        <f t="shared" si="89"/>
        <v>0</v>
      </c>
      <c r="CA640">
        <f t="shared" si="90"/>
        <v>1</v>
      </c>
      <c r="CB640" t="b">
        <f t="shared" si="91"/>
        <v>1</v>
      </c>
    </row>
    <row r="641" spans="1:80" x14ac:dyDescent="0.3">
      <c r="A641" t="s">
        <v>5469</v>
      </c>
      <c r="B641" t="s">
        <v>1274</v>
      </c>
      <c r="C641" t="s">
        <v>5470</v>
      </c>
      <c r="D641">
        <v>35</v>
      </c>
      <c r="E641" t="s">
        <v>5471</v>
      </c>
      <c r="F641" t="s">
        <v>5472</v>
      </c>
      <c r="G641" t="s">
        <v>518</v>
      </c>
      <c r="H641" t="s">
        <v>1276</v>
      </c>
      <c r="I641" t="s">
        <v>288</v>
      </c>
      <c r="J641" t="s">
        <v>78</v>
      </c>
      <c r="K641" t="s">
        <v>185</v>
      </c>
      <c r="L641" t="s">
        <v>254</v>
      </c>
      <c r="M641">
        <v>19</v>
      </c>
      <c r="N641" t="s">
        <v>644</v>
      </c>
      <c r="O641">
        <v>2009</v>
      </c>
      <c r="P641" t="s">
        <v>5473</v>
      </c>
      <c r="Q641" t="s">
        <v>5474</v>
      </c>
      <c r="R641">
        <v>60445</v>
      </c>
      <c r="S641" t="s">
        <v>5469</v>
      </c>
      <c r="T641" t="s">
        <v>5475</v>
      </c>
      <c r="U641">
        <v>1990</v>
      </c>
      <c r="V641" t="s">
        <v>79</v>
      </c>
      <c r="W641">
        <v>1.72</v>
      </c>
      <c r="X641" t="s">
        <v>1283</v>
      </c>
      <c r="Y641" t="s">
        <v>259</v>
      </c>
      <c r="Z641" t="s">
        <v>87</v>
      </c>
      <c r="AA641" t="s">
        <v>185</v>
      </c>
      <c r="AB641" s="1">
        <v>44562</v>
      </c>
      <c r="AC641" t="s">
        <v>108</v>
      </c>
      <c r="AD641" t="s">
        <v>89</v>
      </c>
      <c r="AE641">
        <v>40210</v>
      </c>
      <c r="AF641">
        <v>19</v>
      </c>
      <c r="AG641" t="s">
        <v>91</v>
      </c>
      <c r="AH641" t="s">
        <v>614</v>
      </c>
      <c r="AI641">
        <v>20</v>
      </c>
      <c r="AJ641" t="s">
        <v>110</v>
      </c>
      <c r="AK641">
        <v>19</v>
      </c>
      <c r="AL641">
        <v>12</v>
      </c>
      <c r="AM641">
        <v>443</v>
      </c>
      <c r="AN641">
        <v>85</v>
      </c>
      <c r="AO641">
        <v>8</v>
      </c>
      <c r="AP641" t="s">
        <v>93</v>
      </c>
      <c r="AQ641" t="s">
        <v>89</v>
      </c>
      <c r="AR641" t="s">
        <v>89</v>
      </c>
      <c r="AS641" t="s">
        <v>93</v>
      </c>
      <c r="AT641" t="s">
        <v>89</v>
      </c>
      <c r="AU641" t="s">
        <v>89</v>
      </c>
      <c r="AV641" t="s">
        <v>89</v>
      </c>
      <c r="AW641">
        <v>16</v>
      </c>
      <c r="AX641">
        <v>6</v>
      </c>
      <c r="AY641" t="s">
        <v>111</v>
      </c>
      <c r="AZ641">
        <v>14</v>
      </c>
      <c r="BA641">
        <v>52</v>
      </c>
      <c r="BB641">
        <v>3111</v>
      </c>
      <c r="BC641">
        <v>5</v>
      </c>
      <c r="BD641">
        <v>415</v>
      </c>
      <c r="BE641">
        <v>27058</v>
      </c>
      <c r="BF641">
        <v>19</v>
      </c>
      <c r="BG641" t="s">
        <v>89</v>
      </c>
      <c r="BH641">
        <v>467</v>
      </c>
      <c r="BI641">
        <v>30169</v>
      </c>
      <c r="BJ641">
        <v>24</v>
      </c>
      <c r="BK641">
        <f t="shared" si="83"/>
        <v>467</v>
      </c>
      <c r="BL641">
        <f t="shared" si="84"/>
        <v>30169</v>
      </c>
      <c r="BM641">
        <f t="shared" si="85"/>
        <v>24</v>
      </c>
      <c r="BN641">
        <f t="shared" si="86"/>
        <v>0</v>
      </c>
      <c r="BO641">
        <f t="shared" si="87"/>
        <v>0</v>
      </c>
      <c r="BP641">
        <f t="shared" si="88"/>
        <v>0</v>
      </c>
      <c r="BQ641" t="s">
        <v>259</v>
      </c>
      <c r="BR641" t="s">
        <v>94</v>
      </c>
      <c r="BS641" s="1">
        <v>32989</v>
      </c>
      <c r="BT641">
        <v>35</v>
      </c>
      <c r="BU641" t="s">
        <v>89</v>
      </c>
      <c r="BV641" t="s">
        <v>89</v>
      </c>
      <c r="BW641">
        <v>16</v>
      </c>
      <c r="BX641">
        <v>1990</v>
      </c>
      <c r="BY641">
        <v>16</v>
      </c>
      <c r="BZ641">
        <f t="shared" si="89"/>
        <v>0</v>
      </c>
      <c r="CA641">
        <f t="shared" si="90"/>
        <v>0</v>
      </c>
      <c r="CB641" t="b">
        <f t="shared" si="91"/>
        <v>1</v>
      </c>
    </row>
    <row r="642" spans="1:80" x14ac:dyDescent="0.3">
      <c r="A642" t="s">
        <v>5476</v>
      </c>
      <c r="B642" t="s">
        <v>71</v>
      </c>
      <c r="C642" t="s">
        <v>5477</v>
      </c>
      <c r="D642">
        <v>44</v>
      </c>
      <c r="E642" s="1">
        <v>29692</v>
      </c>
      <c r="F642" t="s">
        <v>89</v>
      </c>
      <c r="G642" t="s">
        <v>400</v>
      </c>
      <c r="H642" t="s">
        <v>76</v>
      </c>
      <c r="I642" t="s">
        <v>178</v>
      </c>
      <c r="J642" t="s">
        <v>78</v>
      </c>
      <c r="K642" t="s">
        <v>89</v>
      </c>
      <c r="L642" t="s">
        <v>99</v>
      </c>
      <c r="M642">
        <v>20</v>
      </c>
      <c r="N642" t="s">
        <v>1926</v>
      </c>
      <c r="O642">
        <v>2001</v>
      </c>
      <c r="P642" t="s">
        <v>5478</v>
      </c>
      <c r="Q642" t="s">
        <v>5479</v>
      </c>
      <c r="R642">
        <v>58064</v>
      </c>
      <c r="S642" t="s">
        <v>5476</v>
      </c>
      <c r="T642" t="s">
        <v>5480</v>
      </c>
      <c r="U642">
        <v>1981</v>
      </c>
      <c r="V642" t="s">
        <v>5481</v>
      </c>
      <c r="W642">
        <v>1.82</v>
      </c>
      <c r="X642" t="s">
        <v>76</v>
      </c>
      <c r="Y642" t="s">
        <v>186</v>
      </c>
      <c r="Z642" t="s">
        <v>87</v>
      </c>
      <c r="AA642" t="s">
        <v>5482</v>
      </c>
      <c r="AB642" s="1">
        <v>43107</v>
      </c>
      <c r="AC642" t="s">
        <v>108</v>
      </c>
      <c r="AD642" t="s">
        <v>89</v>
      </c>
      <c r="AE642">
        <v>42218</v>
      </c>
      <c r="AF642">
        <v>33</v>
      </c>
      <c r="AG642" t="s">
        <v>91</v>
      </c>
      <c r="AH642" s="1">
        <v>37143</v>
      </c>
      <c r="AI642">
        <v>20</v>
      </c>
      <c r="AJ642" t="s">
        <v>110</v>
      </c>
      <c r="AK642">
        <v>20</v>
      </c>
      <c r="AL642">
        <v>2</v>
      </c>
      <c r="AM642">
        <v>39</v>
      </c>
      <c r="AN642">
        <v>6</v>
      </c>
      <c r="AO642">
        <v>2</v>
      </c>
      <c r="AP642" t="s">
        <v>93</v>
      </c>
      <c r="AQ642" t="s">
        <v>89</v>
      </c>
      <c r="AR642" t="s">
        <v>89</v>
      </c>
      <c r="AS642" t="s">
        <v>111</v>
      </c>
      <c r="AT642">
        <v>43107</v>
      </c>
      <c r="AU642">
        <v>2018</v>
      </c>
      <c r="AV642">
        <v>17</v>
      </c>
      <c r="AW642">
        <v>17</v>
      </c>
      <c r="AX642" t="s">
        <v>89</v>
      </c>
      <c r="AY642" t="s">
        <v>93</v>
      </c>
      <c r="AZ642">
        <v>0</v>
      </c>
      <c r="BA642">
        <v>0</v>
      </c>
      <c r="BB642">
        <v>0</v>
      </c>
      <c r="BC642">
        <v>0</v>
      </c>
      <c r="BD642">
        <v>183</v>
      </c>
      <c r="BE642">
        <v>16036</v>
      </c>
      <c r="BF642">
        <v>0</v>
      </c>
      <c r="BG642">
        <v>37</v>
      </c>
      <c r="BH642">
        <v>183</v>
      </c>
      <c r="BI642">
        <v>16036</v>
      </c>
      <c r="BJ642">
        <v>0</v>
      </c>
      <c r="BK642">
        <f t="shared" si="83"/>
        <v>183</v>
      </c>
      <c r="BL642">
        <f t="shared" si="84"/>
        <v>16036</v>
      </c>
      <c r="BM642">
        <f t="shared" si="85"/>
        <v>0</v>
      </c>
      <c r="BN642">
        <f t="shared" si="86"/>
        <v>0</v>
      </c>
      <c r="BO642">
        <f t="shared" si="87"/>
        <v>0</v>
      </c>
      <c r="BP642">
        <f t="shared" si="88"/>
        <v>0</v>
      </c>
      <c r="BQ642" t="s">
        <v>186</v>
      </c>
      <c r="BR642" t="s">
        <v>186</v>
      </c>
      <c r="BS642" s="1">
        <v>29692</v>
      </c>
      <c r="BT642">
        <v>44</v>
      </c>
      <c r="BU642">
        <v>43107</v>
      </c>
      <c r="BV642" t="s">
        <v>89</v>
      </c>
      <c r="BW642">
        <v>17</v>
      </c>
      <c r="BX642">
        <v>1981</v>
      </c>
      <c r="BY642">
        <v>17</v>
      </c>
      <c r="BZ642">
        <f t="shared" si="89"/>
        <v>0</v>
      </c>
      <c r="CA642">
        <f t="shared" si="90"/>
        <v>0</v>
      </c>
      <c r="CB642" t="b">
        <f t="shared" si="91"/>
        <v>1</v>
      </c>
    </row>
    <row r="643" spans="1:80" x14ac:dyDescent="0.3">
      <c r="A643" t="s">
        <v>5483</v>
      </c>
      <c r="B643" t="s">
        <v>71</v>
      </c>
      <c r="C643" t="s">
        <v>5484</v>
      </c>
      <c r="D643">
        <v>38</v>
      </c>
      <c r="E643" s="1">
        <v>31909</v>
      </c>
      <c r="F643" t="s">
        <v>89</v>
      </c>
      <c r="G643" t="s">
        <v>731</v>
      </c>
      <c r="H643" t="s">
        <v>76</v>
      </c>
      <c r="I643" t="s">
        <v>437</v>
      </c>
      <c r="J643" t="s">
        <v>89</v>
      </c>
      <c r="K643" t="s">
        <v>89</v>
      </c>
      <c r="L643" t="s">
        <v>163</v>
      </c>
      <c r="M643">
        <v>19</v>
      </c>
      <c r="N643" t="s">
        <v>763</v>
      </c>
      <c r="O643">
        <v>2006</v>
      </c>
      <c r="P643" t="s">
        <v>5485</v>
      </c>
      <c r="Q643" t="s">
        <v>5486</v>
      </c>
      <c r="R643">
        <v>53239</v>
      </c>
      <c r="S643" t="s">
        <v>5483</v>
      </c>
      <c r="T643">
        <v>32116</v>
      </c>
      <c r="U643">
        <v>1987</v>
      </c>
      <c r="V643" t="s">
        <v>1727</v>
      </c>
      <c r="W643">
        <v>1.67</v>
      </c>
      <c r="X643" t="s">
        <v>76</v>
      </c>
      <c r="Y643" t="s">
        <v>123</v>
      </c>
      <c r="Z643" t="s">
        <v>87</v>
      </c>
      <c r="AA643" t="s">
        <v>1831</v>
      </c>
      <c r="AB643" t="s">
        <v>5487</v>
      </c>
      <c r="AC643" t="s">
        <v>108</v>
      </c>
      <c r="AD643" t="s">
        <v>89</v>
      </c>
      <c r="AE643" t="s">
        <v>5488</v>
      </c>
      <c r="AF643">
        <v>19</v>
      </c>
      <c r="AG643" t="s">
        <v>91</v>
      </c>
      <c r="AH643" t="s">
        <v>540</v>
      </c>
      <c r="AI643">
        <v>20</v>
      </c>
      <c r="AJ643" t="s">
        <v>110</v>
      </c>
      <c r="AK643">
        <v>19</v>
      </c>
      <c r="AL643">
        <v>1</v>
      </c>
      <c r="AM643">
        <v>171</v>
      </c>
      <c r="AN643">
        <v>26</v>
      </c>
      <c r="AO643">
        <v>1</v>
      </c>
      <c r="AP643" t="s">
        <v>93</v>
      </c>
      <c r="AQ643" t="s">
        <v>89</v>
      </c>
      <c r="AR643" t="s">
        <v>89</v>
      </c>
      <c r="AS643" t="s">
        <v>111</v>
      </c>
      <c r="AT643" t="s">
        <v>5487</v>
      </c>
      <c r="AU643">
        <v>2021</v>
      </c>
      <c r="AV643">
        <v>15</v>
      </c>
      <c r="AW643">
        <v>15</v>
      </c>
      <c r="AX643" t="s">
        <v>89</v>
      </c>
      <c r="AY643" t="s">
        <v>93</v>
      </c>
      <c r="AZ643">
        <v>0</v>
      </c>
      <c r="BA643">
        <v>0</v>
      </c>
      <c r="BB643">
        <v>0</v>
      </c>
      <c r="BC643">
        <v>0</v>
      </c>
      <c r="BD643">
        <v>356</v>
      </c>
      <c r="BE643">
        <v>20798</v>
      </c>
      <c r="BF643">
        <v>72</v>
      </c>
      <c r="BG643">
        <v>34</v>
      </c>
      <c r="BH643">
        <v>356</v>
      </c>
      <c r="BI643">
        <v>20798</v>
      </c>
      <c r="BJ643">
        <v>72</v>
      </c>
      <c r="BK643">
        <f t="shared" ref="BK643:BK706" si="92">+BA643+BD643</f>
        <v>356</v>
      </c>
      <c r="BL643">
        <f t="shared" ref="BL643:BL706" si="93">+BB643+BE643</f>
        <v>20798</v>
      </c>
      <c r="BM643">
        <f t="shared" ref="BM643:BM706" si="94">+BC643+BF643</f>
        <v>72</v>
      </c>
      <c r="BN643">
        <f t="shared" ref="BN643:BN706" si="95">+BK643-BH643</f>
        <v>0</v>
      </c>
      <c r="BO643">
        <f t="shared" ref="BO643:BO706" si="96">+BL643-BI643</f>
        <v>0</v>
      </c>
      <c r="BP643">
        <f t="shared" ref="BP643:BP706" si="97">+BM643-BJ643</f>
        <v>0</v>
      </c>
      <c r="BQ643" t="s">
        <v>123</v>
      </c>
      <c r="BR643" t="s">
        <v>112</v>
      </c>
      <c r="BS643" t="s">
        <v>89</v>
      </c>
      <c r="BT643">
        <v>39</v>
      </c>
      <c r="BU643" t="s">
        <v>5487</v>
      </c>
      <c r="BV643" s="1">
        <v>44401</v>
      </c>
      <c r="BW643">
        <v>15</v>
      </c>
      <c r="BX643">
        <v>1987</v>
      </c>
      <c r="BY643">
        <v>15</v>
      </c>
      <c r="BZ643">
        <f t="shared" ref="BZ643:BZ706" si="98">+AW643-BW643</f>
        <v>0</v>
      </c>
      <c r="CA643">
        <f t="shared" ref="CA643:CA706" si="99">+BW643-BY643</f>
        <v>0</v>
      </c>
      <c r="CB643" t="b">
        <f t="shared" ref="CB643:CB706" si="100">+BW643=AW643</f>
        <v>1</v>
      </c>
    </row>
    <row r="644" spans="1:80" x14ac:dyDescent="0.3">
      <c r="A644" t="s">
        <v>5489</v>
      </c>
      <c r="B644" t="s">
        <v>729</v>
      </c>
      <c r="C644" t="s">
        <v>5490</v>
      </c>
      <c r="D644">
        <v>35</v>
      </c>
      <c r="E644" t="s">
        <v>5491</v>
      </c>
      <c r="F644" t="s">
        <v>2487</v>
      </c>
      <c r="G644" t="s">
        <v>5492</v>
      </c>
      <c r="H644" t="s">
        <v>732</v>
      </c>
      <c r="I644" t="s">
        <v>668</v>
      </c>
      <c r="J644" t="s">
        <v>78</v>
      </c>
      <c r="K644" t="s">
        <v>5493</v>
      </c>
      <c r="L644" t="s">
        <v>130</v>
      </c>
      <c r="M644">
        <v>18</v>
      </c>
      <c r="N644" t="s">
        <v>490</v>
      </c>
      <c r="O644">
        <v>2008</v>
      </c>
      <c r="P644" t="s">
        <v>5494</v>
      </c>
      <c r="Q644" t="s">
        <v>5495</v>
      </c>
      <c r="R644">
        <v>74621</v>
      </c>
      <c r="S644" t="s">
        <v>5489</v>
      </c>
      <c r="T644" t="s">
        <v>5496</v>
      </c>
      <c r="U644">
        <v>1990</v>
      </c>
      <c r="V644" t="s">
        <v>736</v>
      </c>
      <c r="W644">
        <v>1.72</v>
      </c>
      <c r="X644" t="s">
        <v>2217</v>
      </c>
      <c r="Y644" t="s">
        <v>494</v>
      </c>
      <c r="Z644" t="s">
        <v>87</v>
      </c>
      <c r="AA644" t="s">
        <v>5497</v>
      </c>
      <c r="AB644" t="s">
        <v>5498</v>
      </c>
      <c r="AC644" t="s">
        <v>222</v>
      </c>
      <c r="AD644" t="s">
        <v>223</v>
      </c>
      <c r="AE644" s="1">
        <v>39485</v>
      </c>
      <c r="AF644">
        <v>18</v>
      </c>
      <c r="AG644" t="s">
        <v>5499</v>
      </c>
      <c r="AH644" t="s">
        <v>3187</v>
      </c>
      <c r="AI644">
        <v>22</v>
      </c>
      <c r="AJ644" t="s">
        <v>615</v>
      </c>
      <c r="AK644">
        <v>18</v>
      </c>
      <c r="AL644">
        <v>9</v>
      </c>
      <c r="AM644">
        <v>700</v>
      </c>
      <c r="AN644">
        <v>93</v>
      </c>
      <c r="AO644">
        <v>8</v>
      </c>
      <c r="AP644" t="s">
        <v>93</v>
      </c>
      <c r="AQ644" t="s">
        <v>89</v>
      </c>
      <c r="AR644" t="s">
        <v>89</v>
      </c>
      <c r="AS644" t="s">
        <v>93</v>
      </c>
      <c r="AT644" t="s">
        <v>89</v>
      </c>
      <c r="AU644" t="s">
        <v>89</v>
      </c>
      <c r="AV644" t="s">
        <v>89</v>
      </c>
      <c r="AW644">
        <v>17</v>
      </c>
      <c r="AX644">
        <v>80</v>
      </c>
      <c r="AY644" t="s">
        <v>111</v>
      </c>
      <c r="AZ644">
        <v>4</v>
      </c>
      <c r="BA644">
        <v>6</v>
      </c>
      <c r="BB644">
        <v>360</v>
      </c>
      <c r="BC644">
        <v>0</v>
      </c>
      <c r="BD644">
        <v>344</v>
      </c>
      <c r="BE644">
        <v>21482</v>
      </c>
      <c r="BF644">
        <v>38</v>
      </c>
      <c r="BG644" t="s">
        <v>89</v>
      </c>
      <c r="BH644">
        <v>350</v>
      </c>
      <c r="BI644">
        <v>21842</v>
      </c>
      <c r="BJ644">
        <v>38</v>
      </c>
      <c r="BK644">
        <f t="shared" si="92"/>
        <v>350</v>
      </c>
      <c r="BL644">
        <f t="shared" si="93"/>
        <v>21842</v>
      </c>
      <c r="BM644">
        <f t="shared" si="94"/>
        <v>38</v>
      </c>
      <c r="BN644">
        <f t="shared" si="95"/>
        <v>0</v>
      </c>
      <c r="BO644">
        <f t="shared" si="96"/>
        <v>0</v>
      </c>
      <c r="BP644">
        <f t="shared" si="97"/>
        <v>0</v>
      </c>
      <c r="BQ644" t="s">
        <v>494</v>
      </c>
      <c r="BR644" t="s">
        <v>112</v>
      </c>
      <c r="BS644" s="1">
        <v>32951</v>
      </c>
      <c r="BT644">
        <v>35</v>
      </c>
      <c r="BU644" t="s">
        <v>89</v>
      </c>
      <c r="BV644" t="s">
        <v>89</v>
      </c>
      <c r="BW644">
        <v>17</v>
      </c>
      <c r="BX644">
        <v>1990</v>
      </c>
      <c r="BY644">
        <v>17</v>
      </c>
      <c r="BZ644">
        <f t="shared" si="98"/>
        <v>0</v>
      </c>
      <c r="CA644">
        <f t="shared" si="99"/>
        <v>0</v>
      </c>
      <c r="CB644" t="b">
        <f t="shared" si="100"/>
        <v>1</v>
      </c>
    </row>
    <row r="645" spans="1:80" x14ac:dyDescent="0.3">
      <c r="A645" t="s">
        <v>5500</v>
      </c>
      <c r="B645" t="s">
        <v>71</v>
      </c>
      <c r="C645" t="s">
        <v>5501</v>
      </c>
      <c r="D645">
        <v>35</v>
      </c>
      <c r="E645" t="s">
        <v>5502</v>
      </c>
      <c r="F645" t="s">
        <v>2400</v>
      </c>
      <c r="G645" t="s">
        <v>535</v>
      </c>
      <c r="H645" t="s">
        <v>76</v>
      </c>
      <c r="I645" t="s">
        <v>116</v>
      </c>
      <c r="J645" t="s">
        <v>78</v>
      </c>
      <c r="K645" t="s">
        <v>364</v>
      </c>
      <c r="L645" t="s">
        <v>228</v>
      </c>
      <c r="M645">
        <v>20</v>
      </c>
      <c r="N645" t="s">
        <v>364</v>
      </c>
      <c r="O645">
        <v>2010</v>
      </c>
      <c r="P645" t="s">
        <v>5503</v>
      </c>
      <c r="Q645" t="s">
        <v>5504</v>
      </c>
      <c r="R645">
        <v>153238</v>
      </c>
      <c r="S645" t="s">
        <v>5500</v>
      </c>
      <c r="T645" t="s">
        <v>5505</v>
      </c>
      <c r="U645">
        <v>1989</v>
      </c>
      <c r="V645" t="s">
        <v>502</v>
      </c>
      <c r="W645">
        <v>1.71</v>
      </c>
      <c r="X645" t="s">
        <v>76</v>
      </c>
      <c r="Y645" t="s">
        <v>106</v>
      </c>
      <c r="Z645" t="s">
        <v>87</v>
      </c>
      <c r="AA645" t="s">
        <v>503</v>
      </c>
      <c r="AB645" s="1">
        <v>45998</v>
      </c>
      <c r="AC645" t="s">
        <v>170</v>
      </c>
      <c r="AD645" t="s">
        <v>89</v>
      </c>
      <c r="AE645" s="1">
        <v>40948</v>
      </c>
      <c r="AF645">
        <v>22</v>
      </c>
      <c r="AG645" t="s">
        <v>91</v>
      </c>
      <c r="AH645" t="s">
        <v>614</v>
      </c>
      <c r="AI645">
        <v>20</v>
      </c>
      <c r="AJ645" t="s">
        <v>110</v>
      </c>
      <c r="AK645">
        <v>20</v>
      </c>
      <c r="AL645">
        <v>10</v>
      </c>
      <c r="AM645">
        <v>333</v>
      </c>
      <c r="AN645">
        <v>50</v>
      </c>
      <c r="AO645">
        <v>6</v>
      </c>
      <c r="AP645" t="s">
        <v>93</v>
      </c>
      <c r="AQ645" t="s">
        <v>89</v>
      </c>
      <c r="AR645" t="s">
        <v>89</v>
      </c>
      <c r="AS645" t="s">
        <v>93</v>
      </c>
      <c r="AT645" t="s">
        <v>89</v>
      </c>
      <c r="AU645" t="s">
        <v>89</v>
      </c>
      <c r="AV645" t="s">
        <v>89</v>
      </c>
      <c r="AW645">
        <v>15</v>
      </c>
      <c r="AX645">
        <v>21</v>
      </c>
      <c r="AY645" t="s">
        <v>111</v>
      </c>
      <c r="AZ645">
        <v>1</v>
      </c>
      <c r="BA645">
        <v>1</v>
      </c>
      <c r="BB645">
        <v>90</v>
      </c>
      <c r="BC645">
        <v>0</v>
      </c>
      <c r="BD645">
        <v>388</v>
      </c>
      <c r="BE645">
        <v>29752</v>
      </c>
      <c r="BF645">
        <v>107</v>
      </c>
      <c r="BG645" t="s">
        <v>89</v>
      </c>
      <c r="BH645">
        <v>389</v>
      </c>
      <c r="BI645">
        <v>29842</v>
      </c>
      <c r="BJ645">
        <v>107</v>
      </c>
      <c r="BK645">
        <f t="shared" si="92"/>
        <v>389</v>
      </c>
      <c r="BL645">
        <f t="shared" si="93"/>
        <v>29842</v>
      </c>
      <c r="BM645">
        <f t="shared" si="94"/>
        <v>107</v>
      </c>
      <c r="BN645">
        <f t="shared" si="95"/>
        <v>0</v>
      </c>
      <c r="BO645">
        <f t="shared" si="96"/>
        <v>0</v>
      </c>
      <c r="BP645">
        <f t="shared" si="97"/>
        <v>0</v>
      </c>
      <c r="BQ645" t="s">
        <v>106</v>
      </c>
      <c r="BR645" t="s">
        <v>112</v>
      </c>
      <c r="BS645" s="1">
        <v>32802</v>
      </c>
      <c r="BT645">
        <v>36</v>
      </c>
      <c r="BU645" t="s">
        <v>89</v>
      </c>
      <c r="BV645" t="s">
        <v>89</v>
      </c>
      <c r="BW645">
        <v>16</v>
      </c>
      <c r="BX645">
        <v>1989</v>
      </c>
      <c r="BY645">
        <v>15</v>
      </c>
      <c r="BZ645">
        <f t="shared" si="98"/>
        <v>-1</v>
      </c>
      <c r="CA645">
        <f t="shared" si="99"/>
        <v>1</v>
      </c>
      <c r="CB645" t="b">
        <f t="shared" si="100"/>
        <v>0</v>
      </c>
    </row>
    <row r="646" spans="1:80" x14ac:dyDescent="0.3">
      <c r="A646" t="s">
        <v>5506</v>
      </c>
      <c r="B646" t="s">
        <v>71</v>
      </c>
      <c r="C646" t="s">
        <v>5507</v>
      </c>
      <c r="D646">
        <v>39</v>
      </c>
      <c r="E646">
        <v>31477</v>
      </c>
      <c r="F646" t="s">
        <v>89</v>
      </c>
      <c r="G646" t="s">
        <v>193</v>
      </c>
      <c r="H646" t="s">
        <v>89</v>
      </c>
      <c r="I646" t="s">
        <v>243</v>
      </c>
      <c r="J646" t="s">
        <v>89</v>
      </c>
      <c r="K646" t="s">
        <v>89</v>
      </c>
      <c r="L646" t="s">
        <v>163</v>
      </c>
      <c r="M646">
        <v>20</v>
      </c>
      <c r="N646" t="s">
        <v>289</v>
      </c>
      <c r="O646">
        <v>2006</v>
      </c>
      <c r="P646" t="s">
        <v>5508</v>
      </c>
      <c r="Q646" t="s">
        <v>5509</v>
      </c>
      <c r="R646">
        <v>44859</v>
      </c>
      <c r="S646" t="s">
        <v>5506</v>
      </c>
      <c r="T646">
        <v>31566</v>
      </c>
      <c r="U646">
        <v>1986</v>
      </c>
      <c r="V646" t="s">
        <v>5510</v>
      </c>
      <c r="W646">
        <v>1.86</v>
      </c>
      <c r="X646" t="s">
        <v>76</v>
      </c>
      <c r="Y646" t="s">
        <v>86</v>
      </c>
      <c r="Z646" t="s">
        <v>87</v>
      </c>
      <c r="AA646" t="s">
        <v>5511</v>
      </c>
      <c r="AB646">
        <v>44203</v>
      </c>
      <c r="AC646" t="s">
        <v>108</v>
      </c>
      <c r="AD646" t="s">
        <v>89</v>
      </c>
      <c r="AE646" t="s">
        <v>4178</v>
      </c>
      <c r="AF646">
        <v>20</v>
      </c>
      <c r="AG646" t="s">
        <v>91</v>
      </c>
      <c r="AH646" t="s">
        <v>636</v>
      </c>
      <c r="AI646">
        <v>21</v>
      </c>
      <c r="AJ646" t="s">
        <v>110</v>
      </c>
      <c r="AK646">
        <v>20</v>
      </c>
      <c r="AL646">
        <v>2</v>
      </c>
      <c r="AM646">
        <v>56</v>
      </c>
      <c r="AN646">
        <v>9</v>
      </c>
      <c r="AO646">
        <v>2</v>
      </c>
      <c r="AP646" t="s">
        <v>93</v>
      </c>
      <c r="AQ646" t="s">
        <v>89</v>
      </c>
      <c r="AR646" t="s">
        <v>89</v>
      </c>
      <c r="AS646" t="s">
        <v>111</v>
      </c>
      <c r="AT646">
        <v>44203</v>
      </c>
      <c r="AU646">
        <v>2021</v>
      </c>
      <c r="AV646">
        <v>15</v>
      </c>
      <c r="AW646">
        <v>15</v>
      </c>
      <c r="AX646" t="s">
        <v>89</v>
      </c>
      <c r="AY646" t="s">
        <v>93</v>
      </c>
      <c r="AZ646">
        <v>0</v>
      </c>
      <c r="BA646">
        <v>0</v>
      </c>
      <c r="BB646">
        <v>0</v>
      </c>
      <c r="BC646">
        <v>0</v>
      </c>
      <c r="BD646">
        <v>182</v>
      </c>
      <c r="BE646">
        <v>12144</v>
      </c>
      <c r="BF646">
        <v>2</v>
      </c>
      <c r="BG646">
        <v>35</v>
      </c>
      <c r="BH646">
        <v>182</v>
      </c>
      <c r="BI646">
        <v>12144</v>
      </c>
      <c r="BJ646">
        <v>2</v>
      </c>
      <c r="BK646">
        <f t="shared" si="92"/>
        <v>182</v>
      </c>
      <c r="BL646">
        <f t="shared" si="93"/>
        <v>12144</v>
      </c>
      <c r="BM646">
        <f t="shared" si="94"/>
        <v>2</v>
      </c>
      <c r="BN646">
        <f t="shared" si="95"/>
        <v>0</v>
      </c>
      <c r="BO646">
        <f t="shared" si="96"/>
        <v>0</v>
      </c>
      <c r="BP646">
        <f t="shared" si="97"/>
        <v>0</v>
      </c>
      <c r="BQ646" t="s">
        <v>86</v>
      </c>
      <c r="BR646" t="s">
        <v>94</v>
      </c>
      <c r="BS646" t="s">
        <v>89</v>
      </c>
      <c r="BT646">
        <v>40</v>
      </c>
      <c r="BU646">
        <v>44203</v>
      </c>
      <c r="BV646" t="s">
        <v>89</v>
      </c>
      <c r="BW646">
        <v>15</v>
      </c>
      <c r="BX646">
        <v>1986</v>
      </c>
      <c r="BY646">
        <v>15</v>
      </c>
      <c r="BZ646">
        <f t="shared" si="98"/>
        <v>0</v>
      </c>
      <c r="CA646">
        <f t="shared" si="99"/>
        <v>0</v>
      </c>
      <c r="CB646" t="b">
        <f t="shared" si="100"/>
        <v>1</v>
      </c>
    </row>
    <row r="647" spans="1:80" x14ac:dyDescent="0.3">
      <c r="A647" t="s">
        <v>5512</v>
      </c>
      <c r="B647" t="s">
        <v>5513</v>
      </c>
      <c r="C647" t="s">
        <v>5514</v>
      </c>
      <c r="D647">
        <v>36</v>
      </c>
      <c r="E647" s="1">
        <v>32614</v>
      </c>
      <c r="F647" t="s">
        <v>89</v>
      </c>
      <c r="G647" t="s">
        <v>413</v>
      </c>
      <c r="H647" t="s">
        <v>5515</v>
      </c>
      <c r="I647" t="s">
        <v>116</v>
      </c>
      <c r="J647" t="s">
        <v>78</v>
      </c>
      <c r="K647" t="s">
        <v>89</v>
      </c>
      <c r="L647" t="s">
        <v>278</v>
      </c>
      <c r="M647">
        <v>22</v>
      </c>
      <c r="N647" t="s">
        <v>527</v>
      </c>
      <c r="O647">
        <v>2011</v>
      </c>
      <c r="P647" t="s">
        <v>5516</v>
      </c>
      <c r="Q647" t="s">
        <v>5517</v>
      </c>
      <c r="R647">
        <v>174706</v>
      </c>
      <c r="S647" t="s">
        <v>5512</v>
      </c>
      <c r="T647" t="s">
        <v>2659</v>
      </c>
      <c r="U647">
        <v>1989</v>
      </c>
      <c r="V647" t="s">
        <v>5518</v>
      </c>
      <c r="W647">
        <v>1.83</v>
      </c>
      <c r="X647" t="s">
        <v>5515</v>
      </c>
      <c r="Y647" t="s">
        <v>494</v>
      </c>
      <c r="Z647" t="s">
        <v>87</v>
      </c>
      <c r="AA647" t="s">
        <v>465</v>
      </c>
      <c r="AB647" t="s">
        <v>5519</v>
      </c>
      <c r="AC647" t="s">
        <v>108</v>
      </c>
      <c r="AD647" t="s">
        <v>89</v>
      </c>
      <c r="AE647">
        <v>2014</v>
      </c>
      <c r="AF647">
        <v>24</v>
      </c>
      <c r="AG647" t="s">
        <v>91</v>
      </c>
      <c r="AH647" s="1">
        <v>2012</v>
      </c>
      <c r="AI647">
        <v>22</v>
      </c>
      <c r="AJ647">
        <v>0</v>
      </c>
      <c r="AK647">
        <v>22</v>
      </c>
      <c r="AL647">
        <v>2</v>
      </c>
      <c r="AM647">
        <v>29</v>
      </c>
      <c r="AN647">
        <v>5</v>
      </c>
      <c r="AO647">
        <v>2</v>
      </c>
      <c r="AP647" t="s">
        <v>93</v>
      </c>
      <c r="AQ647" t="s">
        <v>89</v>
      </c>
      <c r="AR647" t="s">
        <v>89</v>
      </c>
      <c r="AS647" t="s">
        <v>111</v>
      </c>
      <c r="AT647" t="s">
        <v>5519</v>
      </c>
      <c r="AU647">
        <v>2020</v>
      </c>
      <c r="AV647">
        <v>9</v>
      </c>
      <c r="AW647">
        <v>9</v>
      </c>
      <c r="AX647" t="s">
        <v>89</v>
      </c>
      <c r="AY647" t="s">
        <v>111</v>
      </c>
      <c r="AZ647">
        <v>8</v>
      </c>
      <c r="BA647">
        <v>21</v>
      </c>
      <c r="BB647">
        <v>1392</v>
      </c>
      <c r="BC647">
        <v>3</v>
      </c>
      <c r="BD647">
        <v>101</v>
      </c>
      <c r="BE647">
        <v>5058</v>
      </c>
      <c r="BF647">
        <v>7</v>
      </c>
      <c r="BG647">
        <v>31</v>
      </c>
      <c r="BH647">
        <v>122</v>
      </c>
      <c r="BI647">
        <v>6450</v>
      </c>
      <c r="BJ647">
        <v>10</v>
      </c>
      <c r="BK647">
        <f t="shared" si="92"/>
        <v>122</v>
      </c>
      <c r="BL647">
        <f t="shared" si="93"/>
        <v>6450</v>
      </c>
      <c r="BM647">
        <f t="shared" si="94"/>
        <v>10</v>
      </c>
      <c r="BN647">
        <f t="shared" si="95"/>
        <v>0</v>
      </c>
      <c r="BO647">
        <f t="shared" si="96"/>
        <v>0</v>
      </c>
      <c r="BP647">
        <f t="shared" si="97"/>
        <v>0</v>
      </c>
      <c r="BQ647" t="s">
        <v>494</v>
      </c>
      <c r="BR647" t="s">
        <v>112</v>
      </c>
      <c r="BS647" s="1">
        <v>32614</v>
      </c>
      <c r="BT647">
        <v>36</v>
      </c>
      <c r="BU647" t="s">
        <v>5519</v>
      </c>
      <c r="BV647" s="1">
        <v>44188</v>
      </c>
      <c r="BW647">
        <v>9</v>
      </c>
      <c r="BX647">
        <v>1989</v>
      </c>
      <c r="BY647">
        <v>9</v>
      </c>
      <c r="BZ647">
        <f t="shared" si="98"/>
        <v>0</v>
      </c>
      <c r="CA647">
        <f t="shared" si="99"/>
        <v>0</v>
      </c>
      <c r="CB647" t="b">
        <f t="shared" si="100"/>
        <v>1</v>
      </c>
    </row>
    <row r="648" spans="1:80" x14ac:dyDescent="0.3">
      <c r="A648" t="s">
        <v>5520</v>
      </c>
      <c r="B648" t="s">
        <v>776</v>
      </c>
      <c r="C648" t="s">
        <v>5521</v>
      </c>
      <c r="D648">
        <v>36</v>
      </c>
      <c r="E648" s="1">
        <v>32573</v>
      </c>
      <c r="F648" t="s">
        <v>89</v>
      </c>
      <c r="G648" t="s">
        <v>241</v>
      </c>
      <c r="H648" t="s">
        <v>89</v>
      </c>
      <c r="I648" t="s">
        <v>437</v>
      </c>
      <c r="J648" t="s">
        <v>78</v>
      </c>
      <c r="K648" t="s">
        <v>89</v>
      </c>
      <c r="L648" t="s">
        <v>254</v>
      </c>
      <c r="M648">
        <v>20</v>
      </c>
      <c r="N648" t="s">
        <v>4373</v>
      </c>
      <c r="O648">
        <v>2009</v>
      </c>
      <c r="P648" t="s">
        <v>5522</v>
      </c>
      <c r="Q648" t="s">
        <v>5523</v>
      </c>
      <c r="R648">
        <v>58345</v>
      </c>
      <c r="S648" t="s">
        <v>5520</v>
      </c>
      <c r="T648">
        <v>32662</v>
      </c>
      <c r="U648">
        <v>1989</v>
      </c>
      <c r="V648" t="s">
        <v>5524</v>
      </c>
      <c r="W648">
        <v>1.92</v>
      </c>
      <c r="X648" t="s">
        <v>778</v>
      </c>
      <c r="Y648" t="s">
        <v>123</v>
      </c>
      <c r="Z648" t="s">
        <v>87</v>
      </c>
      <c r="AA648" t="s">
        <v>5525</v>
      </c>
      <c r="AB648" t="s">
        <v>5526</v>
      </c>
      <c r="AC648" t="s">
        <v>108</v>
      </c>
      <c r="AD648" t="s">
        <v>89</v>
      </c>
      <c r="AE648" t="s">
        <v>5527</v>
      </c>
      <c r="AF648">
        <v>17</v>
      </c>
      <c r="AG648" t="s">
        <v>786</v>
      </c>
      <c r="AH648" t="s">
        <v>306</v>
      </c>
      <c r="AI648">
        <v>22</v>
      </c>
      <c r="AJ648" t="s">
        <v>575</v>
      </c>
      <c r="AK648">
        <v>17</v>
      </c>
      <c r="AL648">
        <v>17</v>
      </c>
      <c r="AM648">
        <v>391</v>
      </c>
      <c r="AN648">
        <v>44</v>
      </c>
      <c r="AO648">
        <v>8</v>
      </c>
      <c r="AP648" t="s">
        <v>93</v>
      </c>
      <c r="AQ648" t="s">
        <v>89</v>
      </c>
      <c r="AR648" t="s">
        <v>89</v>
      </c>
      <c r="AS648" t="s">
        <v>111</v>
      </c>
      <c r="AT648" t="s">
        <v>5526</v>
      </c>
      <c r="AU648">
        <v>2025</v>
      </c>
      <c r="AV648">
        <v>16</v>
      </c>
      <c r="AW648">
        <v>16</v>
      </c>
      <c r="AX648" t="s">
        <v>89</v>
      </c>
      <c r="AY648" t="s">
        <v>93</v>
      </c>
      <c r="AZ648">
        <v>0</v>
      </c>
      <c r="BA648">
        <v>0</v>
      </c>
      <c r="BB648">
        <v>0</v>
      </c>
      <c r="BC648">
        <v>0</v>
      </c>
      <c r="BD648">
        <v>284</v>
      </c>
      <c r="BE648">
        <v>18535</v>
      </c>
      <c r="BF648">
        <v>94</v>
      </c>
      <c r="BG648">
        <v>36</v>
      </c>
      <c r="BH648">
        <v>284</v>
      </c>
      <c r="BI648">
        <v>18535</v>
      </c>
      <c r="BJ648">
        <v>94</v>
      </c>
      <c r="BK648">
        <f t="shared" si="92"/>
        <v>284</v>
      </c>
      <c r="BL648">
        <f t="shared" si="93"/>
        <v>18535</v>
      </c>
      <c r="BM648">
        <f t="shared" si="94"/>
        <v>94</v>
      </c>
      <c r="BN648">
        <f t="shared" si="95"/>
        <v>0</v>
      </c>
      <c r="BO648">
        <f t="shared" si="96"/>
        <v>0</v>
      </c>
      <c r="BP648">
        <f t="shared" si="97"/>
        <v>0</v>
      </c>
      <c r="BQ648" t="s">
        <v>123</v>
      </c>
      <c r="BR648" t="s">
        <v>112</v>
      </c>
      <c r="BS648" t="s">
        <v>89</v>
      </c>
      <c r="BT648">
        <v>37</v>
      </c>
      <c r="BU648" t="s">
        <v>5526</v>
      </c>
      <c r="BV648" s="1">
        <v>45747</v>
      </c>
      <c r="BW648">
        <v>19</v>
      </c>
      <c r="BX648">
        <v>1989</v>
      </c>
      <c r="BY648">
        <v>19</v>
      </c>
      <c r="BZ648">
        <f t="shared" si="98"/>
        <v>-3</v>
      </c>
      <c r="CA648">
        <f t="shared" si="99"/>
        <v>0</v>
      </c>
      <c r="CB648" t="b">
        <f t="shared" si="100"/>
        <v>0</v>
      </c>
    </row>
    <row r="649" spans="1:80" x14ac:dyDescent="0.3">
      <c r="A649" t="s">
        <v>5528</v>
      </c>
      <c r="B649" t="s">
        <v>71</v>
      </c>
      <c r="C649" t="s">
        <v>5529</v>
      </c>
      <c r="D649">
        <v>31</v>
      </c>
      <c r="E649" t="s">
        <v>5530</v>
      </c>
      <c r="F649" t="s">
        <v>1722</v>
      </c>
      <c r="G649" t="s">
        <v>143</v>
      </c>
      <c r="H649" t="s">
        <v>76</v>
      </c>
      <c r="I649" t="s">
        <v>5531</v>
      </c>
      <c r="J649" t="s">
        <v>78</v>
      </c>
      <c r="K649" t="s">
        <v>131</v>
      </c>
      <c r="L649" t="s">
        <v>80</v>
      </c>
      <c r="M649">
        <v>18</v>
      </c>
      <c r="N649" t="s">
        <v>289</v>
      </c>
      <c r="O649">
        <v>2012</v>
      </c>
      <c r="P649" t="s">
        <v>5532</v>
      </c>
      <c r="Q649" t="s">
        <v>5533</v>
      </c>
      <c r="R649">
        <v>175446</v>
      </c>
      <c r="S649" t="s">
        <v>5534</v>
      </c>
      <c r="T649">
        <v>34396</v>
      </c>
      <c r="U649">
        <v>1994</v>
      </c>
      <c r="V649" t="s">
        <v>1727</v>
      </c>
      <c r="W649">
        <v>1.75</v>
      </c>
      <c r="X649" t="s">
        <v>76</v>
      </c>
      <c r="Y649" t="s">
        <v>136</v>
      </c>
      <c r="Z649" t="s">
        <v>392</v>
      </c>
      <c r="AA649" t="s">
        <v>131</v>
      </c>
      <c r="AB649">
        <v>45695</v>
      </c>
      <c r="AC649" t="s">
        <v>88</v>
      </c>
      <c r="AD649" t="s">
        <v>89</v>
      </c>
      <c r="AE649" s="1">
        <v>40917</v>
      </c>
      <c r="AF649">
        <v>18</v>
      </c>
      <c r="AG649" t="s">
        <v>91</v>
      </c>
      <c r="AH649" t="s">
        <v>92</v>
      </c>
      <c r="AI649" t="s">
        <v>89</v>
      </c>
      <c r="AJ649" t="s">
        <v>92</v>
      </c>
      <c r="AK649">
        <v>18</v>
      </c>
      <c r="AL649">
        <v>8</v>
      </c>
      <c r="AM649">
        <v>695</v>
      </c>
      <c r="AN649">
        <v>79</v>
      </c>
      <c r="AO649">
        <v>4</v>
      </c>
      <c r="AP649" t="s">
        <v>93</v>
      </c>
      <c r="AQ649" t="s">
        <v>89</v>
      </c>
      <c r="AR649" t="s">
        <v>89</v>
      </c>
      <c r="AS649" t="s">
        <v>93</v>
      </c>
      <c r="AT649" t="s">
        <v>89</v>
      </c>
      <c r="AU649" t="s">
        <v>89</v>
      </c>
      <c r="AV649" t="s">
        <v>89</v>
      </c>
      <c r="AW649">
        <v>13</v>
      </c>
      <c r="AX649">
        <v>17</v>
      </c>
      <c r="AY649" t="s">
        <v>111</v>
      </c>
      <c r="AZ649">
        <v>2</v>
      </c>
      <c r="BA649">
        <v>3</v>
      </c>
      <c r="BB649">
        <v>168</v>
      </c>
      <c r="BC649">
        <v>0</v>
      </c>
      <c r="BD649">
        <v>404</v>
      </c>
      <c r="BE649">
        <v>32185</v>
      </c>
      <c r="BF649">
        <v>11</v>
      </c>
      <c r="BG649" t="s">
        <v>89</v>
      </c>
      <c r="BH649">
        <v>407</v>
      </c>
      <c r="BI649">
        <v>32353</v>
      </c>
      <c r="BJ649">
        <v>11</v>
      </c>
      <c r="BK649">
        <f t="shared" si="92"/>
        <v>407</v>
      </c>
      <c r="BL649">
        <f t="shared" si="93"/>
        <v>32353</v>
      </c>
      <c r="BM649">
        <f t="shared" si="94"/>
        <v>11</v>
      </c>
      <c r="BN649">
        <f t="shared" si="95"/>
        <v>0</v>
      </c>
      <c r="BO649">
        <f t="shared" si="96"/>
        <v>0</v>
      </c>
      <c r="BP649">
        <f t="shared" si="97"/>
        <v>0</v>
      </c>
      <c r="BQ649" t="s">
        <v>136</v>
      </c>
      <c r="BR649" t="s">
        <v>140</v>
      </c>
      <c r="BS649" t="s">
        <v>89</v>
      </c>
      <c r="BT649">
        <v>32</v>
      </c>
      <c r="BU649" t="s">
        <v>89</v>
      </c>
      <c r="BV649" t="s">
        <v>89</v>
      </c>
      <c r="BW649">
        <v>14</v>
      </c>
      <c r="BX649">
        <v>1994</v>
      </c>
      <c r="BY649">
        <v>13</v>
      </c>
      <c r="BZ649">
        <f t="shared" si="98"/>
        <v>-1</v>
      </c>
      <c r="CA649">
        <f t="shared" si="99"/>
        <v>1</v>
      </c>
      <c r="CB649" t="b">
        <f t="shared" si="100"/>
        <v>0</v>
      </c>
    </row>
    <row r="650" spans="1:80" x14ac:dyDescent="0.3">
      <c r="A650" t="s">
        <v>5535</v>
      </c>
      <c r="B650" t="s">
        <v>191</v>
      </c>
      <c r="C650" t="s">
        <v>5536</v>
      </c>
      <c r="D650">
        <v>40</v>
      </c>
      <c r="E650" s="1">
        <v>30899</v>
      </c>
      <c r="F650" t="s">
        <v>89</v>
      </c>
      <c r="G650" t="s">
        <v>241</v>
      </c>
      <c r="H650" t="s">
        <v>89</v>
      </c>
      <c r="I650" t="s">
        <v>227</v>
      </c>
      <c r="J650" t="s">
        <v>78</v>
      </c>
      <c r="K650" t="s">
        <v>89</v>
      </c>
      <c r="L650" t="s">
        <v>254</v>
      </c>
      <c r="M650">
        <v>24</v>
      </c>
      <c r="N650" t="s">
        <v>1126</v>
      </c>
      <c r="O650">
        <v>2009</v>
      </c>
      <c r="P650" t="s">
        <v>5537</v>
      </c>
      <c r="Q650" t="s">
        <v>5538</v>
      </c>
      <c r="R650">
        <v>49804</v>
      </c>
      <c r="S650" t="s">
        <v>5535</v>
      </c>
      <c r="T650" s="1">
        <v>30810</v>
      </c>
      <c r="U650">
        <v>1984</v>
      </c>
      <c r="V650" t="s">
        <v>5539</v>
      </c>
      <c r="W650">
        <v>1.9</v>
      </c>
      <c r="X650" t="s">
        <v>202</v>
      </c>
      <c r="Y650" t="s">
        <v>235</v>
      </c>
      <c r="Z650" t="s">
        <v>87</v>
      </c>
      <c r="AA650" t="s">
        <v>5540</v>
      </c>
      <c r="AB650" s="1">
        <v>44933</v>
      </c>
      <c r="AC650" t="s">
        <v>108</v>
      </c>
      <c r="AD650" t="s">
        <v>89</v>
      </c>
      <c r="AE650">
        <v>40033</v>
      </c>
      <c r="AF650">
        <v>25</v>
      </c>
      <c r="AG650" t="s">
        <v>206</v>
      </c>
      <c r="AH650">
        <v>37750</v>
      </c>
      <c r="AI650">
        <v>19</v>
      </c>
      <c r="AJ650" t="s">
        <v>1044</v>
      </c>
      <c r="AK650">
        <v>19</v>
      </c>
      <c r="AL650">
        <v>2</v>
      </c>
      <c r="AM650">
        <v>328</v>
      </c>
      <c r="AN650">
        <v>38</v>
      </c>
      <c r="AO650">
        <v>1</v>
      </c>
      <c r="AP650" t="s">
        <v>93</v>
      </c>
      <c r="AQ650" t="s">
        <v>89</v>
      </c>
      <c r="AR650" t="s">
        <v>89</v>
      </c>
      <c r="AS650" t="s">
        <v>111</v>
      </c>
      <c r="AT650" s="1">
        <v>44933</v>
      </c>
      <c r="AU650">
        <v>2023</v>
      </c>
      <c r="AV650">
        <v>14</v>
      </c>
      <c r="AW650">
        <v>14</v>
      </c>
      <c r="AX650" t="s">
        <v>89</v>
      </c>
      <c r="AY650" t="s">
        <v>93</v>
      </c>
      <c r="AZ650">
        <v>0</v>
      </c>
      <c r="BA650">
        <v>0</v>
      </c>
      <c r="BB650">
        <v>0</v>
      </c>
      <c r="BC650">
        <v>0</v>
      </c>
      <c r="BD650">
        <v>222</v>
      </c>
      <c r="BE650">
        <v>17487</v>
      </c>
      <c r="BF650">
        <v>6</v>
      </c>
      <c r="BG650">
        <v>39</v>
      </c>
      <c r="BH650">
        <v>222</v>
      </c>
      <c r="BI650">
        <v>17487</v>
      </c>
      <c r="BJ650">
        <v>6</v>
      </c>
      <c r="BK650">
        <f t="shared" si="92"/>
        <v>222</v>
      </c>
      <c r="BL650">
        <f t="shared" si="93"/>
        <v>17487</v>
      </c>
      <c r="BM650">
        <f t="shared" si="94"/>
        <v>6</v>
      </c>
      <c r="BN650">
        <f t="shared" si="95"/>
        <v>0</v>
      </c>
      <c r="BO650">
        <f t="shared" si="96"/>
        <v>0</v>
      </c>
      <c r="BP650">
        <f t="shared" si="97"/>
        <v>0</v>
      </c>
      <c r="BQ650" t="s">
        <v>235</v>
      </c>
      <c r="BR650" t="s">
        <v>140</v>
      </c>
      <c r="BS650" s="1">
        <v>30899</v>
      </c>
      <c r="BT650">
        <v>41</v>
      </c>
      <c r="BU650" s="1">
        <v>44933</v>
      </c>
      <c r="BV650" s="1">
        <v>45108</v>
      </c>
      <c r="BW650">
        <v>20</v>
      </c>
      <c r="BX650">
        <v>1984</v>
      </c>
      <c r="BY650">
        <v>20</v>
      </c>
      <c r="BZ650">
        <f t="shared" si="98"/>
        <v>-6</v>
      </c>
      <c r="CA650">
        <f t="shared" si="99"/>
        <v>0</v>
      </c>
      <c r="CB650" t="b">
        <f t="shared" si="100"/>
        <v>0</v>
      </c>
    </row>
    <row r="651" spans="1:80" x14ac:dyDescent="0.3">
      <c r="A651" t="s">
        <v>5541</v>
      </c>
      <c r="B651" t="s">
        <v>71</v>
      </c>
      <c r="C651" t="s">
        <v>5542</v>
      </c>
      <c r="D651">
        <v>38</v>
      </c>
      <c r="E651">
        <v>31913</v>
      </c>
      <c r="F651" t="s">
        <v>89</v>
      </c>
      <c r="G651" t="s">
        <v>226</v>
      </c>
      <c r="H651" t="s">
        <v>89</v>
      </c>
      <c r="I651" t="s">
        <v>357</v>
      </c>
      <c r="J651" t="s">
        <v>300</v>
      </c>
      <c r="K651" t="s">
        <v>89</v>
      </c>
      <c r="L651" t="s">
        <v>130</v>
      </c>
      <c r="M651">
        <v>21</v>
      </c>
      <c r="N651" t="s">
        <v>289</v>
      </c>
      <c r="O651">
        <v>2008</v>
      </c>
      <c r="P651" t="s">
        <v>5543</v>
      </c>
      <c r="Q651" t="s">
        <v>5544</v>
      </c>
      <c r="R651">
        <v>62941</v>
      </c>
      <c r="S651" t="s">
        <v>5545</v>
      </c>
      <c r="T651" t="s">
        <v>5546</v>
      </c>
      <c r="U651">
        <v>1987</v>
      </c>
      <c r="V651" t="s">
        <v>2191</v>
      </c>
      <c r="W651">
        <v>1.85</v>
      </c>
      <c r="X651" t="s">
        <v>76</v>
      </c>
      <c r="Y651" t="s">
        <v>235</v>
      </c>
      <c r="Z651" t="s">
        <v>152</v>
      </c>
      <c r="AA651" t="s">
        <v>888</v>
      </c>
      <c r="AB651" s="1">
        <v>44933</v>
      </c>
      <c r="AC651" t="s">
        <v>108</v>
      </c>
      <c r="AD651" t="s">
        <v>89</v>
      </c>
      <c r="AE651" t="s">
        <v>5547</v>
      </c>
      <c r="AF651">
        <v>22</v>
      </c>
      <c r="AG651" t="s">
        <v>1742</v>
      </c>
      <c r="AH651">
        <v>39816</v>
      </c>
      <c r="AI651">
        <v>21</v>
      </c>
      <c r="AJ651" t="s">
        <v>110</v>
      </c>
      <c r="AK651">
        <v>21</v>
      </c>
      <c r="AL651">
        <v>7</v>
      </c>
      <c r="AM651">
        <v>168</v>
      </c>
      <c r="AN651">
        <v>22</v>
      </c>
      <c r="AO651">
        <v>3</v>
      </c>
      <c r="AP651" t="s">
        <v>93</v>
      </c>
      <c r="AQ651" t="s">
        <v>89</v>
      </c>
      <c r="AR651" t="s">
        <v>89</v>
      </c>
      <c r="AS651" t="s">
        <v>111</v>
      </c>
      <c r="AT651">
        <v>44933</v>
      </c>
      <c r="AU651">
        <v>2023</v>
      </c>
      <c r="AV651">
        <v>15</v>
      </c>
      <c r="AW651">
        <v>15</v>
      </c>
      <c r="AX651" t="s">
        <v>89</v>
      </c>
      <c r="AY651" t="s">
        <v>93</v>
      </c>
      <c r="AZ651">
        <v>0</v>
      </c>
      <c r="BA651">
        <v>0</v>
      </c>
      <c r="BB651">
        <v>0</v>
      </c>
      <c r="BC651">
        <v>0</v>
      </c>
      <c r="BD651">
        <v>304</v>
      </c>
      <c r="BE651">
        <v>26300</v>
      </c>
      <c r="BF651">
        <v>9</v>
      </c>
      <c r="BG651">
        <v>36</v>
      </c>
      <c r="BH651">
        <v>304</v>
      </c>
      <c r="BI651">
        <v>26300</v>
      </c>
      <c r="BJ651">
        <v>9</v>
      </c>
      <c r="BK651">
        <f t="shared" si="92"/>
        <v>304</v>
      </c>
      <c r="BL651">
        <f t="shared" si="93"/>
        <v>26300</v>
      </c>
      <c r="BM651">
        <f t="shared" si="94"/>
        <v>9</v>
      </c>
      <c r="BN651">
        <f t="shared" si="95"/>
        <v>0</v>
      </c>
      <c r="BO651">
        <f t="shared" si="96"/>
        <v>0</v>
      </c>
      <c r="BP651">
        <f t="shared" si="97"/>
        <v>0</v>
      </c>
      <c r="BQ651" t="s">
        <v>235</v>
      </c>
      <c r="BR651" t="s">
        <v>140</v>
      </c>
      <c r="BS651" t="s">
        <v>89</v>
      </c>
      <c r="BT651">
        <v>39</v>
      </c>
      <c r="BU651">
        <v>44933</v>
      </c>
      <c r="BV651" t="s">
        <v>89</v>
      </c>
      <c r="BW651">
        <v>15</v>
      </c>
      <c r="BX651">
        <v>1987</v>
      </c>
      <c r="BY651">
        <v>15</v>
      </c>
      <c r="BZ651">
        <f t="shared" si="98"/>
        <v>0</v>
      </c>
      <c r="CA651">
        <f t="shared" si="99"/>
        <v>0</v>
      </c>
      <c r="CB651" t="b">
        <f t="shared" si="100"/>
        <v>1</v>
      </c>
    </row>
    <row r="652" spans="1:80" x14ac:dyDescent="0.3">
      <c r="A652" t="s">
        <v>5548</v>
      </c>
      <c r="B652" t="s">
        <v>71</v>
      </c>
      <c r="C652" t="s">
        <v>5549</v>
      </c>
      <c r="D652">
        <v>36</v>
      </c>
      <c r="E652">
        <v>32588</v>
      </c>
      <c r="F652" t="s">
        <v>5550</v>
      </c>
      <c r="G652" t="s">
        <v>535</v>
      </c>
      <c r="H652" t="s">
        <v>76</v>
      </c>
      <c r="I652" t="s">
        <v>299</v>
      </c>
      <c r="J652" t="s">
        <v>300</v>
      </c>
      <c r="K652" t="s">
        <v>179</v>
      </c>
      <c r="L652" t="s">
        <v>130</v>
      </c>
      <c r="M652">
        <v>19</v>
      </c>
      <c r="N652" t="s">
        <v>1831</v>
      </c>
      <c r="O652">
        <v>2008</v>
      </c>
      <c r="P652" t="s">
        <v>5551</v>
      </c>
      <c r="Q652" t="s">
        <v>5552</v>
      </c>
      <c r="R652">
        <v>69751</v>
      </c>
      <c r="S652" t="s">
        <v>5548</v>
      </c>
      <c r="T652" t="s">
        <v>5553</v>
      </c>
      <c r="U652">
        <v>1989</v>
      </c>
      <c r="V652" t="s">
        <v>673</v>
      </c>
      <c r="W652">
        <v>1.7</v>
      </c>
      <c r="X652" t="s">
        <v>76</v>
      </c>
      <c r="Y652" t="s">
        <v>203</v>
      </c>
      <c r="Z652" t="s">
        <v>152</v>
      </c>
      <c r="AA652" t="s">
        <v>187</v>
      </c>
      <c r="AB652" t="s">
        <v>5554</v>
      </c>
      <c r="AC652" t="s">
        <v>5555</v>
      </c>
      <c r="AD652" t="s">
        <v>442</v>
      </c>
      <c r="AE652" t="s">
        <v>5556</v>
      </c>
      <c r="AF652">
        <v>20</v>
      </c>
      <c r="AG652" t="s">
        <v>91</v>
      </c>
      <c r="AH652" t="s">
        <v>961</v>
      </c>
      <c r="AI652">
        <v>19</v>
      </c>
      <c r="AJ652" t="s">
        <v>110</v>
      </c>
      <c r="AK652">
        <v>19</v>
      </c>
      <c r="AL652">
        <v>24</v>
      </c>
      <c r="AM652">
        <v>440</v>
      </c>
      <c r="AN652">
        <v>95</v>
      </c>
      <c r="AO652">
        <v>11</v>
      </c>
      <c r="AP652" t="s">
        <v>93</v>
      </c>
      <c r="AQ652" t="s">
        <v>89</v>
      </c>
      <c r="AR652" t="s">
        <v>89</v>
      </c>
      <c r="AS652" t="s">
        <v>93</v>
      </c>
      <c r="AT652" t="s">
        <v>89</v>
      </c>
      <c r="AU652" t="s">
        <v>89</v>
      </c>
      <c r="AV652" t="s">
        <v>89</v>
      </c>
      <c r="AW652">
        <v>17</v>
      </c>
      <c r="AX652">
        <v>18</v>
      </c>
      <c r="AY652" t="s">
        <v>111</v>
      </c>
      <c r="AZ652">
        <v>22</v>
      </c>
      <c r="BA652">
        <v>84</v>
      </c>
      <c r="BB652">
        <v>6970</v>
      </c>
      <c r="BC652">
        <v>9</v>
      </c>
      <c r="BD652">
        <v>669</v>
      </c>
      <c r="BE652">
        <v>52819</v>
      </c>
      <c r="BF652">
        <v>50</v>
      </c>
      <c r="BG652" t="s">
        <v>89</v>
      </c>
      <c r="BH652">
        <v>753</v>
      </c>
      <c r="BI652">
        <v>59789</v>
      </c>
      <c r="BJ652">
        <v>59</v>
      </c>
      <c r="BK652">
        <f t="shared" si="92"/>
        <v>753</v>
      </c>
      <c r="BL652">
        <f t="shared" si="93"/>
        <v>59789</v>
      </c>
      <c r="BM652">
        <f t="shared" si="94"/>
        <v>59</v>
      </c>
      <c r="BN652">
        <f t="shared" si="95"/>
        <v>0</v>
      </c>
      <c r="BO652">
        <f t="shared" si="96"/>
        <v>0</v>
      </c>
      <c r="BP652">
        <f t="shared" si="97"/>
        <v>0</v>
      </c>
      <c r="BQ652" t="s">
        <v>203</v>
      </c>
      <c r="BR652" t="s">
        <v>140</v>
      </c>
      <c r="BS652" s="1">
        <v>32588</v>
      </c>
      <c r="BT652">
        <v>36</v>
      </c>
      <c r="BU652" t="s">
        <v>89</v>
      </c>
      <c r="BV652" t="s">
        <v>89</v>
      </c>
      <c r="BW652">
        <v>17</v>
      </c>
      <c r="BX652">
        <v>1989</v>
      </c>
      <c r="BY652">
        <v>17</v>
      </c>
      <c r="BZ652">
        <f t="shared" si="98"/>
        <v>0</v>
      </c>
      <c r="CA652">
        <f t="shared" si="99"/>
        <v>0</v>
      </c>
      <c r="CB652" t="b">
        <f t="shared" si="100"/>
        <v>1</v>
      </c>
    </row>
    <row r="653" spans="1:80" x14ac:dyDescent="0.3">
      <c r="A653" t="s">
        <v>5557</v>
      </c>
      <c r="B653" t="s">
        <v>5558</v>
      </c>
      <c r="C653" t="s">
        <v>5559</v>
      </c>
      <c r="D653">
        <v>33</v>
      </c>
      <c r="E653" t="s">
        <v>5560</v>
      </c>
      <c r="F653" t="s">
        <v>5561</v>
      </c>
      <c r="G653" t="s">
        <v>176</v>
      </c>
      <c r="H653" t="s">
        <v>5562</v>
      </c>
      <c r="I653" t="s">
        <v>227</v>
      </c>
      <c r="J653" t="s">
        <v>78</v>
      </c>
      <c r="K653" t="s">
        <v>5563</v>
      </c>
      <c r="L653" t="s">
        <v>254</v>
      </c>
      <c r="M653">
        <v>17</v>
      </c>
      <c r="N653" t="s">
        <v>146</v>
      </c>
      <c r="O653">
        <v>2009</v>
      </c>
      <c r="P653" t="s">
        <v>5564</v>
      </c>
      <c r="Q653" t="s">
        <v>5565</v>
      </c>
      <c r="R653">
        <v>85289</v>
      </c>
      <c r="S653" t="s">
        <v>5557</v>
      </c>
      <c r="T653" t="s">
        <v>5566</v>
      </c>
      <c r="U653">
        <v>1992</v>
      </c>
      <c r="V653" t="s">
        <v>644</v>
      </c>
      <c r="W653">
        <v>1.85</v>
      </c>
      <c r="X653" t="s">
        <v>5567</v>
      </c>
      <c r="Y653" t="s">
        <v>235</v>
      </c>
      <c r="Z653" t="s">
        <v>87</v>
      </c>
      <c r="AA653" t="s">
        <v>5568</v>
      </c>
      <c r="AB653" s="1">
        <v>45784</v>
      </c>
      <c r="AC653" t="s">
        <v>1811</v>
      </c>
      <c r="AD653" t="s">
        <v>89</v>
      </c>
      <c r="AE653" t="s">
        <v>3879</v>
      </c>
      <c r="AF653">
        <v>17</v>
      </c>
      <c r="AG653" t="s">
        <v>91</v>
      </c>
      <c r="AH653" t="s">
        <v>92</v>
      </c>
      <c r="AI653" t="s">
        <v>89</v>
      </c>
      <c r="AJ653" t="s">
        <v>92</v>
      </c>
      <c r="AK653">
        <v>17</v>
      </c>
      <c r="AL653">
        <v>8</v>
      </c>
      <c r="AM653">
        <v>299</v>
      </c>
      <c r="AN653">
        <v>35</v>
      </c>
      <c r="AO653">
        <v>4</v>
      </c>
      <c r="AP653" t="s">
        <v>93</v>
      </c>
      <c r="AQ653" t="s">
        <v>89</v>
      </c>
      <c r="AR653" t="s">
        <v>89</v>
      </c>
      <c r="AS653" t="s">
        <v>93</v>
      </c>
      <c r="AT653" t="s">
        <v>89</v>
      </c>
      <c r="AU653" t="s">
        <v>89</v>
      </c>
      <c r="AV653" t="s">
        <v>89</v>
      </c>
      <c r="AW653">
        <v>16</v>
      </c>
      <c r="AX653">
        <v>21</v>
      </c>
      <c r="AY653" t="s">
        <v>111</v>
      </c>
      <c r="AZ653">
        <v>4</v>
      </c>
      <c r="BA653">
        <v>13</v>
      </c>
      <c r="BB653">
        <v>996</v>
      </c>
      <c r="BC653">
        <v>2</v>
      </c>
      <c r="BD653">
        <v>270</v>
      </c>
      <c r="BE653">
        <v>21708</v>
      </c>
      <c r="BF653">
        <v>3</v>
      </c>
      <c r="BG653" t="s">
        <v>89</v>
      </c>
      <c r="BH653">
        <v>283</v>
      </c>
      <c r="BI653">
        <v>22704</v>
      </c>
      <c r="BJ653">
        <v>5</v>
      </c>
      <c r="BK653">
        <f t="shared" si="92"/>
        <v>283</v>
      </c>
      <c r="BL653">
        <f t="shared" si="93"/>
        <v>22704</v>
      </c>
      <c r="BM653">
        <f t="shared" si="94"/>
        <v>5</v>
      </c>
      <c r="BN653">
        <f t="shared" si="95"/>
        <v>0</v>
      </c>
      <c r="BO653">
        <f t="shared" si="96"/>
        <v>0</v>
      </c>
      <c r="BP653">
        <f t="shared" si="97"/>
        <v>0</v>
      </c>
      <c r="BQ653" t="s">
        <v>235</v>
      </c>
      <c r="BR653" t="s">
        <v>140</v>
      </c>
      <c r="BS653" s="1">
        <v>33684</v>
      </c>
      <c r="BT653">
        <v>33</v>
      </c>
      <c r="BU653" t="s">
        <v>89</v>
      </c>
      <c r="BV653" t="s">
        <v>89</v>
      </c>
      <c r="BW653">
        <v>16</v>
      </c>
      <c r="BX653">
        <v>1992</v>
      </c>
      <c r="BY653">
        <v>16</v>
      </c>
      <c r="BZ653">
        <f t="shared" si="98"/>
        <v>0</v>
      </c>
      <c r="CA653">
        <f t="shared" si="99"/>
        <v>0</v>
      </c>
      <c r="CB653" t="b">
        <f t="shared" si="100"/>
        <v>1</v>
      </c>
    </row>
    <row r="654" spans="1:80" x14ac:dyDescent="0.3">
      <c r="A654" t="s">
        <v>5569</v>
      </c>
      <c r="B654" t="s">
        <v>71</v>
      </c>
      <c r="C654" t="s">
        <v>5570</v>
      </c>
      <c r="D654">
        <v>43</v>
      </c>
      <c r="E654" s="1">
        <v>30068</v>
      </c>
      <c r="F654" t="s">
        <v>89</v>
      </c>
      <c r="G654" t="s">
        <v>176</v>
      </c>
      <c r="H654" t="s">
        <v>89</v>
      </c>
      <c r="I654" t="s">
        <v>178</v>
      </c>
      <c r="J654" t="s">
        <v>78</v>
      </c>
      <c r="K654" t="s">
        <v>89</v>
      </c>
      <c r="L654" t="s">
        <v>117</v>
      </c>
      <c r="M654">
        <v>23</v>
      </c>
      <c r="N654" t="s">
        <v>118</v>
      </c>
      <c r="O654">
        <v>2005</v>
      </c>
      <c r="P654" t="s">
        <v>5571</v>
      </c>
      <c r="Q654" t="s">
        <v>5572</v>
      </c>
      <c r="R654">
        <v>35462</v>
      </c>
      <c r="S654" t="s">
        <v>5569</v>
      </c>
      <c r="T654" t="s">
        <v>5573</v>
      </c>
      <c r="U654">
        <v>1982</v>
      </c>
      <c r="V654" t="s">
        <v>644</v>
      </c>
      <c r="W654">
        <v>1.89</v>
      </c>
      <c r="X654" t="s">
        <v>76</v>
      </c>
      <c r="Y654" t="s">
        <v>186</v>
      </c>
      <c r="Z654" t="s">
        <v>87</v>
      </c>
      <c r="AA654" t="s">
        <v>2117</v>
      </c>
      <c r="AB654" t="s">
        <v>5574</v>
      </c>
      <c r="AC654" t="s">
        <v>108</v>
      </c>
      <c r="AD654" t="s">
        <v>89</v>
      </c>
      <c r="AE654" t="s">
        <v>5575</v>
      </c>
      <c r="AF654">
        <v>26</v>
      </c>
      <c r="AG654" t="s">
        <v>91</v>
      </c>
      <c r="AH654" t="s">
        <v>1682</v>
      </c>
      <c r="AI654">
        <v>23</v>
      </c>
      <c r="AJ654" t="s">
        <v>110</v>
      </c>
      <c r="AK654">
        <v>23</v>
      </c>
      <c r="AL654" t="s">
        <v>89</v>
      </c>
      <c r="AM654" t="s">
        <v>89</v>
      </c>
      <c r="AN654" t="s">
        <v>89</v>
      </c>
      <c r="AO654">
        <v>0</v>
      </c>
      <c r="AP654" t="s">
        <v>93</v>
      </c>
      <c r="AQ654" t="s">
        <v>89</v>
      </c>
      <c r="AR654" t="s">
        <v>89</v>
      </c>
      <c r="AS654" t="s">
        <v>111</v>
      </c>
      <c r="AT654" t="s">
        <v>5574</v>
      </c>
      <c r="AU654">
        <v>2019</v>
      </c>
      <c r="AV654">
        <v>14</v>
      </c>
      <c r="AW654">
        <v>14</v>
      </c>
      <c r="AX654" t="s">
        <v>89</v>
      </c>
      <c r="AY654" t="s">
        <v>93</v>
      </c>
      <c r="AZ654">
        <v>0</v>
      </c>
      <c r="BA654">
        <v>0</v>
      </c>
      <c r="BB654">
        <v>0</v>
      </c>
      <c r="BC654">
        <v>0</v>
      </c>
      <c r="BD654">
        <v>120</v>
      </c>
      <c r="BE654">
        <v>10660</v>
      </c>
      <c r="BF654">
        <v>0</v>
      </c>
      <c r="BG654">
        <v>37</v>
      </c>
      <c r="BH654">
        <v>120</v>
      </c>
      <c r="BI654">
        <v>10660</v>
      </c>
      <c r="BJ654">
        <v>0</v>
      </c>
      <c r="BK654">
        <f t="shared" si="92"/>
        <v>120</v>
      </c>
      <c r="BL654">
        <f t="shared" si="93"/>
        <v>10660</v>
      </c>
      <c r="BM654">
        <f t="shared" si="94"/>
        <v>0</v>
      </c>
      <c r="BN654">
        <f t="shared" si="95"/>
        <v>0</v>
      </c>
      <c r="BO654">
        <f t="shared" si="96"/>
        <v>0</v>
      </c>
      <c r="BP654">
        <f t="shared" si="97"/>
        <v>0</v>
      </c>
      <c r="BQ654" t="s">
        <v>186</v>
      </c>
      <c r="BR654" t="s">
        <v>186</v>
      </c>
      <c r="BS654" s="1">
        <v>30068</v>
      </c>
      <c r="BT654">
        <v>43</v>
      </c>
      <c r="BU654" t="s">
        <v>5574</v>
      </c>
      <c r="BV654" s="1">
        <v>43496</v>
      </c>
      <c r="BW654">
        <v>14</v>
      </c>
      <c r="BX654">
        <v>1982</v>
      </c>
      <c r="BY654">
        <v>14</v>
      </c>
      <c r="BZ654">
        <f t="shared" si="98"/>
        <v>0</v>
      </c>
      <c r="CA654">
        <f t="shared" si="99"/>
        <v>0</v>
      </c>
      <c r="CB654" t="b">
        <f t="shared" si="100"/>
        <v>1</v>
      </c>
    </row>
    <row r="655" spans="1:80" x14ac:dyDescent="0.3">
      <c r="A655" t="s">
        <v>5576</v>
      </c>
      <c r="B655" t="s">
        <v>71</v>
      </c>
      <c r="C655" t="s">
        <v>5577</v>
      </c>
      <c r="D655">
        <v>36</v>
      </c>
      <c r="E655" s="1">
        <v>32511</v>
      </c>
      <c r="F655" t="s">
        <v>89</v>
      </c>
      <c r="G655" t="s">
        <v>321</v>
      </c>
      <c r="H655" t="s">
        <v>76</v>
      </c>
      <c r="I655" t="s">
        <v>178</v>
      </c>
      <c r="J655" t="s">
        <v>78</v>
      </c>
      <c r="K655" t="s">
        <v>89</v>
      </c>
      <c r="L655" t="s">
        <v>228</v>
      </c>
      <c r="M655">
        <v>21</v>
      </c>
      <c r="N655" t="s">
        <v>649</v>
      </c>
      <c r="O655">
        <v>2010</v>
      </c>
      <c r="P655" t="s">
        <v>5578</v>
      </c>
      <c r="Q655" t="s">
        <v>5579</v>
      </c>
      <c r="R655">
        <v>65263</v>
      </c>
      <c r="S655" t="s">
        <v>5576</v>
      </c>
      <c r="T655">
        <v>32568</v>
      </c>
      <c r="U655">
        <v>1989</v>
      </c>
      <c r="V655" t="s">
        <v>1958</v>
      </c>
      <c r="W655">
        <v>1.8</v>
      </c>
      <c r="X655" t="s">
        <v>76</v>
      </c>
      <c r="Y655" t="s">
        <v>186</v>
      </c>
      <c r="Z655" t="s">
        <v>87</v>
      </c>
      <c r="AA655" t="s">
        <v>107</v>
      </c>
      <c r="AB655" s="1">
        <v>45298</v>
      </c>
      <c r="AC655" t="s">
        <v>108</v>
      </c>
      <c r="AD655" t="s">
        <v>89</v>
      </c>
      <c r="AE655" t="s">
        <v>5580</v>
      </c>
      <c r="AF655">
        <v>26</v>
      </c>
      <c r="AG655" t="s">
        <v>91</v>
      </c>
      <c r="AH655" t="s">
        <v>5581</v>
      </c>
      <c r="AI655">
        <v>21</v>
      </c>
      <c r="AJ655" t="s">
        <v>110</v>
      </c>
      <c r="AK655">
        <v>21</v>
      </c>
      <c r="AL655">
        <v>5</v>
      </c>
      <c r="AM655">
        <v>583</v>
      </c>
      <c r="AN655">
        <v>22</v>
      </c>
      <c r="AO655">
        <v>5</v>
      </c>
      <c r="AP655" t="s">
        <v>93</v>
      </c>
      <c r="AQ655" t="s">
        <v>89</v>
      </c>
      <c r="AR655" t="s">
        <v>89</v>
      </c>
      <c r="AS655" t="s">
        <v>111</v>
      </c>
      <c r="AT655" s="1">
        <v>45298</v>
      </c>
      <c r="AU655">
        <v>2024</v>
      </c>
      <c r="AV655">
        <v>14</v>
      </c>
      <c r="AW655">
        <v>14</v>
      </c>
      <c r="AX655" t="s">
        <v>89</v>
      </c>
      <c r="AY655" t="s">
        <v>93</v>
      </c>
      <c r="AZ655">
        <v>0</v>
      </c>
      <c r="BA655">
        <v>0</v>
      </c>
      <c r="BB655">
        <v>0</v>
      </c>
      <c r="BC655">
        <v>0</v>
      </c>
      <c r="BD655">
        <v>303</v>
      </c>
      <c r="BE655">
        <v>27205</v>
      </c>
      <c r="BF655">
        <v>0</v>
      </c>
      <c r="BG655">
        <v>35</v>
      </c>
      <c r="BH655">
        <v>303</v>
      </c>
      <c r="BI655">
        <v>27205</v>
      </c>
      <c r="BJ655">
        <v>0</v>
      </c>
      <c r="BK655">
        <f t="shared" si="92"/>
        <v>303</v>
      </c>
      <c r="BL655">
        <f t="shared" si="93"/>
        <v>27205</v>
      </c>
      <c r="BM655">
        <f t="shared" si="94"/>
        <v>0</v>
      </c>
      <c r="BN655">
        <f t="shared" si="95"/>
        <v>0</v>
      </c>
      <c r="BO655">
        <f t="shared" si="96"/>
        <v>0</v>
      </c>
      <c r="BP655">
        <f t="shared" si="97"/>
        <v>0</v>
      </c>
      <c r="BQ655" t="s">
        <v>186</v>
      </c>
      <c r="BR655" t="s">
        <v>186</v>
      </c>
      <c r="BS655" t="s">
        <v>89</v>
      </c>
      <c r="BT655">
        <v>37</v>
      </c>
      <c r="BU655" s="1">
        <v>45298</v>
      </c>
      <c r="BV655" s="1">
        <v>45474</v>
      </c>
      <c r="BW655">
        <v>14</v>
      </c>
      <c r="BX655">
        <v>1989</v>
      </c>
      <c r="BY655">
        <v>14</v>
      </c>
      <c r="BZ655">
        <f t="shared" si="98"/>
        <v>0</v>
      </c>
      <c r="CA655">
        <f t="shared" si="99"/>
        <v>0</v>
      </c>
      <c r="CB655" t="b">
        <f t="shared" si="100"/>
        <v>1</v>
      </c>
    </row>
    <row r="656" spans="1:80" x14ac:dyDescent="0.3">
      <c r="A656" t="s">
        <v>5582</v>
      </c>
      <c r="B656" t="s">
        <v>71</v>
      </c>
      <c r="C656" t="s">
        <v>5583</v>
      </c>
      <c r="D656">
        <v>39</v>
      </c>
      <c r="E656">
        <v>31344</v>
      </c>
      <c r="F656" t="s">
        <v>89</v>
      </c>
      <c r="G656" t="s">
        <v>518</v>
      </c>
      <c r="H656" t="s">
        <v>89</v>
      </c>
      <c r="I656" t="s">
        <v>2237</v>
      </c>
      <c r="J656" t="s">
        <v>78</v>
      </c>
      <c r="K656" t="s">
        <v>89</v>
      </c>
      <c r="L656" t="s">
        <v>130</v>
      </c>
      <c r="M656">
        <v>22</v>
      </c>
      <c r="N656" t="s">
        <v>323</v>
      </c>
      <c r="O656">
        <v>2008</v>
      </c>
      <c r="P656" t="s">
        <v>5584</v>
      </c>
      <c r="Q656" t="s">
        <v>5585</v>
      </c>
      <c r="R656">
        <v>73314</v>
      </c>
      <c r="S656" t="s">
        <v>5582</v>
      </c>
      <c r="T656" t="s">
        <v>5586</v>
      </c>
      <c r="U656">
        <v>1985</v>
      </c>
      <c r="V656" t="s">
        <v>5587</v>
      </c>
      <c r="W656">
        <v>1.77</v>
      </c>
      <c r="X656" t="s">
        <v>76</v>
      </c>
      <c r="Y656" t="s">
        <v>494</v>
      </c>
      <c r="Z656" t="s">
        <v>87</v>
      </c>
      <c r="AA656" t="s">
        <v>5588</v>
      </c>
      <c r="AB656" s="1">
        <v>45298</v>
      </c>
      <c r="AC656" t="s">
        <v>108</v>
      </c>
      <c r="AD656" t="s">
        <v>89</v>
      </c>
      <c r="AE656" t="s">
        <v>331</v>
      </c>
      <c r="AF656">
        <v>27</v>
      </c>
      <c r="AG656" t="s">
        <v>91</v>
      </c>
      <c r="AH656" t="s">
        <v>961</v>
      </c>
      <c r="AI656">
        <v>22</v>
      </c>
      <c r="AJ656" t="s">
        <v>110</v>
      </c>
      <c r="AK656">
        <v>22</v>
      </c>
      <c r="AL656">
        <v>5</v>
      </c>
      <c r="AM656">
        <v>192</v>
      </c>
      <c r="AN656">
        <v>25</v>
      </c>
      <c r="AO656">
        <v>2</v>
      </c>
      <c r="AP656" t="s">
        <v>93</v>
      </c>
      <c r="AQ656" t="s">
        <v>89</v>
      </c>
      <c r="AR656" t="s">
        <v>89</v>
      </c>
      <c r="AS656" t="s">
        <v>111</v>
      </c>
      <c r="AT656">
        <v>45298</v>
      </c>
      <c r="AU656">
        <v>2024</v>
      </c>
      <c r="AV656">
        <v>16</v>
      </c>
      <c r="AW656">
        <v>16</v>
      </c>
      <c r="AX656" t="s">
        <v>89</v>
      </c>
      <c r="AY656" t="s">
        <v>93</v>
      </c>
      <c r="AZ656">
        <v>0</v>
      </c>
      <c r="BA656">
        <v>0</v>
      </c>
      <c r="BB656">
        <v>0</v>
      </c>
      <c r="BC656">
        <v>0</v>
      </c>
      <c r="BD656">
        <v>277</v>
      </c>
      <c r="BE656">
        <v>17220</v>
      </c>
      <c r="BF656">
        <v>21</v>
      </c>
      <c r="BG656">
        <v>39</v>
      </c>
      <c r="BH656">
        <v>277</v>
      </c>
      <c r="BI656">
        <v>17220</v>
      </c>
      <c r="BJ656">
        <v>21</v>
      </c>
      <c r="BK656">
        <f t="shared" si="92"/>
        <v>277</v>
      </c>
      <c r="BL656">
        <f t="shared" si="93"/>
        <v>17220</v>
      </c>
      <c r="BM656">
        <f t="shared" si="94"/>
        <v>21</v>
      </c>
      <c r="BN656">
        <f t="shared" si="95"/>
        <v>0</v>
      </c>
      <c r="BO656">
        <f t="shared" si="96"/>
        <v>0</v>
      </c>
      <c r="BP656">
        <f t="shared" si="97"/>
        <v>0</v>
      </c>
      <c r="BQ656" t="s">
        <v>494</v>
      </c>
      <c r="BR656" t="s">
        <v>112</v>
      </c>
      <c r="BS656" s="1">
        <v>31344</v>
      </c>
      <c r="BT656">
        <v>40</v>
      </c>
      <c r="BU656">
        <v>45298</v>
      </c>
      <c r="BV656" t="s">
        <v>89</v>
      </c>
      <c r="BW656">
        <v>17</v>
      </c>
      <c r="BX656">
        <v>1985</v>
      </c>
      <c r="BY656">
        <v>17</v>
      </c>
      <c r="BZ656">
        <f t="shared" si="98"/>
        <v>-1</v>
      </c>
      <c r="CA656">
        <f t="shared" si="99"/>
        <v>0</v>
      </c>
      <c r="CB656" t="b">
        <f t="shared" si="100"/>
        <v>0</v>
      </c>
    </row>
    <row r="657" spans="1:80" x14ac:dyDescent="0.3">
      <c r="A657" t="s">
        <v>5589</v>
      </c>
      <c r="B657" t="s">
        <v>71</v>
      </c>
      <c r="C657" t="s">
        <v>5590</v>
      </c>
      <c r="D657">
        <v>41</v>
      </c>
      <c r="E657">
        <v>30694</v>
      </c>
      <c r="F657" t="s">
        <v>89</v>
      </c>
      <c r="G657" t="s">
        <v>226</v>
      </c>
      <c r="H657" t="s">
        <v>89</v>
      </c>
      <c r="I657" t="s">
        <v>227</v>
      </c>
      <c r="J657" t="s">
        <v>89</v>
      </c>
      <c r="K657" t="s">
        <v>89</v>
      </c>
      <c r="L657" t="s">
        <v>117</v>
      </c>
      <c r="M657">
        <v>21</v>
      </c>
      <c r="N657" t="s">
        <v>279</v>
      </c>
      <c r="O657">
        <v>2005</v>
      </c>
      <c r="P657" t="s">
        <v>5591</v>
      </c>
      <c r="Q657" t="s">
        <v>5592</v>
      </c>
      <c r="R657">
        <v>57804</v>
      </c>
      <c r="S657" t="s">
        <v>5589</v>
      </c>
      <c r="T657" t="s">
        <v>5593</v>
      </c>
      <c r="U657">
        <v>1984</v>
      </c>
      <c r="V657" t="s">
        <v>315</v>
      </c>
      <c r="W657">
        <v>1.85</v>
      </c>
      <c r="X657" t="s">
        <v>76</v>
      </c>
      <c r="Y657" t="s">
        <v>235</v>
      </c>
      <c r="Z657" t="s">
        <v>87</v>
      </c>
      <c r="AA657" t="s">
        <v>5594</v>
      </c>
      <c r="AB657" s="1">
        <v>45298</v>
      </c>
      <c r="AC657" t="s">
        <v>108</v>
      </c>
      <c r="AD657" t="s">
        <v>89</v>
      </c>
      <c r="AE657" t="s">
        <v>719</v>
      </c>
      <c r="AF657">
        <v>24</v>
      </c>
      <c r="AG657" t="s">
        <v>91</v>
      </c>
      <c r="AH657" t="s">
        <v>354</v>
      </c>
      <c r="AI657">
        <v>21</v>
      </c>
      <c r="AJ657" t="s">
        <v>110</v>
      </c>
      <c r="AK657">
        <v>21</v>
      </c>
      <c r="AL657" t="s">
        <v>89</v>
      </c>
      <c r="AM657" t="s">
        <v>89</v>
      </c>
      <c r="AN657" t="s">
        <v>89</v>
      </c>
      <c r="AO657">
        <v>0</v>
      </c>
      <c r="AP657" t="s">
        <v>93</v>
      </c>
      <c r="AQ657" t="s">
        <v>89</v>
      </c>
      <c r="AR657" t="s">
        <v>89</v>
      </c>
      <c r="AS657" t="s">
        <v>111</v>
      </c>
      <c r="AT657">
        <v>45298</v>
      </c>
      <c r="AU657">
        <v>2024</v>
      </c>
      <c r="AV657">
        <v>19</v>
      </c>
      <c r="AW657">
        <v>19</v>
      </c>
      <c r="AX657" t="s">
        <v>89</v>
      </c>
      <c r="AY657" t="s">
        <v>93</v>
      </c>
      <c r="AZ657">
        <v>0</v>
      </c>
      <c r="BA657">
        <v>0</v>
      </c>
      <c r="BB657">
        <v>0</v>
      </c>
      <c r="BC657">
        <v>0</v>
      </c>
      <c r="BD657">
        <v>265</v>
      </c>
      <c r="BE657">
        <v>22254</v>
      </c>
      <c r="BF657">
        <v>12</v>
      </c>
      <c r="BG657">
        <v>40</v>
      </c>
      <c r="BH657">
        <v>265</v>
      </c>
      <c r="BI657">
        <v>22254</v>
      </c>
      <c r="BJ657">
        <v>12</v>
      </c>
      <c r="BK657">
        <f t="shared" si="92"/>
        <v>265</v>
      </c>
      <c r="BL657">
        <f t="shared" si="93"/>
        <v>22254</v>
      </c>
      <c r="BM657">
        <f t="shared" si="94"/>
        <v>12</v>
      </c>
      <c r="BN657">
        <f t="shared" si="95"/>
        <v>0</v>
      </c>
      <c r="BO657">
        <f t="shared" si="96"/>
        <v>0</v>
      </c>
      <c r="BP657">
        <f t="shared" si="97"/>
        <v>0</v>
      </c>
      <c r="BQ657" t="s">
        <v>235</v>
      </c>
      <c r="BR657" t="s">
        <v>140</v>
      </c>
      <c r="BS657" t="s">
        <v>89</v>
      </c>
      <c r="BT657">
        <v>42</v>
      </c>
      <c r="BU657">
        <v>45298</v>
      </c>
      <c r="BV657" t="s">
        <v>89</v>
      </c>
      <c r="BW657">
        <v>19</v>
      </c>
      <c r="BX657">
        <v>1984</v>
      </c>
      <c r="BY657">
        <v>19</v>
      </c>
      <c r="BZ657">
        <f t="shared" si="98"/>
        <v>0</v>
      </c>
      <c r="CA657">
        <f t="shared" si="99"/>
        <v>0</v>
      </c>
      <c r="CB657" t="b">
        <f t="shared" si="100"/>
        <v>1</v>
      </c>
    </row>
    <row r="658" spans="1:80" x14ac:dyDescent="0.3">
      <c r="A658" t="s">
        <v>5595</v>
      </c>
      <c r="B658" t="s">
        <v>71</v>
      </c>
      <c r="C658" t="s">
        <v>5596</v>
      </c>
      <c r="D658">
        <v>46</v>
      </c>
      <c r="E658">
        <v>28752</v>
      </c>
      <c r="F658" t="s">
        <v>89</v>
      </c>
      <c r="G658" t="s">
        <v>400</v>
      </c>
      <c r="H658" t="s">
        <v>89</v>
      </c>
      <c r="I658" t="s">
        <v>791</v>
      </c>
      <c r="J658" t="s">
        <v>89</v>
      </c>
      <c r="K658" t="s">
        <v>89</v>
      </c>
      <c r="L658" t="s">
        <v>196</v>
      </c>
      <c r="M658">
        <v>21</v>
      </c>
      <c r="N658" t="s">
        <v>763</v>
      </c>
      <c r="O658">
        <v>2000</v>
      </c>
      <c r="P658" t="s">
        <v>5597</v>
      </c>
      <c r="Q658" t="s">
        <v>5598</v>
      </c>
      <c r="R658">
        <v>7844</v>
      </c>
      <c r="S658" t="s">
        <v>5595</v>
      </c>
      <c r="T658" t="s">
        <v>5599</v>
      </c>
      <c r="U658">
        <v>1978</v>
      </c>
      <c r="V658" t="s">
        <v>234</v>
      </c>
      <c r="W658">
        <v>1.82</v>
      </c>
      <c r="X658" t="s">
        <v>76</v>
      </c>
      <c r="Y658" t="s">
        <v>494</v>
      </c>
      <c r="Z658" t="s">
        <v>87</v>
      </c>
      <c r="AA658" t="s">
        <v>273</v>
      </c>
      <c r="AB658">
        <v>41646</v>
      </c>
      <c r="AC658" t="s">
        <v>108</v>
      </c>
      <c r="AD658" t="s">
        <v>89</v>
      </c>
      <c r="AE658" s="1">
        <v>36808</v>
      </c>
      <c r="AF658">
        <v>21</v>
      </c>
      <c r="AG658" t="s">
        <v>91</v>
      </c>
      <c r="AH658" t="s">
        <v>5600</v>
      </c>
      <c r="AI658">
        <v>19</v>
      </c>
      <c r="AJ658" t="s">
        <v>110</v>
      </c>
      <c r="AK658">
        <v>19</v>
      </c>
      <c r="AL658" t="s">
        <v>89</v>
      </c>
      <c r="AM658" t="s">
        <v>89</v>
      </c>
      <c r="AN658" t="s">
        <v>89</v>
      </c>
      <c r="AO658">
        <v>0</v>
      </c>
      <c r="AP658" t="s">
        <v>93</v>
      </c>
      <c r="AQ658" t="s">
        <v>89</v>
      </c>
      <c r="AR658" t="s">
        <v>89</v>
      </c>
      <c r="AS658" t="s">
        <v>111</v>
      </c>
      <c r="AT658">
        <v>41646</v>
      </c>
      <c r="AU658">
        <v>2014</v>
      </c>
      <c r="AV658">
        <v>14</v>
      </c>
      <c r="AW658">
        <v>14</v>
      </c>
      <c r="AX658" t="s">
        <v>89</v>
      </c>
      <c r="AY658" t="s">
        <v>93</v>
      </c>
      <c r="AZ658">
        <v>0</v>
      </c>
      <c r="BA658">
        <v>0</v>
      </c>
      <c r="BB658">
        <v>0</v>
      </c>
      <c r="BC658">
        <v>0</v>
      </c>
      <c r="BD658">
        <v>348</v>
      </c>
      <c r="BE658">
        <v>23638</v>
      </c>
      <c r="BF658">
        <v>44</v>
      </c>
      <c r="BG658">
        <v>36</v>
      </c>
      <c r="BH658">
        <v>348</v>
      </c>
      <c r="BI658">
        <v>23638</v>
      </c>
      <c r="BJ658">
        <v>44</v>
      </c>
      <c r="BK658">
        <f t="shared" si="92"/>
        <v>348</v>
      </c>
      <c r="BL658">
        <f t="shared" si="93"/>
        <v>23638</v>
      </c>
      <c r="BM658">
        <f t="shared" si="94"/>
        <v>44</v>
      </c>
      <c r="BN658">
        <f t="shared" si="95"/>
        <v>0</v>
      </c>
      <c r="BO658">
        <f t="shared" si="96"/>
        <v>0</v>
      </c>
      <c r="BP658">
        <f t="shared" si="97"/>
        <v>0</v>
      </c>
      <c r="BQ658" t="s">
        <v>494</v>
      </c>
      <c r="BR658" t="s">
        <v>112</v>
      </c>
      <c r="BS658" s="1">
        <v>28752</v>
      </c>
      <c r="BT658">
        <v>47</v>
      </c>
      <c r="BU658">
        <v>41646</v>
      </c>
      <c r="BV658" t="s">
        <v>89</v>
      </c>
      <c r="BW658">
        <v>17</v>
      </c>
      <c r="BX658">
        <v>1978</v>
      </c>
      <c r="BY658">
        <v>17</v>
      </c>
      <c r="BZ658">
        <f t="shared" si="98"/>
        <v>-3</v>
      </c>
      <c r="CA658">
        <f t="shared" si="99"/>
        <v>0</v>
      </c>
      <c r="CB658" t="b">
        <f t="shared" si="100"/>
        <v>0</v>
      </c>
    </row>
    <row r="659" spans="1:80" x14ac:dyDescent="0.3">
      <c r="A659" t="s">
        <v>5601</v>
      </c>
      <c r="B659" t="s">
        <v>71</v>
      </c>
      <c r="C659" t="s">
        <v>5602</v>
      </c>
      <c r="D659">
        <v>43</v>
      </c>
      <c r="E659">
        <v>30063</v>
      </c>
      <c r="F659" t="s">
        <v>89</v>
      </c>
      <c r="G659" t="s">
        <v>374</v>
      </c>
      <c r="H659" t="s">
        <v>89</v>
      </c>
      <c r="I659" t="s">
        <v>437</v>
      </c>
      <c r="J659" t="s">
        <v>78</v>
      </c>
      <c r="K659" t="s">
        <v>89</v>
      </c>
      <c r="L659" t="s">
        <v>180</v>
      </c>
      <c r="M659">
        <v>25</v>
      </c>
      <c r="N659" t="s">
        <v>5603</v>
      </c>
      <c r="O659">
        <v>2007</v>
      </c>
      <c r="P659" t="s">
        <v>5604</v>
      </c>
      <c r="Q659" t="s">
        <v>5605</v>
      </c>
      <c r="R659">
        <v>57825</v>
      </c>
      <c r="S659" t="s">
        <v>5601</v>
      </c>
      <c r="T659" t="s">
        <v>5606</v>
      </c>
      <c r="U659">
        <v>1982</v>
      </c>
      <c r="V659" t="s">
        <v>5607</v>
      </c>
      <c r="W659">
        <v>1.88</v>
      </c>
      <c r="X659" t="s">
        <v>76</v>
      </c>
      <c r="Y659" t="s">
        <v>123</v>
      </c>
      <c r="Z659" t="s">
        <v>87</v>
      </c>
      <c r="AA659" t="s">
        <v>3041</v>
      </c>
      <c r="AB659" t="s">
        <v>880</v>
      </c>
      <c r="AC659" t="s">
        <v>108</v>
      </c>
      <c r="AD659" t="s">
        <v>89</v>
      </c>
      <c r="AE659" t="s">
        <v>306</v>
      </c>
      <c r="AF659">
        <v>29</v>
      </c>
      <c r="AG659" t="s">
        <v>91</v>
      </c>
      <c r="AH659" t="s">
        <v>449</v>
      </c>
      <c r="AI659">
        <v>25</v>
      </c>
      <c r="AJ659" t="s">
        <v>110</v>
      </c>
      <c r="AK659">
        <v>25</v>
      </c>
      <c r="AL659">
        <v>5</v>
      </c>
      <c r="AM659">
        <v>270</v>
      </c>
      <c r="AN659">
        <v>24</v>
      </c>
      <c r="AO659">
        <v>5</v>
      </c>
      <c r="AP659" t="s">
        <v>93</v>
      </c>
      <c r="AQ659" t="s">
        <v>89</v>
      </c>
      <c r="AR659" t="s">
        <v>89</v>
      </c>
      <c r="AS659" t="s">
        <v>111</v>
      </c>
      <c r="AT659" t="s">
        <v>880</v>
      </c>
      <c r="AU659">
        <v>2023</v>
      </c>
      <c r="AV659">
        <v>16</v>
      </c>
      <c r="AW659">
        <v>16</v>
      </c>
      <c r="AX659" t="s">
        <v>89</v>
      </c>
      <c r="AY659" t="s">
        <v>93</v>
      </c>
      <c r="AZ659">
        <v>0</v>
      </c>
      <c r="BA659">
        <v>0</v>
      </c>
      <c r="BB659">
        <v>0</v>
      </c>
      <c r="BC659">
        <v>0</v>
      </c>
      <c r="BD659">
        <v>529</v>
      </c>
      <c r="BE659">
        <v>33069</v>
      </c>
      <c r="BF659">
        <v>177</v>
      </c>
      <c r="BG659">
        <v>41</v>
      </c>
      <c r="BH659">
        <v>529</v>
      </c>
      <c r="BI659">
        <v>33069</v>
      </c>
      <c r="BJ659">
        <v>177</v>
      </c>
      <c r="BK659">
        <f t="shared" si="92"/>
        <v>529</v>
      </c>
      <c r="BL659">
        <f t="shared" si="93"/>
        <v>33069</v>
      </c>
      <c r="BM659">
        <f t="shared" si="94"/>
        <v>177</v>
      </c>
      <c r="BN659">
        <f t="shared" si="95"/>
        <v>0</v>
      </c>
      <c r="BO659">
        <f t="shared" si="96"/>
        <v>0</v>
      </c>
      <c r="BP659">
        <f t="shared" si="97"/>
        <v>0</v>
      </c>
      <c r="BQ659" t="s">
        <v>123</v>
      </c>
      <c r="BR659" t="s">
        <v>112</v>
      </c>
      <c r="BS659" s="1">
        <v>30063</v>
      </c>
      <c r="BT659">
        <v>43</v>
      </c>
      <c r="BU659" t="s">
        <v>880</v>
      </c>
      <c r="BV659" s="1">
        <v>45133</v>
      </c>
      <c r="BW659">
        <v>16</v>
      </c>
      <c r="BX659">
        <v>1982</v>
      </c>
      <c r="BY659">
        <v>16</v>
      </c>
      <c r="BZ659">
        <f t="shared" si="98"/>
        <v>0</v>
      </c>
      <c r="CA659">
        <f t="shared" si="99"/>
        <v>0</v>
      </c>
      <c r="CB659" t="b">
        <f t="shared" si="100"/>
        <v>1</v>
      </c>
    </row>
    <row r="660" spans="1:80" x14ac:dyDescent="0.3">
      <c r="A660" t="s">
        <v>5608</v>
      </c>
      <c r="B660" t="s">
        <v>71</v>
      </c>
      <c r="C660" t="s">
        <v>5609</v>
      </c>
      <c r="D660">
        <v>39</v>
      </c>
      <c r="E660">
        <v>31482</v>
      </c>
      <c r="F660" t="s">
        <v>89</v>
      </c>
      <c r="G660" t="s">
        <v>226</v>
      </c>
      <c r="H660" t="s">
        <v>89</v>
      </c>
      <c r="I660" t="s">
        <v>227</v>
      </c>
      <c r="J660" t="s">
        <v>300</v>
      </c>
      <c r="K660" t="s">
        <v>89</v>
      </c>
      <c r="L660" t="s">
        <v>278</v>
      </c>
      <c r="M660">
        <v>25</v>
      </c>
      <c r="N660" t="s">
        <v>5610</v>
      </c>
      <c r="O660">
        <v>2011</v>
      </c>
      <c r="P660" t="s">
        <v>5611</v>
      </c>
      <c r="Q660" t="s">
        <v>5612</v>
      </c>
      <c r="R660">
        <v>65239</v>
      </c>
      <c r="S660" t="s">
        <v>5608</v>
      </c>
      <c r="T660">
        <v>31719</v>
      </c>
      <c r="U660">
        <v>1986</v>
      </c>
      <c r="V660" t="s">
        <v>214</v>
      </c>
      <c r="W660">
        <v>1.84</v>
      </c>
      <c r="X660" t="s">
        <v>76</v>
      </c>
      <c r="Y660" t="s">
        <v>235</v>
      </c>
      <c r="Z660" t="s">
        <v>152</v>
      </c>
      <c r="AA660" t="s">
        <v>5613</v>
      </c>
      <c r="AB660">
        <v>45907</v>
      </c>
      <c r="AC660" t="s">
        <v>170</v>
      </c>
      <c r="AD660" t="s">
        <v>89</v>
      </c>
      <c r="AE660" t="s">
        <v>550</v>
      </c>
      <c r="AF660">
        <v>28</v>
      </c>
      <c r="AG660" t="s">
        <v>91</v>
      </c>
      <c r="AH660" t="s">
        <v>306</v>
      </c>
      <c r="AI660">
        <v>25</v>
      </c>
      <c r="AJ660" t="s">
        <v>110</v>
      </c>
      <c r="AK660">
        <v>25</v>
      </c>
      <c r="AL660">
        <v>2</v>
      </c>
      <c r="AM660">
        <v>55</v>
      </c>
      <c r="AN660">
        <v>7</v>
      </c>
      <c r="AO660">
        <v>1</v>
      </c>
      <c r="AP660" t="s">
        <v>93</v>
      </c>
      <c r="AQ660" t="s">
        <v>89</v>
      </c>
      <c r="AR660" t="s">
        <v>89</v>
      </c>
      <c r="AS660" t="s">
        <v>93</v>
      </c>
      <c r="AT660" t="s">
        <v>89</v>
      </c>
      <c r="AU660" t="s">
        <v>89</v>
      </c>
      <c r="AV660" t="s">
        <v>89</v>
      </c>
      <c r="AW660">
        <v>14</v>
      </c>
      <c r="AX660" t="s">
        <v>89</v>
      </c>
      <c r="AY660" t="s">
        <v>93</v>
      </c>
      <c r="AZ660">
        <v>0</v>
      </c>
      <c r="BA660">
        <v>0</v>
      </c>
      <c r="BB660">
        <v>0</v>
      </c>
      <c r="BC660">
        <v>0</v>
      </c>
      <c r="BD660">
        <v>206</v>
      </c>
      <c r="BE660">
        <v>16909</v>
      </c>
      <c r="BF660">
        <v>17</v>
      </c>
      <c r="BG660" t="s">
        <v>89</v>
      </c>
      <c r="BH660">
        <v>206</v>
      </c>
      <c r="BI660">
        <v>16909</v>
      </c>
      <c r="BJ660">
        <v>17</v>
      </c>
      <c r="BK660">
        <f t="shared" si="92"/>
        <v>206</v>
      </c>
      <c r="BL660">
        <f t="shared" si="93"/>
        <v>16909</v>
      </c>
      <c r="BM660">
        <f t="shared" si="94"/>
        <v>17</v>
      </c>
      <c r="BN660">
        <f t="shared" si="95"/>
        <v>0</v>
      </c>
      <c r="BO660">
        <f t="shared" si="96"/>
        <v>0</v>
      </c>
      <c r="BP660">
        <f t="shared" si="97"/>
        <v>0</v>
      </c>
      <c r="BQ660" t="s">
        <v>235</v>
      </c>
      <c r="BR660" t="s">
        <v>140</v>
      </c>
      <c r="BS660" t="s">
        <v>89</v>
      </c>
      <c r="BT660">
        <v>40</v>
      </c>
      <c r="BU660" t="s">
        <v>89</v>
      </c>
      <c r="BV660" t="s">
        <v>89</v>
      </c>
      <c r="BW660">
        <v>15</v>
      </c>
      <c r="BX660">
        <v>1986</v>
      </c>
      <c r="BY660">
        <v>14</v>
      </c>
      <c r="BZ660">
        <f t="shared" si="98"/>
        <v>-1</v>
      </c>
      <c r="CA660">
        <f t="shared" si="99"/>
        <v>1</v>
      </c>
      <c r="CB660" t="b">
        <f t="shared" si="100"/>
        <v>0</v>
      </c>
    </row>
    <row r="661" spans="1:80" x14ac:dyDescent="0.3">
      <c r="A661" t="s">
        <v>5614</v>
      </c>
      <c r="B661" t="s">
        <v>71</v>
      </c>
      <c r="C661" t="s">
        <v>5615</v>
      </c>
      <c r="D661">
        <v>32</v>
      </c>
      <c r="E661">
        <v>34087</v>
      </c>
      <c r="F661" t="s">
        <v>89</v>
      </c>
      <c r="G661" t="s">
        <v>115</v>
      </c>
      <c r="H661" t="s">
        <v>76</v>
      </c>
      <c r="I661" t="s">
        <v>437</v>
      </c>
      <c r="J661" t="s">
        <v>89</v>
      </c>
      <c r="K661" t="s">
        <v>89</v>
      </c>
      <c r="L661" t="s">
        <v>278</v>
      </c>
      <c r="M661">
        <v>18</v>
      </c>
      <c r="N661" t="s">
        <v>508</v>
      </c>
      <c r="O661">
        <v>2011</v>
      </c>
      <c r="P661" t="s">
        <v>5616</v>
      </c>
      <c r="Q661" t="s">
        <v>5617</v>
      </c>
      <c r="R661">
        <v>129495</v>
      </c>
      <c r="S661" t="s">
        <v>5614</v>
      </c>
      <c r="T661" t="s">
        <v>5618</v>
      </c>
      <c r="U661">
        <v>1993</v>
      </c>
      <c r="V661" t="s">
        <v>508</v>
      </c>
      <c r="W661">
        <v>1.8</v>
      </c>
      <c r="X661" t="s">
        <v>76</v>
      </c>
      <c r="Y661" t="s">
        <v>123</v>
      </c>
      <c r="Z661" t="s">
        <v>87</v>
      </c>
      <c r="AA661" t="s">
        <v>5619</v>
      </c>
      <c r="AB661" t="s">
        <v>5620</v>
      </c>
      <c r="AC661" t="s">
        <v>108</v>
      </c>
      <c r="AD661" t="s">
        <v>89</v>
      </c>
      <c r="AE661" t="s">
        <v>5621</v>
      </c>
      <c r="AF661">
        <v>18</v>
      </c>
      <c r="AG661" t="s">
        <v>91</v>
      </c>
      <c r="AH661" t="s">
        <v>421</v>
      </c>
      <c r="AI661">
        <v>20</v>
      </c>
      <c r="AJ661" t="s">
        <v>110</v>
      </c>
      <c r="AK661">
        <v>18</v>
      </c>
      <c r="AL661">
        <v>1</v>
      </c>
      <c r="AM661">
        <v>184</v>
      </c>
      <c r="AN661">
        <v>5</v>
      </c>
      <c r="AO661">
        <v>1</v>
      </c>
      <c r="AP661" t="s">
        <v>93</v>
      </c>
      <c r="AQ661" t="s">
        <v>89</v>
      </c>
      <c r="AR661" t="s">
        <v>89</v>
      </c>
      <c r="AS661" t="s">
        <v>111</v>
      </c>
      <c r="AT661" t="s">
        <v>5620</v>
      </c>
      <c r="AU661">
        <v>2019</v>
      </c>
      <c r="AV661">
        <v>8</v>
      </c>
      <c r="AW661">
        <v>8</v>
      </c>
      <c r="AX661" t="s">
        <v>89</v>
      </c>
      <c r="AY661" t="s">
        <v>93</v>
      </c>
      <c r="AZ661">
        <v>0</v>
      </c>
      <c r="BA661">
        <v>0</v>
      </c>
      <c r="BB661">
        <v>0</v>
      </c>
      <c r="BC661">
        <v>0</v>
      </c>
      <c r="BD661">
        <v>30</v>
      </c>
      <c r="BE661">
        <v>870</v>
      </c>
      <c r="BF661">
        <v>0</v>
      </c>
      <c r="BG661">
        <v>26</v>
      </c>
      <c r="BH661">
        <v>30</v>
      </c>
      <c r="BI661">
        <v>870</v>
      </c>
      <c r="BJ661">
        <v>0</v>
      </c>
      <c r="BK661">
        <f t="shared" si="92"/>
        <v>30</v>
      </c>
      <c r="BL661">
        <f t="shared" si="93"/>
        <v>870</v>
      </c>
      <c r="BM661">
        <f t="shared" si="94"/>
        <v>0</v>
      </c>
      <c r="BN661">
        <f t="shared" si="95"/>
        <v>0</v>
      </c>
      <c r="BO661">
        <f t="shared" si="96"/>
        <v>0</v>
      </c>
      <c r="BP661">
        <f t="shared" si="97"/>
        <v>0</v>
      </c>
      <c r="BQ661" t="s">
        <v>123</v>
      </c>
      <c r="BR661" t="s">
        <v>112</v>
      </c>
      <c r="BS661" t="s">
        <v>89</v>
      </c>
      <c r="BT661">
        <v>33</v>
      </c>
      <c r="BU661" t="s">
        <v>5620</v>
      </c>
      <c r="BV661" s="1">
        <v>43756</v>
      </c>
      <c r="BW661">
        <v>8</v>
      </c>
      <c r="BX661">
        <v>1993</v>
      </c>
      <c r="BY661">
        <v>8</v>
      </c>
      <c r="BZ661">
        <f t="shared" si="98"/>
        <v>0</v>
      </c>
      <c r="CA661">
        <f t="shared" si="99"/>
        <v>0</v>
      </c>
      <c r="CB661" t="b">
        <f t="shared" si="100"/>
        <v>1</v>
      </c>
    </row>
    <row r="662" spans="1:80" x14ac:dyDescent="0.3">
      <c r="A662" t="s">
        <v>5622</v>
      </c>
      <c r="B662" t="s">
        <v>71</v>
      </c>
      <c r="C662" t="s">
        <v>5623</v>
      </c>
      <c r="D662">
        <v>34</v>
      </c>
      <c r="E662" t="s">
        <v>5624</v>
      </c>
      <c r="F662" t="s">
        <v>5625</v>
      </c>
      <c r="G662" t="s">
        <v>97</v>
      </c>
      <c r="H662" t="s">
        <v>76</v>
      </c>
      <c r="I662" t="s">
        <v>227</v>
      </c>
      <c r="J662" t="s">
        <v>78</v>
      </c>
      <c r="K662" t="s">
        <v>1609</v>
      </c>
      <c r="L662" t="s">
        <v>228</v>
      </c>
      <c r="M662">
        <v>19</v>
      </c>
      <c r="N662" t="s">
        <v>81</v>
      </c>
      <c r="O662">
        <v>2010</v>
      </c>
      <c r="P662" t="s">
        <v>5626</v>
      </c>
      <c r="Q662" t="s">
        <v>5627</v>
      </c>
      <c r="R662">
        <v>67546</v>
      </c>
      <c r="S662" t="s">
        <v>5622</v>
      </c>
      <c r="T662" s="1">
        <v>33454</v>
      </c>
      <c r="U662">
        <v>1991</v>
      </c>
      <c r="V662" t="s">
        <v>2342</v>
      </c>
      <c r="W662">
        <v>1.86</v>
      </c>
      <c r="X662" t="s">
        <v>76</v>
      </c>
      <c r="Y662" t="s">
        <v>235</v>
      </c>
      <c r="Z662" t="s">
        <v>87</v>
      </c>
      <c r="AA662" t="s">
        <v>3878</v>
      </c>
      <c r="AB662" s="1">
        <v>42923</v>
      </c>
      <c r="AC662" t="s">
        <v>170</v>
      </c>
      <c r="AD662" t="s">
        <v>89</v>
      </c>
      <c r="AE662" t="s">
        <v>5628</v>
      </c>
      <c r="AF662">
        <v>20</v>
      </c>
      <c r="AG662" t="s">
        <v>91</v>
      </c>
      <c r="AH662" t="s">
        <v>331</v>
      </c>
      <c r="AI662">
        <v>22</v>
      </c>
      <c r="AJ662" t="s">
        <v>110</v>
      </c>
      <c r="AK662">
        <v>20</v>
      </c>
      <c r="AL662">
        <v>5</v>
      </c>
      <c r="AM662">
        <v>113</v>
      </c>
      <c r="AN662">
        <v>17</v>
      </c>
      <c r="AO662">
        <v>3</v>
      </c>
      <c r="AP662" t="s">
        <v>93</v>
      </c>
      <c r="AQ662" t="s">
        <v>89</v>
      </c>
      <c r="AR662" t="s">
        <v>89</v>
      </c>
      <c r="AS662" t="s">
        <v>93</v>
      </c>
      <c r="AT662" t="s">
        <v>89</v>
      </c>
      <c r="AU662" t="s">
        <v>89</v>
      </c>
      <c r="AV662" t="s">
        <v>89</v>
      </c>
      <c r="AW662">
        <v>15</v>
      </c>
      <c r="AX662">
        <v>14</v>
      </c>
      <c r="AY662" t="s">
        <v>93</v>
      </c>
      <c r="AZ662">
        <v>0</v>
      </c>
      <c r="BA662">
        <v>0</v>
      </c>
      <c r="BB662">
        <v>0</v>
      </c>
      <c r="BC662">
        <v>0</v>
      </c>
      <c r="BD662">
        <v>392</v>
      </c>
      <c r="BE662">
        <v>33413</v>
      </c>
      <c r="BF662">
        <v>22</v>
      </c>
      <c r="BG662" t="s">
        <v>89</v>
      </c>
      <c r="BH662">
        <v>392</v>
      </c>
      <c r="BI662">
        <v>33413</v>
      </c>
      <c r="BJ662">
        <v>22</v>
      </c>
      <c r="BK662">
        <f t="shared" si="92"/>
        <v>392</v>
      </c>
      <c r="BL662">
        <f t="shared" si="93"/>
        <v>33413</v>
      </c>
      <c r="BM662">
        <f t="shared" si="94"/>
        <v>22</v>
      </c>
      <c r="BN662">
        <f t="shared" si="95"/>
        <v>0</v>
      </c>
      <c r="BO662">
        <f t="shared" si="96"/>
        <v>0</v>
      </c>
      <c r="BP662">
        <f t="shared" si="97"/>
        <v>0</v>
      </c>
      <c r="BQ662" t="s">
        <v>235</v>
      </c>
      <c r="BR662" t="s">
        <v>140</v>
      </c>
      <c r="BS662" s="1">
        <v>33336</v>
      </c>
      <c r="BT662">
        <v>34</v>
      </c>
      <c r="BU662" t="s">
        <v>89</v>
      </c>
      <c r="BV662" t="s">
        <v>89</v>
      </c>
      <c r="BW662">
        <v>14</v>
      </c>
      <c r="BX662">
        <v>1991</v>
      </c>
      <c r="BY662">
        <v>14</v>
      </c>
      <c r="BZ662">
        <f t="shared" si="98"/>
        <v>1</v>
      </c>
      <c r="CA662">
        <f t="shared" si="99"/>
        <v>0</v>
      </c>
      <c r="CB662" t="b">
        <f t="shared" si="100"/>
        <v>0</v>
      </c>
    </row>
    <row r="663" spans="1:80" x14ac:dyDescent="0.3">
      <c r="A663" t="s">
        <v>5629</v>
      </c>
      <c r="B663" t="s">
        <v>4104</v>
      </c>
      <c r="C663" t="s">
        <v>5630</v>
      </c>
      <c r="D663">
        <v>45</v>
      </c>
      <c r="E663">
        <v>29316</v>
      </c>
      <c r="F663" t="s">
        <v>89</v>
      </c>
      <c r="G663" t="s">
        <v>413</v>
      </c>
      <c r="H663" t="s">
        <v>4106</v>
      </c>
      <c r="I663" t="s">
        <v>227</v>
      </c>
      <c r="J663" t="s">
        <v>300</v>
      </c>
      <c r="K663" t="s">
        <v>89</v>
      </c>
      <c r="L663" t="s">
        <v>196</v>
      </c>
      <c r="M663">
        <v>20</v>
      </c>
      <c r="N663" t="s">
        <v>5631</v>
      </c>
      <c r="O663">
        <v>2000</v>
      </c>
      <c r="P663" t="s">
        <v>5632</v>
      </c>
      <c r="Q663" t="s">
        <v>5633</v>
      </c>
      <c r="R663">
        <v>4563</v>
      </c>
      <c r="S663" t="s">
        <v>5629</v>
      </c>
      <c r="T663">
        <v>29345</v>
      </c>
      <c r="U663">
        <v>1980</v>
      </c>
      <c r="V663" t="s">
        <v>5634</v>
      </c>
      <c r="W663" t="s">
        <v>89</v>
      </c>
      <c r="X663" t="s">
        <v>4106</v>
      </c>
      <c r="Y663" t="s">
        <v>235</v>
      </c>
      <c r="Z663" t="s">
        <v>89</v>
      </c>
      <c r="AA663" t="s">
        <v>4107</v>
      </c>
      <c r="AB663">
        <v>42011</v>
      </c>
      <c r="AC663" t="s">
        <v>108</v>
      </c>
      <c r="AD663" t="s">
        <v>89</v>
      </c>
      <c r="AE663" t="s">
        <v>5635</v>
      </c>
      <c r="AF663">
        <v>18</v>
      </c>
      <c r="AG663" t="s">
        <v>4114</v>
      </c>
      <c r="AH663" t="s">
        <v>92</v>
      </c>
      <c r="AI663" t="s">
        <v>89</v>
      </c>
      <c r="AJ663" t="s">
        <v>92</v>
      </c>
      <c r="AK663">
        <v>18</v>
      </c>
      <c r="AL663">
        <v>10</v>
      </c>
      <c r="AM663">
        <v>285</v>
      </c>
      <c r="AN663">
        <v>40</v>
      </c>
      <c r="AO663">
        <v>6</v>
      </c>
      <c r="AP663" t="s">
        <v>93</v>
      </c>
      <c r="AQ663" t="s">
        <v>89</v>
      </c>
      <c r="AR663" t="s">
        <v>89</v>
      </c>
      <c r="AS663" t="s">
        <v>111</v>
      </c>
      <c r="AT663">
        <v>42011</v>
      </c>
      <c r="AU663">
        <v>2015</v>
      </c>
      <c r="AV663">
        <v>15</v>
      </c>
      <c r="AW663">
        <v>15</v>
      </c>
      <c r="AX663" t="s">
        <v>89</v>
      </c>
      <c r="AY663" t="s">
        <v>111</v>
      </c>
      <c r="AZ663">
        <v>9</v>
      </c>
      <c r="BA663">
        <v>47</v>
      </c>
      <c r="BB663">
        <v>4105</v>
      </c>
      <c r="BC663">
        <v>2</v>
      </c>
      <c r="BD663">
        <v>462</v>
      </c>
      <c r="BE663">
        <v>40402</v>
      </c>
      <c r="BF663">
        <v>19</v>
      </c>
      <c r="BG663">
        <v>35</v>
      </c>
      <c r="BH663">
        <v>509</v>
      </c>
      <c r="BI663">
        <v>44507</v>
      </c>
      <c r="BJ663">
        <v>21</v>
      </c>
      <c r="BK663">
        <f t="shared" si="92"/>
        <v>509</v>
      </c>
      <c r="BL663">
        <f t="shared" si="93"/>
        <v>44507</v>
      </c>
      <c r="BM663">
        <f t="shared" si="94"/>
        <v>21</v>
      </c>
      <c r="BN663">
        <f t="shared" si="95"/>
        <v>0</v>
      </c>
      <c r="BO663">
        <f t="shared" si="96"/>
        <v>0</v>
      </c>
      <c r="BP663">
        <f t="shared" si="97"/>
        <v>0</v>
      </c>
      <c r="BQ663" t="s">
        <v>235</v>
      </c>
      <c r="BR663" t="s">
        <v>140</v>
      </c>
      <c r="BS663" t="s">
        <v>89</v>
      </c>
      <c r="BT663">
        <v>46</v>
      </c>
      <c r="BU663">
        <v>42011</v>
      </c>
      <c r="BV663" t="s">
        <v>89</v>
      </c>
      <c r="BW663">
        <v>17</v>
      </c>
      <c r="BX663">
        <v>1980</v>
      </c>
      <c r="BY663">
        <v>17</v>
      </c>
      <c r="BZ663">
        <f t="shared" si="98"/>
        <v>-2</v>
      </c>
      <c r="CA663">
        <f t="shared" si="99"/>
        <v>0</v>
      </c>
      <c r="CB663" t="b">
        <f t="shared" si="100"/>
        <v>0</v>
      </c>
    </row>
    <row r="664" spans="1:80" x14ac:dyDescent="0.3">
      <c r="A664" t="s">
        <v>5636</v>
      </c>
      <c r="B664" t="s">
        <v>71</v>
      </c>
      <c r="C664" t="s">
        <v>5637</v>
      </c>
      <c r="D664">
        <v>35</v>
      </c>
      <c r="E664">
        <v>32756</v>
      </c>
      <c r="F664" t="s">
        <v>89</v>
      </c>
      <c r="G664" t="s">
        <v>400</v>
      </c>
      <c r="H664" t="s">
        <v>76</v>
      </c>
      <c r="I664" t="s">
        <v>299</v>
      </c>
      <c r="J664" t="s">
        <v>300</v>
      </c>
      <c r="K664" t="s">
        <v>89</v>
      </c>
      <c r="L664" t="s">
        <v>130</v>
      </c>
      <c r="M664">
        <v>18</v>
      </c>
      <c r="N664" t="s">
        <v>279</v>
      </c>
      <c r="O664">
        <v>2008</v>
      </c>
      <c r="P664" t="s">
        <v>5638</v>
      </c>
      <c r="Q664" t="s">
        <v>5639</v>
      </c>
      <c r="R664">
        <v>87469</v>
      </c>
      <c r="S664" t="s">
        <v>5640</v>
      </c>
      <c r="T664" t="s">
        <v>5641</v>
      </c>
      <c r="U664">
        <v>1989</v>
      </c>
      <c r="V664" t="s">
        <v>315</v>
      </c>
      <c r="W664">
        <v>1.82</v>
      </c>
      <c r="X664" t="s">
        <v>76</v>
      </c>
      <c r="Y664" t="s">
        <v>203</v>
      </c>
      <c r="Z664" t="s">
        <v>152</v>
      </c>
      <c r="AA664" t="s">
        <v>279</v>
      </c>
      <c r="AB664">
        <v>45664</v>
      </c>
      <c r="AC664" t="s">
        <v>108</v>
      </c>
      <c r="AD664" t="s">
        <v>89</v>
      </c>
      <c r="AE664">
        <v>40027</v>
      </c>
      <c r="AF664">
        <v>19</v>
      </c>
      <c r="AG664" t="s">
        <v>91</v>
      </c>
      <c r="AH664" t="s">
        <v>5642</v>
      </c>
      <c r="AI664">
        <v>32</v>
      </c>
      <c r="AJ664" t="s">
        <v>110</v>
      </c>
      <c r="AK664">
        <v>19</v>
      </c>
      <c r="AL664">
        <v>7</v>
      </c>
      <c r="AM664">
        <v>339</v>
      </c>
      <c r="AN664">
        <v>37</v>
      </c>
      <c r="AO664">
        <v>4</v>
      </c>
      <c r="AP664" t="s">
        <v>93</v>
      </c>
      <c r="AQ664" t="s">
        <v>89</v>
      </c>
      <c r="AR664" t="s">
        <v>89</v>
      </c>
      <c r="AS664" t="s">
        <v>111</v>
      </c>
      <c r="AT664">
        <v>45664</v>
      </c>
      <c r="AU664">
        <v>2025</v>
      </c>
      <c r="AV664">
        <v>17</v>
      </c>
      <c r="AW664">
        <v>17</v>
      </c>
      <c r="AX664" t="s">
        <v>89</v>
      </c>
      <c r="AY664" t="s">
        <v>93</v>
      </c>
      <c r="AZ664">
        <v>0</v>
      </c>
      <c r="BA664">
        <v>0</v>
      </c>
      <c r="BB664">
        <v>0</v>
      </c>
      <c r="BC664">
        <v>0</v>
      </c>
      <c r="BD664">
        <v>379</v>
      </c>
      <c r="BE664">
        <v>28536</v>
      </c>
      <c r="BF664">
        <v>10</v>
      </c>
      <c r="BG664">
        <v>36</v>
      </c>
      <c r="BH664">
        <v>379</v>
      </c>
      <c r="BI664">
        <v>28536</v>
      </c>
      <c r="BJ664">
        <v>10</v>
      </c>
      <c r="BK664">
        <f t="shared" si="92"/>
        <v>379</v>
      </c>
      <c r="BL664">
        <f t="shared" si="93"/>
        <v>28536</v>
      </c>
      <c r="BM664">
        <f t="shared" si="94"/>
        <v>10</v>
      </c>
      <c r="BN664">
        <f t="shared" si="95"/>
        <v>0</v>
      </c>
      <c r="BO664">
        <f t="shared" si="96"/>
        <v>0</v>
      </c>
      <c r="BP664">
        <f t="shared" si="97"/>
        <v>0</v>
      </c>
      <c r="BQ664" t="s">
        <v>203</v>
      </c>
      <c r="BR664" t="s">
        <v>140</v>
      </c>
      <c r="BS664" t="s">
        <v>89</v>
      </c>
      <c r="BT664">
        <v>37</v>
      </c>
      <c r="BU664">
        <v>45664</v>
      </c>
      <c r="BV664" t="s">
        <v>89</v>
      </c>
      <c r="BW664">
        <v>17</v>
      </c>
      <c r="BX664">
        <v>1989</v>
      </c>
      <c r="BY664">
        <v>17</v>
      </c>
      <c r="BZ664">
        <f t="shared" si="98"/>
        <v>0</v>
      </c>
      <c r="CA664">
        <f t="shared" si="99"/>
        <v>0</v>
      </c>
      <c r="CB664" t="b">
        <f t="shared" si="100"/>
        <v>1</v>
      </c>
    </row>
    <row r="665" spans="1:80" x14ac:dyDescent="0.3">
      <c r="A665" t="s">
        <v>5643</v>
      </c>
      <c r="B665" t="s">
        <v>71</v>
      </c>
      <c r="C665" t="s">
        <v>5644</v>
      </c>
      <c r="D665">
        <v>36</v>
      </c>
      <c r="E665" s="1">
        <v>32569</v>
      </c>
      <c r="F665" t="s">
        <v>89</v>
      </c>
      <c r="G665" t="s">
        <v>226</v>
      </c>
      <c r="H665" t="s">
        <v>89</v>
      </c>
      <c r="I665" t="s">
        <v>227</v>
      </c>
      <c r="J665" t="s">
        <v>78</v>
      </c>
      <c r="K665" t="s">
        <v>89</v>
      </c>
      <c r="L665" t="s">
        <v>228</v>
      </c>
      <c r="M665">
        <v>21</v>
      </c>
      <c r="N665" t="s">
        <v>105</v>
      </c>
      <c r="O665">
        <v>2010</v>
      </c>
      <c r="P665" t="s">
        <v>5645</v>
      </c>
      <c r="Q665" t="s">
        <v>5646</v>
      </c>
      <c r="R665">
        <v>160182</v>
      </c>
      <c r="S665" t="s">
        <v>5636</v>
      </c>
      <c r="T665">
        <v>32542</v>
      </c>
      <c r="U665">
        <v>1989</v>
      </c>
      <c r="V665" t="s">
        <v>105</v>
      </c>
      <c r="W665">
        <v>1.87</v>
      </c>
      <c r="X665" t="s">
        <v>76</v>
      </c>
      <c r="Y665" t="s">
        <v>235</v>
      </c>
      <c r="Z665" t="s">
        <v>87</v>
      </c>
      <c r="AA665" t="s">
        <v>476</v>
      </c>
      <c r="AB665" s="1">
        <v>45298</v>
      </c>
      <c r="AC665" t="s">
        <v>108</v>
      </c>
      <c r="AD665" t="s">
        <v>223</v>
      </c>
      <c r="AE665" t="s">
        <v>1729</v>
      </c>
      <c r="AF665">
        <v>25</v>
      </c>
      <c r="AG665" t="s">
        <v>91</v>
      </c>
      <c r="AH665">
        <v>40188</v>
      </c>
      <c r="AI665">
        <v>21</v>
      </c>
      <c r="AJ665" t="s">
        <v>110</v>
      </c>
      <c r="AK665">
        <v>21</v>
      </c>
      <c r="AL665">
        <v>8</v>
      </c>
      <c r="AM665">
        <v>773</v>
      </c>
      <c r="AN665">
        <v>67</v>
      </c>
      <c r="AO665">
        <v>5</v>
      </c>
      <c r="AP665" t="s">
        <v>93</v>
      </c>
      <c r="AQ665" t="s">
        <v>89</v>
      </c>
      <c r="AR665" t="s">
        <v>89</v>
      </c>
      <c r="AS665" t="s">
        <v>93</v>
      </c>
      <c r="AT665" t="s">
        <v>89</v>
      </c>
      <c r="AU665" t="s">
        <v>89</v>
      </c>
      <c r="AV665" t="s">
        <v>89</v>
      </c>
      <c r="AW665">
        <v>15</v>
      </c>
      <c r="AX665" t="s">
        <v>89</v>
      </c>
      <c r="AY665" t="s">
        <v>93</v>
      </c>
      <c r="AZ665">
        <v>0</v>
      </c>
      <c r="BA665">
        <v>0</v>
      </c>
      <c r="BB665">
        <v>0</v>
      </c>
      <c r="BC665">
        <v>0</v>
      </c>
      <c r="BD665">
        <v>63</v>
      </c>
      <c r="BE665">
        <v>4502</v>
      </c>
      <c r="BF665">
        <v>2</v>
      </c>
      <c r="BG665" t="s">
        <v>89</v>
      </c>
      <c r="BH665">
        <v>63</v>
      </c>
      <c r="BI665">
        <v>4502</v>
      </c>
      <c r="BJ665">
        <v>2</v>
      </c>
      <c r="BK665">
        <f t="shared" si="92"/>
        <v>63</v>
      </c>
      <c r="BL665">
        <f t="shared" si="93"/>
        <v>4502</v>
      </c>
      <c r="BM665">
        <f t="shared" si="94"/>
        <v>2</v>
      </c>
      <c r="BN665">
        <f t="shared" si="95"/>
        <v>0</v>
      </c>
      <c r="BO665">
        <f t="shared" si="96"/>
        <v>0</v>
      </c>
      <c r="BP665">
        <f t="shared" si="97"/>
        <v>0</v>
      </c>
      <c r="BQ665" t="s">
        <v>235</v>
      </c>
      <c r="BR665" t="s">
        <v>140</v>
      </c>
      <c r="BS665" t="s">
        <v>89</v>
      </c>
      <c r="BT665">
        <v>37</v>
      </c>
      <c r="BU665" t="s">
        <v>89</v>
      </c>
      <c r="BV665" t="s">
        <v>89</v>
      </c>
      <c r="BW665">
        <v>16</v>
      </c>
      <c r="BX665">
        <v>1989</v>
      </c>
      <c r="BY665">
        <v>15</v>
      </c>
      <c r="BZ665">
        <f t="shared" si="98"/>
        <v>-1</v>
      </c>
      <c r="CA665">
        <f t="shared" si="99"/>
        <v>1</v>
      </c>
      <c r="CB665" t="b">
        <f t="shared" si="100"/>
        <v>0</v>
      </c>
    </row>
    <row r="666" spans="1:80" x14ac:dyDescent="0.3">
      <c r="A666" t="s">
        <v>5647</v>
      </c>
      <c r="B666" t="s">
        <v>71</v>
      </c>
      <c r="C666" t="s">
        <v>5648</v>
      </c>
      <c r="D666">
        <v>38</v>
      </c>
      <c r="E666">
        <v>31817</v>
      </c>
      <c r="F666" t="s">
        <v>89</v>
      </c>
      <c r="G666" t="s">
        <v>413</v>
      </c>
      <c r="H666" t="s">
        <v>76</v>
      </c>
      <c r="I666" t="s">
        <v>357</v>
      </c>
      <c r="J666" t="s">
        <v>78</v>
      </c>
      <c r="K666" t="s">
        <v>89</v>
      </c>
      <c r="L666" t="s">
        <v>117</v>
      </c>
      <c r="M666">
        <v>18</v>
      </c>
      <c r="N666" t="s">
        <v>304</v>
      </c>
      <c r="O666">
        <v>2005</v>
      </c>
      <c r="P666" t="s">
        <v>5649</v>
      </c>
      <c r="Q666" t="s">
        <v>5650</v>
      </c>
      <c r="R666">
        <v>37397</v>
      </c>
      <c r="S666" t="s">
        <v>5651</v>
      </c>
      <c r="T666">
        <v>32022</v>
      </c>
      <c r="U666">
        <v>1987</v>
      </c>
      <c r="V666" t="s">
        <v>5652</v>
      </c>
      <c r="W666">
        <v>1.85</v>
      </c>
      <c r="X666" t="s">
        <v>76</v>
      </c>
      <c r="Y666" t="s">
        <v>235</v>
      </c>
      <c r="Z666" t="s">
        <v>87</v>
      </c>
      <c r="AA666" t="s">
        <v>3691</v>
      </c>
      <c r="AB666">
        <v>45298</v>
      </c>
      <c r="AC666" t="s">
        <v>108</v>
      </c>
      <c r="AD666" t="s">
        <v>89</v>
      </c>
      <c r="AE666" t="s">
        <v>4183</v>
      </c>
      <c r="AF666">
        <v>18</v>
      </c>
      <c r="AG666" t="s">
        <v>91</v>
      </c>
      <c r="AH666" t="s">
        <v>449</v>
      </c>
      <c r="AI666">
        <v>20</v>
      </c>
      <c r="AJ666" t="s">
        <v>110</v>
      </c>
      <c r="AK666">
        <v>18</v>
      </c>
      <c r="AL666">
        <v>20</v>
      </c>
      <c r="AM666">
        <v>737</v>
      </c>
      <c r="AN666">
        <v>106</v>
      </c>
      <c r="AO666">
        <v>10</v>
      </c>
      <c r="AP666" t="s">
        <v>93</v>
      </c>
      <c r="AQ666" t="s">
        <v>89</v>
      </c>
      <c r="AR666" t="s">
        <v>89</v>
      </c>
      <c r="AS666" t="s">
        <v>111</v>
      </c>
      <c r="AT666">
        <v>45298</v>
      </c>
      <c r="AU666">
        <v>2024</v>
      </c>
      <c r="AV666">
        <v>19</v>
      </c>
      <c r="AW666">
        <v>19</v>
      </c>
      <c r="AX666" t="s">
        <v>89</v>
      </c>
      <c r="AY666" t="s">
        <v>93</v>
      </c>
      <c r="AZ666">
        <v>0</v>
      </c>
      <c r="BA666">
        <v>0</v>
      </c>
      <c r="BB666">
        <v>0</v>
      </c>
      <c r="BC666">
        <v>0</v>
      </c>
      <c r="BD666">
        <v>315</v>
      </c>
      <c r="BE666">
        <v>24515</v>
      </c>
      <c r="BF666">
        <v>11</v>
      </c>
      <c r="BG666">
        <v>37</v>
      </c>
      <c r="BH666">
        <v>315</v>
      </c>
      <c r="BI666">
        <v>24515</v>
      </c>
      <c r="BJ666">
        <v>11</v>
      </c>
      <c r="BK666">
        <f t="shared" si="92"/>
        <v>315</v>
      </c>
      <c r="BL666">
        <f t="shared" si="93"/>
        <v>24515</v>
      </c>
      <c r="BM666">
        <f t="shared" si="94"/>
        <v>11</v>
      </c>
      <c r="BN666">
        <f t="shared" si="95"/>
        <v>0</v>
      </c>
      <c r="BO666">
        <f t="shared" si="96"/>
        <v>0</v>
      </c>
      <c r="BP666">
        <f t="shared" si="97"/>
        <v>0</v>
      </c>
      <c r="BQ666" t="s">
        <v>235</v>
      </c>
      <c r="BR666" t="s">
        <v>140</v>
      </c>
      <c r="BS666" t="s">
        <v>89</v>
      </c>
      <c r="BT666">
        <v>39</v>
      </c>
      <c r="BU666">
        <v>45298</v>
      </c>
      <c r="BV666" t="s">
        <v>89</v>
      </c>
      <c r="BW666">
        <v>19</v>
      </c>
      <c r="BX666">
        <v>1987</v>
      </c>
      <c r="BY666">
        <v>19</v>
      </c>
      <c r="BZ666">
        <f t="shared" si="98"/>
        <v>0</v>
      </c>
      <c r="CA666">
        <f t="shared" si="99"/>
        <v>0</v>
      </c>
      <c r="CB666" t="b">
        <f t="shared" si="100"/>
        <v>1</v>
      </c>
    </row>
    <row r="667" spans="1:80" ht="57.6" x14ac:dyDescent="0.3">
      <c r="A667" t="s">
        <v>5653</v>
      </c>
      <c r="B667" t="s">
        <v>71</v>
      </c>
      <c r="C667" t="s">
        <v>5654</v>
      </c>
      <c r="D667">
        <v>32</v>
      </c>
      <c r="E667" t="s">
        <v>5655</v>
      </c>
      <c r="F667" t="s">
        <v>5656</v>
      </c>
      <c r="G667" t="s">
        <v>400</v>
      </c>
      <c r="H667" t="s">
        <v>89</v>
      </c>
      <c r="I667" t="s">
        <v>227</v>
      </c>
      <c r="J667" t="s">
        <v>89</v>
      </c>
      <c r="K667" t="s">
        <v>1429</v>
      </c>
      <c r="L667" t="s">
        <v>324</v>
      </c>
      <c r="M667">
        <v>20</v>
      </c>
      <c r="N667" t="s">
        <v>301</v>
      </c>
      <c r="O667">
        <v>2013</v>
      </c>
      <c r="P667" t="s">
        <v>5657</v>
      </c>
      <c r="Q667" t="s">
        <v>5658</v>
      </c>
      <c r="R667">
        <v>254039</v>
      </c>
      <c r="S667" t="s">
        <v>5659</v>
      </c>
      <c r="T667" s="2" t="s">
        <v>5660</v>
      </c>
      <c r="U667">
        <v>1993</v>
      </c>
      <c r="V667" s="2" t="s">
        <v>5661</v>
      </c>
      <c r="W667">
        <v>1.83</v>
      </c>
      <c r="X667" t="s">
        <v>76</v>
      </c>
      <c r="Y667" s="2" t="s">
        <v>5662</v>
      </c>
      <c r="Z667" t="s">
        <v>87</v>
      </c>
      <c r="AA667" s="2" t="s">
        <v>5663</v>
      </c>
      <c r="AB667" s="2" t="s">
        <v>5664</v>
      </c>
      <c r="AC667" t="s">
        <v>170</v>
      </c>
      <c r="AD667" t="s">
        <v>89</v>
      </c>
      <c r="AE667" s="1">
        <v>41344</v>
      </c>
      <c r="AF667">
        <v>20</v>
      </c>
      <c r="AG667" t="s">
        <v>91</v>
      </c>
      <c r="AH667" t="s">
        <v>5665</v>
      </c>
      <c r="AI667">
        <v>21</v>
      </c>
      <c r="AJ667" t="s">
        <v>110</v>
      </c>
      <c r="AK667">
        <v>20</v>
      </c>
      <c r="AL667">
        <v>5</v>
      </c>
      <c r="AM667">
        <v>144</v>
      </c>
      <c r="AN667">
        <v>16</v>
      </c>
      <c r="AO667">
        <v>3</v>
      </c>
      <c r="AP667" t="s">
        <v>93</v>
      </c>
      <c r="AQ667" t="s">
        <v>89</v>
      </c>
      <c r="AR667" t="s">
        <v>89</v>
      </c>
      <c r="AS667" t="s">
        <v>93</v>
      </c>
      <c r="AT667" t="s">
        <v>89</v>
      </c>
      <c r="AU667" t="s">
        <v>89</v>
      </c>
      <c r="AV667" t="s">
        <v>89</v>
      </c>
      <c r="AW667">
        <v>13</v>
      </c>
      <c r="AX667">
        <v>13</v>
      </c>
      <c r="AY667" t="s">
        <v>93</v>
      </c>
      <c r="AZ667">
        <v>0</v>
      </c>
      <c r="BA667">
        <v>0</v>
      </c>
      <c r="BB667">
        <v>0</v>
      </c>
      <c r="BC667">
        <v>0</v>
      </c>
      <c r="BD667">
        <v>314</v>
      </c>
      <c r="BE667">
        <v>25964</v>
      </c>
      <c r="BF667">
        <v>14</v>
      </c>
      <c r="BG667" t="s">
        <v>89</v>
      </c>
      <c r="BH667">
        <v>314</v>
      </c>
      <c r="BI667">
        <v>25964</v>
      </c>
      <c r="BJ667">
        <v>14</v>
      </c>
      <c r="BK667">
        <f t="shared" si="92"/>
        <v>314</v>
      </c>
      <c r="BL667">
        <f t="shared" si="93"/>
        <v>25964</v>
      </c>
      <c r="BM667">
        <f t="shared" si="94"/>
        <v>14</v>
      </c>
      <c r="BN667">
        <f t="shared" si="95"/>
        <v>0</v>
      </c>
      <c r="BO667">
        <f t="shared" si="96"/>
        <v>0</v>
      </c>
      <c r="BP667">
        <f t="shared" si="97"/>
        <v>0</v>
      </c>
      <c r="BQ667" t="s">
        <v>235</v>
      </c>
      <c r="BR667" t="s">
        <v>140</v>
      </c>
      <c r="BS667" s="1">
        <v>34036</v>
      </c>
      <c r="BT667">
        <v>32</v>
      </c>
      <c r="BU667" t="s">
        <v>89</v>
      </c>
      <c r="BV667" t="s">
        <v>89</v>
      </c>
      <c r="BW667">
        <v>12</v>
      </c>
      <c r="BX667">
        <v>1993</v>
      </c>
      <c r="BY667">
        <v>12</v>
      </c>
      <c r="BZ667">
        <f t="shared" si="98"/>
        <v>1</v>
      </c>
      <c r="CA667">
        <f t="shared" si="99"/>
        <v>0</v>
      </c>
      <c r="CB667" t="b">
        <f t="shared" si="100"/>
        <v>0</v>
      </c>
    </row>
    <row r="668" spans="1:80" x14ac:dyDescent="0.3">
      <c r="A668" t="s">
        <v>5666</v>
      </c>
      <c r="B668" t="s">
        <v>71</v>
      </c>
      <c r="C668" t="s">
        <v>5667</v>
      </c>
      <c r="D668">
        <v>41</v>
      </c>
      <c r="E668" s="1">
        <v>30560</v>
      </c>
      <c r="F668" t="s">
        <v>384</v>
      </c>
      <c r="G668" t="s">
        <v>75</v>
      </c>
      <c r="H668" t="s">
        <v>76</v>
      </c>
      <c r="I668" t="s">
        <v>98</v>
      </c>
      <c r="J668" t="s">
        <v>300</v>
      </c>
      <c r="K668" t="s">
        <v>89</v>
      </c>
      <c r="L668" t="s">
        <v>2014</v>
      </c>
      <c r="M668">
        <v>15</v>
      </c>
      <c r="N668" t="s">
        <v>304</v>
      </c>
      <c r="O668">
        <v>1999</v>
      </c>
      <c r="P668" t="s">
        <v>5668</v>
      </c>
      <c r="Q668" t="s">
        <v>5669</v>
      </c>
      <c r="R668">
        <v>7717</v>
      </c>
      <c r="S668" t="s">
        <v>5666</v>
      </c>
      <c r="T668">
        <v>30560</v>
      </c>
      <c r="U668">
        <v>1983</v>
      </c>
      <c r="V668" t="s">
        <v>390</v>
      </c>
      <c r="W668">
        <v>1.76</v>
      </c>
      <c r="X668" t="s">
        <v>76</v>
      </c>
      <c r="Y668" t="s">
        <v>494</v>
      </c>
      <c r="Z668" t="s">
        <v>152</v>
      </c>
      <c r="AA668" t="s">
        <v>89</v>
      </c>
      <c r="AB668" t="s">
        <v>89</v>
      </c>
      <c r="AC668" t="s">
        <v>89</v>
      </c>
      <c r="AD668" t="s">
        <v>442</v>
      </c>
      <c r="AE668" t="s">
        <v>5670</v>
      </c>
      <c r="AF668">
        <v>16</v>
      </c>
      <c r="AG668" t="s">
        <v>91</v>
      </c>
      <c r="AH668" t="s">
        <v>5671</v>
      </c>
      <c r="AI668">
        <v>17</v>
      </c>
      <c r="AJ668" t="s">
        <v>110</v>
      </c>
      <c r="AK668">
        <v>16</v>
      </c>
      <c r="AL668">
        <v>8</v>
      </c>
      <c r="AM668">
        <v>204</v>
      </c>
      <c r="AN668">
        <v>46</v>
      </c>
      <c r="AO668">
        <v>7</v>
      </c>
      <c r="AP668" t="s">
        <v>111</v>
      </c>
      <c r="AQ668" t="s">
        <v>5672</v>
      </c>
      <c r="AR668">
        <v>35</v>
      </c>
      <c r="AS668" t="s">
        <v>93</v>
      </c>
      <c r="AT668" t="s">
        <v>89</v>
      </c>
      <c r="AU668" t="s">
        <v>89</v>
      </c>
      <c r="AV668">
        <v>20</v>
      </c>
      <c r="AW668">
        <v>20</v>
      </c>
      <c r="AX668" t="s">
        <v>89</v>
      </c>
      <c r="AY668" t="s">
        <v>111</v>
      </c>
      <c r="AZ668">
        <v>3</v>
      </c>
      <c r="BA668">
        <v>8</v>
      </c>
      <c r="BB668">
        <v>493</v>
      </c>
      <c r="BC668">
        <v>0</v>
      </c>
      <c r="BD668">
        <v>566</v>
      </c>
      <c r="BE668">
        <v>34762</v>
      </c>
      <c r="BF668">
        <v>81</v>
      </c>
      <c r="BG668" t="s">
        <v>89</v>
      </c>
      <c r="BH668">
        <v>574</v>
      </c>
      <c r="BI668">
        <v>35255</v>
      </c>
      <c r="BJ668">
        <v>81</v>
      </c>
      <c r="BK668">
        <f t="shared" si="92"/>
        <v>574</v>
      </c>
      <c r="BL668">
        <f t="shared" si="93"/>
        <v>35255</v>
      </c>
      <c r="BM668">
        <f t="shared" si="94"/>
        <v>81</v>
      </c>
      <c r="BN668">
        <f t="shared" si="95"/>
        <v>0</v>
      </c>
      <c r="BO668">
        <f t="shared" si="96"/>
        <v>0</v>
      </c>
      <c r="BP668">
        <f t="shared" si="97"/>
        <v>0</v>
      </c>
      <c r="BQ668" t="s">
        <v>494</v>
      </c>
      <c r="BR668" t="s">
        <v>112</v>
      </c>
      <c r="BS668" t="s">
        <v>89</v>
      </c>
      <c r="BT668">
        <v>43</v>
      </c>
      <c r="BU668" t="s">
        <v>89</v>
      </c>
      <c r="BV668" t="s">
        <v>89</v>
      </c>
      <c r="BW668">
        <v>19</v>
      </c>
      <c r="BX668">
        <v>1983</v>
      </c>
      <c r="BY668">
        <v>19</v>
      </c>
      <c r="BZ668">
        <f t="shared" si="98"/>
        <v>1</v>
      </c>
      <c r="CA668">
        <f t="shared" si="99"/>
        <v>0</v>
      </c>
      <c r="CB668" t="b">
        <f t="shared" si="100"/>
        <v>0</v>
      </c>
    </row>
    <row r="669" spans="1:80" x14ac:dyDescent="0.3">
      <c r="A669" t="s">
        <v>5673</v>
      </c>
      <c r="B669" t="s">
        <v>2322</v>
      </c>
      <c r="C669" t="s">
        <v>5674</v>
      </c>
      <c r="D669">
        <v>36</v>
      </c>
      <c r="E669" t="s">
        <v>5675</v>
      </c>
      <c r="F669" t="s">
        <v>5676</v>
      </c>
      <c r="G669" t="s">
        <v>518</v>
      </c>
      <c r="H669" t="s">
        <v>2324</v>
      </c>
      <c r="I669" t="s">
        <v>401</v>
      </c>
      <c r="J669" t="s">
        <v>78</v>
      </c>
      <c r="K669" t="s">
        <v>5677</v>
      </c>
      <c r="L669" t="s">
        <v>324</v>
      </c>
      <c r="M669">
        <v>24</v>
      </c>
      <c r="N669" t="s">
        <v>820</v>
      </c>
      <c r="O669">
        <v>2013</v>
      </c>
      <c r="P669" t="s">
        <v>5678</v>
      </c>
      <c r="Q669" t="s">
        <v>5679</v>
      </c>
      <c r="R669">
        <v>139440</v>
      </c>
      <c r="S669" t="s">
        <v>5680</v>
      </c>
      <c r="T669" s="1">
        <v>32486</v>
      </c>
      <c r="U669">
        <v>1988</v>
      </c>
      <c r="V669" t="s">
        <v>2327</v>
      </c>
      <c r="W669">
        <v>1.73</v>
      </c>
      <c r="X669" t="s">
        <v>2324</v>
      </c>
      <c r="Y669" t="s">
        <v>369</v>
      </c>
      <c r="Z669" t="s">
        <v>87</v>
      </c>
      <c r="AA669" t="s">
        <v>5681</v>
      </c>
      <c r="AB669">
        <v>45755</v>
      </c>
      <c r="AC669" t="s">
        <v>108</v>
      </c>
      <c r="AD669" t="s">
        <v>89</v>
      </c>
      <c r="AE669" t="s">
        <v>433</v>
      </c>
      <c r="AF669">
        <v>25</v>
      </c>
      <c r="AG669" t="s">
        <v>5682</v>
      </c>
      <c r="AH669" t="s">
        <v>92</v>
      </c>
      <c r="AI669" t="s">
        <v>89</v>
      </c>
      <c r="AJ669" t="s">
        <v>92</v>
      </c>
      <c r="AK669">
        <v>25</v>
      </c>
      <c r="AL669">
        <v>2</v>
      </c>
      <c r="AM669">
        <v>68</v>
      </c>
      <c r="AN669">
        <v>5</v>
      </c>
      <c r="AO669">
        <v>1</v>
      </c>
      <c r="AP669" t="s">
        <v>93</v>
      </c>
      <c r="AQ669" t="s">
        <v>89</v>
      </c>
      <c r="AR669" t="s">
        <v>89</v>
      </c>
      <c r="AS669" t="s">
        <v>93</v>
      </c>
      <c r="AT669" t="s">
        <v>89</v>
      </c>
      <c r="AU669" t="s">
        <v>89</v>
      </c>
      <c r="AV669" t="s">
        <v>89</v>
      </c>
      <c r="AW669">
        <v>12</v>
      </c>
      <c r="AX669" t="s">
        <v>89</v>
      </c>
      <c r="AY669" t="s">
        <v>111</v>
      </c>
      <c r="AZ669">
        <v>2</v>
      </c>
      <c r="BA669">
        <v>4</v>
      </c>
      <c r="BB669">
        <v>244</v>
      </c>
      <c r="BC669">
        <v>1</v>
      </c>
      <c r="BD669">
        <v>247</v>
      </c>
      <c r="BE669">
        <v>14393</v>
      </c>
      <c r="BF669">
        <v>47</v>
      </c>
      <c r="BG669" t="s">
        <v>89</v>
      </c>
      <c r="BH669">
        <v>251</v>
      </c>
      <c r="BI669">
        <v>14637</v>
      </c>
      <c r="BJ669">
        <v>48</v>
      </c>
      <c r="BK669">
        <f t="shared" si="92"/>
        <v>251</v>
      </c>
      <c r="BL669">
        <f t="shared" si="93"/>
        <v>14637</v>
      </c>
      <c r="BM669">
        <f t="shared" si="94"/>
        <v>48</v>
      </c>
      <c r="BN669">
        <f t="shared" si="95"/>
        <v>0</v>
      </c>
      <c r="BO669">
        <f t="shared" si="96"/>
        <v>0</v>
      </c>
      <c r="BP669">
        <f t="shared" si="97"/>
        <v>0</v>
      </c>
      <c r="BQ669" t="s">
        <v>369</v>
      </c>
      <c r="BR669" t="s">
        <v>112</v>
      </c>
      <c r="BS669" s="1">
        <v>32398</v>
      </c>
      <c r="BT669">
        <v>37</v>
      </c>
      <c r="BU669" t="s">
        <v>89</v>
      </c>
      <c r="BV669" t="s">
        <v>89</v>
      </c>
      <c r="BW669">
        <v>12</v>
      </c>
      <c r="BX669">
        <v>1988</v>
      </c>
      <c r="BY669">
        <v>11</v>
      </c>
      <c r="BZ669">
        <f t="shared" si="98"/>
        <v>0</v>
      </c>
      <c r="CA669">
        <f t="shared" si="99"/>
        <v>1</v>
      </c>
      <c r="CB669" t="b">
        <f t="shared" si="100"/>
        <v>1</v>
      </c>
    </row>
    <row r="670" spans="1:80" x14ac:dyDescent="0.3">
      <c r="A670" t="s">
        <v>5683</v>
      </c>
      <c r="B670" t="s">
        <v>71</v>
      </c>
      <c r="C670" t="s">
        <v>5684</v>
      </c>
      <c r="D670">
        <v>46</v>
      </c>
      <c r="E670">
        <v>28972</v>
      </c>
      <c r="F670" t="s">
        <v>89</v>
      </c>
      <c r="G670" t="s">
        <v>115</v>
      </c>
      <c r="H670" t="s">
        <v>76</v>
      </c>
      <c r="I670" t="s">
        <v>791</v>
      </c>
      <c r="J670" t="s">
        <v>89</v>
      </c>
      <c r="K670" t="s">
        <v>89</v>
      </c>
      <c r="L670" t="s">
        <v>866</v>
      </c>
      <c r="M670">
        <v>19</v>
      </c>
      <c r="N670" t="s">
        <v>1365</v>
      </c>
      <c r="O670">
        <v>1998</v>
      </c>
      <c r="P670" t="s">
        <v>5685</v>
      </c>
      <c r="Q670" t="s">
        <v>5686</v>
      </c>
      <c r="R670">
        <v>7468</v>
      </c>
      <c r="S670" t="s">
        <v>5687</v>
      </c>
      <c r="T670" t="s">
        <v>5688</v>
      </c>
      <c r="U670">
        <v>1979</v>
      </c>
      <c r="V670" t="s">
        <v>5689</v>
      </c>
      <c r="W670">
        <v>1.81</v>
      </c>
      <c r="X670" t="s">
        <v>76</v>
      </c>
      <c r="Y670" t="s">
        <v>106</v>
      </c>
      <c r="Z670" t="s">
        <v>152</v>
      </c>
      <c r="AA670" t="s">
        <v>1900</v>
      </c>
      <c r="AB670" t="s">
        <v>3946</v>
      </c>
      <c r="AC670" t="s">
        <v>108</v>
      </c>
      <c r="AD670" t="s">
        <v>89</v>
      </c>
      <c r="AE670" t="s">
        <v>5690</v>
      </c>
      <c r="AF670">
        <v>19</v>
      </c>
      <c r="AG670" t="s">
        <v>91</v>
      </c>
      <c r="AH670" t="s">
        <v>5691</v>
      </c>
      <c r="AI670">
        <v>21</v>
      </c>
      <c r="AJ670" t="s">
        <v>110</v>
      </c>
      <c r="AK670">
        <v>19</v>
      </c>
      <c r="AL670">
        <v>2</v>
      </c>
      <c r="AM670">
        <v>50</v>
      </c>
      <c r="AN670">
        <v>9</v>
      </c>
      <c r="AO670">
        <v>2</v>
      </c>
      <c r="AP670" t="s">
        <v>93</v>
      </c>
      <c r="AQ670" t="s">
        <v>89</v>
      </c>
      <c r="AR670" t="s">
        <v>89</v>
      </c>
      <c r="AS670" t="s">
        <v>111</v>
      </c>
      <c r="AT670" t="s">
        <v>3946</v>
      </c>
      <c r="AU670">
        <v>2014</v>
      </c>
      <c r="AV670">
        <v>16</v>
      </c>
      <c r="AW670">
        <v>16</v>
      </c>
      <c r="AX670" t="s">
        <v>89</v>
      </c>
      <c r="AY670" t="s">
        <v>93</v>
      </c>
      <c r="AZ670">
        <v>0</v>
      </c>
      <c r="BA670">
        <v>0</v>
      </c>
      <c r="BB670">
        <v>0</v>
      </c>
      <c r="BC670">
        <v>0</v>
      </c>
      <c r="BD670">
        <v>383</v>
      </c>
      <c r="BE670">
        <v>26375</v>
      </c>
      <c r="BF670">
        <v>71</v>
      </c>
      <c r="BG670">
        <v>35</v>
      </c>
      <c r="BH670">
        <v>383</v>
      </c>
      <c r="BI670">
        <v>26375</v>
      </c>
      <c r="BJ670">
        <v>71</v>
      </c>
      <c r="BK670">
        <f t="shared" si="92"/>
        <v>383</v>
      </c>
      <c r="BL670">
        <f t="shared" si="93"/>
        <v>26375</v>
      </c>
      <c r="BM670">
        <f t="shared" si="94"/>
        <v>71</v>
      </c>
      <c r="BN670">
        <f t="shared" si="95"/>
        <v>0</v>
      </c>
      <c r="BO670">
        <f t="shared" si="96"/>
        <v>0</v>
      </c>
      <c r="BP670">
        <f t="shared" si="97"/>
        <v>0</v>
      </c>
      <c r="BQ670" t="s">
        <v>106</v>
      </c>
      <c r="BR670" t="s">
        <v>112</v>
      </c>
      <c r="BS670" t="s">
        <v>89</v>
      </c>
      <c r="BT670">
        <v>47</v>
      </c>
      <c r="BU670" t="s">
        <v>3946</v>
      </c>
      <c r="BV670" s="1">
        <v>41880</v>
      </c>
      <c r="BW670">
        <v>16</v>
      </c>
      <c r="BX670">
        <v>1979</v>
      </c>
      <c r="BY670">
        <v>16</v>
      </c>
      <c r="BZ670">
        <f t="shared" si="98"/>
        <v>0</v>
      </c>
      <c r="CA670">
        <f t="shared" si="99"/>
        <v>0</v>
      </c>
      <c r="CB670" t="b">
        <f t="shared" si="100"/>
        <v>1</v>
      </c>
    </row>
    <row r="671" spans="1:80" x14ac:dyDescent="0.3">
      <c r="A671" t="s">
        <v>5692</v>
      </c>
      <c r="B671" t="s">
        <v>71</v>
      </c>
      <c r="C671" t="s">
        <v>5693</v>
      </c>
      <c r="D671">
        <v>38</v>
      </c>
      <c r="E671" t="s">
        <v>5694</v>
      </c>
      <c r="F671" t="s">
        <v>5695</v>
      </c>
      <c r="G671" t="s">
        <v>160</v>
      </c>
      <c r="H671" t="s">
        <v>89</v>
      </c>
      <c r="I671" t="s">
        <v>253</v>
      </c>
      <c r="J671" t="s">
        <v>78</v>
      </c>
      <c r="K671" t="s">
        <v>5696</v>
      </c>
      <c r="L671" t="s">
        <v>130</v>
      </c>
      <c r="M671">
        <v>21</v>
      </c>
      <c r="N671" t="s">
        <v>301</v>
      </c>
      <c r="O671">
        <v>2008</v>
      </c>
      <c r="P671" t="s">
        <v>5697</v>
      </c>
      <c r="Q671" t="s">
        <v>5698</v>
      </c>
      <c r="R671">
        <v>69609</v>
      </c>
      <c r="S671" t="s">
        <v>5699</v>
      </c>
      <c r="T671" t="s">
        <v>5700</v>
      </c>
      <c r="U671">
        <v>1987</v>
      </c>
      <c r="V671" t="s">
        <v>5701</v>
      </c>
      <c r="W671">
        <v>1.78</v>
      </c>
      <c r="X671" t="s">
        <v>76</v>
      </c>
      <c r="Y671" t="s">
        <v>259</v>
      </c>
      <c r="Z671" t="s">
        <v>87</v>
      </c>
      <c r="AA671" t="s">
        <v>5702</v>
      </c>
      <c r="AB671" t="s">
        <v>5703</v>
      </c>
      <c r="AC671" t="s">
        <v>170</v>
      </c>
      <c r="AD671" t="s">
        <v>89</v>
      </c>
      <c r="AE671" s="1">
        <v>39877</v>
      </c>
      <c r="AF671">
        <v>21</v>
      </c>
      <c r="AG671" t="s">
        <v>91</v>
      </c>
      <c r="AH671">
        <v>40491</v>
      </c>
      <c r="AI671">
        <v>23</v>
      </c>
      <c r="AJ671" t="s">
        <v>110</v>
      </c>
      <c r="AK671">
        <v>21</v>
      </c>
      <c r="AL671">
        <v>8</v>
      </c>
      <c r="AM671">
        <v>309</v>
      </c>
      <c r="AN671">
        <v>53</v>
      </c>
      <c r="AO671">
        <v>5</v>
      </c>
      <c r="AP671" t="s">
        <v>93</v>
      </c>
      <c r="AQ671" t="s">
        <v>89</v>
      </c>
      <c r="AR671" t="s">
        <v>89</v>
      </c>
      <c r="AS671" t="s">
        <v>93</v>
      </c>
      <c r="AT671" t="s">
        <v>89</v>
      </c>
      <c r="AU671" t="s">
        <v>89</v>
      </c>
      <c r="AV671" t="s">
        <v>89</v>
      </c>
      <c r="AW671">
        <v>17</v>
      </c>
      <c r="AX671">
        <v>87</v>
      </c>
      <c r="AY671" t="s">
        <v>93</v>
      </c>
      <c r="AZ671">
        <v>0</v>
      </c>
      <c r="BA671">
        <v>0</v>
      </c>
      <c r="BB671">
        <v>0</v>
      </c>
      <c r="BC671">
        <v>0</v>
      </c>
      <c r="BD671">
        <v>271</v>
      </c>
      <c r="BE671">
        <v>19501</v>
      </c>
      <c r="BF671">
        <v>5</v>
      </c>
      <c r="BG671" t="s">
        <v>89</v>
      </c>
      <c r="BH671">
        <v>271</v>
      </c>
      <c r="BI671">
        <v>19501</v>
      </c>
      <c r="BJ671">
        <v>5</v>
      </c>
      <c r="BK671">
        <f t="shared" si="92"/>
        <v>271</v>
      </c>
      <c r="BL671">
        <f t="shared" si="93"/>
        <v>19501</v>
      </c>
      <c r="BM671">
        <f t="shared" si="94"/>
        <v>5</v>
      </c>
      <c r="BN671">
        <f t="shared" si="95"/>
        <v>0</v>
      </c>
      <c r="BO671">
        <f t="shared" si="96"/>
        <v>0</v>
      </c>
      <c r="BP671">
        <f t="shared" si="97"/>
        <v>0</v>
      </c>
      <c r="BQ671" t="s">
        <v>259</v>
      </c>
      <c r="BR671" t="s">
        <v>94</v>
      </c>
      <c r="BS671" t="s">
        <v>89</v>
      </c>
      <c r="BT671">
        <v>39</v>
      </c>
      <c r="BU671" t="s">
        <v>89</v>
      </c>
      <c r="BV671" t="s">
        <v>89</v>
      </c>
      <c r="BW671">
        <v>18</v>
      </c>
      <c r="BX671">
        <v>1987</v>
      </c>
      <c r="BY671">
        <v>17</v>
      </c>
      <c r="BZ671">
        <f t="shared" si="98"/>
        <v>-1</v>
      </c>
      <c r="CA671">
        <f t="shared" si="99"/>
        <v>1</v>
      </c>
      <c r="CB671" t="b">
        <f t="shared" si="100"/>
        <v>0</v>
      </c>
    </row>
    <row r="672" spans="1:80" x14ac:dyDescent="0.3">
      <c r="A672" t="s">
        <v>5704</v>
      </c>
      <c r="B672" t="s">
        <v>71</v>
      </c>
      <c r="C672" t="s">
        <v>5705</v>
      </c>
      <c r="D672">
        <v>38</v>
      </c>
      <c r="E672" t="s">
        <v>5706</v>
      </c>
      <c r="F672" t="s">
        <v>5707</v>
      </c>
      <c r="G672" t="s">
        <v>75</v>
      </c>
      <c r="H672" t="s">
        <v>76</v>
      </c>
      <c r="I672" t="s">
        <v>2237</v>
      </c>
      <c r="J672" t="s">
        <v>78</v>
      </c>
      <c r="K672" t="s">
        <v>1667</v>
      </c>
      <c r="L672" t="s">
        <v>163</v>
      </c>
      <c r="M672">
        <v>19</v>
      </c>
      <c r="N672" t="s">
        <v>118</v>
      </c>
      <c r="O672">
        <v>2006</v>
      </c>
      <c r="P672" t="s">
        <v>5708</v>
      </c>
      <c r="Q672" t="s">
        <v>5709</v>
      </c>
      <c r="R672">
        <v>61253</v>
      </c>
      <c r="S672" t="s">
        <v>5704</v>
      </c>
      <c r="T672" s="1">
        <v>32083</v>
      </c>
      <c r="U672">
        <v>1987</v>
      </c>
      <c r="V672" t="s">
        <v>5710</v>
      </c>
      <c r="W672">
        <v>1.78</v>
      </c>
      <c r="X672" t="s">
        <v>76</v>
      </c>
      <c r="Y672" t="s">
        <v>494</v>
      </c>
      <c r="Z672" t="s">
        <v>87</v>
      </c>
      <c r="AA672" t="s">
        <v>305</v>
      </c>
      <c r="AB672" s="1">
        <v>45664</v>
      </c>
      <c r="AC672" t="s">
        <v>108</v>
      </c>
      <c r="AD672" t="s">
        <v>442</v>
      </c>
      <c r="AE672" t="s">
        <v>5711</v>
      </c>
      <c r="AF672">
        <v>21</v>
      </c>
      <c r="AG672" t="s">
        <v>91</v>
      </c>
      <c r="AH672">
        <v>39238</v>
      </c>
      <c r="AI672">
        <v>20</v>
      </c>
      <c r="AJ672" t="s">
        <v>110</v>
      </c>
      <c r="AK672">
        <v>20</v>
      </c>
      <c r="AL672">
        <v>3</v>
      </c>
      <c r="AM672">
        <v>22</v>
      </c>
      <c r="AN672">
        <v>3</v>
      </c>
      <c r="AO672">
        <v>2</v>
      </c>
      <c r="AP672" t="s">
        <v>93</v>
      </c>
      <c r="AQ672" t="s">
        <v>89</v>
      </c>
      <c r="AR672" t="s">
        <v>89</v>
      </c>
      <c r="AS672" t="s">
        <v>111</v>
      </c>
      <c r="AT672" s="1">
        <v>45664</v>
      </c>
      <c r="AU672">
        <v>2025</v>
      </c>
      <c r="AV672">
        <v>19</v>
      </c>
      <c r="AW672">
        <v>19</v>
      </c>
      <c r="AX672" t="s">
        <v>89</v>
      </c>
      <c r="AY672" t="s">
        <v>111</v>
      </c>
      <c r="AZ672">
        <v>5</v>
      </c>
      <c r="BA672">
        <v>5</v>
      </c>
      <c r="BB672">
        <v>107</v>
      </c>
      <c r="BC672">
        <v>0</v>
      </c>
      <c r="BD672">
        <v>633</v>
      </c>
      <c r="BE672">
        <v>41692</v>
      </c>
      <c r="BF672">
        <v>110</v>
      </c>
      <c r="BG672">
        <v>38</v>
      </c>
      <c r="BH672">
        <v>638</v>
      </c>
      <c r="BI672">
        <v>41799</v>
      </c>
      <c r="BJ672">
        <v>110</v>
      </c>
      <c r="BK672">
        <f t="shared" si="92"/>
        <v>638</v>
      </c>
      <c r="BL672">
        <f t="shared" si="93"/>
        <v>41799</v>
      </c>
      <c r="BM672">
        <f t="shared" si="94"/>
        <v>110</v>
      </c>
      <c r="BN672">
        <f t="shared" si="95"/>
        <v>0</v>
      </c>
      <c r="BO672">
        <f t="shared" si="96"/>
        <v>0</v>
      </c>
      <c r="BP672">
        <f t="shared" si="97"/>
        <v>0</v>
      </c>
      <c r="BQ672" t="s">
        <v>494</v>
      </c>
      <c r="BR672" t="s">
        <v>112</v>
      </c>
      <c r="BS672" s="1">
        <v>31819</v>
      </c>
      <c r="BT672">
        <v>39</v>
      </c>
      <c r="BU672" s="1">
        <v>45664</v>
      </c>
      <c r="BV672" s="1">
        <v>45839</v>
      </c>
      <c r="BW672">
        <v>18</v>
      </c>
      <c r="BX672">
        <v>1987</v>
      </c>
      <c r="BY672">
        <v>18</v>
      </c>
      <c r="BZ672">
        <f t="shared" si="98"/>
        <v>1</v>
      </c>
      <c r="CA672">
        <f t="shared" si="99"/>
        <v>0</v>
      </c>
      <c r="CB672" t="b">
        <f t="shared" si="100"/>
        <v>0</v>
      </c>
    </row>
    <row r="673" spans="1:80" x14ac:dyDescent="0.3">
      <c r="A673" t="s">
        <v>5712</v>
      </c>
      <c r="B673" t="s">
        <v>71</v>
      </c>
      <c r="C673" t="s">
        <v>5713</v>
      </c>
      <c r="D673">
        <v>32</v>
      </c>
      <c r="E673" s="1">
        <v>34120</v>
      </c>
      <c r="F673" t="s">
        <v>89</v>
      </c>
      <c r="G673" t="s">
        <v>321</v>
      </c>
      <c r="H673" t="s">
        <v>76</v>
      </c>
      <c r="I673" t="s">
        <v>722</v>
      </c>
      <c r="J673" t="s">
        <v>78</v>
      </c>
      <c r="K673" t="s">
        <v>89</v>
      </c>
      <c r="L673" t="s">
        <v>278</v>
      </c>
      <c r="M673">
        <v>18</v>
      </c>
      <c r="N673" t="s">
        <v>304</v>
      </c>
      <c r="O673">
        <v>2011</v>
      </c>
      <c r="P673" t="s">
        <v>5714</v>
      </c>
      <c r="Q673" t="s">
        <v>5715</v>
      </c>
      <c r="R673">
        <v>120095</v>
      </c>
      <c r="S673" t="s">
        <v>5712</v>
      </c>
      <c r="T673" t="s">
        <v>5716</v>
      </c>
      <c r="U673">
        <v>1993</v>
      </c>
      <c r="V673" t="s">
        <v>304</v>
      </c>
      <c r="W673">
        <v>1.79</v>
      </c>
      <c r="X673" t="s">
        <v>76</v>
      </c>
      <c r="Y673" t="s">
        <v>86</v>
      </c>
      <c r="Z673" t="s">
        <v>87</v>
      </c>
      <c r="AA673" t="s">
        <v>476</v>
      </c>
      <c r="AB673">
        <v>45664</v>
      </c>
      <c r="AC673" t="s">
        <v>108</v>
      </c>
      <c r="AD673" t="s">
        <v>223</v>
      </c>
      <c r="AE673" t="s">
        <v>654</v>
      </c>
      <c r="AF673">
        <v>18</v>
      </c>
      <c r="AG673" t="s">
        <v>91</v>
      </c>
      <c r="AH673" t="s">
        <v>3685</v>
      </c>
      <c r="AI673">
        <v>21</v>
      </c>
      <c r="AJ673" t="s">
        <v>615</v>
      </c>
      <c r="AK673">
        <v>18</v>
      </c>
      <c r="AL673">
        <v>11</v>
      </c>
      <c r="AM673">
        <v>697</v>
      </c>
      <c r="AN673">
        <v>96</v>
      </c>
      <c r="AO673">
        <v>6</v>
      </c>
      <c r="AP673" t="s">
        <v>93</v>
      </c>
      <c r="AQ673" t="s">
        <v>89</v>
      </c>
      <c r="AR673" t="s">
        <v>89</v>
      </c>
      <c r="AS673" t="s">
        <v>93</v>
      </c>
      <c r="AT673" t="s">
        <v>89</v>
      </c>
      <c r="AU673" t="s">
        <v>89</v>
      </c>
      <c r="AV673" t="s">
        <v>89</v>
      </c>
      <c r="AW673">
        <v>14</v>
      </c>
      <c r="AX673" t="s">
        <v>89</v>
      </c>
      <c r="AY673" t="s">
        <v>111</v>
      </c>
      <c r="AZ673">
        <v>2</v>
      </c>
      <c r="BA673">
        <v>1</v>
      </c>
      <c r="BB673">
        <v>45</v>
      </c>
      <c r="BC673">
        <v>0</v>
      </c>
      <c r="BD673">
        <v>313</v>
      </c>
      <c r="BE673">
        <v>22140</v>
      </c>
      <c r="BF673">
        <v>23</v>
      </c>
      <c r="BG673" t="s">
        <v>89</v>
      </c>
      <c r="BH673">
        <v>314</v>
      </c>
      <c r="BI673">
        <v>22185</v>
      </c>
      <c r="BJ673">
        <v>23</v>
      </c>
      <c r="BK673">
        <f t="shared" si="92"/>
        <v>314</v>
      </c>
      <c r="BL673">
        <f t="shared" si="93"/>
        <v>22185</v>
      </c>
      <c r="BM673">
        <f t="shared" si="94"/>
        <v>23</v>
      </c>
      <c r="BN673">
        <f t="shared" si="95"/>
        <v>0</v>
      </c>
      <c r="BO673">
        <f t="shared" si="96"/>
        <v>0</v>
      </c>
      <c r="BP673">
        <f t="shared" si="97"/>
        <v>0</v>
      </c>
      <c r="BQ673" t="s">
        <v>86</v>
      </c>
      <c r="BR673" t="s">
        <v>94</v>
      </c>
      <c r="BS673" s="1">
        <v>34120</v>
      </c>
      <c r="BT673">
        <v>32</v>
      </c>
      <c r="BU673" t="s">
        <v>89</v>
      </c>
      <c r="BV673" t="s">
        <v>89</v>
      </c>
      <c r="BW673">
        <v>14</v>
      </c>
      <c r="BX673">
        <v>1993</v>
      </c>
      <c r="BY673">
        <v>14</v>
      </c>
      <c r="BZ673">
        <f t="shared" si="98"/>
        <v>0</v>
      </c>
      <c r="CA673">
        <f t="shared" si="99"/>
        <v>0</v>
      </c>
      <c r="CB673" t="b">
        <f t="shared" si="100"/>
        <v>1</v>
      </c>
    </row>
    <row r="674" spans="1:80" x14ac:dyDescent="0.3">
      <c r="A674" t="s">
        <v>5717</v>
      </c>
      <c r="B674" t="s">
        <v>71</v>
      </c>
      <c r="C674" t="s">
        <v>5718</v>
      </c>
      <c r="D674">
        <v>38</v>
      </c>
      <c r="E674" s="1">
        <v>31975</v>
      </c>
      <c r="F674" t="s">
        <v>89</v>
      </c>
      <c r="G674" t="s">
        <v>160</v>
      </c>
      <c r="H674" t="s">
        <v>89</v>
      </c>
      <c r="I674" t="s">
        <v>116</v>
      </c>
      <c r="J674" t="s">
        <v>89</v>
      </c>
      <c r="K674" t="s">
        <v>89</v>
      </c>
      <c r="L674" t="s">
        <v>130</v>
      </c>
      <c r="M674">
        <v>21</v>
      </c>
      <c r="N674" t="s">
        <v>892</v>
      </c>
      <c r="O674">
        <v>2008</v>
      </c>
      <c r="P674" t="s">
        <v>5719</v>
      </c>
      <c r="Q674" t="s">
        <v>5720</v>
      </c>
      <c r="R674">
        <v>73244</v>
      </c>
      <c r="S674" t="s">
        <v>5717</v>
      </c>
      <c r="T674" t="s">
        <v>5721</v>
      </c>
      <c r="U674">
        <v>1987</v>
      </c>
      <c r="V674" t="s">
        <v>5722</v>
      </c>
      <c r="W674">
        <v>1.82</v>
      </c>
      <c r="X674" t="s">
        <v>76</v>
      </c>
      <c r="Y674" t="s">
        <v>106</v>
      </c>
      <c r="Z674" t="s">
        <v>152</v>
      </c>
      <c r="AA674" t="s">
        <v>476</v>
      </c>
      <c r="AB674">
        <v>44203</v>
      </c>
      <c r="AC674" t="s">
        <v>108</v>
      </c>
      <c r="AD674" t="s">
        <v>89</v>
      </c>
      <c r="AE674" t="s">
        <v>2661</v>
      </c>
      <c r="AF674">
        <v>21</v>
      </c>
      <c r="AG674" t="s">
        <v>91</v>
      </c>
      <c r="AH674">
        <v>39548</v>
      </c>
      <c r="AI674">
        <v>21</v>
      </c>
      <c r="AJ674" t="s">
        <v>110</v>
      </c>
      <c r="AK674">
        <v>21</v>
      </c>
      <c r="AL674">
        <v>4</v>
      </c>
      <c r="AM674">
        <v>699</v>
      </c>
      <c r="AN674">
        <v>42</v>
      </c>
      <c r="AO674">
        <v>2</v>
      </c>
      <c r="AP674" t="s">
        <v>93</v>
      </c>
      <c r="AQ674" t="s">
        <v>89</v>
      </c>
      <c r="AR674" t="s">
        <v>89</v>
      </c>
      <c r="AS674" t="s">
        <v>93</v>
      </c>
      <c r="AT674" t="s">
        <v>89</v>
      </c>
      <c r="AU674" t="s">
        <v>89</v>
      </c>
      <c r="AV674" t="s">
        <v>89</v>
      </c>
      <c r="AW674">
        <v>17</v>
      </c>
      <c r="AX674" t="s">
        <v>89</v>
      </c>
      <c r="AY674" t="s">
        <v>93</v>
      </c>
      <c r="AZ674">
        <v>0</v>
      </c>
      <c r="BA674">
        <v>0</v>
      </c>
      <c r="BB674">
        <v>0</v>
      </c>
      <c r="BC674">
        <v>0</v>
      </c>
      <c r="BD674">
        <v>148</v>
      </c>
      <c r="BE674">
        <v>8212</v>
      </c>
      <c r="BF674">
        <v>10</v>
      </c>
      <c r="BG674" t="s">
        <v>89</v>
      </c>
      <c r="BH674">
        <v>148</v>
      </c>
      <c r="BI674">
        <v>8212</v>
      </c>
      <c r="BJ674">
        <v>10</v>
      </c>
      <c r="BK674">
        <f t="shared" si="92"/>
        <v>148</v>
      </c>
      <c r="BL674">
        <f t="shared" si="93"/>
        <v>8212</v>
      </c>
      <c r="BM674">
        <f t="shared" si="94"/>
        <v>10</v>
      </c>
      <c r="BN674">
        <f t="shared" si="95"/>
        <v>0</v>
      </c>
      <c r="BO674">
        <f t="shared" si="96"/>
        <v>0</v>
      </c>
      <c r="BP674">
        <f t="shared" si="97"/>
        <v>0</v>
      </c>
      <c r="BQ674" t="s">
        <v>106</v>
      </c>
      <c r="BR674" t="s">
        <v>112</v>
      </c>
      <c r="BS674" t="s">
        <v>89</v>
      </c>
      <c r="BT674">
        <v>39</v>
      </c>
      <c r="BU674" t="s">
        <v>89</v>
      </c>
      <c r="BV674" t="s">
        <v>89</v>
      </c>
      <c r="BW674">
        <v>18</v>
      </c>
      <c r="BX674">
        <v>1987</v>
      </c>
      <c r="BY674">
        <v>17</v>
      </c>
      <c r="BZ674">
        <f t="shared" si="98"/>
        <v>-1</v>
      </c>
      <c r="CA674">
        <f t="shared" si="99"/>
        <v>1</v>
      </c>
      <c r="CB674" t="b">
        <f t="shared" si="100"/>
        <v>0</v>
      </c>
    </row>
    <row r="675" spans="1:80" x14ac:dyDescent="0.3">
      <c r="A675" t="s">
        <v>5723</v>
      </c>
      <c r="B675" t="s">
        <v>71</v>
      </c>
      <c r="C675" t="s">
        <v>5724</v>
      </c>
      <c r="D675">
        <v>40</v>
      </c>
      <c r="E675">
        <v>31048</v>
      </c>
      <c r="F675" t="s">
        <v>89</v>
      </c>
      <c r="G675" t="s">
        <v>400</v>
      </c>
      <c r="H675" t="s">
        <v>89</v>
      </c>
      <c r="I675" t="s">
        <v>195</v>
      </c>
      <c r="J675" t="s">
        <v>89</v>
      </c>
      <c r="K675" t="s">
        <v>89</v>
      </c>
      <c r="L675" t="s">
        <v>130</v>
      </c>
      <c r="M675">
        <v>23</v>
      </c>
      <c r="N675" t="s">
        <v>2389</v>
      </c>
      <c r="O675">
        <v>2008</v>
      </c>
      <c r="P675" t="s">
        <v>5725</v>
      </c>
      <c r="Q675" t="s">
        <v>5726</v>
      </c>
      <c r="R675">
        <v>64385</v>
      </c>
      <c r="S675" t="s">
        <v>5727</v>
      </c>
      <c r="T675" t="s">
        <v>5728</v>
      </c>
      <c r="U675">
        <v>1985</v>
      </c>
      <c r="V675" t="s">
        <v>5729</v>
      </c>
      <c r="W675">
        <v>1.82</v>
      </c>
      <c r="X675" t="s">
        <v>76</v>
      </c>
      <c r="Y675" t="s">
        <v>203</v>
      </c>
      <c r="Z675" t="s">
        <v>152</v>
      </c>
      <c r="AA675" t="s">
        <v>5730</v>
      </c>
      <c r="AB675" s="1">
        <v>44933</v>
      </c>
      <c r="AC675" t="s">
        <v>108</v>
      </c>
      <c r="AD675" t="s">
        <v>89</v>
      </c>
      <c r="AE675" t="s">
        <v>109</v>
      </c>
      <c r="AF675">
        <v>25</v>
      </c>
      <c r="AG675" t="s">
        <v>91</v>
      </c>
      <c r="AH675" t="s">
        <v>961</v>
      </c>
      <c r="AI675">
        <v>23</v>
      </c>
      <c r="AJ675" t="s">
        <v>110</v>
      </c>
      <c r="AK675">
        <v>23</v>
      </c>
      <c r="AL675">
        <v>3</v>
      </c>
      <c r="AM675">
        <v>100</v>
      </c>
      <c r="AN675">
        <v>15</v>
      </c>
      <c r="AO675">
        <v>2</v>
      </c>
      <c r="AP675" t="s">
        <v>93</v>
      </c>
      <c r="AQ675" t="s">
        <v>89</v>
      </c>
      <c r="AR675" t="s">
        <v>89</v>
      </c>
      <c r="AS675" t="s">
        <v>111</v>
      </c>
      <c r="AT675">
        <v>44933</v>
      </c>
      <c r="AU675">
        <v>2023</v>
      </c>
      <c r="AV675">
        <v>15</v>
      </c>
      <c r="AW675">
        <v>15</v>
      </c>
      <c r="AX675" t="s">
        <v>89</v>
      </c>
      <c r="AY675" t="s">
        <v>93</v>
      </c>
      <c r="AZ675">
        <v>0</v>
      </c>
      <c r="BA675">
        <v>0</v>
      </c>
      <c r="BB675">
        <v>0</v>
      </c>
      <c r="BC675">
        <v>0</v>
      </c>
      <c r="BD675">
        <v>131</v>
      </c>
      <c r="BE675">
        <v>9881</v>
      </c>
      <c r="BF675">
        <v>5</v>
      </c>
      <c r="BG675">
        <v>38</v>
      </c>
      <c r="BH675">
        <v>131</v>
      </c>
      <c r="BI675">
        <v>9881</v>
      </c>
      <c r="BJ675">
        <v>5</v>
      </c>
      <c r="BK675">
        <f t="shared" si="92"/>
        <v>131</v>
      </c>
      <c r="BL675">
        <f t="shared" si="93"/>
        <v>9881</v>
      </c>
      <c r="BM675">
        <f t="shared" si="94"/>
        <v>5</v>
      </c>
      <c r="BN675">
        <f t="shared" si="95"/>
        <v>0</v>
      </c>
      <c r="BO675">
        <f t="shared" si="96"/>
        <v>0</v>
      </c>
      <c r="BP675">
        <f t="shared" si="97"/>
        <v>0</v>
      </c>
      <c r="BQ675" t="s">
        <v>203</v>
      </c>
      <c r="BR675" t="s">
        <v>140</v>
      </c>
      <c r="BS675" t="s">
        <v>89</v>
      </c>
      <c r="BT675">
        <v>41</v>
      </c>
      <c r="BU675">
        <v>44933</v>
      </c>
      <c r="BV675" t="s">
        <v>89</v>
      </c>
      <c r="BW675">
        <v>15</v>
      </c>
      <c r="BX675">
        <v>1985</v>
      </c>
      <c r="BY675">
        <v>15</v>
      </c>
      <c r="BZ675">
        <f t="shared" si="98"/>
        <v>0</v>
      </c>
      <c r="CA675">
        <f t="shared" si="99"/>
        <v>0</v>
      </c>
      <c r="CB675" t="b">
        <f t="shared" si="100"/>
        <v>1</v>
      </c>
    </row>
    <row r="676" spans="1:80" x14ac:dyDescent="0.3">
      <c r="A676" t="s">
        <v>5731</v>
      </c>
      <c r="B676" t="s">
        <v>71</v>
      </c>
      <c r="C676" t="s">
        <v>5732</v>
      </c>
      <c r="D676">
        <v>28</v>
      </c>
      <c r="E676" s="1">
        <v>35443</v>
      </c>
      <c r="F676" t="s">
        <v>89</v>
      </c>
      <c r="G676" t="s">
        <v>1946</v>
      </c>
      <c r="H676" t="s">
        <v>89</v>
      </c>
      <c r="I676" t="s">
        <v>340</v>
      </c>
      <c r="J676" t="s">
        <v>78</v>
      </c>
      <c r="K676" t="s">
        <v>89</v>
      </c>
      <c r="L676" t="s">
        <v>324</v>
      </c>
      <c r="M676">
        <v>16</v>
      </c>
      <c r="N676" t="s">
        <v>820</v>
      </c>
      <c r="O676">
        <v>2013</v>
      </c>
      <c r="P676" t="s">
        <v>5733</v>
      </c>
      <c r="Q676" t="s">
        <v>5734</v>
      </c>
      <c r="R676">
        <v>298276</v>
      </c>
      <c r="S676" t="s">
        <v>5731</v>
      </c>
      <c r="T676" t="s">
        <v>5735</v>
      </c>
      <c r="U676">
        <v>1997</v>
      </c>
      <c r="V676" t="s">
        <v>1185</v>
      </c>
      <c r="W676">
        <v>1.69</v>
      </c>
      <c r="X676" t="s">
        <v>76</v>
      </c>
      <c r="Y676" t="s">
        <v>106</v>
      </c>
      <c r="Z676" t="s">
        <v>87</v>
      </c>
      <c r="AA676" t="s">
        <v>901</v>
      </c>
      <c r="AB676" t="s">
        <v>1121</v>
      </c>
      <c r="AC676" t="s">
        <v>1615</v>
      </c>
      <c r="AD676" t="s">
        <v>89</v>
      </c>
      <c r="AE676" s="1">
        <v>41497</v>
      </c>
      <c r="AF676">
        <v>16</v>
      </c>
      <c r="AG676" t="s">
        <v>91</v>
      </c>
      <c r="AH676" t="s">
        <v>3415</v>
      </c>
      <c r="AI676">
        <v>17</v>
      </c>
      <c r="AJ676" t="s">
        <v>110</v>
      </c>
      <c r="AK676">
        <v>16</v>
      </c>
      <c r="AL676" t="s">
        <v>89</v>
      </c>
      <c r="AM676" t="s">
        <v>89</v>
      </c>
      <c r="AN676" t="s">
        <v>89</v>
      </c>
      <c r="AO676">
        <v>0</v>
      </c>
      <c r="AP676" t="s">
        <v>93</v>
      </c>
      <c r="AQ676" t="s">
        <v>89</v>
      </c>
      <c r="AR676" t="s">
        <v>89</v>
      </c>
      <c r="AS676" t="s">
        <v>93</v>
      </c>
      <c r="AT676" t="s">
        <v>89</v>
      </c>
      <c r="AU676" t="s">
        <v>89</v>
      </c>
      <c r="AV676" t="s">
        <v>89</v>
      </c>
      <c r="AW676">
        <v>12</v>
      </c>
      <c r="AX676">
        <v>14</v>
      </c>
      <c r="AY676" t="s">
        <v>93</v>
      </c>
      <c r="AZ676">
        <v>0</v>
      </c>
      <c r="BA676">
        <v>0</v>
      </c>
      <c r="BB676">
        <v>0</v>
      </c>
      <c r="BC676">
        <v>0</v>
      </c>
      <c r="BD676">
        <v>31</v>
      </c>
      <c r="BE676">
        <v>1269</v>
      </c>
      <c r="BF676">
        <v>0</v>
      </c>
      <c r="BG676" t="s">
        <v>89</v>
      </c>
      <c r="BH676">
        <v>31</v>
      </c>
      <c r="BI676">
        <v>1269</v>
      </c>
      <c r="BJ676">
        <v>0</v>
      </c>
      <c r="BK676">
        <f t="shared" si="92"/>
        <v>31</v>
      </c>
      <c r="BL676">
        <f t="shared" si="93"/>
        <v>1269</v>
      </c>
      <c r="BM676">
        <f t="shared" si="94"/>
        <v>0</v>
      </c>
      <c r="BN676">
        <f t="shared" si="95"/>
        <v>0</v>
      </c>
      <c r="BO676">
        <f t="shared" si="96"/>
        <v>0</v>
      </c>
      <c r="BP676">
        <f t="shared" si="97"/>
        <v>0</v>
      </c>
      <c r="BQ676" t="s">
        <v>106</v>
      </c>
      <c r="BR676" t="s">
        <v>112</v>
      </c>
      <c r="BS676" t="s">
        <v>89</v>
      </c>
      <c r="BT676">
        <v>29</v>
      </c>
      <c r="BU676" t="s">
        <v>89</v>
      </c>
      <c r="BV676" t="s">
        <v>89</v>
      </c>
      <c r="BW676">
        <v>13</v>
      </c>
      <c r="BX676">
        <v>1997</v>
      </c>
      <c r="BY676">
        <v>12</v>
      </c>
      <c r="BZ676">
        <f t="shared" si="98"/>
        <v>-1</v>
      </c>
      <c r="CA676">
        <f t="shared" si="99"/>
        <v>1</v>
      </c>
      <c r="CB676" t="b">
        <f t="shared" si="100"/>
        <v>0</v>
      </c>
    </row>
    <row r="677" spans="1:80" x14ac:dyDescent="0.3">
      <c r="A677" t="s">
        <v>5736</v>
      </c>
      <c r="B677" t="s">
        <v>71</v>
      </c>
      <c r="C677" t="s">
        <v>5737</v>
      </c>
      <c r="D677">
        <v>34</v>
      </c>
      <c r="E677" s="1">
        <v>33380</v>
      </c>
      <c r="F677" t="s">
        <v>89</v>
      </c>
      <c r="G677" t="s">
        <v>687</v>
      </c>
      <c r="H677" t="s">
        <v>89</v>
      </c>
      <c r="I677" t="s">
        <v>1548</v>
      </c>
      <c r="J677" t="s">
        <v>89</v>
      </c>
      <c r="K677" t="s">
        <v>89</v>
      </c>
      <c r="L677" t="s">
        <v>278</v>
      </c>
      <c r="M677">
        <v>20</v>
      </c>
      <c r="N677" t="s">
        <v>751</v>
      </c>
      <c r="O677">
        <v>2011</v>
      </c>
      <c r="P677" t="s">
        <v>5738</v>
      </c>
      <c r="Q677" t="s">
        <v>5739</v>
      </c>
      <c r="R677">
        <v>169004</v>
      </c>
      <c r="S677" t="s">
        <v>5736</v>
      </c>
      <c r="T677" t="s">
        <v>5740</v>
      </c>
      <c r="U677">
        <v>1991</v>
      </c>
      <c r="V677" t="s">
        <v>214</v>
      </c>
      <c r="W677">
        <v>1.71</v>
      </c>
      <c r="X677" t="s">
        <v>76</v>
      </c>
      <c r="Y677" t="s">
        <v>494</v>
      </c>
      <c r="Z677" t="s">
        <v>87</v>
      </c>
      <c r="AA677" t="s">
        <v>476</v>
      </c>
      <c r="AB677" s="1">
        <v>45298</v>
      </c>
      <c r="AC677" t="s">
        <v>108</v>
      </c>
      <c r="AD677" t="s">
        <v>89</v>
      </c>
      <c r="AE677">
        <v>41091</v>
      </c>
      <c r="AF677">
        <v>20</v>
      </c>
      <c r="AG677" t="s">
        <v>91</v>
      </c>
      <c r="AH677" t="s">
        <v>5741</v>
      </c>
      <c r="AI677">
        <v>30</v>
      </c>
      <c r="AJ677">
        <v>0</v>
      </c>
      <c r="AK677">
        <v>20</v>
      </c>
      <c r="AL677">
        <v>2</v>
      </c>
      <c r="AM677">
        <v>434</v>
      </c>
      <c r="AN677">
        <v>19</v>
      </c>
      <c r="AO677">
        <v>2</v>
      </c>
      <c r="AP677" t="s">
        <v>93</v>
      </c>
      <c r="AQ677" t="s">
        <v>89</v>
      </c>
      <c r="AR677" t="s">
        <v>89</v>
      </c>
      <c r="AS677" t="s">
        <v>93</v>
      </c>
      <c r="AT677" t="s">
        <v>89</v>
      </c>
      <c r="AU677" t="s">
        <v>89</v>
      </c>
      <c r="AV677" t="s">
        <v>89</v>
      </c>
      <c r="AW677">
        <v>14</v>
      </c>
      <c r="AX677" t="s">
        <v>89</v>
      </c>
      <c r="AY677" t="s">
        <v>93</v>
      </c>
      <c r="AZ677">
        <v>0</v>
      </c>
      <c r="BA677">
        <v>0</v>
      </c>
      <c r="BB677">
        <v>0</v>
      </c>
      <c r="BC677">
        <v>0</v>
      </c>
      <c r="BD677">
        <v>2</v>
      </c>
      <c r="BE677">
        <v>42</v>
      </c>
      <c r="BF677">
        <v>0</v>
      </c>
      <c r="BG677" t="s">
        <v>89</v>
      </c>
      <c r="BH677">
        <v>2</v>
      </c>
      <c r="BI677">
        <v>42</v>
      </c>
      <c r="BJ677">
        <v>0</v>
      </c>
      <c r="BK677">
        <f t="shared" si="92"/>
        <v>2</v>
      </c>
      <c r="BL677">
        <f t="shared" si="93"/>
        <v>42</v>
      </c>
      <c r="BM677">
        <f t="shared" si="94"/>
        <v>0</v>
      </c>
      <c r="BN677">
        <f t="shared" si="95"/>
        <v>0</v>
      </c>
      <c r="BO677">
        <f t="shared" si="96"/>
        <v>0</v>
      </c>
      <c r="BP677">
        <f t="shared" si="97"/>
        <v>0</v>
      </c>
      <c r="BQ677" t="s">
        <v>494</v>
      </c>
      <c r="BR677" t="s">
        <v>112</v>
      </c>
      <c r="BS677" s="1">
        <v>33380</v>
      </c>
      <c r="BT677">
        <v>34</v>
      </c>
      <c r="BU677" t="s">
        <v>89</v>
      </c>
      <c r="BV677" t="s">
        <v>89</v>
      </c>
      <c r="BW677">
        <v>14</v>
      </c>
      <c r="BX677">
        <v>1991</v>
      </c>
      <c r="BY677">
        <v>14</v>
      </c>
      <c r="BZ677">
        <f t="shared" si="98"/>
        <v>0</v>
      </c>
      <c r="CA677">
        <f t="shared" si="99"/>
        <v>0</v>
      </c>
      <c r="CB677" t="b">
        <f t="shared" si="100"/>
        <v>1</v>
      </c>
    </row>
    <row r="678" spans="1:80" x14ac:dyDescent="0.3">
      <c r="A678" t="s">
        <v>5742</v>
      </c>
      <c r="B678" t="s">
        <v>71</v>
      </c>
      <c r="C678" t="s">
        <v>5743</v>
      </c>
      <c r="D678">
        <v>38</v>
      </c>
      <c r="E678" s="1">
        <v>31625</v>
      </c>
      <c r="F678" t="s">
        <v>89</v>
      </c>
      <c r="G678" t="s">
        <v>115</v>
      </c>
      <c r="H678" t="s">
        <v>89</v>
      </c>
      <c r="I678" t="s">
        <v>348</v>
      </c>
      <c r="J678" t="s">
        <v>89</v>
      </c>
      <c r="K678" t="s">
        <v>89</v>
      </c>
      <c r="L678" t="s">
        <v>163</v>
      </c>
      <c r="M678">
        <v>19</v>
      </c>
      <c r="N678" t="s">
        <v>301</v>
      </c>
      <c r="O678">
        <v>2006</v>
      </c>
      <c r="P678" t="s">
        <v>5744</v>
      </c>
      <c r="Q678" t="s">
        <v>5745</v>
      </c>
      <c r="R678">
        <v>48291</v>
      </c>
      <c r="S678" t="s">
        <v>5746</v>
      </c>
      <c r="T678">
        <v>31420</v>
      </c>
      <c r="U678">
        <v>1986</v>
      </c>
      <c r="V678" t="s">
        <v>5747</v>
      </c>
      <c r="W678">
        <v>1.8</v>
      </c>
      <c r="X678" t="s">
        <v>76</v>
      </c>
      <c r="Y678" t="s">
        <v>136</v>
      </c>
      <c r="Z678" t="s">
        <v>87</v>
      </c>
      <c r="AA678" t="s">
        <v>5748</v>
      </c>
      <c r="AB678" t="s">
        <v>5749</v>
      </c>
      <c r="AC678" t="s">
        <v>108</v>
      </c>
      <c r="AD678" t="s">
        <v>89</v>
      </c>
      <c r="AE678" t="s">
        <v>1801</v>
      </c>
      <c r="AF678">
        <v>20</v>
      </c>
      <c r="AG678" t="s">
        <v>91</v>
      </c>
      <c r="AH678" t="s">
        <v>237</v>
      </c>
      <c r="AI678">
        <v>24</v>
      </c>
      <c r="AJ678" t="s">
        <v>110</v>
      </c>
      <c r="AK678">
        <v>20</v>
      </c>
      <c r="AL678" t="s">
        <v>89</v>
      </c>
      <c r="AM678" t="s">
        <v>89</v>
      </c>
      <c r="AN678" t="s">
        <v>89</v>
      </c>
      <c r="AO678">
        <v>0</v>
      </c>
      <c r="AP678" t="s">
        <v>93</v>
      </c>
      <c r="AQ678" t="s">
        <v>89</v>
      </c>
      <c r="AR678" t="s">
        <v>89</v>
      </c>
      <c r="AS678" t="s">
        <v>111</v>
      </c>
      <c r="AT678" t="s">
        <v>5749</v>
      </c>
      <c r="AU678">
        <v>2023</v>
      </c>
      <c r="AV678">
        <v>17</v>
      </c>
      <c r="AW678">
        <v>17</v>
      </c>
      <c r="AX678" t="s">
        <v>89</v>
      </c>
      <c r="AY678" t="s">
        <v>93</v>
      </c>
      <c r="AZ678">
        <v>0</v>
      </c>
      <c r="BA678">
        <v>0</v>
      </c>
      <c r="BB678">
        <v>0</v>
      </c>
      <c r="BC678">
        <v>0</v>
      </c>
      <c r="BD678">
        <v>175</v>
      </c>
      <c r="BE678">
        <v>13920</v>
      </c>
      <c r="BF678">
        <v>1</v>
      </c>
      <c r="BG678">
        <v>37</v>
      </c>
      <c r="BH678">
        <v>175</v>
      </c>
      <c r="BI678">
        <v>13920</v>
      </c>
      <c r="BJ678">
        <v>1</v>
      </c>
      <c r="BK678">
        <f t="shared" si="92"/>
        <v>175</v>
      </c>
      <c r="BL678">
        <f t="shared" si="93"/>
        <v>13920</v>
      </c>
      <c r="BM678">
        <f t="shared" si="94"/>
        <v>1</v>
      </c>
      <c r="BN678">
        <f t="shared" si="95"/>
        <v>0</v>
      </c>
      <c r="BO678">
        <f t="shared" si="96"/>
        <v>0</v>
      </c>
      <c r="BP678">
        <f t="shared" si="97"/>
        <v>0</v>
      </c>
      <c r="BQ678" t="s">
        <v>136</v>
      </c>
      <c r="BR678" t="s">
        <v>140</v>
      </c>
      <c r="BS678" t="s">
        <v>89</v>
      </c>
      <c r="BT678">
        <v>40</v>
      </c>
      <c r="BU678" t="s">
        <v>5749</v>
      </c>
      <c r="BV678" s="1">
        <v>44951</v>
      </c>
      <c r="BW678">
        <v>17</v>
      </c>
      <c r="BX678">
        <v>1986</v>
      </c>
      <c r="BY678">
        <v>17</v>
      </c>
      <c r="BZ678">
        <f t="shared" si="98"/>
        <v>0</v>
      </c>
      <c r="CA678">
        <f t="shared" si="99"/>
        <v>0</v>
      </c>
      <c r="CB678" t="b">
        <f t="shared" si="100"/>
        <v>1</v>
      </c>
    </row>
    <row r="679" spans="1:80" x14ac:dyDescent="0.3">
      <c r="A679" t="s">
        <v>5750</v>
      </c>
      <c r="B679" t="s">
        <v>71</v>
      </c>
      <c r="C679" t="s">
        <v>5751</v>
      </c>
      <c r="D679">
        <v>42</v>
      </c>
      <c r="E679">
        <v>30318</v>
      </c>
      <c r="F679" t="s">
        <v>89</v>
      </c>
      <c r="G679" t="s">
        <v>535</v>
      </c>
      <c r="H679" t="s">
        <v>89</v>
      </c>
      <c r="I679" t="s">
        <v>98</v>
      </c>
      <c r="J679" t="s">
        <v>78</v>
      </c>
      <c r="K679" t="s">
        <v>89</v>
      </c>
      <c r="L679" t="s">
        <v>254</v>
      </c>
      <c r="M679">
        <v>26</v>
      </c>
      <c r="N679" t="s">
        <v>267</v>
      </c>
      <c r="O679">
        <v>2009</v>
      </c>
      <c r="P679" t="s">
        <v>5752</v>
      </c>
      <c r="Q679" t="s">
        <v>5753</v>
      </c>
      <c r="R679">
        <v>73076</v>
      </c>
      <c r="S679" t="s">
        <v>5754</v>
      </c>
      <c r="T679" t="s">
        <v>5755</v>
      </c>
      <c r="U679">
        <v>1983</v>
      </c>
      <c r="V679" t="s">
        <v>969</v>
      </c>
      <c r="W679">
        <v>1.7</v>
      </c>
      <c r="X679" t="s">
        <v>76</v>
      </c>
      <c r="Y679" t="s">
        <v>494</v>
      </c>
      <c r="Z679" t="s">
        <v>87</v>
      </c>
      <c r="AA679" t="s">
        <v>5756</v>
      </c>
      <c r="AB679" s="1">
        <v>44933</v>
      </c>
      <c r="AC679" t="s">
        <v>108</v>
      </c>
      <c r="AD679" t="s">
        <v>89</v>
      </c>
      <c r="AE679">
        <v>2014</v>
      </c>
      <c r="AF679">
        <v>31</v>
      </c>
      <c r="AG679" t="s">
        <v>91</v>
      </c>
      <c r="AH679">
        <v>2009</v>
      </c>
      <c r="AI679">
        <v>26</v>
      </c>
      <c r="AJ679">
        <v>0</v>
      </c>
      <c r="AK679">
        <v>26</v>
      </c>
      <c r="AL679">
        <v>1</v>
      </c>
      <c r="AM679">
        <v>23</v>
      </c>
      <c r="AN679">
        <v>4</v>
      </c>
      <c r="AO679">
        <v>1</v>
      </c>
      <c r="AP679" t="s">
        <v>93</v>
      </c>
      <c r="AQ679" t="s">
        <v>89</v>
      </c>
      <c r="AR679" t="s">
        <v>89</v>
      </c>
      <c r="AS679" t="s">
        <v>111</v>
      </c>
      <c r="AT679">
        <v>44933</v>
      </c>
      <c r="AU679">
        <v>2023</v>
      </c>
      <c r="AV679">
        <v>14</v>
      </c>
      <c r="AW679">
        <v>14</v>
      </c>
      <c r="AX679" t="s">
        <v>89</v>
      </c>
      <c r="AY679" t="s">
        <v>93</v>
      </c>
      <c r="AZ679">
        <v>0</v>
      </c>
      <c r="BA679">
        <v>0</v>
      </c>
      <c r="BB679">
        <v>0</v>
      </c>
      <c r="BC679">
        <v>0</v>
      </c>
      <c r="BD679">
        <v>166</v>
      </c>
      <c r="BE679">
        <v>11826</v>
      </c>
      <c r="BF679">
        <v>14</v>
      </c>
      <c r="BG679">
        <v>40</v>
      </c>
      <c r="BH679">
        <v>166</v>
      </c>
      <c r="BI679">
        <v>11826</v>
      </c>
      <c r="BJ679">
        <v>14</v>
      </c>
      <c r="BK679">
        <f t="shared" si="92"/>
        <v>166</v>
      </c>
      <c r="BL679">
        <f t="shared" si="93"/>
        <v>11826</v>
      </c>
      <c r="BM679">
        <f t="shared" si="94"/>
        <v>14</v>
      </c>
      <c r="BN679">
        <f t="shared" si="95"/>
        <v>0</v>
      </c>
      <c r="BO679">
        <f t="shared" si="96"/>
        <v>0</v>
      </c>
      <c r="BP679">
        <f t="shared" si="97"/>
        <v>0</v>
      </c>
      <c r="BQ679" t="s">
        <v>494</v>
      </c>
      <c r="BR679" t="s">
        <v>112</v>
      </c>
      <c r="BS679" t="s">
        <v>89</v>
      </c>
      <c r="BT679">
        <v>43</v>
      </c>
      <c r="BU679">
        <v>44933</v>
      </c>
      <c r="BV679" t="s">
        <v>89</v>
      </c>
      <c r="BW679">
        <v>14</v>
      </c>
      <c r="BX679">
        <v>1983</v>
      </c>
      <c r="BY679">
        <v>14</v>
      </c>
      <c r="BZ679">
        <f t="shared" si="98"/>
        <v>0</v>
      </c>
      <c r="CA679">
        <f t="shared" si="99"/>
        <v>0</v>
      </c>
      <c r="CB679" t="b">
        <f t="shared" si="100"/>
        <v>1</v>
      </c>
    </row>
    <row r="680" spans="1:80" x14ac:dyDescent="0.3">
      <c r="A680" t="s">
        <v>5757</v>
      </c>
      <c r="B680" t="s">
        <v>71</v>
      </c>
      <c r="C680" t="s">
        <v>5758</v>
      </c>
      <c r="D680">
        <v>30</v>
      </c>
      <c r="E680" t="s">
        <v>5759</v>
      </c>
      <c r="F680" t="s">
        <v>5760</v>
      </c>
      <c r="G680" t="s">
        <v>518</v>
      </c>
      <c r="H680" t="s">
        <v>76</v>
      </c>
      <c r="I680" t="s">
        <v>322</v>
      </c>
      <c r="J680" t="s">
        <v>300</v>
      </c>
      <c r="K680" t="s">
        <v>214</v>
      </c>
      <c r="L680" t="s">
        <v>324</v>
      </c>
      <c r="M680">
        <v>18</v>
      </c>
      <c r="N680" t="s">
        <v>214</v>
      </c>
      <c r="O680">
        <v>2013</v>
      </c>
      <c r="P680" t="s">
        <v>5761</v>
      </c>
      <c r="Q680" t="s">
        <v>5762</v>
      </c>
      <c r="R680">
        <v>221322</v>
      </c>
      <c r="S680" t="s">
        <v>5763</v>
      </c>
      <c r="T680" t="s">
        <v>5764</v>
      </c>
      <c r="U680">
        <v>1995</v>
      </c>
      <c r="V680" t="s">
        <v>5765</v>
      </c>
      <c r="W680">
        <v>1.72</v>
      </c>
      <c r="X680" t="s">
        <v>76</v>
      </c>
      <c r="Y680" t="s">
        <v>203</v>
      </c>
      <c r="Z680" t="s">
        <v>152</v>
      </c>
      <c r="AA680" t="s">
        <v>214</v>
      </c>
      <c r="AB680">
        <v>41646</v>
      </c>
      <c r="AC680" t="s">
        <v>88</v>
      </c>
      <c r="AD680" t="s">
        <v>223</v>
      </c>
      <c r="AE680" t="s">
        <v>3854</v>
      </c>
      <c r="AF680">
        <v>18</v>
      </c>
      <c r="AG680" t="s">
        <v>91</v>
      </c>
      <c r="AH680" t="s">
        <v>92</v>
      </c>
      <c r="AI680" t="s">
        <v>89</v>
      </c>
      <c r="AJ680" t="s">
        <v>92</v>
      </c>
      <c r="AK680">
        <v>18</v>
      </c>
      <c r="AL680">
        <v>27</v>
      </c>
      <c r="AM680">
        <v>729</v>
      </c>
      <c r="AN680">
        <v>113</v>
      </c>
      <c r="AO680">
        <v>11</v>
      </c>
      <c r="AP680" t="s">
        <v>93</v>
      </c>
      <c r="AQ680" t="s">
        <v>89</v>
      </c>
      <c r="AR680" t="s">
        <v>89</v>
      </c>
      <c r="AS680" t="s">
        <v>93</v>
      </c>
      <c r="AT680" t="s">
        <v>89</v>
      </c>
      <c r="AU680" t="s">
        <v>89</v>
      </c>
      <c r="AV680" t="s">
        <v>89</v>
      </c>
      <c r="AW680">
        <v>12</v>
      </c>
      <c r="AX680">
        <v>14</v>
      </c>
      <c r="AY680" t="s">
        <v>111</v>
      </c>
      <c r="AZ680">
        <v>10</v>
      </c>
      <c r="BA680">
        <v>22</v>
      </c>
      <c r="BB680">
        <v>1812</v>
      </c>
      <c r="BC680">
        <v>3</v>
      </c>
      <c r="BD680">
        <v>381</v>
      </c>
      <c r="BE680">
        <v>31156</v>
      </c>
      <c r="BF680">
        <v>11</v>
      </c>
      <c r="BG680" t="s">
        <v>89</v>
      </c>
      <c r="BH680">
        <v>403</v>
      </c>
      <c r="BI680">
        <v>32968</v>
      </c>
      <c r="BJ680">
        <v>14</v>
      </c>
      <c r="BK680">
        <f t="shared" si="92"/>
        <v>403</v>
      </c>
      <c r="BL680">
        <f t="shared" si="93"/>
        <v>32968</v>
      </c>
      <c r="BM680">
        <f t="shared" si="94"/>
        <v>14</v>
      </c>
      <c r="BN680">
        <f t="shared" si="95"/>
        <v>0</v>
      </c>
      <c r="BO680">
        <f t="shared" si="96"/>
        <v>0</v>
      </c>
      <c r="BP680">
        <f t="shared" si="97"/>
        <v>0</v>
      </c>
      <c r="BQ680" t="s">
        <v>203</v>
      </c>
      <c r="BR680" t="s">
        <v>140</v>
      </c>
      <c r="BS680" s="1">
        <v>34844</v>
      </c>
      <c r="BT680">
        <v>30</v>
      </c>
      <c r="BU680" t="s">
        <v>89</v>
      </c>
      <c r="BV680" t="s">
        <v>89</v>
      </c>
      <c r="BW680">
        <v>12</v>
      </c>
      <c r="BX680">
        <v>1995</v>
      </c>
      <c r="BY680">
        <v>12</v>
      </c>
      <c r="BZ680">
        <f t="shared" si="98"/>
        <v>0</v>
      </c>
      <c r="CA680">
        <f t="shared" si="99"/>
        <v>0</v>
      </c>
      <c r="CB680" t="b">
        <f t="shared" si="100"/>
        <v>1</v>
      </c>
    </row>
    <row r="681" spans="1:80" x14ac:dyDescent="0.3">
      <c r="A681" t="s">
        <v>5766</v>
      </c>
      <c r="B681" t="s">
        <v>71</v>
      </c>
      <c r="C681" t="s">
        <v>5767</v>
      </c>
      <c r="D681">
        <v>50</v>
      </c>
      <c r="E681" s="1">
        <v>27512</v>
      </c>
      <c r="F681" t="s">
        <v>89</v>
      </c>
      <c r="G681" t="s">
        <v>115</v>
      </c>
      <c r="H681" t="s">
        <v>89</v>
      </c>
      <c r="I681" t="s">
        <v>288</v>
      </c>
      <c r="J681" t="s">
        <v>89</v>
      </c>
      <c r="K681" t="s">
        <v>89</v>
      </c>
      <c r="L681" t="s">
        <v>1919</v>
      </c>
      <c r="M681">
        <v>22</v>
      </c>
      <c r="N681" t="s">
        <v>164</v>
      </c>
      <c r="O681">
        <v>1997</v>
      </c>
      <c r="P681" t="s">
        <v>5768</v>
      </c>
      <c r="Q681" t="s">
        <v>5769</v>
      </c>
      <c r="R681">
        <v>15955</v>
      </c>
      <c r="S681" t="s">
        <v>5770</v>
      </c>
      <c r="T681" t="s">
        <v>5771</v>
      </c>
      <c r="U681">
        <v>1975</v>
      </c>
      <c r="V681" t="s">
        <v>2526</v>
      </c>
      <c r="W681">
        <v>1.8</v>
      </c>
      <c r="X681" t="s">
        <v>76</v>
      </c>
      <c r="Y681" t="s">
        <v>259</v>
      </c>
      <c r="Z681" t="s">
        <v>87</v>
      </c>
      <c r="AA681" t="s">
        <v>548</v>
      </c>
      <c r="AB681" s="1">
        <v>42011</v>
      </c>
      <c r="AC681" t="s">
        <v>108</v>
      </c>
      <c r="AD681" t="s">
        <v>89</v>
      </c>
      <c r="AE681" t="s">
        <v>5772</v>
      </c>
      <c r="AF681">
        <v>24</v>
      </c>
      <c r="AG681" t="s">
        <v>91</v>
      </c>
      <c r="AH681" t="s">
        <v>869</v>
      </c>
      <c r="AI681">
        <v>23</v>
      </c>
      <c r="AJ681" t="s">
        <v>110</v>
      </c>
      <c r="AK681">
        <v>23</v>
      </c>
      <c r="AL681">
        <v>1</v>
      </c>
      <c r="AM681">
        <v>25</v>
      </c>
      <c r="AN681">
        <v>3</v>
      </c>
      <c r="AO681">
        <v>1</v>
      </c>
      <c r="AP681" t="s">
        <v>93</v>
      </c>
      <c r="AQ681" t="s">
        <v>89</v>
      </c>
      <c r="AR681" t="s">
        <v>89</v>
      </c>
      <c r="AS681" t="s">
        <v>111</v>
      </c>
      <c r="AT681" s="1">
        <v>42011</v>
      </c>
      <c r="AU681">
        <v>2015</v>
      </c>
      <c r="AV681">
        <v>18</v>
      </c>
      <c r="AW681">
        <v>18</v>
      </c>
      <c r="AX681" t="s">
        <v>89</v>
      </c>
      <c r="AY681" t="s">
        <v>93</v>
      </c>
      <c r="AZ681">
        <v>0</v>
      </c>
      <c r="BA681">
        <v>0</v>
      </c>
      <c r="BB681">
        <v>0</v>
      </c>
      <c r="BC681">
        <v>0</v>
      </c>
      <c r="BD681">
        <v>464</v>
      </c>
      <c r="BE681">
        <v>35512</v>
      </c>
      <c r="BF681">
        <v>15</v>
      </c>
      <c r="BG681">
        <v>40</v>
      </c>
      <c r="BH681">
        <v>464</v>
      </c>
      <c r="BI681">
        <v>35512</v>
      </c>
      <c r="BJ681">
        <v>15</v>
      </c>
      <c r="BK681">
        <f t="shared" si="92"/>
        <v>464</v>
      </c>
      <c r="BL681">
        <f t="shared" si="93"/>
        <v>35512</v>
      </c>
      <c r="BM681">
        <f t="shared" si="94"/>
        <v>15</v>
      </c>
      <c r="BN681">
        <f t="shared" si="95"/>
        <v>0</v>
      </c>
      <c r="BO681">
        <f t="shared" si="96"/>
        <v>0</v>
      </c>
      <c r="BP681">
        <f t="shared" si="97"/>
        <v>0</v>
      </c>
      <c r="BQ681" t="s">
        <v>259</v>
      </c>
      <c r="BR681" t="s">
        <v>94</v>
      </c>
      <c r="BS681" t="s">
        <v>89</v>
      </c>
      <c r="BT681">
        <v>51</v>
      </c>
      <c r="BU681" s="1">
        <v>42011</v>
      </c>
      <c r="BV681" s="1">
        <v>42186</v>
      </c>
      <c r="BW681">
        <v>17</v>
      </c>
      <c r="BX681">
        <v>1975</v>
      </c>
      <c r="BY681">
        <v>17</v>
      </c>
      <c r="BZ681">
        <f t="shared" si="98"/>
        <v>1</v>
      </c>
      <c r="CA681">
        <f t="shared" si="99"/>
        <v>0</v>
      </c>
      <c r="CB681" t="b">
        <f t="shared" si="100"/>
        <v>0</v>
      </c>
    </row>
    <row r="682" spans="1:80" x14ac:dyDescent="0.3">
      <c r="A682" t="s">
        <v>5773</v>
      </c>
      <c r="B682" t="s">
        <v>71</v>
      </c>
      <c r="C682" t="s">
        <v>5774</v>
      </c>
      <c r="D682">
        <v>38</v>
      </c>
      <c r="E682" t="s">
        <v>5775</v>
      </c>
      <c r="F682" t="s">
        <v>265</v>
      </c>
      <c r="G682" t="s">
        <v>115</v>
      </c>
      <c r="H682" t="s">
        <v>89</v>
      </c>
      <c r="I682" t="s">
        <v>116</v>
      </c>
      <c r="J682" t="s">
        <v>78</v>
      </c>
      <c r="K682" t="s">
        <v>751</v>
      </c>
      <c r="L682" t="s">
        <v>324</v>
      </c>
      <c r="M682">
        <v>26</v>
      </c>
      <c r="N682" t="s">
        <v>1181</v>
      </c>
      <c r="O682">
        <v>2013</v>
      </c>
      <c r="P682" t="s">
        <v>5776</v>
      </c>
      <c r="Q682" t="s">
        <v>5777</v>
      </c>
      <c r="R682">
        <v>252677</v>
      </c>
      <c r="S682" t="s">
        <v>5773</v>
      </c>
      <c r="T682" t="s">
        <v>1014</v>
      </c>
      <c r="U682">
        <v>1987</v>
      </c>
      <c r="V682" t="s">
        <v>122</v>
      </c>
      <c r="W682">
        <v>1.8</v>
      </c>
      <c r="X682" t="s">
        <v>76</v>
      </c>
      <c r="Y682" t="s">
        <v>123</v>
      </c>
      <c r="Z682" t="s">
        <v>87</v>
      </c>
      <c r="AA682" t="s">
        <v>751</v>
      </c>
      <c r="AB682" s="1">
        <v>45419</v>
      </c>
      <c r="AC682" t="s">
        <v>170</v>
      </c>
      <c r="AD682" t="s">
        <v>89</v>
      </c>
      <c r="AE682" t="s">
        <v>1758</v>
      </c>
      <c r="AF682">
        <v>27</v>
      </c>
      <c r="AG682" t="s">
        <v>91</v>
      </c>
      <c r="AH682" t="s">
        <v>331</v>
      </c>
      <c r="AI682">
        <v>26</v>
      </c>
      <c r="AJ682" t="s">
        <v>110</v>
      </c>
      <c r="AK682">
        <v>26</v>
      </c>
      <c r="AL682">
        <v>2</v>
      </c>
      <c r="AM682">
        <v>47</v>
      </c>
      <c r="AN682">
        <v>9</v>
      </c>
      <c r="AO682">
        <v>2</v>
      </c>
      <c r="AP682" t="s">
        <v>93</v>
      </c>
      <c r="AQ682" t="s">
        <v>89</v>
      </c>
      <c r="AR682" t="s">
        <v>89</v>
      </c>
      <c r="AS682" t="s">
        <v>93</v>
      </c>
      <c r="AT682" t="s">
        <v>89</v>
      </c>
      <c r="AU682" t="s">
        <v>89</v>
      </c>
      <c r="AV682" t="s">
        <v>89</v>
      </c>
      <c r="AW682">
        <v>12</v>
      </c>
      <c r="AX682">
        <v>11</v>
      </c>
      <c r="AY682" t="s">
        <v>93</v>
      </c>
      <c r="AZ682">
        <v>0</v>
      </c>
      <c r="BA682">
        <v>0</v>
      </c>
      <c r="BB682">
        <v>0</v>
      </c>
      <c r="BC682">
        <v>0</v>
      </c>
      <c r="BD682">
        <v>478</v>
      </c>
      <c r="BE682">
        <v>32259</v>
      </c>
      <c r="BF682">
        <v>107</v>
      </c>
      <c r="BG682" t="s">
        <v>89</v>
      </c>
      <c r="BH682">
        <v>478</v>
      </c>
      <c r="BI682">
        <v>32259</v>
      </c>
      <c r="BJ682">
        <v>107</v>
      </c>
      <c r="BK682">
        <f t="shared" si="92"/>
        <v>478</v>
      </c>
      <c r="BL682">
        <f t="shared" si="93"/>
        <v>32259</v>
      </c>
      <c r="BM682">
        <f t="shared" si="94"/>
        <v>107</v>
      </c>
      <c r="BN682">
        <f t="shared" si="95"/>
        <v>0</v>
      </c>
      <c r="BO682">
        <f t="shared" si="96"/>
        <v>0</v>
      </c>
      <c r="BP682">
        <f t="shared" si="97"/>
        <v>0</v>
      </c>
      <c r="BQ682" t="s">
        <v>123</v>
      </c>
      <c r="BR682" t="s">
        <v>112</v>
      </c>
      <c r="BS682" s="1">
        <v>31981</v>
      </c>
      <c r="BT682">
        <v>38</v>
      </c>
      <c r="BU682" t="s">
        <v>89</v>
      </c>
      <c r="BV682" t="s">
        <v>89</v>
      </c>
      <c r="BW682">
        <v>12</v>
      </c>
      <c r="BX682">
        <v>1987</v>
      </c>
      <c r="BY682">
        <v>12</v>
      </c>
      <c r="BZ682">
        <f t="shared" si="98"/>
        <v>0</v>
      </c>
      <c r="CA682">
        <f t="shared" si="99"/>
        <v>0</v>
      </c>
      <c r="CB682" t="b">
        <f t="shared" si="100"/>
        <v>1</v>
      </c>
    </row>
    <row r="683" spans="1:80" x14ac:dyDescent="0.3">
      <c r="A683" t="s">
        <v>5778</v>
      </c>
      <c r="B683" t="s">
        <v>71</v>
      </c>
      <c r="C683" t="s">
        <v>5779</v>
      </c>
      <c r="D683">
        <v>38</v>
      </c>
      <c r="E683" s="1">
        <v>31633</v>
      </c>
      <c r="F683" t="s">
        <v>89</v>
      </c>
      <c r="G683" t="s">
        <v>687</v>
      </c>
      <c r="H683" t="s">
        <v>89</v>
      </c>
      <c r="I683" t="s">
        <v>195</v>
      </c>
      <c r="J683" t="s">
        <v>300</v>
      </c>
      <c r="K683" t="s">
        <v>89</v>
      </c>
      <c r="L683" t="s">
        <v>180</v>
      </c>
      <c r="M683">
        <v>20</v>
      </c>
      <c r="N683" t="s">
        <v>304</v>
      </c>
      <c r="O683">
        <v>2007</v>
      </c>
      <c r="P683" t="s">
        <v>5780</v>
      </c>
      <c r="Q683" t="s">
        <v>5781</v>
      </c>
      <c r="R683">
        <v>58774</v>
      </c>
      <c r="S683" t="s">
        <v>5778</v>
      </c>
      <c r="T683">
        <v>31663</v>
      </c>
      <c r="U683">
        <v>1986</v>
      </c>
      <c r="V683" t="s">
        <v>304</v>
      </c>
      <c r="W683">
        <v>1.73</v>
      </c>
      <c r="X683" t="s">
        <v>76</v>
      </c>
      <c r="Y683" t="s">
        <v>203</v>
      </c>
      <c r="Z683" t="s">
        <v>152</v>
      </c>
      <c r="AA683" t="s">
        <v>5782</v>
      </c>
      <c r="AB683" t="s">
        <v>5783</v>
      </c>
      <c r="AC683" t="s">
        <v>108</v>
      </c>
      <c r="AD683" t="s">
        <v>3454</v>
      </c>
      <c r="AE683">
        <v>39397</v>
      </c>
      <c r="AF683">
        <v>21</v>
      </c>
      <c r="AG683" t="s">
        <v>91</v>
      </c>
      <c r="AH683" t="s">
        <v>449</v>
      </c>
      <c r="AI683">
        <v>21</v>
      </c>
      <c r="AJ683" t="s">
        <v>110</v>
      </c>
      <c r="AK683">
        <v>21</v>
      </c>
      <c r="AL683">
        <v>2</v>
      </c>
      <c r="AM683">
        <v>246</v>
      </c>
      <c r="AN683">
        <v>1</v>
      </c>
      <c r="AO683">
        <v>2</v>
      </c>
      <c r="AP683" t="s">
        <v>93</v>
      </c>
      <c r="AQ683" t="s">
        <v>89</v>
      </c>
      <c r="AR683" t="s">
        <v>89</v>
      </c>
      <c r="AS683" t="s">
        <v>111</v>
      </c>
      <c r="AT683" t="s">
        <v>5783</v>
      </c>
      <c r="AU683">
        <v>2020</v>
      </c>
      <c r="AV683">
        <v>13</v>
      </c>
      <c r="AW683">
        <v>13</v>
      </c>
      <c r="AX683" t="s">
        <v>89</v>
      </c>
      <c r="AY683" t="s">
        <v>93</v>
      </c>
      <c r="AZ683">
        <v>0</v>
      </c>
      <c r="BA683">
        <v>0</v>
      </c>
      <c r="BB683">
        <v>0</v>
      </c>
      <c r="BC683">
        <v>0</v>
      </c>
      <c r="BD683">
        <v>202</v>
      </c>
      <c r="BE683">
        <v>16683</v>
      </c>
      <c r="BF683">
        <v>2</v>
      </c>
      <c r="BG683">
        <v>34</v>
      </c>
      <c r="BH683">
        <v>202</v>
      </c>
      <c r="BI683">
        <v>16683</v>
      </c>
      <c r="BJ683">
        <v>2</v>
      </c>
      <c r="BK683">
        <f t="shared" si="92"/>
        <v>202</v>
      </c>
      <c r="BL683">
        <f t="shared" si="93"/>
        <v>16683</v>
      </c>
      <c r="BM683">
        <f t="shared" si="94"/>
        <v>2</v>
      </c>
      <c r="BN683">
        <f t="shared" si="95"/>
        <v>0</v>
      </c>
      <c r="BO683">
        <f t="shared" si="96"/>
        <v>0</v>
      </c>
      <c r="BP683">
        <f t="shared" si="97"/>
        <v>0</v>
      </c>
      <c r="BQ683" t="s">
        <v>203</v>
      </c>
      <c r="BR683" t="s">
        <v>140</v>
      </c>
      <c r="BS683" t="s">
        <v>89</v>
      </c>
      <c r="BT683">
        <v>40</v>
      </c>
      <c r="BU683" t="s">
        <v>5783</v>
      </c>
      <c r="BV683" s="1">
        <v>44012</v>
      </c>
      <c r="BW683">
        <v>13</v>
      </c>
      <c r="BX683">
        <v>1986</v>
      </c>
      <c r="BY683">
        <v>13</v>
      </c>
      <c r="BZ683">
        <f t="shared" si="98"/>
        <v>0</v>
      </c>
      <c r="CA683">
        <f t="shared" si="99"/>
        <v>0</v>
      </c>
      <c r="CB683" t="b">
        <f t="shared" si="100"/>
        <v>1</v>
      </c>
    </row>
    <row r="684" spans="1:80" x14ac:dyDescent="0.3">
      <c r="A684" t="s">
        <v>5784</v>
      </c>
      <c r="B684" t="s">
        <v>71</v>
      </c>
      <c r="C684" t="s">
        <v>5785</v>
      </c>
      <c r="D684">
        <v>35</v>
      </c>
      <c r="E684" s="1">
        <v>32830</v>
      </c>
      <c r="F684" t="s">
        <v>89</v>
      </c>
      <c r="G684" t="s">
        <v>385</v>
      </c>
      <c r="H684" t="s">
        <v>89</v>
      </c>
      <c r="I684" t="s">
        <v>348</v>
      </c>
      <c r="J684" t="s">
        <v>89</v>
      </c>
      <c r="K684" t="s">
        <v>89</v>
      </c>
      <c r="L684" t="s">
        <v>228</v>
      </c>
      <c r="M684">
        <v>20</v>
      </c>
      <c r="N684" t="s">
        <v>1858</v>
      </c>
      <c r="O684">
        <v>2010</v>
      </c>
      <c r="P684" t="s">
        <v>5786</v>
      </c>
      <c r="Q684" t="s">
        <v>5787</v>
      </c>
      <c r="R684">
        <v>172128</v>
      </c>
      <c r="S684" t="s">
        <v>5784</v>
      </c>
      <c r="T684" t="s">
        <v>5788</v>
      </c>
      <c r="U684">
        <v>1989</v>
      </c>
      <c r="V684" t="s">
        <v>1858</v>
      </c>
      <c r="W684">
        <v>1.68</v>
      </c>
      <c r="X684" t="s">
        <v>76</v>
      </c>
      <c r="Y684" t="s">
        <v>136</v>
      </c>
      <c r="Z684" t="s">
        <v>87</v>
      </c>
      <c r="AA684" t="s">
        <v>5789</v>
      </c>
      <c r="AB684" t="s">
        <v>2578</v>
      </c>
      <c r="AC684" t="s">
        <v>108</v>
      </c>
      <c r="AD684" t="s">
        <v>89</v>
      </c>
      <c r="AE684" t="s">
        <v>5790</v>
      </c>
      <c r="AF684">
        <v>23</v>
      </c>
      <c r="AG684" t="s">
        <v>91</v>
      </c>
      <c r="AH684">
        <v>40575</v>
      </c>
      <c r="AI684">
        <v>21</v>
      </c>
      <c r="AJ684" t="s">
        <v>110</v>
      </c>
      <c r="AK684">
        <v>21</v>
      </c>
      <c r="AL684">
        <v>1</v>
      </c>
      <c r="AM684">
        <v>18</v>
      </c>
      <c r="AN684">
        <v>2</v>
      </c>
      <c r="AO684">
        <v>1</v>
      </c>
      <c r="AP684" t="s">
        <v>93</v>
      </c>
      <c r="AQ684" t="s">
        <v>89</v>
      </c>
      <c r="AR684" t="s">
        <v>89</v>
      </c>
      <c r="AS684" t="s">
        <v>93</v>
      </c>
      <c r="AT684" t="s">
        <v>89</v>
      </c>
      <c r="AU684" t="s">
        <v>89</v>
      </c>
      <c r="AV684" t="s">
        <v>89</v>
      </c>
      <c r="AW684">
        <v>15</v>
      </c>
      <c r="AX684" t="s">
        <v>89</v>
      </c>
      <c r="AY684" t="s">
        <v>93</v>
      </c>
      <c r="AZ684">
        <v>0</v>
      </c>
      <c r="BA684">
        <v>0</v>
      </c>
      <c r="BB684">
        <v>0</v>
      </c>
      <c r="BC684">
        <v>0</v>
      </c>
      <c r="BD684">
        <v>228</v>
      </c>
      <c r="BE684">
        <v>18881</v>
      </c>
      <c r="BF684">
        <v>2</v>
      </c>
      <c r="BG684" t="s">
        <v>89</v>
      </c>
      <c r="BH684">
        <v>228</v>
      </c>
      <c r="BI684">
        <v>18881</v>
      </c>
      <c r="BJ684">
        <v>2</v>
      </c>
      <c r="BK684">
        <f t="shared" si="92"/>
        <v>228</v>
      </c>
      <c r="BL684">
        <f t="shared" si="93"/>
        <v>18881</v>
      </c>
      <c r="BM684">
        <f t="shared" si="94"/>
        <v>2</v>
      </c>
      <c r="BN684">
        <f t="shared" si="95"/>
        <v>0</v>
      </c>
      <c r="BO684">
        <f t="shared" si="96"/>
        <v>0</v>
      </c>
      <c r="BP684">
        <f t="shared" si="97"/>
        <v>0</v>
      </c>
      <c r="BQ684" t="s">
        <v>136</v>
      </c>
      <c r="BR684" t="s">
        <v>140</v>
      </c>
      <c r="BS684" s="1">
        <v>32830</v>
      </c>
      <c r="BT684">
        <v>36</v>
      </c>
      <c r="BU684" t="s">
        <v>89</v>
      </c>
      <c r="BV684" t="s">
        <v>89</v>
      </c>
      <c r="BW684">
        <v>15</v>
      </c>
      <c r="BX684">
        <v>1989</v>
      </c>
      <c r="BY684">
        <v>14</v>
      </c>
      <c r="BZ684">
        <f t="shared" si="98"/>
        <v>0</v>
      </c>
      <c r="CA684">
        <f t="shared" si="99"/>
        <v>1</v>
      </c>
      <c r="CB684" t="b">
        <f t="shared" si="100"/>
        <v>1</v>
      </c>
    </row>
    <row r="685" spans="1:80" x14ac:dyDescent="0.3">
      <c r="A685" t="s">
        <v>5791</v>
      </c>
      <c r="B685" t="s">
        <v>71</v>
      </c>
      <c r="C685" t="s">
        <v>5792</v>
      </c>
      <c r="D685">
        <v>39</v>
      </c>
      <c r="E685" s="1">
        <v>31592</v>
      </c>
      <c r="F685" t="s">
        <v>89</v>
      </c>
      <c r="G685" t="s">
        <v>298</v>
      </c>
      <c r="H685" t="s">
        <v>76</v>
      </c>
      <c r="I685" t="s">
        <v>791</v>
      </c>
      <c r="J685" t="s">
        <v>78</v>
      </c>
      <c r="K685" t="s">
        <v>89</v>
      </c>
      <c r="L685" t="s">
        <v>117</v>
      </c>
      <c r="M685">
        <v>19</v>
      </c>
      <c r="N685" t="s">
        <v>268</v>
      </c>
      <c r="O685">
        <v>2005</v>
      </c>
      <c r="P685" t="s">
        <v>5793</v>
      </c>
      <c r="Q685" t="s">
        <v>5794</v>
      </c>
      <c r="R685">
        <v>28261</v>
      </c>
      <c r="S685" t="s">
        <v>5791</v>
      </c>
      <c r="T685" t="s">
        <v>5795</v>
      </c>
      <c r="U685">
        <v>1986</v>
      </c>
      <c r="V685" t="s">
        <v>5796</v>
      </c>
      <c r="W685" t="s">
        <v>89</v>
      </c>
      <c r="X685" t="s">
        <v>76</v>
      </c>
      <c r="Y685" t="s">
        <v>106</v>
      </c>
      <c r="Z685" t="s">
        <v>89</v>
      </c>
      <c r="AA685" t="s">
        <v>273</v>
      </c>
      <c r="AB685">
        <v>43840</v>
      </c>
      <c r="AC685" t="s">
        <v>108</v>
      </c>
      <c r="AD685" t="s">
        <v>89</v>
      </c>
      <c r="AE685" t="s">
        <v>5797</v>
      </c>
      <c r="AF685">
        <v>19</v>
      </c>
      <c r="AG685" t="s">
        <v>91</v>
      </c>
      <c r="AH685" t="s">
        <v>354</v>
      </c>
      <c r="AI685">
        <v>19</v>
      </c>
      <c r="AJ685" t="s">
        <v>110</v>
      </c>
      <c r="AK685">
        <v>19</v>
      </c>
      <c r="AL685">
        <v>12</v>
      </c>
      <c r="AM685">
        <v>364</v>
      </c>
      <c r="AN685">
        <v>67</v>
      </c>
      <c r="AO685">
        <v>6</v>
      </c>
      <c r="AP685" t="s">
        <v>93</v>
      </c>
      <c r="AQ685" t="s">
        <v>89</v>
      </c>
      <c r="AR685" t="s">
        <v>89</v>
      </c>
      <c r="AS685" t="s">
        <v>111</v>
      </c>
      <c r="AT685">
        <v>43840</v>
      </c>
      <c r="AU685">
        <v>2020</v>
      </c>
      <c r="AV685">
        <v>15</v>
      </c>
      <c r="AW685">
        <v>15</v>
      </c>
      <c r="AX685" t="s">
        <v>89</v>
      </c>
      <c r="AY685" t="s">
        <v>93</v>
      </c>
      <c r="AZ685">
        <v>0</v>
      </c>
      <c r="BA685">
        <v>0</v>
      </c>
      <c r="BB685">
        <v>0</v>
      </c>
      <c r="BC685">
        <v>0</v>
      </c>
      <c r="BD685">
        <v>442</v>
      </c>
      <c r="BE685">
        <v>29540</v>
      </c>
      <c r="BF685">
        <v>50</v>
      </c>
      <c r="BG685">
        <v>34</v>
      </c>
      <c r="BH685">
        <v>442</v>
      </c>
      <c r="BI685">
        <v>29540</v>
      </c>
      <c r="BJ685">
        <v>50</v>
      </c>
      <c r="BK685">
        <f t="shared" si="92"/>
        <v>442</v>
      </c>
      <c r="BL685">
        <f t="shared" si="93"/>
        <v>29540</v>
      </c>
      <c r="BM685">
        <f t="shared" si="94"/>
        <v>50</v>
      </c>
      <c r="BN685">
        <f t="shared" si="95"/>
        <v>0</v>
      </c>
      <c r="BO685">
        <f t="shared" si="96"/>
        <v>0</v>
      </c>
      <c r="BP685">
        <f t="shared" si="97"/>
        <v>0</v>
      </c>
      <c r="BQ685" t="s">
        <v>106</v>
      </c>
      <c r="BR685" t="s">
        <v>112</v>
      </c>
      <c r="BS685" s="1">
        <v>31592</v>
      </c>
      <c r="BT685">
        <v>39</v>
      </c>
      <c r="BU685">
        <v>43840</v>
      </c>
      <c r="BV685" t="s">
        <v>89</v>
      </c>
      <c r="BW685">
        <v>15</v>
      </c>
      <c r="BX685">
        <v>1986</v>
      </c>
      <c r="BY685">
        <v>15</v>
      </c>
      <c r="BZ685">
        <f t="shared" si="98"/>
        <v>0</v>
      </c>
      <c r="CA685">
        <f t="shared" si="99"/>
        <v>0</v>
      </c>
      <c r="CB685" t="b">
        <f t="shared" si="100"/>
        <v>1</v>
      </c>
    </row>
    <row r="686" spans="1:80" x14ac:dyDescent="0.3">
      <c r="A686" t="s">
        <v>5798</v>
      </c>
      <c r="B686" t="s">
        <v>71</v>
      </c>
      <c r="C686" t="s">
        <v>5799</v>
      </c>
      <c r="D686">
        <v>49</v>
      </c>
      <c r="E686" s="1">
        <v>27706</v>
      </c>
      <c r="F686" t="s">
        <v>89</v>
      </c>
      <c r="G686" t="s">
        <v>193</v>
      </c>
      <c r="H686" t="s">
        <v>89</v>
      </c>
      <c r="I686" t="s">
        <v>178</v>
      </c>
      <c r="J686" t="s">
        <v>89</v>
      </c>
      <c r="K686" t="s">
        <v>89</v>
      </c>
      <c r="L686" t="s">
        <v>1919</v>
      </c>
      <c r="M686">
        <v>21</v>
      </c>
      <c r="N686" t="s">
        <v>706</v>
      </c>
      <c r="O686">
        <v>1997</v>
      </c>
      <c r="P686" t="s">
        <v>5800</v>
      </c>
      <c r="Q686" t="s">
        <v>5801</v>
      </c>
      <c r="R686">
        <v>7537</v>
      </c>
      <c r="S686" t="s">
        <v>5798</v>
      </c>
      <c r="T686" s="1">
        <v>27617</v>
      </c>
      <c r="U686">
        <v>1975</v>
      </c>
      <c r="V686" t="s">
        <v>661</v>
      </c>
      <c r="W686">
        <v>1.85</v>
      </c>
      <c r="X686" t="s">
        <v>76</v>
      </c>
      <c r="Y686" t="s">
        <v>186</v>
      </c>
      <c r="Z686" t="s">
        <v>87</v>
      </c>
      <c r="AA686" t="s">
        <v>644</v>
      </c>
      <c r="AB686" s="1">
        <v>41646</v>
      </c>
      <c r="AC686" t="s">
        <v>108</v>
      </c>
      <c r="AD686" t="s">
        <v>89</v>
      </c>
      <c r="AE686">
        <v>36073</v>
      </c>
      <c r="AF686">
        <v>22</v>
      </c>
      <c r="AG686" t="s">
        <v>91</v>
      </c>
      <c r="AH686" t="s">
        <v>505</v>
      </c>
      <c r="AI686">
        <v>28</v>
      </c>
      <c r="AJ686" t="s">
        <v>110</v>
      </c>
      <c r="AK686">
        <v>22</v>
      </c>
      <c r="AL686" t="s">
        <v>89</v>
      </c>
      <c r="AM686" t="s">
        <v>89</v>
      </c>
      <c r="AN686" t="s">
        <v>89</v>
      </c>
      <c r="AO686">
        <v>0</v>
      </c>
      <c r="AP686" t="s">
        <v>93</v>
      </c>
      <c r="AQ686" t="s">
        <v>89</v>
      </c>
      <c r="AR686" t="s">
        <v>89</v>
      </c>
      <c r="AS686" t="s">
        <v>111</v>
      </c>
      <c r="AT686">
        <v>41646</v>
      </c>
      <c r="AU686">
        <v>2014</v>
      </c>
      <c r="AV686">
        <v>17</v>
      </c>
      <c r="AW686">
        <v>17</v>
      </c>
      <c r="AX686" t="s">
        <v>89</v>
      </c>
      <c r="AY686" t="s">
        <v>93</v>
      </c>
      <c r="AZ686">
        <v>0</v>
      </c>
      <c r="BA686">
        <v>0</v>
      </c>
      <c r="BB686">
        <v>0</v>
      </c>
      <c r="BC686">
        <v>0</v>
      </c>
      <c r="BD686">
        <v>247</v>
      </c>
      <c r="BE686">
        <v>21714</v>
      </c>
      <c r="BF686">
        <v>0</v>
      </c>
      <c r="BG686">
        <v>39</v>
      </c>
      <c r="BH686">
        <v>247</v>
      </c>
      <c r="BI686">
        <v>21714</v>
      </c>
      <c r="BJ686">
        <v>0</v>
      </c>
      <c r="BK686">
        <f t="shared" si="92"/>
        <v>247</v>
      </c>
      <c r="BL686">
        <f t="shared" si="93"/>
        <v>21714</v>
      </c>
      <c r="BM686">
        <f t="shared" si="94"/>
        <v>0</v>
      </c>
      <c r="BN686">
        <f t="shared" si="95"/>
        <v>0</v>
      </c>
      <c r="BO686">
        <f t="shared" si="96"/>
        <v>0</v>
      </c>
      <c r="BP686">
        <f t="shared" si="97"/>
        <v>0</v>
      </c>
      <c r="BQ686" t="s">
        <v>186</v>
      </c>
      <c r="BR686" t="s">
        <v>186</v>
      </c>
      <c r="BS686" s="1">
        <v>27706</v>
      </c>
      <c r="BT686">
        <v>50</v>
      </c>
      <c r="BU686">
        <v>41646</v>
      </c>
      <c r="BV686" t="s">
        <v>89</v>
      </c>
      <c r="BW686">
        <v>17</v>
      </c>
      <c r="BX686">
        <v>1975</v>
      </c>
      <c r="BY686">
        <v>17</v>
      </c>
      <c r="BZ686">
        <f t="shared" si="98"/>
        <v>0</v>
      </c>
      <c r="CA686">
        <f t="shared" si="99"/>
        <v>0</v>
      </c>
      <c r="CB686" t="b">
        <f t="shared" si="100"/>
        <v>1</v>
      </c>
    </row>
    <row r="687" spans="1:80" x14ac:dyDescent="0.3">
      <c r="A687" t="s">
        <v>5802</v>
      </c>
      <c r="B687" t="s">
        <v>729</v>
      </c>
      <c r="C687" t="s">
        <v>5803</v>
      </c>
      <c r="D687">
        <v>30</v>
      </c>
      <c r="E687" t="s">
        <v>5804</v>
      </c>
      <c r="F687" t="s">
        <v>5805</v>
      </c>
      <c r="G687" t="s">
        <v>226</v>
      </c>
      <c r="H687" t="s">
        <v>732</v>
      </c>
      <c r="I687" t="s">
        <v>227</v>
      </c>
      <c r="J687" t="s">
        <v>78</v>
      </c>
      <c r="K687" t="s">
        <v>81</v>
      </c>
      <c r="L687" t="s">
        <v>324</v>
      </c>
      <c r="M687">
        <v>18</v>
      </c>
      <c r="N687" t="s">
        <v>81</v>
      </c>
      <c r="O687">
        <v>2013</v>
      </c>
      <c r="P687" t="s">
        <v>5806</v>
      </c>
      <c r="Q687" t="s">
        <v>5807</v>
      </c>
      <c r="R687">
        <v>250845</v>
      </c>
      <c r="S687" t="s">
        <v>5802</v>
      </c>
      <c r="T687" t="s">
        <v>5808</v>
      </c>
      <c r="U687">
        <v>1995</v>
      </c>
      <c r="V687" t="s">
        <v>5809</v>
      </c>
      <c r="W687">
        <v>1.85</v>
      </c>
      <c r="X687" t="s">
        <v>2217</v>
      </c>
      <c r="Y687" t="s">
        <v>235</v>
      </c>
      <c r="Z687" t="s">
        <v>87</v>
      </c>
      <c r="AA687" t="s">
        <v>1370</v>
      </c>
      <c r="AB687" t="s">
        <v>5810</v>
      </c>
      <c r="AC687" t="s">
        <v>394</v>
      </c>
      <c r="AD687" t="s">
        <v>395</v>
      </c>
      <c r="AE687">
        <v>41193</v>
      </c>
      <c r="AF687">
        <v>17</v>
      </c>
      <c r="AG687" t="s">
        <v>985</v>
      </c>
      <c r="AH687" t="s">
        <v>92</v>
      </c>
      <c r="AI687" t="s">
        <v>89</v>
      </c>
      <c r="AJ687" t="s">
        <v>92</v>
      </c>
      <c r="AK687">
        <v>17</v>
      </c>
      <c r="AL687">
        <v>42</v>
      </c>
      <c r="AM687">
        <v>937</v>
      </c>
      <c r="AN687">
        <v>161</v>
      </c>
      <c r="AO687">
        <v>12</v>
      </c>
      <c r="AP687" t="s">
        <v>93</v>
      </c>
      <c r="AQ687" t="s">
        <v>89</v>
      </c>
      <c r="AR687" t="s">
        <v>89</v>
      </c>
      <c r="AS687" t="s">
        <v>93</v>
      </c>
      <c r="AT687" t="s">
        <v>89</v>
      </c>
      <c r="AU687" t="s">
        <v>89</v>
      </c>
      <c r="AV687" t="s">
        <v>89</v>
      </c>
      <c r="AW687">
        <v>12</v>
      </c>
      <c r="AX687">
        <v>2</v>
      </c>
      <c r="AY687" t="s">
        <v>111</v>
      </c>
      <c r="AZ687">
        <v>14</v>
      </c>
      <c r="BA687">
        <v>67</v>
      </c>
      <c r="BB687">
        <v>5820</v>
      </c>
      <c r="BC687">
        <v>6</v>
      </c>
      <c r="BD687">
        <v>359</v>
      </c>
      <c r="BE687">
        <v>28678</v>
      </c>
      <c r="BF687">
        <v>12</v>
      </c>
      <c r="BG687" t="s">
        <v>89</v>
      </c>
      <c r="BH687">
        <v>426</v>
      </c>
      <c r="BI687">
        <v>34498</v>
      </c>
      <c r="BJ687">
        <v>18</v>
      </c>
      <c r="BK687">
        <f t="shared" si="92"/>
        <v>426</v>
      </c>
      <c r="BL687">
        <f t="shared" si="93"/>
        <v>34498</v>
      </c>
      <c r="BM687">
        <f t="shared" si="94"/>
        <v>18</v>
      </c>
      <c r="BN687">
        <f t="shared" si="95"/>
        <v>0</v>
      </c>
      <c r="BO687">
        <f t="shared" si="96"/>
        <v>0</v>
      </c>
      <c r="BP687">
        <f t="shared" si="97"/>
        <v>0</v>
      </c>
      <c r="BQ687" t="s">
        <v>235</v>
      </c>
      <c r="BR687" t="s">
        <v>140</v>
      </c>
      <c r="BS687" s="1">
        <v>34719</v>
      </c>
      <c r="BT687">
        <v>31</v>
      </c>
      <c r="BU687" t="s">
        <v>89</v>
      </c>
      <c r="BV687" t="s">
        <v>89</v>
      </c>
      <c r="BW687">
        <v>14</v>
      </c>
      <c r="BX687">
        <v>1995</v>
      </c>
      <c r="BY687">
        <v>13</v>
      </c>
      <c r="BZ687">
        <f t="shared" si="98"/>
        <v>-2</v>
      </c>
      <c r="CA687">
        <f t="shared" si="99"/>
        <v>1</v>
      </c>
      <c r="CB687" t="b">
        <f t="shared" si="100"/>
        <v>0</v>
      </c>
    </row>
    <row r="688" spans="1:80" x14ac:dyDescent="0.3">
      <c r="A688" t="s">
        <v>5811</v>
      </c>
      <c r="B688" t="s">
        <v>71</v>
      </c>
      <c r="C688" t="s">
        <v>5812</v>
      </c>
      <c r="D688">
        <v>50</v>
      </c>
      <c r="E688">
        <v>27433</v>
      </c>
      <c r="F688" t="s">
        <v>89</v>
      </c>
      <c r="G688" t="s">
        <v>535</v>
      </c>
      <c r="H688" t="s">
        <v>89</v>
      </c>
      <c r="I688" t="s">
        <v>288</v>
      </c>
      <c r="J688" t="s">
        <v>89</v>
      </c>
      <c r="K688" t="s">
        <v>89</v>
      </c>
      <c r="L688" t="s">
        <v>2014</v>
      </c>
      <c r="M688">
        <v>24</v>
      </c>
      <c r="N688" t="s">
        <v>1047</v>
      </c>
      <c r="O688">
        <v>1999</v>
      </c>
      <c r="P688" t="s">
        <v>5813</v>
      </c>
      <c r="Q688" t="s">
        <v>5814</v>
      </c>
      <c r="R688">
        <v>7763</v>
      </c>
      <c r="S688" t="s">
        <v>5811</v>
      </c>
      <c r="T688" s="1">
        <v>27608</v>
      </c>
      <c r="U688">
        <v>1975</v>
      </c>
      <c r="V688" t="s">
        <v>122</v>
      </c>
      <c r="W688">
        <v>1.71</v>
      </c>
      <c r="X688" t="s">
        <v>76</v>
      </c>
      <c r="Y688" t="s">
        <v>259</v>
      </c>
      <c r="Z688" t="s">
        <v>392</v>
      </c>
      <c r="AA688" t="s">
        <v>1900</v>
      </c>
      <c r="AB688" t="s">
        <v>5815</v>
      </c>
      <c r="AC688" t="s">
        <v>108</v>
      </c>
      <c r="AD688" t="s">
        <v>89</v>
      </c>
      <c r="AE688" t="s">
        <v>2021</v>
      </c>
      <c r="AF688">
        <v>24</v>
      </c>
      <c r="AG688" t="s">
        <v>91</v>
      </c>
      <c r="AH688" t="s">
        <v>5816</v>
      </c>
      <c r="AI688">
        <v>22</v>
      </c>
      <c r="AJ688" t="s">
        <v>110</v>
      </c>
      <c r="AK688">
        <v>22</v>
      </c>
      <c r="AL688" t="s">
        <v>89</v>
      </c>
      <c r="AM688" t="s">
        <v>89</v>
      </c>
      <c r="AN688" t="s">
        <v>89</v>
      </c>
      <c r="AO688">
        <v>0</v>
      </c>
      <c r="AP688" t="s">
        <v>93</v>
      </c>
      <c r="AQ688" t="s">
        <v>89</v>
      </c>
      <c r="AR688" t="s">
        <v>89</v>
      </c>
      <c r="AS688" t="s">
        <v>111</v>
      </c>
      <c r="AT688" t="s">
        <v>5815</v>
      </c>
      <c r="AU688">
        <v>2014</v>
      </c>
      <c r="AV688">
        <v>15</v>
      </c>
      <c r="AW688">
        <v>15</v>
      </c>
      <c r="AX688" t="s">
        <v>89</v>
      </c>
      <c r="AY688" t="s">
        <v>93</v>
      </c>
      <c r="AZ688">
        <v>0</v>
      </c>
      <c r="BA688">
        <v>0</v>
      </c>
      <c r="BB688">
        <v>0</v>
      </c>
      <c r="BC688">
        <v>0</v>
      </c>
      <c r="BD688">
        <v>464</v>
      </c>
      <c r="BE688">
        <v>35248</v>
      </c>
      <c r="BF688">
        <v>15</v>
      </c>
      <c r="BG688">
        <v>39</v>
      </c>
      <c r="BH688">
        <v>464</v>
      </c>
      <c r="BI688">
        <v>35248</v>
      </c>
      <c r="BJ688">
        <v>15</v>
      </c>
      <c r="BK688">
        <f t="shared" si="92"/>
        <v>464</v>
      </c>
      <c r="BL688">
        <f t="shared" si="93"/>
        <v>35248</v>
      </c>
      <c r="BM688">
        <f t="shared" si="94"/>
        <v>15</v>
      </c>
      <c r="BN688">
        <f t="shared" si="95"/>
        <v>0</v>
      </c>
      <c r="BO688">
        <f t="shared" si="96"/>
        <v>0</v>
      </c>
      <c r="BP688">
        <f t="shared" si="97"/>
        <v>0</v>
      </c>
      <c r="BQ688" t="s">
        <v>259</v>
      </c>
      <c r="BR688" t="s">
        <v>94</v>
      </c>
      <c r="BS688" s="1">
        <v>27433</v>
      </c>
      <c r="BT688">
        <v>51</v>
      </c>
      <c r="BU688" t="s">
        <v>5815</v>
      </c>
      <c r="BV688" s="1">
        <v>41695</v>
      </c>
      <c r="BW688">
        <v>17</v>
      </c>
      <c r="BX688">
        <v>1975</v>
      </c>
      <c r="BY688">
        <v>17</v>
      </c>
      <c r="BZ688">
        <f t="shared" si="98"/>
        <v>-2</v>
      </c>
      <c r="CA688">
        <f t="shared" si="99"/>
        <v>0</v>
      </c>
      <c r="CB688" t="b">
        <f t="shared" si="100"/>
        <v>0</v>
      </c>
    </row>
    <row r="689" spans="1:80" x14ac:dyDescent="0.3">
      <c r="A689" t="s">
        <v>5817</v>
      </c>
      <c r="B689" t="s">
        <v>71</v>
      </c>
      <c r="C689" t="s">
        <v>5818</v>
      </c>
      <c r="D689">
        <v>37</v>
      </c>
      <c r="E689" s="1">
        <v>32117</v>
      </c>
      <c r="F689" t="s">
        <v>89</v>
      </c>
      <c r="G689" t="s">
        <v>115</v>
      </c>
      <c r="H689" t="s">
        <v>89</v>
      </c>
      <c r="I689" t="s">
        <v>253</v>
      </c>
      <c r="J689" t="s">
        <v>78</v>
      </c>
      <c r="K689" t="s">
        <v>89</v>
      </c>
      <c r="L689" t="s">
        <v>80</v>
      </c>
      <c r="M689">
        <v>24</v>
      </c>
      <c r="N689" t="s">
        <v>508</v>
      </c>
      <c r="O689">
        <v>2012</v>
      </c>
      <c r="P689" t="s">
        <v>5819</v>
      </c>
      <c r="Q689" t="s">
        <v>5820</v>
      </c>
      <c r="R689">
        <v>225462</v>
      </c>
      <c r="S689" t="s">
        <v>5817</v>
      </c>
      <c r="T689" t="s">
        <v>5821</v>
      </c>
      <c r="U689">
        <v>1987</v>
      </c>
      <c r="V689" t="s">
        <v>5701</v>
      </c>
      <c r="W689">
        <v>1.82</v>
      </c>
      <c r="X689" t="s">
        <v>76</v>
      </c>
      <c r="Y689" t="s">
        <v>259</v>
      </c>
      <c r="Z689" t="s">
        <v>87</v>
      </c>
      <c r="AA689" t="s">
        <v>273</v>
      </c>
      <c r="AB689" t="s">
        <v>5822</v>
      </c>
      <c r="AC689" t="s">
        <v>108</v>
      </c>
      <c r="AD689" t="s">
        <v>89</v>
      </c>
      <c r="AE689" t="s">
        <v>4897</v>
      </c>
      <c r="AF689">
        <v>24</v>
      </c>
      <c r="AG689" t="s">
        <v>91</v>
      </c>
      <c r="AH689" t="s">
        <v>421</v>
      </c>
      <c r="AI689">
        <v>25</v>
      </c>
      <c r="AJ689" t="s">
        <v>110</v>
      </c>
      <c r="AK689">
        <v>24</v>
      </c>
      <c r="AL689">
        <v>7</v>
      </c>
      <c r="AM689">
        <v>611</v>
      </c>
      <c r="AN689">
        <v>79</v>
      </c>
      <c r="AO689">
        <v>6</v>
      </c>
      <c r="AP689" t="s">
        <v>93</v>
      </c>
      <c r="AQ689" t="s">
        <v>89</v>
      </c>
      <c r="AR689" t="s">
        <v>89</v>
      </c>
      <c r="AS689" t="s">
        <v>111</v>
      </c>
      <c r="AT689" t="s">
        <v>5822</v>
      </c>
      <c r="AU689">
        <v>2024</v>
      </c>
      <c r="AV689">
        <v>12</v>
      </c>
      <c r="AW689">
        <v>12</v>
      </c>
      <c r="AX689" t="s">
        <v>89</v>
      </c>
      <c r="AY689" t="s">
        <v>93</v>
      </c>
      <c r="AZ689">
        <v>0</v>
      </c>
      <c r="BA689">
        <v>0</v>
      </c>
      <c r="BB689">
        <v>0</v>
      </c>
      <c r="BC689">
        <v>0</v>
      </c>
      <c r="BD689">
        <v>249</v>
      </c>
      <c r="BE689">
        <v>15875</v>
      </c>
      <c r="BF689">
        <v>7</v>
      </c>
      <c r="BG689">
        <v>37</v>
      </c>
      <c r="BH689">
        <v>249</v>
      </c>
      <c r="BI689">
        <v>15875</v>
      </c>
      <c r="BJ689">
        <v>7</v>
      </c>
      <c r="BK689">
        <f t="shared" si="92"/>
        <v>249</v>
      </c>
      <c r="BL689">
        <f t="shared" si="93"/>
        <v>15875</v>
      </c>
      <c r="BM689">
        <f t="shared" si="94"/>
        <v>7</v>
      </c>
      <c r="BN689">
        <f t="shared" si="95"/>
        <v>0</v>
      </c>
      <c r="BO689">
        <f t="shared" si="96"/>
        <v>0</v>
      </c>
      <c r="BP689">
        <f t="shared" si="97"/>
        <v>0</v>
      </c>
      <c r="BQ689" t="s">
        <v>259</v>
      </c>
      <c r="BR689" t="s">
        <v>94</v>
      </c>
      <c r="BS689" t="s">
        <v>89</v>
      </c>
      <c r="BT689">
        <v>39</v>
      </c>
      <c r="BU689" t="s">
        <v>5822</v>
      </c>
      <c r="BV689" s="1">
        <v>45615</v>
      </c>
      <c r="BW689">
        <v>13</v>
      </c>
      <c r="BX689">
        <v>1987</v>
      </c>
      <c r="BY689">
        <v>13</v>
      </c>
      <c r="BZ689">
        <f t="shared" si="98"/>
        <v>-1</v>
      </c>
      <c r="CA689">
        <f t="shared" si="99"/>
        <v>0</v>
      </c>
      <c r="CB689" t="b">
        <f t="shared" si="100"/>
        <v>0</v>
      </c>
    </row>
    <row r="690" spans="1:80" x14ac:dyDescent="0.3">
      <c r="A690" t="s">
        <v>5823</v>
      </c>
      <c r="B690" t="s">
        <v>1231</v>
      </c>
      <c r="C690" t="s">
        <v>5824</v>
      </c>
      <c r="D690">
        <v>48</v>
      </c>
      <c r="E690" s="1">
        <v>28191</v>
      </c>
      <c r="F690" t="s">
        <v>89</v>
      </c>
      <c r="G690" t="s">
        <v>97</v>
      </c>
      <c r="H690" t="s">
        <v>1234</v>
      </c>
      <c r="I690" t="s">
        <v>227</v>
      </c>
      <c r="J690" t="s">
        <v>89</v>
      </c>
      <c r="K690" t="s">
        <v>89</v>
      </c>
      <c r="L690" t="s">
        <v>99</v>
      </c>
      <c r="M690">
        <v>24</v>
      </c>
      <c r="N690" t="s">
        <v>5825</v>
      </c>
      <c r="O690">
        <v>2001</v>
      </c>
      <c r="P690" t="s">
        <v>5826</v>
      </c>
      <c r="Q690" t="s">
        <v>5827</v>
      </c>
      <c r="R690">
        <v>14342</v>
      </c>
      <c r="S690" t="s">
        <v>5823</v>
      </c>
      <c r="T690">
        <v>28309</v>
      </c>
      <c r="U690">
        <v>1977</v>
      </c>
      <c r="V690" t="s">
        <v>5828</v>
      </c>
      <c r="W690">
        <v>1.85</v>
      </c>
      <c r="X690" t="s">
        <v>1234</v>
      </c>
      <c r="Y690" t="s">
        <v>235</v>
      </c>
      <c r="Z690" t="s">
        <v>87</v>
      </c>
      <c r="AA690" t="s">
        <v>548</v>
      </c>
      <c r="AB690" s="1">
        <v>41646</v>
      </c>
      <c r="AC690" t="s">
        <v>108</v>
      </c>
      <c r="AD690" t="s">
        <v>89</v>
      </c>
      <c r="AE690" s="1">
        <v>37233</v>
      </c>
      <c r="AF690">
        <v>24</v>
      </c>
      <c r="AG690" t="s">
        <v>613</v>
      </c>
      <c r="AH690" t="s">
        <v>331</v>
      </c>
      <c r="AI690">
        <v>36</v>
      </c>
      <c r="AJ690" t="s">
        <v>110</v>
      </c>
      <c r="AK690">
        <v>24</v>
      </c>
      <c r="AL690">
        <v>4</v>
      </c>
      <c r="AM690">
        <v>204</v>
      </c>
      <c r="AN690">
        <v>27</v>
      </c>
      <c r="AO690">
        <v>3</v>
      </c>
      <c r="AP690" t="s">
        <v>93</v>
      </c>
      <c r="AQ690" t="s">
        <v>89</v>
      </c>
      <c r="AR690" t="s">
        <v>89</v>
      </c>
      <c r="AS690" t="s">
        <v>111</v>
      </c>
      <c r="AT690" s="1">
        <v>41646</v>
      </c>
      <c r="AU690">
        <v>2014</v>
      </c>
      <c r="AV690">
        <v>13</v>
      </c>
      <c r="AW690">
        <v>13</v>
      </c>
      <c r="AX690" t="s">
        <v>89</v>
      </c>
      <c r="AY690" t="s">
        <v>93</v>
      </c>
      <c r="AZ690">
        <v>0</v>
      </c>
      <c r="BA690">
        <v>0</v>
      </c>
      <c r="BB690">
        <v>0</v>
      </c>
      <c r="BC690">
        <v>0</v>
      </c>
      <c r="BD690">
        <v>374</v>
      </c>
      <c r="BE690">
        <v>32773</v>
      </c>
      <c r="BF690">
        <v>14</v>
      </c>
      <c r="BG690">
        <v>37</v>
      </c>
      <c r="BH690">
        <v>374</v>
      </c>
      <c r="BI690">
        <v>32773</v>
      </c>
      <c r="BJ690">
        <v>14</v>
      </c>
      <c r="BK690">
        <f t="shared" si="92"/>
        <v>374</v>
      </c>
      <c r="BL690">
        <f t="shared" si="93"/>
        <v>32773</v>
      </c>
      <c r="BM690">
        <f t="shared" si="94"/>
        <v>14</v>
      </c>
      <c r="BN690">
        <f t="shared" si="95"/>
        <v>0</v>
      </c>
      <c r="BO690">
        <f t="shared" si="96"/>
        <v>0</v>
      </c>
      <c r="BP690">
        <f t="shared" si="97"/>
        <v>0</v>
      </c>
      <c r="BQ690" t="s">
        <v>235</v>
      </c>
      <c r="BR690" t="s">
        <v>140</v>
      </c>
      <c r="BS690" t="s">
        <v>89</v>
      </c>
      <c r="BT690">
        <v>49</v>
      </c>
      <c r="BU690" s="1">
        <v>41646</v>
      </c>
      <c r="BV690" s="1">
        <v>41821</v>
      </c>
      <c r="BW690">
        <v>13</v>
      </c>
      <c r="BX690">
        <v>1977</v>
      </c>
      <c r="BY690">
        <v>13</v>
      </c>
      <c r="BZ690">
        <f t="shared" si="98"/>
        <v>0</v>
      </c>
      <c r="CA690">
        <f t="shared" si="99"/>
        <v>0</v>
      </c>
      <c r="CB690" t="b">
        <f t="shared" si="100"/>
        <v>1</v>
      </c>
    </row>
    <row r="691" spans="1:80" x14ac:dyDescent="0.3">
      <c r="A691" t="s">
        <v>5829</v>
      </c>
      <c r="B691" t="s">
        <v>71</v>
      </c>
      <c r="C691" t="s">
        <v>5830</v>
      </c>
      <c r="D691">
        <v>47</v>
      </c>
      <c r="E691">
        <v>28341</v>
      </c>
      <c r="F691" t="s">
        <v>89</v>
      </c>
      <c r="G691" t="s">
        <v>518</v>
      </c>
      <c r="H691" t="s">
        <v>89</v>
      </c>
      <c r="I691" t="s">
        <v>5831</v>
      </c>
      <c r="J691" t="s">
        <v>89</v>
      </c>
      <c r="K691" t="s">
        <v>89</v>
      </c>
      <c r="L691" t="s">
        <v>845</v>
      </c>
      <c r="M691">
        <v>24</v>
      </c>
      <c r="N691" t="s">
        <v>527</v>
      </c>
      <c r="O691">
        <v>2002</v>
      </c>
      <c r="P691" t="s">
        <v>5832</v>
      </c>
      <c r="Q691" t="s">
        <v>5833</v>
      </c>
      <c r="R691">
        <v>51527</v>
      </c>
      <c r="S691" t="s">
        <v>5834</v>
      </c>
      <c r="T691">
        <v>28223</v>
      </c>
      <c r="U691">
        <v>1977</v>
      </c>
      <c r="V691" t="s">
        <v>527</v>
      </c>
      <c r="W691">
        <v>1.72</v>
      </c>
      <c r="X691" t="s">
        <v>76</v>
      </c>
      <c r="Y691" t="s">
        <v>494</v>
      </c>
      <c r="Z691" t="s">
        <v>87</v>
      </c>
      <c r="AA691" t="s">
        <v>5835</v>
      </c>
      <c r="AB691">
        <v>40915</v>
      </c>
      <c r="AC691" t="s">
        <v>108</v>
      </c>
      <c r="AD691" t="s">
        <v>89</v>
      </c>
      <c r="AE691" t="s">
        <v>449</v>
      </c>
      <c r="AF691">
        <v>30</v>
      </c>
      <c r="AG691" t="s">
        <v>91</v>
      </c>
      <c r="AH691" t="s">
        <v>5836</v>
      </c>
      <c r="AI691">
        <v>22</v>
      </c>
      <c r="AJ691" t="s">
        <v>575</v>
      </c>
      <c r="AK691">
        <v>22</v>
      </c>
      <c r="AL691" t="s">
        <v>89</v>
      </c>
      <c r="AM691" t="s">
        <v>89</v>
      </c>
      <c r="AN691" t="s">
        <v>89</v>
      </c>
      <c r="AO691">
        <v>0</v>
      </c>
      <c r="AP691" t="s">
        <v>93</v>
      </c>
      <c r="AQ691" t="s">
        <v>89</v>
      </c>
      <c r="AR691" t="s">
        <v>89</v>
      </c>
      <c r="AS691" t="s">
        <v>111</v>
      </c>
      <c r="AT691">
        <v>40915</v>
      </c>
      <c r="AU691">
        <v>2012</v>
      </c>
      <c r="AV691">
        <v>10</v>
      </c>
      <c r="AW691">
        <v>10</v>
      </c>
      <c r="AX691" t="s">
        <v>89</v>
      </c>
      <c r="AY691" t="s">
        <v>93</v>
      </c>
      <c r="AZ691">
        <v>0</v>
      </c>
      <c r="BA691">
        <v>0</v>
      </c>
      <c r="BB691">
        <v>0</v>
      </c>
      <c r="BC691">
        <v>0</v>
      </c>
      <c r="BD691">
        <v>245</v>
      </c>
      <c r="BE691">
        <v>11923</v>
      </c>
      <c r="BF691">
        <v>31</v>
      </c>
      <c r="BG691">
        <v>35</v>
      </c>
      <c r="BH691">
        <v>245</v>
      </c>
      <c r="BI691">
        <v>11923</v>
      </c>
      <c r="BJ691">
        <v>31</v>
      </c>
      <c r="BK691">
        <f t="shared" si="92"/>
        <v>245</v>
      </c>
      <c r="BL691">
        <f t="shared" si="93"/>
        <v>11923</v>
      </c>
      <c r="BM691">
        <f t="shared" si="94"/>
        <v>31</v>
      </c>
      <c r="BN691">
        <f t="shared" si="95"/>
        <v>0</v>
      </c>
      <c r="BO691">
        <f t="shared" si="96"/>
        <v>0</v>
      </c>
      <c r="BP691">
        <f t="shared" si="97"/>
        <v>0</v>
      </c>
      <c r="BQ691" t="s">
        <v>494</v>
      </c>
      <c r="BR691" t="s">
        <v>112</v>
      </c>
      <c r="BS691" t="s">
        <v>89</v>
      </c>
      <c r="BT691">
        <v>49</v>
      </c>
      <c r="BU691">
        <v>40915</v>
      </c>
      <c r="BV691" t="s">
        <v>89</v>
      </c>
      <c r="BW691">
        <v>13</v>
      </c>
      <c r="BX691">
        <v>1977</v>
      </c>
      <c r="BY691">
        <v>13</v>
      </c>
      <c r="BZ691">
        <f t="shared" si="98"/>
        <v>-3</v>
      </c>
      <c r="CA691">
        <f t="shared" si="99"/>
        <v>0</v>
      </c>
      <c r="CB691" t="b">
        <f t="shared" si="100"/>
        <v>0</v>
      </c>
    </row>
    <row r="692" spans="1:80" x14ac:dyDescent="0.3">
      <c r="A692" t="s">
        <v>5837</v>
      </c>
      <c r="B692" t="s">
        <v>71</v>
      </c>
      <c r="C692" t="s">
        <v>5838</v>
      </c>
      <c r="D692">
        <v>37</v>
      </c>
      <c r="E692" s="1">
        <v>32215</v>
      </c>
      <c r="F692" t="s">
        <v>89</v>
      </c>
      <c r="G692" t="s">
        <v>226</v>
      </c>
      <c r="H692" t="s">
        <v>89</v>
      </c>
      <c r="I692" t="s">
        <v>1747</v>
      </c>
      <c r="J692" t="s">
        <v>78</v>
      </c>
      <c r="K692" t="s">
        <v>89</v>
      </c>
      <c r="L692" t="s">
        <v>130</v>
      </c>
      <c r="M692">
        <v>20</v>
      </c>
      <c r="N692" t="s">
        <v>416</v>
      </c>
      <c r="O692">
        <v>2008</v>
      </c>
      <c r="P692" t="s">
        <v>5839</v>
      </c>
      <c r="Q692" t="s">
        <v>5840</v>
      </c>
      <c r="R692">
        <v>89379</v>
      </c>
      <c r="S692" t="s">
        <v>5837</v>
      </c>
      <c r="T692" t="s">
        <v>5841</v>
      </c>
      <c r="U692">
        <v>1988</v>
      </c>
      <c r="V692" t="s">
        <v>2226</v>
      </c>
      <c r="W692">
        <v>1.84</v>
      </c>
      <c r="X692" t="s">
        <v>76</v>
      </c>
      <c r="Y692" t="s">
        <v>235</v>
      </c>
      <c r="Z692" t="s">
        <v>87</v>
      </c>
      <c r="AA692" t="s">
        <v>5842</v>
      </c>
      <c r="AB692" s="1">
        <v>45664</v>
      </c>
      <c r="AC692" t="s">
        <v>108</v>
      </c>
      <c r="AD692" t="s">
        <v>89</v>
      </c>
      <c r="AE692" t="s">
        <v>5843</v>
      </c>
      <c r="AF692">
        <v>20</v>
      </c>
      <c r="AG692" t="s">
        <v>91</v>
      </c>
      <c r="AH692" t="s">
        <v>5844</v>
      </c>
      <c r="AI692">
        <v>25</v>
      </c>
      <c r="AJ692" t="s">
        <v>4318</v>
      </c>
      <c r="AK692">
        <v>20</v>
      </c>
      <c r="AL692">
        <v>1</v>
      </c>
      <c r="AM692">
        <v>214</v>
      </c>
      <c r="AN692">
        <v>15</v>
      </c>
      <c r="AO692">
        <v>1</v>
      </c>
      <c r="AP692" t="s">
        <v>93</v>
      </c>
      <c r="AQ692" t="s">
        <v>89</v>
      </c>
      <c r="AR692" t="s">
        <v>89</v>
      </c>
      <c r="AS692" t="s">
        <v>111</v>
      </c>
      <c r="AT692">
        <v>45664</v>
      </c>
      <c r="AU692">
        <v>2025</v>
      </c>
      <c r="AV692">
        <v>17</v>
      </c>
      <c r="AW692">
        <v>17</v>
      </c>
      <c r="AX692" t="s">
        <v>89</v>
      </c>
      <c r="AY692" t="s">
        <v>93</v>
      </c>
      <c r="AZ692">
        <v>0</v>
      </c>
      <c r="BA692">
        <v>0</v>
      </c>
      <c r="BB692">
        <v>0</v>
      </c>
      <c r="BC692">
        <v>0</v>
      </c>
      <c r="BD692">
        <v>5</v>
      </c>
      <c r="BE692">
        <v>311</v>
      </c>
      <c r="BF692">
        <v>0</v>
      </c>
      <c r="BG692">
        <v>37</v>
      </c>
      <c r="BH692">
        <v>5</v>
      </c>
      <c r="BI692">
        <v>311</v>
      </c>
      <c r="BJ692">
        <v>0</v>
      </c>
      <c r="BK692">
        <f t="shared" si="92"/>
        <v>5</v>
      </c>
      <c r="BL692">
        <f t="shared" si="93"/>
        <v>311</v>
      </c>
      <c r="BM692">
        <f t="shared" si="94"/>
        <v>0</v>
      </c>
      <c r="BN692">
        <f t="shared" si="95"/>
        <v>0</v>
      </c>
      <c r="BO692">
        <f t="shared" si="96"/>
        <v>0</v>
      </c>
      <c r="BP692">
        <f t="shared" si="97"/>
        <v>0</v>
      </c>
      <c r="BQ692" t="s">
        <v>235</v>
      </c>
      <c r="BR692" t="s">
        <v>140</v>
      </c>
      <c r="BS692" s="1">
        <v>32276</v>
      </c>
      <c r="BT692">
        <v>37</v>
      </c>
      <c r="BU692">
        <v>45664</v>
      </c>
      <c r="BV692" t="s">
        <v>89</v>
      </c>
      <c r="BW692">
        <v>17</v>
      </c>
      <c r="BX692">
        <v>1988</v>
      </c>
      <c r="BY692">
        <v>17</v>
      </c>
      <c r="BZ692">
        <f t="shared" si="98"/>
        <v>0</v>
      </c>
      <c r="CA692">
        <f t="shared" si="99"/>
        <v>0</v>
      </c>
      <c r="CB692" t="b">
        <f t="shared" si="100"/>
        <v>1</v>
      </c>
    </row>
    <row r="693" spans="1:80" x14ac:dyDescent="0.3">
      <c r="A693" t="s">
        <v>5845</v>
      </c>
      <c r="B693" t="s">
        <v>71</v>
      </c>
      <c r="C693" t="s">
        <v>5846</v>
      </c>
      <c r="D693">
        <v>30</v>
      </c>
      <c r="E693" t="s">
        <v>5847</v>
      </c>
      <c r="F693" t="s">
        <v>5848</v>
      </c>
      <c r="G693" t="s">
        <v>115</v>
      </c>
      <c r="H693" t="s">
        <v>76</v>
      </c>
      <c r="I693" t="s">
        <v>555</v>
      </c>
      <c r="J693" t="s">
        <v>78</v>
      </c>
      <c r="K693" t="s">
        <v>5849</v>
      </c>
      <c r="L693" t="s">
        <v>80</v>
      </c>
      <c r="M693">
        <v>17</v>
      </c>
      <c r="N693" t="s">
        <v>268</v>
      </c>
      <c r="O693">
        <v>2012</v>
      </c>
      <c r="P693" t="s">
        <v>5850</v>
      </c>
      <c r="Q693" t="s">
        <v>5851</v>
      </c>
      <c r="R693">
        <v>165012</v>
      </c>
      <c r="S693" t="s">
        <v>5845</v>
      </c>
      <c r="T693" t="s">
        <v>5852</v>
      </c>
      <c r="U693">
        <v>1994</v>
      </c>
      <c r="V693" t="s">
        <v>5729</v>
      </c>
      <c r="W693">
        <v>1.8</v>
      </c>
      <c r="X693" t="s">
        <v>76</v>
      </c>
      <c r="Y693" t="s">
        <v>86</v>
      </c>
      <c r="Z693" t="s">
        <v>87</v>
      </c>
      <c r="AA693" t="s">
        <v>5853</v>
      </c>
      <c r="AB693" t="s">
        <v>5854</v>
      </c>
      <c r="AC693" t="s">
        <v>108</v>
      </c>
      <c r="AD693" t="s">
        <v>89</v>
      </c>
      <c r="AE693">
        <v>40920</v>
      </c>
      <c r="AF693">
        <v>17</v>
      </c>
      <c r="AG693" t="s">
        <v>91</v>
      </c>
      <c r="AH693">
        <v>40917</v>
      </c>
      <c r="AI693">
        <v>17</v>
      </c>
      <c r="AJ693" t="s">
        <v>110</v>
      </c>
      <c r="AK693">
        <v>17</v>
      </c>
      <c r="AL693">
        <v>6</v>
      </c>
      <c r="AM693">
        <v>104</v>
      </c>
      <c r="AN693">
        <v>16</v>
      </c>
      <c r="AO693">
        <v>4</v>
      </c>
      <c r="AP693" t="s">
        <v>93</v>
      </c>
      <c r="AQ693" t="s">
        <v>89</v>
      </c>
      <c r="AR693" t="s">
        <v>89</v>
      </c>
      <c r="AS693" t="s">
        <v>93</v>
      </c>
      <c r="AT693" t="s">
        <v>89</v>
      </c>
      <c r="AU693" t="s">
        <v>89</v>
      </c>
      <c r="AV693" t="s">
        <v>89</v>
      </c>
      <c r="AW693">
        <v>13</v>
      </c>
      <c r="AX693">
        <v>10</v>
      </c>
      <c r="AY693" t="s">
        <v>93</v>
      </c>
      <c r="AZ693">
        <v>0</v>
      </c>
      <c r="BA693">
        <v>0</v>
      </c>
      <c r="BB693">
        <v>0</v>
      </c>
      <c r="BC693">
        <v>0</v>
      </c>
      <c r="BD693">
        <v>181</v>
      </c>
      <c r="BE693">
        <v>10764</v>
      </c>
      <c r="BF693">
        <v>9</v>
      </c>
      <c r="BG693" t="s">
        <v>89</v>
      </c>
      <c r="BH693">
        <v>181</v>
      </c>
      <c r="BI693">
        <v>10764</v>
      </c>
      <c r="BJ693">
        <v>9</v>
      </c>
      <c r="BK693">
        <f t="shared" si="92"/>
        <v>181</v>
      </c>
      <c r="BL693">
        <f t="shared" si="93"/>
        <v>10764</v>
      </c>
      <c r="BM693">
        <f t="shared" si="94"/>
        <v>9</v>
      </c>
      <c r="BN693">
        <f t="shared" si="95"/>
        <v>0</v>
      </c>
      <c r="BO693">
        <f t="shared" si="96"/>
        <v>0</v>
      </c>
      <c r="BP693">
        <f t="shared" si="97"/>
        <v>0</v>
      </c>
      <c r="BQ693" t="s">
        <v>86</v>
      </c>
      <c r="BR693" t="s">
        <v>94</v>
      </c>
      <c r="BS693" t="s">
        <v>89</v>
      </c>
      <c r="BT693">
        <v>32</v>
      </c>
      <c r="BU693" t="s">
        <v>89</v>
      </c>
      <c r="BV693" t="s">
        <v>89</v>
      </c>
      <c r="BW693">
        <v>15</v>
      </c>
      <c r="BX693">
        <v>1994</v>
      </c>
      <c r="BY693">
        <v>13</v>
      </c>
      <c r="BZ693">
        <f t="shared" si="98"/>
        <v>-2</v>
      </c>
      <c r="CA693">
        <f t="shared" si="99"/>
        <v>2</v>
      </c>
      <c r="CB693" t="b">
        <f t="shared" si="100"/>
        <v>0</v>
      </c>
    </row>
    <row r="694" spans="1:80" x14ac:dyDescent="0.3">
      <c r="A694" t="s">
        <v>5855</v>
      </c>
      <c r="B694" t="s">
        <v>156</v>
      </c>
      <c r="C694" t="s">
        <v>5856</v>
      </c>
      <c r="D694">
        <v>45</v>
      </c>
      <c r="E694">
        <v>29419</v>
      </c>
      <c r="F694" t="s">
        <v>89</v>
      </c>
      <c r="G694" t="s">
        <v>413</v>
      </c>
      <c r="H694" t="s">
        <v>177</v>
      </c>
      <c r="I694" t="s">
        <v>437</v>
      </c>
      <c r="J694" t="s">
        <v>78</v>
      </c>
      <c r="K694" t="s">
        <v>89</v>
      </c>
      <c r="L694" t="s">
        <v>228</v>
      </c>
      <c r="M694">
        <v>30</v>
      </c>
      <c r="N694" t="s">
        <v>741</v>
      </c>
      <c r="O694">
        <v>2010</v>
      </c>
      <c r="P694" t="s">
        <v>5857</v>
      </c>
      <c r="Q694" t="s">
        <v>5858</v>
      </c>
      <c r="R694">
        <v>26269</v>
      </c>
      <c r="S694" t="s">
        <v>5855</v>
      </c>
      <c r="T694" t="s">
        <v>5088</v>
      </c>
      <c r="U694">
        <v>1980</v>
      </c>
      <c r="V694" t="s">
        <v>5859</v>
      </c>
      <c r="W694">
        <v>1.82</v>
      </c>
      <c r="X694" t="s">
        <v>177</v>
      </c>
      <c r="Y694" t="s">
        <v>123</v>
      </c>
      <c r="Z694" t="s">
        <v>87</v>
      </c>
      <c r="AA694" t="s">
        <v>5860</v>
      </c>
      <c r="AB694">
        <v>45910</v>
      </c>
      <c r="AC694" t="s">
        <v>5861</v>
      </c>
      <c r="AD694" t="s">
        <v>395</v>
      </c>
      <c r="AE694" s="1">
        <v>36380</v>
      </c>
      <c r="AF694">
        <v>19</v>
      </c>
      <c r="AG694" t="s">
        <v>189</v>
      </c>
      <c r="AH694">
        <v>41680</v>
      </c>
      <c r="AI694">
        <v>34</v>
      </c>
      <c r="AJ694">
        <v>0</v>
      </c>
      <c r="AK694">
        <v>19</v>
      </c>
      <c r="AL694">
        <v>3</v>
      </c>
      <c r="AM694">
        <v>23</v>
      </c>
      <c r="AN694">
        <v>5</v>
      </c>
      <c r="AO694">
        <v>2</v>
      </c>
      <c r="AP694" t="s">
        <v>93</v>
      </c>
      <c r="AQ694" t="s">
        <v>89</v>
      </c>
      <c r="AR694" t="s">
        <v>89</v>
      </c>
      <c r="AS694" t="s">
        <v>93</v>
      </c>
      <c r="AT694" t="s">
        <v>89</v>
      </c>
      <c r="AU694" t="s">
        <v>89</v>
      </c>
      <c r="AV694" t="s">
        <v>89</v>
      </c>
      <c r="AW694">
        <v>15</v>
      </c>
      <c r="AX694" t="s">
        <v>89</v>
      </c>
      <c r="AY694" t="s">
        <v>93</v>
      </c>
      <c r="AZ694">
        <v>0</v>
      </c>
      <c r="BA694">
        <v>0</v>
      </c>
      <c r="BB694">
        <v>0</v>
      </c>
      <c r="BC694">
        <v>0</v>
      </c>
      <c r="BD694">
        <v>317</v>
      </c>
      <c r="BE694">
        <v>24180</v>
      </c>
      <c r="BF694">
        <v>137</v>
      </c>
      <c r="BG694" t="s">
        <v>89</v>
      </c>
      <c r="BH694">
        <v>317</v>
      </c>
      <c r="BI694">
        <v>24180</v>
      </c>
      <c r="BJ694">
        <v>137</v>
      </c>
      <c r="BK694">
        <f t="shared" si="92"/>
        <v>317</v>
      </c>
      <c r="BL694">
        <f t="shared" si="93"/>
        <v>24180</v>
      </c>
      <c r="BM694">
        <f t="shared" si="94"/>
        <v>137</v>
      </c>
      <c r="BN694">
        <f t="shared" si="95"/>
        <v>0</v>
      </c>
      <c r="BO694">
        <f t="shared" si="96"/>
        <v>0</v>
      </c>
      <c r="BP694">
        <f t="shared" si="97"/>
        <v>0</v>
      </c>
      <c r="BQ694" t="s">
        <v>123</v>
      </c>
      <c r="BR694" t="s">
        <v>112</v>
      </c>
      <c r="BS694" s="1">
        <v>29419</v>
      </c>
      <c r="BT694">
        <v>45</v>
      </c>
      <c r="BU694" t="s">
        <v>89</v>
      </c>
      <c r="BV694" t="s">
        <v>89</v>
      </c>
      <c r="BW694">
        <v>26</v>
      </c>
      <c r="BX694">
        <v>1980</v>
      </c>
      <c r="BY694">
        <v>26</v>
      </c>
      <c r="BZ694">
        <f t="shared" si="98"/>
        <v>-11</v>
      </c>
      <c r="CA694">
        <f t="shared" si="99"/>
        <v>0</v>
      </c>
      <c r="CB694" t="b">
        <f t="shared" si="100"/>
        <v>0</v>
      </c>
    </row>
    <row r="695" spans="1:80" x14ac:dyDescent="0.3">
      <c r="A695" t="s">
        <v>5862</v>
      </c>
      <c r="B695" t="s">
        <v>156</v>
      </c>
      <c r="C695" t="s">
        <v>5863</v>
      </c>
      <c r="D695">
        <v>40</v>
      </c>
      <c r="E695" t="s">
        <v>5864</v>
      </c>
      <c r="F695" t="s">
        <v>5865</v>
      </c>
      <c r="G695" t="s">
        <v>413</v>
      </c>
      <c r="H695" t="s">
        <v>177</v>
      </c>
      <c r="I695" t="s">
        <v>5866</v>
      </c>
      <c r="J695" t="s">
        <v>78</v>
      </c>
      <c r="K695" t="s">
        <v>5867</v>
      </c>
      <c r="L695" t="s">
        <v>180</v>
      </c>
      <c r="M695">
        <v>22</v>
      </c>
      <c r="N695" t="s">
        <v>2265</v>
      </c>
      <c r="O695">
        <v>2007</v>
      </c>
      <c r="P695" t="s">
        <v>5868</v>
      </c>
      <c r="Q695" t="s">
        <v>5869</v>
      </c>
      <c r="R695">
        <v>20137</v>
      </c>
      <c r="S695" t="s">
        <v>5862</v>
      </c>
      <c r="T695" t="s">
        <v>5870</v>
      </c>
      <c r="U695">
        <v>1985</v>
      </c>
      <c r="V695" t="s">
        <v>4095</v>
      </c>
      <c r="W695">
        <v>1.81</v>
      </c>
      <c r="X695" t="s">
        <v>177</v>
      </c>
      <c r="Y695" t="s">
        <v>106</v>
      </c>
      <c r="Z695" t="s">
        <v>87</v>
      </c>
      <c r="AA695" t="s">
        <v>3638</v>
      </c>
      <c r="AB695" s="1">
        <v>44812</v>
      </c>
      <c r="AC695" t="s">
        <v>222</v>
      </c>
      <c r="AD695" t="s">
        <v>223</v>
      </c>
      <c r="AE695">
        <v>2002</v>
      </c>
      <c r="AF695">
        <v>17</v>
      </c>
      <c r="AG695" t="s">
        <v>189</v>
      </c>
      <c r="AH695" t="s">
        <v>89</v>
      </c>
      <c r="AI695" t="s">
        <v>89</v>
      </c>
      <c r="AJ695" t="s">
        <v>89</v>
      </c>
      <c r="AK695">
        <v>17</v>
      </c>
      <c r="AL695">
        <v>29</v>
      </c>
      <c r="AM695">
        <v>462</v>
      </c>
      <c r="AN695">
        <v>90</v>
      </c>
      <c r="AO695">
        <v>15</v>
      </c>
      <c r="AP695" t="s">
        <v>93</v>
      </c>
      <c r="AQ695" t="s">
        <v>89</v>
      </c>
      <c r="AR695" t="s">
        <v>89</v>
      </c>
      <c r="AS695" t="s">
        <v>93</v>
      </c>
      <c r="AT695" t="s">
        <v>89</v>
      </c>
      <c r="AU695" t="s">
        <v>89</v>
      </c>
      <c r="AV695" t="s">
        <v>89</v>
      </c>
      <c r="AW695">
        <v>18</v>
      </c>
      <c r="AX695">
        <v>7</v>
      </c>
      <c r="AY695" t="s">
        <v>111</v>
      </c>
      <c r="AZ695">
        <v>2</v>
      </c>
      <c r="BA695">
        <v>6</v>
      </c>
      <c r="BB695">
        <v>294</v>
      </c>
      <c r="BC695">
        <v>0</v>
      </c>
      <c r="BD695">
        <v>515</v>
      </c>
      <c r="BE695">
        <v>32778</v>
      </c>
      <c r="BF695">
        <v>60</v>
      </c>
      <c r="BG695" t="s">
        <v>89</v>
      </c>
      <c r="BH695">
        <v>521</v>
      </c>
      <c r="BI695">
        <v>33072</v>
      </c>
      <c r="BJ695">
        <v>60</v>
      </c>
      <c r="BK695">
        <f t="shared" si="92"/>
        <v>521</v>
      </c>
      <c r="BL695">
        <f t="shared" si="93"/>
        <v>33072</v>
      </c>
      <c r="BM695">
        <f t="shared" si="94"/>
        <v>60</v>
      </c>
      <c r="BN695">
        <f t="shared" si="95"/>
        <v>0</v>
      </c>
      <c r="BO695">
        <f t="shared" si="96"/>
        <v>0</v>
      </c>
      <c r="BP695">
        <f t="shared" si="97"/>
        <v>0</v>
      </c>
      <c r="BQ695" t="s">
        <v>106</v>
      </c>
      <c r="BR695" t="s">
        <v>112</v>
      </c>
      <c r="BS695" s="1">
        <v>31217</v>
      </c>
      <c r="BT695">
        <v>40</v>
      </c>
      <c r="BU695" t="s">
        <v>89</v>
      </c>
      <c r="BV695" t="s">
        <v>89</v>
      </c>
      <c r="BW695">
        <v>23</v>
      </c>
      <c r="BX695">
        <v>1985</v>
      </c>
      <c r="BY695">
        <v>23</v>
      </c>
      <c r="BZ695">
        <f t="shared" si="98"/>
        <v>-5</v>
      </c>
      <c r="CA695">
        <f t="shared" si="99"/>
        <v>0</v>
      </c>
      <c r="CB695" t="b">
        <f t="shared" si="100"/>
        <v>0</v>
      </c>
    </row>
    <row r="696" spans="1:80" x14ac:dyDescent="0.3">
      <c r="A696" t="s">
        <v>5871</v>
      </c>
      <c r="B696" t="s">
        <v>71</v>
      </c>
      <c r="C696" t="s">
        <v>5872</v>
      </c>
      <c r="D696">
        <v>45</v>
      </c>
      <c r="E696" s="1">
        <v>29183</v>
      </c>
      <c r="F696" t="s">
        <v>89</v>
      </c>
      <c r="G696" t="s">
        <v>176</v>
      </c>
      <c r="H696" t="s">
        <v>89</v>
      </c>
      <c r="I696" t="s">
        <v>437</v>
      </c>
      <c r="J696" t="s">
        <v>89</v>
      </c>
      <c r="K696" t="s">
        <v>89</v>
      </c>
      <c r="L696" t="s">
        <v>2014</v>
      </c>
      <c r="M696">
        <v>19</v>
      </c>
      <c r="N696" t="s">
        <v>1365</v>
      </c>
      <c r="O696">
        <v>1999</v>
      </c>
      <c r="P696" t="s">
        <v>5873</v>
      </c>
      <c r="Q696" t="s">
        <v>5874</v>
      </c>
      <c r="R696">
        <v>7480</v>
      </c>
      <c r="S696" t="s">
        <v>5871</v>
      </c>
      <c r="T696" t="s">
        <v>5875</v>
      </c>
      <c r="U696">
        <v>1979</v>
      </c>
      <c r="V696" t="s">
        <v>5876</v>
      </c>
      <c r="W696">
        <v>1.85</v>
      </c>
      <c r="X696" t="s">
        <v>76</v>
      </c>
      <c r="Y696" t="s">
        <v>123</v>
      </c>
      <c r="Z696" t="s">
        <v>87</v>
      </c>
      <c r="AA696" t="s">
        <v>1365</v>
      </c>
      <c r="AB696">
        <v>41281</v>
      </c>
      <c r="AC696" t="s">
        <v>108</v>
      </c>
      <c r="AD696" t="s">
        <v>89</v>
      </c>
      <c r="AE696">
        <v>36229</v>
      </c>
      <c r="AF696">
        <v>19</v>
      </c>
      <c r="AG696" t="s">
        <v>91</v>
      </c>
      <c r="AH696">
        <v>36536</v>
      </c>
      <c r="AI696">
        <v>20</v>
      </c>
      <c r="AJ696" t="s">
        <v>110</v>
      </c>
      <c r="AK696">
        <v>19</v>
      </c>
      <c r="AL696">
        <v>3</v>
      </c>
      <c r="AM696">
        <v>160</v>
      </c>
      <c r="AN696">
        <v>27</v>
      </c>
      <c r="AO696">
        <v>2</v>
      </c>
      <c r="AP696" t="s">
        <v>93</v>
      </c>
      <c r="AQ696" t="s">
        <v>89</v>
      </c>
      <c r="AR696" t="s">
        <v>89</v>
      </c>
      <c r="AS696" t="s">
        <v>111</v>
      </c>
      <c r="AT696">
        <v>41281</v>
      </c>
      <c r="AU696">
        <v>2013</v>
      </c>
      <c r="AV696">
        <v>14</v>
      </c>
      <c r="AW696">
        <v>14</v>
      </c>
      <c r="AX696" t="s">
        <v>89</v>
      </c>
      <c r="AY696" t="s">
        <v>93</v>
      </c>
      <c r="AZ696">
        <v>0</v>
      </c>
      <c r="BA696">
        <v>0</v>
      </c>
      <c r="BB696">
        <v>0</v>
      </c>
      <c r="BC696">
        <v>0</v>
      </c>
      <c r="BD696">
        <v>327</v>
      </c>
      <c r="BE696">
        <v>20922</v>
      </c>
      <c r="BF696">
        <v>105</v>
      </c>
      <c r="BG696">
        <v>34</v>
      </c>
      <c r="BH696">
        <v>327</v>
      </c>
      <c r="BI696">
        <v>20922</v>
      </c>
      <c r="BJ696">
        <v>105</v>
      </c>
      <c r="BK696">
        <f t="shared" si="92"/>
        <v>327</v>
      </c>
      <c r="BL696">
        <f t="shared" si="93"/>
        <v>20922</v>
      </c>
      <c r="BM696">
        <f t="shared" si="94"/>
        <v>105</v>
      </c>
      <c r="BN696">
        <f t="shared" si="95"/>
        <v>0</v>
      </c>
      <c r="BO696">
        <f t="shared" si="96"/>
        <v>0</v>
      </c>
      <c r="BP696">
        <f t="shared" si="97"/>
        <v>0</v>
      </c>
      <c r="BQ696" t="s">
        <v>123</v>
      </c>
      <c r="BR696" t="s">
        <v>112</v>
      </c>
      <c r="BS696" s="1">
        <v>29183</v>
      </c>
      <c r="BT696">
        <v>46</v>
      </c>
      <c r="BU696">
        <v>41281</v>
      </c>
      <c r="BV696" t="s">
        <v>89</v>
      </c>
      <c r="BW696">
        <v>15</v>
      </c>
      <c r="BX696">
        <v>1979</v>
      </c>
      <c r="BY696">
        <v>15</v>
      </c>
      <c r="BZ696">
        <f t="shared" si="98"/>
        <v>-1</v>
      </c>
      <c r="CA696">
        <f t="shared" si="99"/>
        <v>0</v>
      </c>
      <c r="CB696" t="b">
        <f t="shared" si="100"/>
        <v>0</v>
      </c>
    </row>
    <row r="697" spans="1:80" x14ac:dyDescent="0.3">
      <c r="A697" t="s">
        <v>5877</v>
      </c>
      <c r="B697" t="s">
        <v>71</v>
      </c>
      <c r="C697" t="s">
        <v>5878</v>
      </c>
      <c r="D697">
        <v>33</v>
      </c>
      <c r="E697">
        <v>33779</v>
      </c>
      <c r="F697" t="s">
        <v>89</v>
      </c>
      <c r="G697" t="s">
        <v>298</v>
      </c>
      <c r="H697" t="s">
        <v>89</v>
      </c>
      <c r="I697" t="s">
        <v>348</v>
      </c>
      <c r="J697" t="s">
        <v>78</v>
      </c>
      <c r="K697" t="s">
        <v>89</v>
      </c>
      <c r="L697" t="s">
        <v>324</v>
      </c>
      <c r="M697">
        <v>21</v>
      </c>
      <c r="N697" t="s">
        <v>1365</v>
      </c>
      <c r="O697">
        <v>2013</v>
      </c>
      <c r="P697" t="s">
        <v>5879</v>
      </c>
      <c r="Q697" t="s">
        <v>5880</v>
      </c>
      <c r="R697">
        <v>197135</v>
      </c>
      <c r="S697" t="s">
        <v>5881</v>
      </c>
      <c r="T697" t="s">
        <v>5882</v>
      </c>
      <c r="U697">
        <v>1992</v>
      </c>
      <c r="V697" t="s">
        <v>1488</v>
      </c>
      <c r="W697">
        <v>1.74</v>
      </c>
      <c r="X697" t="s">
        <v>76</v>
      </c>
      <c r="Y697" t="s">
        <v>136</v>
      </c>
      <c r="Z697" t="s">
        <v>87</v>
      </c>
      <c r="AA697" t="s">
        <v>476</v>
      </c>
      <c r="AB697" s="1">
        <v>45664</v>
      </c>
      <c r="AC697" t="s">
        <v>108</v>
      </c>
      <c r="AD697" t="s">
        <v>89</v>
      </c>
      <c r="AE697" t="s">
        <v>675</v>
      </c>
      <c r="AF697">
        <v>21</v>
      </c>
      <c r="AG697" t="s">
        <v>91</v>
      </c>
      <c r="AH697" t="s">
        <v>5883</v>
      </c>
      <c r="AI697">
        <v>32</v>
      </c>
      <c r="AJ697" t="s">
        <v>459</v>
      </c>
      <c r="AK697">
        <v>21</v>
      </c>
      <c r="AL697">
        <v>14</v>
      </c>
      <c r="AM697">
        <v>590</v>
      </c>
      <c r="AN697">
        <v>77</v>
      </c>
      <c r="AO697">
        <v>7</v>
      </c>
      <c r="AP697" t="s">
        <v>93</v>
      </c>
      <c r="AQ697" t="s">
        <v>89</v>
      </c>
      <c r="AR697" t="s">
        <v>89</v>
      </c>
      <c r="AS697" t="s">
        <v>93</v>
      </c>
      <c r="AT697" t="s">
        <v>89</v>
      </c>
      <c r="AU697" t="s">
        <v>89</v>
      </c>
      <c r="AV697" t="s">
        <v>89</v>
      </c>
      <c r="AW697">
        <v>12</v>
      </c>
      <c r="AX697" t="s">
        <v>89</v>
      </c>
      <c r="AY697" t="s">
        <v>93</v>
      </c>
      <c r="AZ697">
        <v>0</v>
      </c>
      <c r="BA697">
        <v>0</v>
      </c>
      <c r="BB697">
        <v>0</v>
      </c>
      <c r="BC697">
        <v>0</v>
      </c>
      <c r="BD697">
        <v>254</v>
      </c>
      <c r="BE697">
        <v>18499</v>
      </c>
      <c r="BF697">
        <v>2</v>
      </c>
      <c r="BG697" t="s">
        <v>89</v>
      </c>
      <c r="BH697">
        <v>254</v>
      </c>
      <c r="BI697">
        <v>18499</v>
      </c>
      <c r="BJ697">
        <v>2</v>
      </c>
      <c r="BK697">
        <f t="shared" si="92"/>
        <v>254</v>
      </c>
      <c r="BL697">
        <f t="shared" si="93"/>
        <v>18499</v>
      </c>
      <c r="BM697">
        <f t="shared" si="94"/>
        <v>2</v>
      </c>
      <c r="BN697">
        <f t="shared" si="95"/>
        <v>0</v>
      </c>
      <c r="BO697">
        <f t="shared" si="96"/>
        <v>0</v>
      </c>
      <c r="BP697">
        <f t="shared" si="97"/>
        <v>0</v>
      </c>
      <c r="BQ697" t="s">
        <v>136</v>
      </c>
      <c r="BR697" t="s">
        <v>140</v>
      </c>
      <c r="BS697" s="1">
        <v>33779</v>
      </c>
      <c r="BT697">
        <v>33</v>
      </c>
      <c r="BU697" t="s">
        <v>89</v>
      </c>
      <c r="BV697" t="s">
        <v>89</v>
      </c>
      <c r="BW697">
        <v>12</v>
      </c>
      <c r="BX697">
        <v>1992</v>
      </c>
      <c r="BY697">
        <v>12</v>
      </c>
      <c r="BZ697">
        <f t="shared" si="98"/>
        <v>0</v>
      </c>
      <c r="CA697">
        <f t="shared" si="99"/>
        <v>0</v>
      </c>
      <c r="CB697" t="b">
        <f t="shared" si="100"/>
        <v>1</v>
      </c>
    </row>
    <row r="698" spans="1:80" x14ac:dyDescent="0.3">
      <c r="A698" t="s">
        <v>5884</v>
      </c>
      <c r="B698" t="s">
        <v>71</v>
      </c>
      <c r="C698" t="s">
        <v>5885</v>
      </c>
      <c r="D698">
        <v>35</v>
      </c>
      <c r="E698" t="s">
        <v>5886</v>
      </c>
      <c r="F698" t="s">
        <v>5887</v>
      </c>
      <c r="G698" t="s">
        <v>1381</v>
      </c>
      <c r="H698" t="s">
        <v>5888</v>
      </c>
      <c r="I698" t="s">
        <v>437</v>
      </c>
      <c r="J698" t="s">
        <v>78</v>
      </c>
      <c r="K698" t="s">
        <v>5889</v>
      </c>
      <c r="L698" t="s">
        <v>130</v>
      </c>
      <c r="M698">
        <v>18</v>
      </c>
      <c r="N698" t="s">
        <v>289</v>
      </c>
      <c r="O698">
        <v>2008</v>
      </c>
      <c r="P698" t="s">
        <v>5890</v>
      </c>
      <c r="Q698" t="s">
        <v>5891</v>
      </c>
      <c r="R698">
        <v>81999</v>
      </c>
      <c r="S698" t="s">
        <v>5884</v>
      </c>
      <c r="T698" t="s">
        <v>5892</v>
      </c>
      <c r="U698">
        <v>1990</v>
      </c>
      <c r="V698" t="s">
        <v>5893</v>
      </c>
      <c r="W698">
        <v>1.91</v>
      </c>
      <c r="X698" t="s">
        <v>5894</v>
      </c>
      <c r="Y698" t="s">
        <v>123</v>
      </c>
      <c r="Z698" t="s">
        <v>87</v>
      </c>
      <c r="AA698" t="s">
        <v>5895</v>
      </c>
      <c r="AB698">
        <v>45329</v>
      </c>
      <c r="AC698" t="s">
        <v>170</v>
      </c>
      <c r="AD698" t="s">
        <v>442</v>
      </c>
      <c r="AE698" t="s">
        <v>2065</v>
      </c>
      <c r="AF698">
        <v>21</v>
      </c>
      <c r="AG698" t="s">
        <v>91</v>
      </c>
      <c r="AH698">
        <v>40061</v>
      </c>
      <c r="AI698">
        <v>19</v>
      </c>
      <c r="AJ698" t="s">
        <v>110</v>
      </c>
      <c r="AK698">
        <v>19</v>
      </c>
      <c r="AL698">
        <v>9</v>
      </c>
      <c r="AM698">
        <v>188</v>
      </c>
      <c r="AN698">
        <v>30</v>
      </c>
      <c r="AO698">
        <v>6</v>
      </c>
      <c r="AP698" t="s">
        <v>93</v>
      </c>
      <c r="AQ698" t="s">
        <v>89</v>
      </c>
      <c r="AR698" t="s">
        <v>89</v>
      </c>
      <c r="AS698" t="s">
        <v>93</v>
      </c>
      <c r="AT698" t="s">
        <v>89</v>
      </c>
      <c r="AU698" t="s">
        <v>89</v>
      </c>
      <c r="AV698" t="s">
        <v>89</v>
      </c>
      <c r="AW698">
        <v>17</v>
      </c>
      <c r="AX698">
        <v>9</v>
      </c>
      <c r="AY698" t="s">
        <v>111</v>
      </c>
      <c r="AZ698">
        <v>5</v>
      </c>
      <c r="BA698">
        <v>17</v>
      </c>
      <c r="BB698">
        <v>593</v>
      </c>
      <c r="BC698">
        <v>6</v>
      </c>
      <c r="BD698">
        <v>416</v>
      </c>
      <c r="BE698">
        <v>27586</v>
      </c>
      <c r="BF698">
        <v>118</v>
      </c>
      <c r="BG698" t="s">
        <v>89</v>
      </c>
      <c r="BH698">
        <v>433</v>
      </c>
      <c r="BI698">
        <v>28179</v>
      </c>
      <c r="BJ698">
        <v>124</v>
      </c>
      <c r="BK698">
        <f t="shared" si="92"/>
        <v>433</v>
      </c>
      <c r="BL698">
        <f t="shared" si="93"/>
        <v>28179</v>
      </c>
      <c r="BM698">
        <f t="shared" si="94"/>
        <v>124</v>
      </c>
      <c r="BN698">
        <f t="shared" si="95"/>
        <v>0</v>
      </c>
      <c r="BO698">
        <f t="shared" si="96"/>
        <v>0</v>
      </c>
      <c r="BP698">
        <f t="shared" si="97"/>
        <v>0</v>
      </c>
      <c r="BQ698" t="s">
        <v>123</v>
      </c>
      <c r="BR698" t="s">
        <v>112</v>
      </c>
      <c r="BS698" s="1">
        <v>32959</v>
      </c>
      <c r="BT698">
        <v>35</v>
      </c>
      <c r="BU698" t="s">
        <v>89</v>
      </c>
      <c r="BV698" t="s">
        <v>89</v>
      </c>
      <c r="BW698">
        <v>16</v>
      </c>
      <c r="BX698">
        <v>1990</v>
      </c>
      <c r="BY698">
        <v>16</v>
      </c>
      <c r="BZ698">
        <f t="shared" si="98"/>
        <v>1</v>
      </c>
      <c r="CA698">
        <f t="shared" si="99"/>
        <v>0</v>
      </c>
      <c r="CB698" t="b">
        <f t="shared" si="100"/>
        <v>0</v>
      </c>
    </row>
    <row r="699" spans="1:80" x14ac:dyDescent="0.3">
      <c r="A699" t="s">
        <v>5896</v>
      </c>
      <c r="B699" t="s">
        <v>71</v>
      </c>
      <c r="C699" t="s">
        <v>5897</v>
      </c>
      <c r="D699">
        <v>48</v>
      </c>
      <c r="E699">
        <v>28181</v>
      </c>
      <c r="F699" t="s">
        <v>89</v>
      </c>
      <c r="G699" t="s">
        <v>226</v>
      </c>
      <c r="H699" t="s">
        <v>76</v>
      </c>
      <c r="I699" t="s">
        <v>227</v>
      </c>
      <c r="J699" t="s">
        <v>89</v>
      </c>
      <c r="K699" t="s">
        <v>89</v>
      </c>
      <c r="L699" t="s">
        <v>99</v>
      </c>
      <c r="M699">
        <v>24</v>
      </c>
      <c r="N699" t="s">
        <v>820</v>
      </c>
      <c r="O699">
        <v>2001</v>
      </c>
      <c r="P699" t="s">
        <v>5898</v>
      </c>
      <c r="Q699" t="s">
        <v>5899</v>
      </c>
      <c r="R699">
        <v>7726</v>
      </c>
      <c r="S699" t="s">
        <v>5896</v>
      </c>
      <c r="T699">
        <v>28181</v>
      </c>
      <c r="U699">
        <v>1977</v>
      </c>
      <c r="V699" t="s">
        <v>1185</v>
      </c>
      <c r="W699">
        <v>1.85</v>
      </c>
      <c r="X699" t="s">
        <v>76</v>
      </c>
      <c r="Y699" t="s">
        <v>5900</v>
      </c>
      <c r="Z699" t="s">
        <v>87</v>
      </c>
      <c r="AA699" t="s">
        <v>89</v>
      </c>
      <c r="AB699" t="s">
        <v>89</v>
      </c>
      <c r="AC699" t="s">
        <v>89</v>
      </c>
      <c r="AD699" t="s">
        <v>89</v>
      </c>
      <c r="AE699" s="1">
        <v>2001</v>
      </c>
      <c r="AF699">
        <v>24</v>
      </c>
      <c r="AG699" t="s">
        <v>91</v>
      </c>
      <c r="AH699" s="1">
        <v>1996</v>
      </c>
      <c r="AI699">
        <v>19</v>
      </c>
      <c r="AJ699">
        <v>0</v>
      </c>
      <c r="AK699">
        <v>19</v>
      </c>
      <c r="AL699">
        <v>4</v>
      </c>
      <c r="AM699">
        <v>104</v>
      </c>
      <c r="AN699">
        <v>15</v>
      </c>
      <c r="AO699">
        <v>3</v>
      </c>
      <c r="AP699" t="s">
        <v>93</v>
      </c>
      <c r="AQ699" t="s">
        <v>89</v>
      </c>
      <c r="AR699" t="s">
        <v>89</v>
      </c>
      <c r="AS699" t="s">
        <v>111</v>
      </c>
      <c r="AT699">
        <v>41091</v>
      </c>
      <c r="AU699">
        <v>2012</v>
      </c>
      <c r="AV699">
        <v>11</v>
      </c>
      <c r="AW699">
        <v>11</v>
      </c>
      <c r="AX699" t="s">
        <v>89</v>
      </c>
      <c r="AY699" t="s">
        <v>93</v>
      </c>
      <c r="AZ699">
        <v>0</v>
      </c>
      <c r="BA699">
        <v>0</v>
      </c>
      <c r="BB699">
        <v>0</v>
      </c>
      <c r="BC699">
        <v>0</v>
      </c>
      <c r="BD699">
        <v>244</v>
      </c>
      <c r="BE699">
        <v>20760</v>
      </c>
      <c r="BF699">
        <v>0</v>
      </c>
      <c r="BG699">
        <v>35</v>
      </c>
      <c r="BH699">
        <v>244</v>
      </c>
      <c r="BI699">
        <v>20760</v>
      </c>
      <c r="BJ699">
        <v>0</v>
      </c>
      <c r="BK699">
        <f t="shared" si="92"/>
        <v>244</v>
      </c>
      <c r="BL699">
        <f t="shared" si="93"/>
        <v>20760</v>
      </c>
      <c r="BM699">
        <f t="shared" si="94"/>
        <v>0</v>
      </c>
      <c r="BN699">
        <f t="shared" si="95"/>
        <v>0</v>
      </c>
      <c r="BO699">
        <f t="shared" si="96"/>
        <v>0</v>
      </c>
      <c r="BP699">
        <f t="shared" si="97"/>
        <v>0</v>
      </c>
      <c r="BQ699" t="s">
        <v>5900</v>
      </c>
      <c r="BR699" t="s">
        <v>140</v>
      </c>
      <c r="BS699" t="s">
        <v>89</v>
      </c>
      <c r="BT699">
        <v>49</v>
      </c>
      <c r="BU699">
        <v>41091</v>
      </c>
      <c r="BV699" t="s">
        <v>89</v>
      </c>
      <c r="BW699">
        <v>16</v>
      </c>
      <c r="BX699">
        <v>1977</v>
      </c>
      <c r="BY699">
        <v>16</v>
      </c>
      <c r="BZ699">
        <f t="shared" si="98"/>
        <v>-5</v>
      </c>
      <c r="CA699">
        <f t="shared" si="99"/>
        <v>0</v>
      </c>
      <c r="CB699" t="b">
        <f t="shared" si="100"/>
        <v>0</v>
      </c>
    </row>
    <row r="700" spans="1:80" x14ac:dyDescent="0.3">
      <c r="A700" t="s">
        <v>5901</v>
      </c>
      <c r="B700" t="s">
        <v>191</v>
      </c>
      <c r="C700" t="s">
        <v>5902</v>
      </c>
      <c r="D700">
        <v>34</v>
      </c>
      <c r="E700">
        <v>33135</v>
      </c>
      <c r="F700" t="s">
        <v>89</v>
      </c>
      <c r="G700" t="s">
        <v>277</v>
      </c>
      <c r="H700" t="s">
        <v>194</v>
      </c>
      <c r="I700" t="s">
        <v>453</v>
      </c>
      <c r="J700" t="s">
        <v>78</v>
      </c>
      <c r="K700" t="s">
        <v>89</v>
      </c>
      <c r="L700" t="s">
        <v>254</v>
      </c>
      <c r="M700">
        <v>18</v>
      </c>
      <c r="N700" t="s">
        <v>1549</v>
      </c>
      <c r="O700">
        <v>2009</v>
      </c>
      <c r="P700" t="s">
        <v>5903</v>
      </c>
      <c r="Q700" t="s">
        <v>5904</v>
      </c>
      <c r="R700">
        <v>93704</v>
      </c>
      <c r="S700" t="s">
        <v>5901</v>
      </c>
      <c r="T700" t="s">
        <v>5905</v>
      </c>
      <c r="U700">
        <v>1990</v>
      </c>
      <c r="V700" t="s">
        <v>5906</v>
      </c>
      <c r="W700">
        <v>1.88</v>
      </c>
      <c r="X700" t="s">
        <v>5907</v>
      </c>
      <c r="Y700" t="s">
        <v>259</v>
      </c>
      <c r="Z700" t="s">
        <v>87</v>
      </c>
      <c r="AA700" t="s">
        <v>476</v>
      </c>
      <c r="AB700" s="1">
        <v>45664</v>
      </c>
      <c r="AC700" t="s">
        <v>108</v>
      </c>
      <c r="AD700" t="s">
        <v>89</v>
      </c>
      <c r="AE700">
        <v>40455</v>
      </c>
      <c r="AF700">
        <v>19</v>
      </c>
      <c r="AG700" t="s">
        <v>206</v>
      </c>
      <c r="AH700" s="1">
        <v>45333</v>
      </c>
      <c r="AI700">
        <v>34</v>
      </c>
      <c r="AJ700">
        <v>0</v>
      </c>
      <c r="AK700">
        <v>19</v>
      </c>
      <c r="AL700">
        <v>20</v>
      </c>
      <c r="AM700">
        <v>564</v>
      </c>
      <c r="AN700">
        <v>69</v>
      </c>
      <c r="AO700">
        <v>10</v>
      </c>
      <c r="AP700" t="s">
        <v>93</v>
      </c>
      <c r="AQ700" t="s">
        <v>89</v>
      </c>
      <c r="AR700" t="s">
        <v>89</v>
      </c>
      <c r="AS700" t="s">
        <v>93</v>
      </c>
      <c r="AT700" t="s">
        <v>89</v>
      </c>
      <c r="AU700" t="s">
        <v>89</v>
      </c>
      <c r="AV700" t="s">
        <v>89</v>
      </c>
      <c r="AW700">
        <v>16</v>
      </c>
      <c r="AX700" t="s">
        <v>89</v>
      </c>
      <c r="AY700" t="s">
        <v>111</v>
      </c>
      <c r="AZ700">
        <v>3</v>
      </c>
      <c r="BA700">
        <v>4</v>
      </c>
      <c r="BB700">
        <v>200</v>
      </c>
      <c r="BC700">
        <v>0</v>
      </c>
      <c r="BD700">
        <v>409</v>
      </c>
      <c r="BE700">
        <v>27754</v>
      </c>
      <c r="BF700">
        <v>18</v>
      </c>
      <c r="BG700" t="s">
        <v>89</v>
      </c>
      <c r="BH700">
        <v>413</v>
      </c>
      <c r="BI700">
        <v>27954</v>
      </c>
      <c r="BJ700">
        <v>18</v>
      </c>
      <c r="BK700">
        <f t="shared" si="92"/>
        <v>413</v>
      </c>
      <c r="BL700">
        <f t="shared" si="93"/>
        <v>27954</v>
      </c>
      <c r="BM700">
        <f t="shared" si="94"/>
        <v>18</v>
      </c>
      <c r="BN700">
        <f t="shared" si="95"/>
        <v>0</v>
      </c>
      <c r="BO700">
        <f t="shared" si="96"/>
        <v>0</v>
      </c>
      <c r="BP700">
        <f t="shared" si="97"/>
        <v>0</v>
      </c>
      <c r="BQ700" t="s">
        <v>259</v>
      </c>
      <c r="BR700" t="s">
        <v>94</v>
      </c>
      <c r="BS700" s="1">
        <v>33135</v>
      </c>
      <c r="BT700">
        <v>35</v>
      </c>
      <c r="BU700" t="s">
        <v>89</v>
      </c>
      <c r="BV700" t="s">
        <v>89</v>
      </c>
      <c r="BW700">
        <v>16</v>
      </c>
      <c r="BX700">
        <v>1990</v>
      </c>
      <c r="BY700">
        <v>15</v>
      </c>
      <c r="BZ700">
        <f t="shared" si="98"/>
        <v>0</v>
      </c>
      <c r="CA700">
        <f t="shared" si="99"/>
        <v>1</v>
      </c>
      <c r="CB700" t="b">
        <f t="shared" si="100"/>
        <v>1</v>
      </c>
    </row>
    <row r="701" spans="1:80" x14ac:dyDescent="0.3">
      <c r="A701" t="s">
        <v>5908</v>
      </c>
      <c r="B701" t="s">
        <v>71</v>
      </c>
      <c r="C701" t="s">
        <v>5909</v>
      </c>
      <c r="D701">
        <v>34</v>
      </c>
      <c r="E701" s="1">
        <v>33305</v>
      </c>
      <c r="F701" t="s">
        <v>89</v>
      </c>
      <c r="G701" t="s">
        <v>115</v>
      </c>
      <c r="H701" t="s">
        <v>89</v>
      </c>
      <c r="I701" t="s">
        <v>722</v>
      </c>
      <c r="J701" t="s">
        <v>78</v>
      </c>
      <c r="K701" t="s">
        <v>89</v>
      </c>
      <c r="L701" t="s">
        <v>80</v>
      </c>
      <c r="M701">
        <v>21</v>
      </c>
      <c r="N701" t="s">
        <v>1723</v>
      </c>
      <c r="O701">
        <v>2012</v>
      </c>
      <c r="P701" t="s">
        <v>5910</v>
      </c>
      <c r="Q701" t="s">
        <v>5911</v>
      </c>
      <c r="R701">
        <v>207924</v>
      </c>
      <c r="S701" t="s">
        <v>5912</v>
      </c>
      <c r="T701">
        <v>33453</v>
      </c>
      <c r="U701">
        <v>1991</v>
      </c>
      <c r="V701" t="s">
        <v>5913</v>
      </c>
      <c r="W701">
        <v>1.8</v>
      </c>
      <c r="X701" t="s">
        <v>76</v>
      </c>
      <c r="Y701" t="s">
        <v>86</v>
      </c>
      <c r="Z701" t="s">
        <v>87</v>
      </c>
      <c r="AA701" t="s">
        <v>476</v>
      </c>
      <c r="AB701" s="1">
        <v>45298</v>
      </c>
      <c r="AC701" t="s">
        <v>108</v>
      </c>
      <c r="AD701" t="s">
        <v>89</v>
      </c>
      <c r="AE701">
        <v>2014</v>
      </c>
      <c r="AF701">
        <v>23</v>
      </c>
      <c r="AG701" t="s">
        <v>91</v>
      </c>
      <c r="AH701">
        <v>2013</v>
      </c>
      <c r="AI701">
        <v>21</v>
      </c>
      <c r="AJ701">
        <v>0</v>
      </c>
      <c r="AK701">
        <v>21</v>
      </c>
      <c r="AL701">
        <v>2</v>
      </c>
      <c r="AM701">
        <v>67</v>
      </c>
      <c r="AN701">
        <v>10</v>
      </c>
      <c r="AO701">
        <v>2</v>
      </c>
      <c r="AP701" t="s">
        <v>93</v>
      </c>
      <c r="AQ701" t="s">
        <v>89</v>
      </c>
      <c r="AR701" t="s">
        <v>89</v>
      </c>
      <c r="AS701" t="s">
        <v>93</v>
      </c>
      <c r="AT701" t="s">
        <v>89</v>
      </c>
      <c r="AU701" t="s">
        <v>89</v>
      </c>
      <c r="AV701" t="s">
        <v>89</v>
      </c>
      <c r="AW701">
        <v>13</v>
      </c>
      <c r="AX701" t="s">
        <v>89</v>
      </c>
      <c r="AY701" t="s">
        <v>93</v>
      </c>
      <c r="AZ701">
        <v>0</v>
      </c>
      <c r="BA701">
        <v>0</v>
      </c>
      <c r="BB701">
        <v>0</v>
      </c>
      <c r="BC701">
        <v>0</v>
      </c>
      <c r="BD701">
        <v>273</v>
      </c>
      <c r="BE701">
        <v>16204</v>
      </c>
      <c r="BF701">
        <v>20</v>
      </c>
      <c r="BG701" t="s">
        <v>89</v>
      </c>
      <c r="BH701">
        <v>273</v>
      </c>
      <c r="BI701">
        <v>16204</v>
      </c>
      <c r="BJ701">
        <v>20</v>
      </c>
      <c r="BK701">
        <f t="shared" si="92"/>
        <v>273</v>
      </c>
      <c r="BL701">
        <f t="shared" si="93"/>
        <v>16204</v>
      </c>
      <c r="BM701">
        <f t="shared" si="94"/>
        <v>20</v>
      </c>
      <c r="BN701">
        <f t="shared" si="95"/>
        <v>0</v>
      </c>
      <c r="BO701">
        <f t="shared" si="96"/>
        <v>0</v>
      </c>
      <c r="BP701">
        <f t="shared" si="97"/>
        <v>0</v>
      </c>
      <c r="BQ701" t="s">
        <v>86</v>
      </c>
      <c r="BR701" t="s">
        <v>94</v>
      </c>
      <c r="BS701" t="s">
        <v>89</v>
      </c>
      <c r="BT701">
        <v>35</v>
      </c>
      <c r="BU701" t="s">
        <v>89</v>
      </c>
      <c r="BV701" t="s">
        <v>89</v>
      </c>
      <c r="BW701">
        <v>14</v>
      </c>
      <c r="BX701">
        <v>1991</v>
      </c>
      <c r="BY701">
        <v>13</v>
      </c>
      <c r="BZ701">
        <f t="shared" si="98"/>
        <v>-1</v>
      </c>
      <c r="CA701">
        <f t="shared" si="99"/>
        <v>1</v>
      </c>
      <c r="CB701" t="b">
        <f t="shared" si="100"/>
        <v>0</v>
      </c>
    </row>
    <row r="702" spans="1:80" x14ac:dyDescent="0.3">
      <c r="A702" t="s">
        <v>5914</v>
      </c>
      <c r="B702" t="s">
        <v>5915</v>
      </c>
      <c r="C702" t="s">
        <v>5916</v>
      </c>
      <c r="D702">
        <v>35</v>
      </c>
      <c r="E702" s="1">
        <v>32818</v>
      </c>
      <c r="F702" t="s">
        <v>89</v>
      </c>
      <c r="G702" t="s">
        <v>226</v>
      </c>
      <c r="H702" t="s">
        <v>5917</v>
      </c>
      <c r="I702" t="s">
        <v>437</v>
      </c>
      <c r="J702" t="s">
        <v>78</v>
      </c>
      <c r="K702" t="s">
        <v>89</v>
      </c>
      <c r="L702">
        <v>2006</v>
      </c>
      <c r="M702">
        <v>16</v>
      </c>
      <c r="N702" t="s">
        <v>5918</v>
      </c>
      <c r="O702">
        <v>2006</v>
      </c>
      <c r="P702" t="s">
        <v>5919</v>
      </c>
      <c r="Q702" t="s">
        <v>5920</v>
      </c>
      <c r="R702">
        <v>39378</v>
      </c>
      <c r="S702" t="s">
        <v>5914</v>
      </c>
      <c r="T702">
        <v>32670</v>
      </c>
      <c r="U702">
        <v>1989</v>
      </c>
      <c r="V702" t="s">
        <v>5921</v>
      </c>
      <c r="W702">
        <v>1.85</v>
      </c>
      <c r="X702" t="s">
        <v>5922</v>
      </c>
      <c r="Y702" t="s">
        <v>123</v>
      </c>
      <c r="Z702" t="s">
        <v>87</v>
      </c>
      <c r="AA702" t="s">
        <v>476</v>
      </c>
      <c r="AB702" s="1">
        <v>45658</v>
      </c>
      <c r="AC702" t="s">
        <v>108</v>
      </c>
      <c r="AD702" t="s">
        <v>89</v>
      </c>
      <c r="AE702">
        <v>38969</v>
      </c>
      <c r="AF702">
        <v>16</v>
      </c>
      <c r="AG702" t="s">
        <v>5923</v>
      </c>
      <c r="AH702" t="s">
        <v>92</v>
      </c>
      <c r="AI702" t="s">
        <v>89</v>
      </c>
      <c r="AJ702" t="s">
        <v>92</v>
      </c>
      <c r="AK702">
        <v>16</v>
      </c>
      <c r="AL702">
        <v>19</v>
      </c>
      <c r="AM702">
        <v>585</v>
      </c>
      <c r="AN702">
        <v>83</v>
      </c>
      <c r="AO702">
        <v>9</v>
      </c>
      <c r="AP702" t="s">
        <v>93</v>
      </c>
      <c r="AQ702" t="s">
        <v>89</v>
      </c>
      <c r="AR702" t="s">
        <v>89</v>
      </c>
      <c r="AS702" t="s">
        <v>93</v>
      </c>
      <c r="AT702" t="s">
        <v>89</v>
      </c>
      <c r="AU702" t="s">
        <v>89</v>
      </c>
      <c r="AV702" t="s">
        <v>89</v>
      </c>
      <c r="AW702">
        <v>19</v>
      </c>
      <c r="AX702" t="s">
        <v>89</v>
      </c>
      <c r="AY702" t="s">
        <v>111</v>
      </c>
      <c r="AZ702">
        <v>14</v>
      </c>
      <c r="BA702">
        <v>83</v>
      </c>
      <c r="BB702">
        <v>5696</v>
      </c>
      <c r="BC702">
        <v>32</v>
      </c>
      <c r="BD702">
        <v>392</v>
      </c>
      <c r="BE702">
        <v>23691</v>
      </c>
      <c r="BF702">
        <v>126</v>
      </c>
      <c r="BG702" t="s">
        <v>89</v>
      </c>
      <c r="BH702">
        <v>475</v>
      </c>
      <c r="BI702">
        <v>29387</v>
      </c>
      <c r="BJ702">
        <v>158</v>
      </c>
      <c r="BK702">
        <f t="shared" si="92"/>
        <v>475</v>
      </c>
      <c r="BL702">
        <f t="shared" si="93"/>
        <v>29387</v>
      </c>
      <c r="BM702">
        <f t="shared" si="94"/>
        <v>158</v>
      </c>
      <c r="BN702">
        <f t="shared" si="95"/>
        <v>0</v>
      </c>
      <c r="BO702">
        <f t="shared" si="96"/>
        <v>0</v>
      </c>
      <c r="BP702">
        <f t="shared" si="97"/>
        <v>0</v>
      </c>
      <c r="BQ702" t="s">
        <v>123</v>
      </c>
      <c r="BR702" t="s">
        <v>112</v>
      </c>
      <c r="BS702" t="s">
        <v>89</v>
      </c>
      <c r="BT702">
        <v>37</v>
      </c>
      <c r="BU702" t="s">
        <v>89</v>
      </c>
      <c r="BV702" t="s">
        <v>89</v>
      </c>
      <c r="BW702">
        <v>21</v>
      </c>
      <c r="BX702">
        <v>1989</v>
      </c>
      <c r="BY702">
        <v>19</v>
      </c>
      <c r="BZ702">
        <f t="shared" si="98"/>
        <v>-2</v>
      </c>
      <c r="CA702">
        <f t="shared" si="99"/>
        <v>2</v>
      </c>
      <c r="CB702" t="b">
        <f t="shared" si="100"/>
        <v>0</v>
      </c>
    </row>
    <row r="703" spans="1:80" x14ac:dyDescent="0.3">
      <c r="A703" t="s">
        <v>5924</v>
      </c>
      <c r="B703" t="s">
        <v>729</v>
      </c>
      <c r="C703" t="s">
        <v>5925</v>
      </c>
      <c r="D703">
        <v>39</v>
      </c>
      <c r="E703" s="1">
        <v>31610</v>
      </c>
      <c r="F703" t="s">
        <v>89</v>
      </c>
      <c r="G703" t="s">
        <v>321</v>
      </c>
      <c r="H703" t="s">
        <v>732</v>
      </c>
      <c r="I703" t="s">
        <v>161</v>
      </c>
      <c r="J703" t="s">
        <v>89</v>
      </c>
      <c r="K703" t="s">
        <v>89</v>
      </c>
      <c r="L703" t="s">
        <v>163</v>
      </c>
      <c r="M703">
        <v>20</v>
      </c>
      <c r="N703" t="s">
        <v>181</v>
      </c>
      <c r="O703">
        <v>2006</v>
      </c>
      <c r="P703" t="s">
        <v>5926</v>
      </c>
      <c r="Q703" t="s">
        <v>5927</v>
      </c>
      <c r="R703">
        <v>44139</v>
      </c>
      <c r="S703" t="s">
        <v>5928</v>
      </c>
      <c r="T703" t="s">
        <v>5929</v>
      </c>
      <c r="U703">
        <v>1986</v>
      </c>
      <c r="V703" t="s">
        <v>1800</v>
      </c>
      <c r="W703">
        <v>1.79</v>
      </c>
      <c r="X703" t="s">
        <v>2217</v>
      </c>
      <c r="Y703" t="s">
        <v>106</v>
      </c>
      <c r="Z703" t="s">
        <v>152</v>
      </c>
      <c r="AA703" t="s">
        <v>476</v>
      </c>
      <c r="AB703" s="1">
        <v>45298</v>
      </c>
      <c r="AC703" t="s">
        <v>108</v>
      </c>
      <c r="AD703" t="s">
        <v>89</v>
      </c>
      <c r="AE703" t="s">
        <v>2219</v>
      </c>
      <c r="AF703">
        <v>19</v>
      </c>
      <c r="AG703">
        <v>0</v>
      </c>
      <c r="AH703">
        <v>44261</v>
      </c>
      <c r="AI703">
        <v>34</v>
      </c>
      <c r="AJ703">
        <v>0</v>
      </c>
      <c r="AK703">
        <v>19</v>
      </c>
      <c r="AL703">
        <v>6</v>
      </c>
      <c r="AM703">
        <v>215</v>
      </c>
      <c r="AN703">
        <v>37</v>
      </c>
      <c r="AO703">
        <v>4</v>
      </c>
      <c r="AP703" t="s">
        <v>93</v>
      </c>
      <c r="AQ703" t="s">
        <v>89</v>
      </c>
      <c r="AR703" t="s">
        <v>89</v>
      </c>
      <c r="AS703" t="s">
        <v>93</v>
      </c>
      <c r="AT703" t="s">
        <v>89</v>
      </c>
      <c r="AU703" t="s">
        <v>89</v>
      </c>
      <c r="AV703" t="s">
        <v>89</v>
      </c>
      <c r="AW703">
        <v>19</v>
      </c>
      <c r="AX703" t="s">
        <v>89</v>
      </c>
      <c r="AY703" t="s">
        <v>93</v>
      </c>
      <c r="AZ703">
        <v>0</v>
      </c>
      <c r="BA703">
        <v>0</v>
      </c>
      <c r="BB703">
        <v>0</v>
      </c>
      <c r="BC703">
        <v>0</v>
      </c>
      <c r="BD703">
        <v>286</v>
      </c>
      <c r="BE703">
        <v>16967</v>
      </c>
      <c r="BF703">
        <v>58</v>
      </c>
      <c r="BG703" t="s">
        <v>89</v>
      </c>
      <c r="BH703">
        <v>286</v>
      </c>
      <c r="BI703">
        <v>16967</v>
      </c>
      <c r="BJ703">
        <v>58</v>
      </c>
      <c r="BK703">
        <f t="shared" si="92"/>
        <v>286</v>
      </c>
      <c r="BL703">
        <f t="shared" si="93"/>
        <v>16967</v>
      </c>
      <c r="BM703">
        <f t="shared" si="94"/>
        <v>58</v>
      </c>
      <c r="BN703">
        <f t="shared" si="95"/>
        <v>0</v>
      </c>
      <c r="BO703">
        <f t="shared" si="96"/>
        <v>0</v>
      </c>
      <c r="BP703">
        <f t="shared" si="97"/>
        <v>0</v>
      </c>
      <c r="BQ703" t="s">
        <v>106</v>
      </c>
      <c r="BR703" t="s">
        <v>112</v>
      </c>
      <c r="BS703" s="1">
        <v>31610</v>
      </c>
      <c r="BT703">
        <v>39</v>
      </c>
      <c r="BU703" t="s">
        <v>89</v>
      </c>
      <c r="BV703" t="s">
        <v>89</v>
      </c>
      <c r="BW703">
        <v>20</v>
      </c>
      <c r="BX703">
        <v>1986</v>
      </c>
      <c r="BY703">
        <v>20</v>
      </c>
      <c r="BZ703">
        <f t="shared" si="98"/>
        <v>-1</v>
      </c>
      <c r="CA703">
        <f t="shared" si="99"/>
        <v>0</v>
      </c>
      <c r="CB703" t="b">
        <f t="shared" si="100"/>
        <v>0</v>
      </c>
    </row>
    <row r="704" spans="1:80" x14ac:dyDescent="0.3">
      <c r="A704" t="s">
        <v>5930</v>
      </c>
      <c r="B704" t="s">
        <v>71</v>
      </c>
      <c r="C704" t="s">
        <v>5931</v>
      </c>
      <c r="D704">
        <v>32</v>
      </c>
      <c r="E704" s="1">
        <v>34029</v>
      </c>
      <c r="F704" t="s">
        <v>89</v>
      </c>
      <c r="G704" t="s">
        <v>535</v>
      </c>
      <c r="H704" t="s">
        <v>76</v>
      </c>
      <c r="I704" t="s">
        <v>1104</v>
      </c>
      <c r="J704" t="s">
        <v>300</v>
      </c>
      <c r="K704" t="s">
        <v>89</v>
      </c>
      <c r="L704" t="s">
        <v>278</v>
      </c>
      <c r="M704">
        <v>18</v>
      </c>
      <c r="N704" t="s">
        <v>214</v>
      </c>
      <c r="O704">
        <v>2011</v>
      </c>
      <c r="P704" t="s">
        <v>5932</v>
      </c>
      <c r="Q704" t="s">
        <v>5933</v>
      </c>
      <c r="R704">
        <v>126719</v>
      </c>
      <c r="S704" t="s">
        <v>5930</v>
      </c>
      <c r="T704">
        <v>33972</v>
      </c>
      <c r="U704">
        <v>1993</v>
      </c>
      <c r="V704" t="s">
        <v>5934</v>
      </c>
      <c r="W704">
        <v>1.7</v>
      </c>
      <c r="X704" t="s">
        <v>76</v>
      </c>
      <c r="Y704" t="s">
        <v>203</v>
      </c>
      <c r="Z704" t="s">
        <v>152</v>
      </c>
      <c r="AA704" t="s">
        <v>476</v>
      </c>
      <c r="AB704" s="1">
        <v>45664</v>
      </c>
      <c r="AC704" t="s">
        <v>108</v>
      </c>
      <c r="AD704" t="s">
        <v>442</v>
      </c>
      <c r="AE704" t="s">
        <v>306</v>
      </c>
      <c r="AF704">
        <v>18</v>
      </c>
      <c r="AG704" t="s">
        <v>91</v>
      </c>
      <c r="AH704" t="s">
        <v>92</v>
      </c>
      <c r="AI704" t="s">
        <v>89</v>
      </c>
      <c r="AJ704" t="s">
        <v>92</v>
      </c>
      <c r="AK704">
        <v>18</v>
      </c>
      <c r="AL704">
        <v>20</v>
      </c>
      <c r="AM704">
        <v>862</v>
      </c>
      <c r="AN704">
        <v>158</v>
      </c>
      <c r="AO704">
        <v>9</v>
      </c>
      <c r="AP704" t="s">
        <v>93</v>
      </c>
      <c r="AQ704" t="s">
        <v>89</v>
      </c>
      <c r="AR704" t="s">
        <v>89</v>
      </c>
      <c r="AS704" t="s">
        <v>93</v>
      </c>
      <c r="AT704" t="s">
        <v>89</v>
      </c>
      <c r="AU704" t="s">
        <v>89</v>
      </c>
      <c r="AV704" t="s">
        <v>89</v>
      </c>
      <c r="AW704">
        <v>14</v>
      </c>
      <c r="AX704" t="s">
        <v>89</v>
      </c>
      <c r="AY704" t="s">
        <v>111</v>
      </c>
      <c r="AZ704">
        <v>4</v>
      </c>
      <c r="BA704">
        <v>11</v>
      </c>
      <c r="BB704">
        <v>722</v>
      </c>
      <c r="BC704">
        <v>1</v>
      </c>
      <c r="BD704">
        <v>339</v>
      </c>
      <c r="BE704">
        <v>23127</v>
      </c>
      <c r="BF704">
        <v>15</v>
      </c>
      <c r="BG704" t="s">
        <v>89</v>
      </c>
      <c r="BH704">
        <v>350</v>
      </c>
      <c r="BI704">
        <v>23849</v>
      </c>
      <c r="BJ704">
        <v>16</v>
      </c>
      <c r="BK704">
        <f t="shared" si="92"/>
        <v>350</v>
      </c>
      <c r="BL704">
        <f t="shared" si="93"/>
        <v>23849</v>
      </c>
      <c r="BM704">
        <f t="shared" si="94"/>
        <v>16</v>
      </c>
      <c r="BN704">
        <f t="shared" si="95"/>
        <v>0</v>
      </c>
      <c r="BO704">
        <f t="shared" si="96"/>
        <v>0</v>
      </c>
      <c r="BP704">
        <f t="shared" si="97"/>
        <v>0</v>
      </c>
      <c r="BQ704" t="s">
        <v>203</v>
      </c>
      <c r="BR704" t="s">
        <v>140</v>
      </c>
      <c r="BS704" t="s">
        <v>89</v>
      </c>
      <c r="BT704">
        <v>33</v>
      </c>
      <c r="BU704" t="s">
        <v>89</v>
      </c>
      <c r="BV704" t="s">
        <v>89</v>
      </c>
      <c r="BW704">
        <v>15</v>
      </c>
      <c r="BX704">
        <v>1993</v>
      </c>
      <c r="BY704">
        <v>14</v>
      </c>
      <c r="BZ704">
        <f t="shared" si="98"/>
        <v>-1</v>
      </c>
      <c r="CA704">
        <f t="shared" si="99"/>
        <v>1</v>
      </c>
      <c r="CB704" t="b">
        <f t="shared" si="100"/>
        <v>0</v>
      </c>
    </row>
    <row r="705" spans="1:80" x14ac:dyDescent="0.3">
      <c r="A705" t="s">
        <v>5935</v>
      </c>
      <c r="B705" t="s">
        <v>71</v>
      </c>
      <c r="C705" t="s">
        <v>5936</v>
      </c>
      <c r="D705">
        <v>45</v>
      </c>
      <c r="E705" s="1">
        <v>29210</v>
      </c>
      <c r="F705" t="s">
        <v>89</v>
      </c>
      <c r="G705" t="s">
        <v>334</v>
      </c>
      <c r="H705" t="s">
        <v>89</v>
      </c>
      <c r="I705" t="s">
        <v>178</v>
      </c>
      <c r="J705" t="s">
        <v>89</v>
      </c>
      <c r="K705" t="s">
        <v>89</v>
      </c>
      <c r="L705" t="s">
        <v>657</v>
      </c>
      <c r="M705">
        <v>23</v>
      </c>
      <c r="N705" t="s">
        <v>1047</v>
      </c>
      <c r="O705">
        <v>2003</v>
      </c>
      <c r="P705" t="s">
        <v>5937</v>
      </c>
      <c r="Q705" t="s">
        <v>5938</v>
      </c>
      <c r="R705">
        <v>15980</v>
      </c>
      <c r="S705" t="s">
        <v>5935</v>
      </c>
      <c r="T705" t="s">
        <v>5939</v>
      </c>
      <c r="U705">
        <v>1979</v>
      </c>
      <c r="V705" t="s">
        <v>1047</v>
      </c>
      <c r="W705">
        <v>1.91</v>
      </c>
      <c r="X705" t="s">
        <v>76</v>
      </c>
      <c r="Y705" t="s">
        <v>186</v>
      </c>
      <c r="Z705" t="s">
        <v>87</v>
      </c>
      <c r="AA705" t="s">
        <v>1423</v>
      </c>
      <c r="AB705" t="s">
        <v>3119</v>
      </c>
      <c r="AC705" t="s">
        <v>108</v>
      </c>
      <c r="AD705" t="s">
        <v>89</v>
      </c>
      <c r="AE705" t="s">
        <v>1784</v>
      </c>
      <c r="AF705">
        <v>23</v>
      </c>
      <c r="AG705" t="s">
        <v>91</v>
      </c>
      <c r="AH705" t="s">
        <v>719</v>
      </c>
      <c r="AI705">
        <v>28</v>
      </c>
      <c r="AJ705" t="s">
        <v>110</v>
      </c>
      <c r="AK705">
        <v>23</v>
      </c>
      <c r="AL705" t="s">
        <v>89</v>
      </c>
      <c r="AM705" t="s">
        <v>89</v>
      </c>
      <c r="AN705" t="s">
        <v>89</v>
      </c>
      <c r="AO705">
        <v>0</v>
      </c>
      <c r="AP705" t="s">
        <v>93</v>
      </c>
      <c r="AQ705" t="s">
        <v>89</v>
      </c>
      <c r="AR705" t="s">
        <v>89</v>
      </c>
      <c r="AS705" t="s">
        <v>111</v>
      </c>
      <c r="AT705" t="s">
        <v>3119</v>
      </c>
      <c r="AU705">
        <v>2017</v>
      </c>
      <c r="AV705">
        <v>14</v>
      </c>
      <c r="AW705">
        <v>14</v>
      </c>
      <c r="AX705" t="s">
        <v>89</v>
      </c>
      <c r="AY705" t="s">
        <v>93</v>
      </c>
      <c r="AZ705">
        <v>0</v>
      </c>
      <c r="BA705">
        <v>0</v>
      </c>
      <c r="BB705">
        <v>0</v>
      </c>
      <c r="BC705">
        <v>0</v>
      </c>
      <c r="BD705">
        <v>241</v>
      </c>
      <c r="BE705">
        <v>21444</v>
      </c>
      <c r="BF705">
        <v>0</v>
      </c>
      <c r="BG705">
        <v>38</v>
      </c>
      <c r="BH705">
        <v>241</v>
      </c>
      <c r="BI705">
        <v>21444</v>
      </c>
      <c r="BJ705">
        <v>0</v>
      </c>
      <c r="BK705">
        <f t="shared" si="92"/>
        <v>241</v>
      </c>
      <c r="BL705">
        <f t="shared" si="93"/>
        <v>21444</v>
      </c>
      <c r="BM705">
        <f t="shared" si="94"/>
        <v>0</v>
      </c>
      <c r="BN705">
        <f t="shared" si="95"/>
        <v>0</v>
      </c>
      <c r="BO705">
        <f t="shared" si="96"/>
        <v>0</v>
      </c>
      <c r="BP705">
        <f t="shared" si="97"/>
        <v>0</v>
      </c>
      <c r="BQ705" t="s">
        <v>186</v>
      </c>
      <c r="BR705" t="s">
        <v>186</v>
      </c>
      <c r="BS705" s="1">
        <v>29210</v>
      </c>
      <c r="BT705">
        <v>46</v>
      </c>
      <c r="BU705" t="s">
        <v>3119</v>
      </c>
      <c r="BV705" s="1">
        <v>42934</v>
      </c>
      <c r="BW705">
        <v>15</v>
      </c>
      <c r="BX705">
        <v>1979</v>
      </c>
      <c r="BY705">
        <v>15</v>
      </c>
      <c r="BZ705">
        <f t="shared" si="98"/>
        <v>-1</v>
      </c>
      <c r="CA705">
        <f t="shared" si="99"/>
        <v>0</v>
      </c>
      <c r="CB705" t="b">
        <f t="shared" si="100"/>
        <v>0</v>
      </c>
    </row>
    <row r="706" spans="1:80" x14ac:dyDescent="0.3">
      <c r="A706" t="s">
        <v>5940</v>
      </c>
      <c r="B706" t="s">
        <v>71</v>
      </c>
      <c r="C706" t="s">
        <v>5941</v>
      </c>
      <c r="D706">
        <v>37</v>
      </c>
      <c r="E706" s="1">
        <v>31985</v>
      </c>
      <c r="F706" t="s">
        <v>89</v>
      </c>
      <c r="G706" t="s">
        <v>115</v>
      </c>
      <c r="H706" t="s">
        <v>89</v>
      </c>
      <c r="I706" t="s">
        <v>178</v>
      </c>
      <c r="J706" t="s">
        <v>78</v>
      </c>
      <c r="K706" t="s">
        <v>89</v>
      </c>
      <c r="L706" t="s">
        <v>180</v>
      </c>
      <c r="M706">
        <v>20</v>
      </c>
      <c r="N706" t="s">
        <v>763</v>
      </c>
      <c r="O706">
        <v>2007</v>
      </c>
      <c r="P706" t="s">
        <v>5942</v>
      </c>
      <c r="Q706" t="s">
        <v>5943</v>
      </c>
      <c r="R706">
        <v>120705</v>
      </c>
      <c r="S706" t="s">
        <v>5940</v>
      </c>
      <c r="T706" t="s">
        <v>5944</v>
      </c>
      <c r="U706">
        <v>1988</v>
      </c>
      <c r="V706" t="s">
        <v>1282</v>
      </c>
      <c r="W706">
        <v>1.87</v>
      </c>
      <c r="X706" t="s">
        <v>76</v>
      </c>
      <c r="Y706" t="s">
        <v>186</v>
      </c>
      <c r="Z706" t="s">
        <v>87</v>
      </c>
      <c r="AA706" t="s">
        <v>323</v>
      </c>
      <c r="AB706" s="1">
        <v>43472</v>
      </c>
      <c r="AC706" t="s">
        <v>170</v>
      </c>
      <c r="AD706" t="s">
        <v>89</v>
      </c>
      <c r="AE706" t="s">
        <v>1506</v>
      </c>
      <c r="AF706">
        <v>26</v>
      </c>
      <c r="AG706" t="s">
        <v>91</v>
      </c>
      <c r="AH706" s="1">
        <v>40639</v>
      </c>
      <c r="AI706">
        <v>23</v>
      </c>
      <c r="AJ706" t="s">
        <v>110</v>
      </c>
      <c r="AK706">
        <v>23</v>
      </c>
      <c r="AL706">
        <v>3</v>
      </c>
      <c r="AM706">
        <v>117</v>
      </c>
      <c r="AN706">
        <v>16</v>
      </c>
      <c r="AO706">
        <v>3</v>
      </c>
      <c r="AP706" t="s">
        <v>93</v>
      </c>
      <c r="AQ706" t="s">
        <v>89</v>
      </c>
      <c r="AR706" t="s">
        <v>89</v>
      </c>
      <c r="AS706" t="s">
        <v>93</v>
      </c>
      <c r="AT706" t="s">
        <v>89</v>
      </c>
      <c r="AU706" t="s">
        <v>89</v>
      </c>
      <c r="AV706" t="s">
        <v>89</v>
      </c>
      <c r="AW706">
        <v>18</v>
      </c>
      <c r="AX706" t="s">
        <v>89</v>
      </c>
      <c r="AY706" t="s">
        <v>93</v>
      </c>
      <c r="AZ706">
        <v>0</v>
      </c>
      <c r="BA706">
        <v>0</v>
      </c>
      <c r="BB706">
        <v>0</v>
      </c>
      <c r="BC706">
        <v>0</v>
      </c>
      <c r="BD706">
        <v>312</v>
      </c>
      <c r="BE706">
        <v>27979</v>
      </c>
      <c r="BF706">
        <v>0</v>
      </c>
      <c r="BG706" t="s">
        <v>89</v>
      </c>
      <c r="BH706">
        <v>312</v>
      </c>
      <c r="BI706">
        <v>27979</v>
      </c>
      <c r="BJ706">
        <v>0</v>
      </c>
      <c r="BK706">
        <f t="shared" si="92"/>
        <v>312</v>
      </c>
      <c r="BL706">
        <f t="shared" si="93"/>
        <v>27979</v>
      </c>
      <c r="BM706">
        <f t="shared" si="94"/>
        <v>0</v>
      </c>
      <c r="BN706">
        <f t="shared" si="95"/>
        <v>0</v>
      </c>
      <c r="BO706">
        <f t="shared" si="96"/>
        <v>0</v>
      </c>
      <c r="BP706">
        <f t="shared" si="97"/>
        <v>0</v>
      </c>
      <c r="BQ706" t="s">
        <v>186</v>
      </c>
      <c r="BR706" t="s">
        <v>186</v>
      </c>
      <c r="BS706" t="s">
        <v>89</v>
      </c>
      <c r="BT706">
        <v>38</v>
      </c>
      <c r="BU706" t="s">
        <v>89</v>
      </c>
      <c r="BV706" t="s">
        <v>89</v>
      </c>
      <c r="BW706">
        <v>15</v>
      </c>
      <c r="BX706">
        <v>1988</v>
      </c>
      <c r="BY706">
        <v>14</v>
      </c>
      <c r="BZ706">
        <f t="shared" si="98"/>
        <v>3</v>
      </c>
      <c r="CA706">
        <f t="shared" si="99"/>
        <v>1</v>
      </c>
      <c r="CB706" t="b">
        <f t="shared" si="100"/>
        <v>0</v>
      </c>
    </row>
    <row r="707" spans="1:80" x14ac:dyDescent="0.3">
      <c r="A707" t="s">
        <v>5940</v>
      </c>
      <c r="B707" t="s">
        <v>89</v>
      </c>
      <c r="C707" t="s">
        <v>5945</v>
      </c>
      <c r="D707">
        <v>34</v>
      </c>
      <c r="E707" s="1">
        <v>33312</v>
      </c>
      <c r="F707" t="s">
        <v>89</v>
      </c>
      <c r="G707" t="s">
        <v>143</v>
      </c>
      <c r="H707" t="s">
        <v>89</v>
      </c>
      <c r="I707" t="s">
        <v>161</v>
      </c>
      <c r="J707" t="s">
        <v>78</v>
      </c>
      <c r="K707" t="s">
        <v>89</v>
      </c>
      <c r="L707" t="s">
        <v>278</v>
      </c>
      <c r="M707">
        <v>20</v>
      </c>
      <c r="N707" t="s">
        <v>741</v>
      </c>
      <c r="O707">
        <v>2011</v>
      </c>
      <c r="P707" t="s">
        <v>5946</v>
      </c>
      <c r="Q707" t="s">
        <v>5947</v>
      </c>
      <c r="R707">
        <v>201861</v>
      </c>
      <c r="S707" t="s">
        <v>5948</v>
      </c>
      <c r="T707" t="s">
        <v>5949</v>
      </c>
      <c r="U707">
        <v>1991</v>
      </c>
      <c r="V707" t="s">
        <v>258</v>
      </c>
      <c r="W707">
        <v>1.83</v>
      </c>
      <c r="X707" t="s">
        <v>76</v>
      </c>
      <c r="Y707" t="s">
        <v>106</v>
      </c>
      <c r="Z707" t="s">
        <v>87</v>
      </c>
      <c r="AA707" t="s">
        <v>2514</v>
      </c>
      <c r="AB707" t="s">
        <v>5950</v>
      </c>
      <c r="AC707" t="s">
        <v>170</v>
      </c>
      <c r="AD707" t="s">
        <v>89</v>
      </c>
      <c r="AE707" t="s">
        <v>5951</v>
      </c>
      <c r="AF707">
        <v>23</v>
      </c>
      <c r="AG707" t="s">
        <v>91</v>
      </c>
      <c r="AH707">
        <v>40974</v>
      </c>
      <c r="AI707">
        <v>21</v>
      </c>
      <c r="AJ707" t="s">
        <v>110</v>
      </c>
      <c r="AK707">
        <v>21</v>
      </c>
      <c r="AL707">
        <v>2</v>
      </c>
      <c r="AM707">
        <v>30</v>
      </c>
      <c r="AN707">
        <v>5</v>
      </c>
      <c r="AO707">
        <v>2</v>
      </c>
      <c r="AP707" t="s">
        <v>93</v>
      </c>
      <c r="AQ707" t="s">
        <v>89</v>
      </c>
      <c r="AR707" t="s">
        <v>89</v>
      </c>
      <c r="AS707" t="s">
        <v>93</v>
      </c>
      <c r="AT707" t="s">
        <v>89</v>
      </c>
      <c r="AU707" t="s">
        <v>89</v>
      </c>
      <c r="AV707" t="s">
        <v>89</v>
      </c>
      <c r="AW707">
        <v>14</v>
      </c>
      <c r="AX707">
        <v>22</v>
      </c>
      <c r="AY707" t="s">
        <v>93</v>
      </c>
      <c r="AZ707">
        <v>0</v>
      </c>
      <c r="BA707">
        <v>0</v>
      </c>
      <c r="BB707">
        <v>0</v>
      </c>
      <c r="BC707">
        <v>0</v>
      </c>
      <c r="BD707">
        <v>290</v>
      </c>
      <c r="BE707">
        <v>16071</v>
      </c>
      <c r="BF707">
        <v>0</v>
      </c>
      <c r="BG707" t="s">
        <v>89</v>
      </c>
      <c r="BH707">
        <v>290</v>
      </c>
      <c r="BI707">
        <v>16071</v>
      </c>
      <c r="BJ707">
        <v>0</v>
      </c>
      <c r="BK707">
        <f t="shared" ref="BK707:BK770" si="101">+BA707+BD707</f>
        <v>290</v>
      </c>
      <c r="BL707">
        <f t="shared" ref="BL707:BL770" si="102">+BB707+BE707</f>
        <v>16071</v>
      </c>
      <c r="BM707">
        <f t="shared" ref="BM707:BM770" si="103">+BC707+BF707</f>
        <v>0</v>
      </c>
      <c r="BN707">
        <f t="shared" ref="BN707:BN770" si="104">+BK707-BH707</f>
        <v>0</v>
      </c>
      <c r="BO707">
        <f t="shared" ref="BO707:BO770" si="105">+BL707-BI707</f>
        <v>0</v>
      </c>
      <c r="BP707">
        <f t="shared" ref="BP707:BP770" si="106">+BM707-BJ707</f>
        <v>0</v>
      </c>
      <c r="BQ707" t="s">
        <v>106</v>
      </c>
      <c r="BR707" t="s">
        <v>112</v>
      </c>
      <c r="BS707" t="s">
        <v>89</v>
      </c>
      <c r="BT707">
        <v>35</v>
      </c>
      <c r="BU707" t="s">
        <v>89</v>
      </c>
      <c r="BV707" t="s">
        <v>89</v>
      </c>
      <c r="BW707">
        <v>14</v>
      </c>
      <c r="BX707">
        <v>1991</v>
      </c>
      <c r="BY707">
        <v>13</v>
      </c>
      <c r="BZ707">
        <f t="shared" ref="BZ707:BZ770" si="107">+AW707-BW707</f>
        <v>0</v>
      </c>
      <c r="CA707">
        <f t="shared" ref="CA707:CA770" si="108">+BW707-BY707</f>
        <v>1</v>
      </c>
      <c r="CB707" t="b">
        <f t="shared" ref="CB707:CB770" si="109">+BW707=AW707</f>
        <v>1</v>
      </c>
    </row>
    <row r="708" spans="1:80" x14ac:dyDescent="0.3">
      <c r="A708" t="s">
        <v>5940</v>
      </c>
      <c r="B708" t="s">
        <v>89</v>
      </c>
      <c r="C708" t="s">
        <v>5952</v>
      </c>
      <c r="D708">
        <v>38</v>
      </c>
      <c r="E708" s="1">
        <v>31985</v>
      </c>
      <c r="F708" t="s">
        <v>89</v>
      </c>
      <c r="G708" t="s">
        <v>115</v>
      </c>
      <c r="H708" t="s">
        <v>89</v>
      </c>
      <c r="I708" t="s">
        <v>178</v>
      </c>
      <c r="J708" t="s">
        <v>78</v>
      </c>
      <c r="K708" t="s">
        <v>89</v>
      </c>
      <c r="L708" t="s">
        <v>180</v>
      </c>
      <c r="M708">
        <v>20</v>
      </c>
      <c r="N708" t="s">
        <v>763</v>
      </c>
      <c r="O708">
        <v>2007</v>
      </c>
      <c r="P708" t="s">
        <v>5953</v>
      </c>
      <c r="Q708" t="s">
        <v>5943</v>
      </c>
      <c r="R708">
        <v>248084</v>
      </c>
      <c r="S708" t="s">
        <v>5954</v>
      </c>
      <c r="T708" t="s">
        <v>5955</v>
      </c>
      <c r="U708">
        <v>1987</v>
      </c>
      <c r="V708" t="s">
        <v>5956</v>
      </c>
      <c r="W708" t="s">
        <v>89</v>
      </c>
      <c r="X708" t="s">
        <v>732</v>
      </c>
      <c r="Y708" t="s">
        <v>140</v>
      </c>
      <c r="Z708" t="s">
        <v>89</v>
      </c>
      <c r="AA708" t="s">
        <v>89</v>
      </c>
      <c r="AB708" t="s">
        <v>89</v>
      </c>
      <c r="AC708" t="s">
        <v>89</v>
      </c>
      <c r="AD708" t="s">
        <v>89</v>
      </c>
      <c r="AE708" t="s">
        <v>747</v>
      </c>
      <c r="AF708">
        <v>20</v>
      </c>
      <c r="AG708" t="s">
        <v>91</v>
      </c>
      <c r="AH708" t="s">
        <v>371</v>
      </c>
      <c r="AI708">
        <v>22</v>
      </c>
      <c r="AJ708" t="s">
        <v>110</v>
      </c>
      <c r="AK708">
        <v>20</v>
      </c>
      <c r="AL708" t="s">
        <v>89</v>
      </c>
      <c r="AM708" t="s">
        <v>89</v>
      </c>
      <c r="AN708" t="s">
        <v>89</v>
      </c>
      <c r="AO708">
        <v>0</v>
      </c>
      <c r="AP708" t="s">
        <v>93</v>
      </c>
      <c r="AQ708" t="s">
        <v>89</v>
      </c>
      <c r="AR708" t="s">
        <v>89</v>
      </c>
      <c r="AS708" t="s">
        <v>93</v>
      </c>
      <c r="AT708" t="s">
        <v>89</v>
      </c>
      <c r="AU708" t="s">
        <v>89</v>
      </c>
      <c r="AV708" t="s">
        <v>89</v>
      </c>
      <c r="AW708">
        <v>18</v>
      </c>
      <c r="AX708" t="s">
        <v>89</v>
      </c>
      <c r="AY708" t="s">
        <v>93</v>
      </c>
      <c r="AZ708">
        <v>0</v>
      </c>
      <c r="BA708">
        <v>0</v>
      </c>
      <c r="BB708">
        <v>0</v>
      </c>
      <c r="BC708">
        <v>0</v>
      </c>
      <c r="BD708">
        <v>254</v>
      </c>
      <c r="BE708">
        <v>22614</v>
      </c>
      <c r="BF708">
        <v>0</v>
      </c>
      <c r="BG708" t="s">
        <v>89</v>
      </c>
      <c r="BH708">
        <v>254</v>
      </c>
      <c r="BI708">
        <v>22614</v>
      </c>
      <c r="BJ708">
        <v>0</v>
      </c>
      <c r="BK708">
        <f t="shared" si="101"/>
        <v>254</v>
      </c>
      <c r="BL708">
        <f t="shared" si="102"/>
        <v>22614</v>
      </c>
      <c r="BM708">
        <f t="shared" si="103"/>
        <v>0</v>
      </c>
      <c r="BN708">
        <f t="shared" si="104"/>
        <v>0</v>
      </c>
      <c r="BO708">
        <f t="shared" si="105"/>
        <v>0</v>
      </c>
      <c r="BP708">
        <f t="shared" si="106"/>
        <v>0</v>
      </c>
      <c r="BQ708" t="s">
        <v>140</v>
      </c>
      <c r="BR708" t="s">
        <v>140</v>
      </c>
      <c r="BS708" s="1">
        <v>31985</v>
      </c>
      <c r="BT708">
        <v>38</v>
      </c>
      <c r="BU708" t="s">
        <v>89</v>
      </c>
      <c r="BV708" t="s">
        <v>89</v>
      </c>
      <c r="BW708">
        <v>18</v>
      </c>
      <c r="BX708">
        <v>1987</v>
      </c>
      <c r="BY708">
        <v>18</v>
      </c>
      <c r="BZ708">
        <f t="shared" si="107"/>
        <v>0</v>
      </c>
      <c r="CA708">
        <f t="shared" si="108"/>
        <v>0</v>
      </c>
      <c r="CB708" t="b">
        <f t="shared" si="109"/>
        <v>1</v>
      </c>
    </row>
    <row r="709" spans="1:80" x14ac:dyDescent="0.3">
      <c r="A709" t="s">
        <v>5957</v>
      </c>
      <c r="B709" t="s">
        <v>71</v>
      </c>
      <c r="C709" t="s">
        <v>5958</v>
      </c>
      <c r="D709">
        <v>50</v>
      </c>
      <c r="E709">
        <v>27562</v>
      </c>
      <c r="F709" t="s">
        <v>89</v>
      </c>
      <c r="G709" t="s">
        <v>193</v>
      </c>
      <c r="H709" t="s">
        <v>76</v>
      </c>
      <c r="I709" t="s">
        <v>791</v>
      </c>
      <c r="J709" t="s">
        <v>78</v>
      </c>
      <c r="K709" t="s">
        <v>89</v>
      </c>
      <c r="L709" t="s">
        <v>1919</v>
      </c>
      <c r="M709">
        <v>22</v>
      </c>
      <c r="N709" t="s">
        <v>164</v>
      </c>
      <c r="O709">
        <v>1997</v>
      </c>
      <c r="P709" t="s">
        <v>5959</v>
      </c>
      <c r="Q709" t="s">
        <v>5960</v>
      </c>
      <c r="R709">
        <v>7501</v>
      </c>
      <c r="S709" t="s">
        <v>5957</v>
      </c>
      <c r="T709" t="s">
        <v>5961</v>
      </c>
      <c r="U709">
        <v>1975</v>
      </c>
      <c r="V709" t="s">
        <v>1584</v>
      </c>
      <c r="W709">
        <v>1.86</v>
      </c>
      <c r="X709" t="s">
        <v>76</v>
      </c>
      <c r="Y709" t="s">
        <v>106</v>
      </c>
      <c r="Z709" t="s">
        <v>87</v>
      </c>
      <c r="AA709" t="s">
        <v>503</v>
      </c>
      <c r="AB709" s="1">
        <v>42376</v>
      </c>
      <c r="AC709" t="s">
        <v>108</v>
      </c>
      <c r="AD709" t="s">
        <v>89</v>
      </c>
      <c r="AE709" t="s">
        <v>5816</v>
      </c>
      <c r="AF709">
        <v>22</v>
      </c>
      <c r="AG709" t="s">
        <v>91</v>
      </c>
      <c r="AH709" t="s">
        <v>5962</v>
      </c>
      <c r="AI709">
        <v>21</v>
      </c>
      <c r="AJ709" t="s">
        <v>110</v>
      </c>
      <c r="AK709">
        <v>21</v>
      </c>
      <c r="AL709">
        <v>5</v>
      </c>
      <c r="AM709">
        <v>404</v>
      </c>
      <c r="AN709">
        <v>57</v>
      </c>
      <c r="AO709">
        <v>3</v>
      </c>
      <c r="AP709" t="s">
        <v>93</v>
      </c>
      <c r="AQ709" t="s">
        <v>89</v>
      </c>
      <c r="AR709" t="s">
        <v>89</v>
      </c>
      <c r="AS709" t="s">
        <v>111</v>
      </c>
      <c r="AT709">
        <v>42376</v>
      </c>
      <c r="AU709">
        <v>2016</v>
      </c>
      <c r="AV709">
        <v>19</v>
      </c>
      <c r="AW709">
        <v>19</v>
      </c>
      <c r="AX709" t="s">
        <v>89</v>
      </c>
      <c r="AY709" t="s">
        <v>111</v>
      </c>
      <c r="AZ709">
        <v>4</v>
      </c>
      <c r="BA709">
        <v>9</v>
      </c>
      <c r="BB709">
        <v>627</v>
      </c>
      <c r="BC709">
        <v>2</v>
      </c>
      <c r="BD709">
        <v>575</v>
      </c>
      <c r="BE709">
        <v>37732</v>
      </c>
      <c r="BF709">
        <v>42</v>
      </c>
      <c r="BG709">
        <v>41</v>
      </c>
      <c r="BH709">
        <v>584</v>
      </c>
      <c r="BI709">
        <v>38359</v>
      </c>
      <c r="BJ709">
        <v>44</v>
      </c>
      <c r="BK709">
        <f t="shared" si="101"/>
        <v>584</v>
      </c>
      <c r="BL709">
        <f t="shared" si="102"/>
        <v>38359</v>
      </c>
      <c r="BM709">
        <f t="shared" si="103"/>
        <v>44</v>
      </c>
      <c r="BN709">
        <f t="shared" si="104"/>
        <v>0</v>
      </c>
      <c r="BO709">
        <f t="shared" si="105"/>
        <v>0</v>
      </c>
      <c r="BP709">
        <f t="shared" si="106"/>
        <v>0</v>
      </c>
      <c r="BQ709" t="s">
        <v>106</v>
      </c>
      <c r="BR709" t="s">
        <v>112</v>
      </c>
      <c r="BS709" s="1">
        <v>27562</v>
      </c>
      <c r="BT709">
        <v>50</v>
      </c>
      <c r="BU709">
        <v>42376</v>
      </c>
      <c r="BV709" t="s">
        <v>89</v>
      </c>
      <c r="BW709">
        <v>20</v>
      </c>
      <c r="BX709">
        <v>1975</v>
      </c>
      <c r="BY709">
        <v>20</v>
      </c>
      <c r="BZ709">
        <f t="shared" si="107"/>
        <v>-1</v>
      </c>
      <c r="CA709">
        <f t="shared" si="108"/>
        <v>0</v>
      </c>
      <c r="CB709" t="b">
        <f t="shared" si="109"/>
        <v>0</v>
      </c>
    </row>
    <row r="710" spans="1:80" x14ac:dyDescent="0.3">
      <c r="A710" t="s">
        <v>5963</v>
      </c>
      <c r="B710" t="s">
        <v>71</v>
      </c>
      <c r="C710" t="s">
        <v>5964</v>
      </c>
      <c r="D710">
        <v>35</v>
      </c>
      <c r="E710" s="1">
        <v>32881</v>
      </c>
      <c r="F710" t="s">
        <v>89</v>
      </c>
      <c r="G710" t="s">
        <v>97</v>
      </c>
      <c r="H710" t="s">
        <v>89</v>
      </c>
      <c r="I710" t="s">
        <v>288</v>
      </c>
      <c r="J710" t="s">
        <v>78</v>
      </c>
      <c r="K710" t="s">
        <v>89</v>
      </c>
      <c r="L710" t="s">
        <v>254</v>
      </c>
      <c r="M710">
        <v>19</v>
      </c>
      <c r="N710" t="s">
        <v>741</v>
      </c>
      <c r="O710">
        <v>2009</v>
      </c>
      <c r="P710" t="s">
        <v>5965</v>
      </c>
      <c r="Q710" t="s">
        <v>5966</v>
      </c>
      <c r="R710">
        <v>72195</v>
      </c>
      <c r="S710" t="s">
        <v>5963</v>
      </c>
      <c r="T710">
        <v>33086</v>
      </c>
      <c r="U710">
        <v>1990</v>
      </c>
      <c r="V710" t="s">
        <v>1391</v>
      </c>
      <c r="W710">
        <v>1.81</v>
      </c>
      <c r="X710" t="s">
        <v>76</v>
      </c>
      <c r="Y710" t="s">
        <v>86</v>
      </c>
      <c r="Z710" t="s">
        <v>87</v>
      </c>
      <c r="AA710" t="s">
        <v>5967</v>
      </c>
      <c r="AB710" s="1">
        <v>44933</v>
      </c>
      <c r="AC710" t="s">
        <v>108</v>
      </c>
      <c r="AD710" t="s">
        <v>89</v>
      </c>
      <c r="AE710" t="s">
        <v>5968</v>
      </c>
      <c r="AF710">
        <v>19</v>
      </c>
      <c r="AG710" t="s">
        <v>91</v>
      </c>
      <c r="AH710" t="s">
        <v>2330</v>
      </c>
      <c r="AI710">
        <v>21</v>
      </c>
      <c r="AJ710" t="s">
        <v>110</v>
      </c>
      <c r="AK710">
        <v>19</v>
      </c>
      <c r="AL710">
        <v>4</v>
      </c>
      <c r="AM710">
        <v>158</v>
      </c>
      <c r="AN710">
        <v>22</v>
      </c>
      <c r="AO710">
        <v>4</v>
      </c>
      <c r="AP710" t="s">
        <v>93</v>
      </c>
      <c r="AQ710" t="s">
        <v>89</v>
      </c>
      <c r="AR710" t="s">
        <v>89</v>
      </c>
      <c r="AS710" t="s">
        <v>111</v>
      </c>
      <c r="AT710" s="1">
        <v>44933</v>
      </c>
      <c r="AU710">
        <v>2023</v>
      </c>
      <c r="AV710">
        <v>14</v>
      </c>
      <c r="AW710">
        <v>14</v>
      </c>
      <c r="AX710" t="s">
        <v>89</v>
      </c>
      <c r="AY710" t="s">
        <v>93</v>
      </c>
      <c r="AZ710">
        <v>0</v>
      </c>
      <c r="BA710">
        <v>0</v>
      </c>
      <c r="BB710">
        <v>0</v>
      </c>
      <c r="BC710">
        <v>0</v>
      </c>
      <c r="BD710">
        <v>350</v>
      </c>
      <c r="BE710">
        <v>25981</v>
      </c>
      <c r="BF710">
        <v>21</v>
      </c>
      <c r="BG710">
        <v>33</v>
      </c>
      <c r="BH710">
        <v>350</v>
      </c>
      <c r="BI710">
        <v>25981</v>
      </c>
      <c r="BJ710">
        <v>21</v>
      </c>
      <c r="BK710">
        <f t="shared" si="101"/>
        <v>350</v>
      </c>
      <c r="BL710">
        <f t="shared" si="102"/>
        <v>25981</v>
      </c>
      <c r="BM710">
        <f t="shared" si="103"/>
        <v>21</v>
      </c>
      <c r="BN710">
        <f t="shared" si="104"/>
        <v>0</v>
      </c>
      <c r="BO710">
        <f t="shared" si="105"/>
        <v>0</v>
      </c>
      <c r="BP710">
        <f t="shared" si="106"/>
        <v>0</v>
      </c>
      <c r="BQ710" t="s">
        <v>86</v>
      </c>
      <c r="BR710" t="s">
        <v>94</v>
      </c>
      <c r="BS710" t="s">
        <v>89</v>
      </c>
      <c r="BT710">
        <v>36</v>
      </c>
      <c r="BU710" s="1">
        <v>44933</v>
      </c>
      <c r="BV710" s="1">
        <v>45108</v>
      </c>
      <c r="BW710">
        <v>14</v>
      </c>
      <c r="BX710">
        <v>1990</v>
      </c>
      <c r="BY710">
        <v>14</v>
      </c>
      <c r="BZ710">
        <f t="shared" si="107"/>
        <v>0</v>
      </c>
      <c r="CA710">
        <f t="shared" si="108"/>
        <v>0</v>
      </c>
      <c r="CB710" t="b">
        <f t="shared" si="109"/>
        <v>1</v>
      </c>
    </row>
    <row r="711" spans="1:80" x14ac:dyDescent="0.3">
      <c r="A711" t="s">
        <v>5969</v>
      </c>
      <c r="B711" t="s">
        <v>156</v>
      </c>
      <c r="C711" t="s">
        <v>5970</v>
      </c>
      <c r="D711">
        <v>37</v>
      </c>
      <c r="E711">
        <v>32152</v>
      </c>
      <c r="F711" t="s">
        <v>89</v>
      </c>
      <c r="G711" t="s">
        <v>115</v>
      </c>
      <c r="H711" t="s">
        <v>89</v>
      </c>
      <c r="I711" t="s">
        <v>243</v>
      </c>
      <c r="J711" t="s">
        <v>89</v>
      </c>
      <c r="K711" t="s">
        <v>89</v>
      </c>
      <c r="L711" t="s">
        <v>254</v>
      </c>
      <c r="M711">
        <v>21</v>
      </c>
      <c r="N711" t="s">
        <v>146</v>
      </c>
      <c r="O711">
        <v>2009</v>
      </c>
      <c r="P711" t="s">
        <v>5971</v>
      </c>
      <c r="Q711" t="s">
        <v>5972</v>
      </c>
      <c r="R711">
        <v>53332</v>
      </c>
      <c r="S711" t="s">
        <v>5969</v>
      </c>
      <c r="T711">
        <v>32417</v>
      </c>
      <c r="U711">
        <v>1988</v>
      </c>
      <c r="V711" t="s">
        <v>5973</v>
      </c>
      <c r="W711">
        <v>1.8</v>
      </c>
      <c r="X711" t="s">
        <v>219</v>
      </c>
      <c r="Y711" t="s">
        <v>235</v>
      </c>
      <c r="Z711" t="s">
        <v>87</v>
      </c>
      <c r="AA711" t="s">
        <v>5974</v>
      </c>
      <c r="AB711" s="1">
        <v>45298</v>
      </c>
      <c r="AC711" t="s">
        <v>108</v>
      </c>
      <c r="AD711" t="s">
        <v>89</v>
      </c>
      <c r="AE711" t="s">
        <v>5975</v>
      </c>
      <c r="AF711">
        <v>20</v>
      </c>
      <c r="AG711" t="s">
        <v>171</v>
      </c>
      <c r="AH711">
        <v>42776</v>
      </c>
      <c r="AI711">
        <v>29</v>
      </c>
      <c r="AJ711" t="s">
        <v>110</v>
      </c>
      <c r="AK711">
        <v>20</v>
      </c>
      <c r="AL711">
        <v>5</v>
      </c>
      <c r="AM711">
        <v>297</v>
      </c>
      <c r="AN711">
        <v>51</v>
      </c>
      <c r="AO711">
        <v>4</v>
      </c>
      <c r="AP711" t="s">
        <v>93</v>
      </c>
      <c r="AQ711" t="s">
        <v>89</v>
      </c>
      <c r="AR711" t="s">
        <v>89</v>
      </c>
      <c r="AS711" t="s">
        <v>111</v>
      </c>
      <c r="AT711">
        <v>45298</v>
      </c>
      <c r="AU711">
        <v>2024</v>
      </c>
      <c r="AV711">
        <v>15</v>
      </c>
      <c r="AW711">
        <v>15</v>
      </c>
      <c r="AX711" t="s">
        <v>89</v>
      </c>
      <c r="AY711" t="s">
        <v>93</v>
      </c>
      <c r="AZ711">
        <v>0</v>
      </c>
      <c r="BA711">
        <v>0</v>
      </c>
      <c r="BB711">
        <v>0</v>
      </c>
      <c r="BC711">
        <v>0</v>
      </c>
      <c r="BD711">
        <v>201</v>
      </c>
      <c r="BE711">
        <v>16721</v>
      </c>
      <c r="BF711">
        <v>6</v>
      </c>
      <c r="BG711">
        <v>36</v>
      </c>
      <c r="BH711">
        <v>201</v>
      </c>
      <c r="BI711">
        <v>16721</v>
      </c>
      <c r="BJ711">
        <v>6</v>
      </c>
      <c r="BK711">
        <f t="shared" si="101"/>
        <v>201</v>
      </c>
      <c r="BL711">
        <f t="shared" si="102"/>
        <v>16721</v>
      </c>
      <c r="BM711">
        <f t="shared" si="103"/>
        <v>6</v>
      </c>
      <c r="BN711">
        <f t="shared" si="104"/>
        <v>0</v>
      </c>
      <c r="BO711">
        <f t="shared" si="105"/>
        <v>0</v>
      </c>
      <c r="BP711">
        <f t="shared" si="106"/>
        <v>0</v>
      </c>
      <c r="BQ711" t="s">
        <v>235</v>
      </c>
      <c r="BR711" t="s">
        <v>140</v>
      </c>
      <c r="BS711" t="s">
        <v>89</v>
      </c>
      <c r="BT711">
        <v>38</v>
      </c>
      <c r="BU711">
        <v>45298</v>
      </c>
      <c r="BV711" t="s">
        <v>89</v>
      </c>
      <c r="BW711">
        <v>16</v>
      </c>
      <c r="BX711">
        <v>1988</v>
      </c>
      <c r="BY711">
        <v>16</v>
      </c>
      <c r="BZ711">
        <f t="shared" si="107"/>
        <v>-1</v>
      </c>
      <c r="CA711">
        <f t="shared" si="108"/>
        <v>0</v>
      </c>
      <c r="CB711" t="b">
        <f t="shared" si="109"/>
        <v>0</v>
      </c>
    </row>
    <row r="712" spans="1:80" x14ac:dyDescent="0.3">
      <c r="A712" t="s">
        <v>5976</v>
      </c>
      <c r="B712" t="s">
        <v>71</v>
      </c>
      <c r="C712" t="s">
        <v>5977</v>
      </c>
      <c r="D712">
        <v>43</v>
      </c>
      <c r="E712" s="1">
        <v>30011</v>
      </c>
      <c r="F712" t="s">
        <v>89</v>
      </c>
      <c r="G712" t="s">
        <v>321</v>
      </c>
      <c r="H712" t="s">
        <v>89</v>
      </c>
      <c r="I712" t="s">
        <v>1190</v>
      </c>
      <c r="J712" t="s">
        <v>89</v>
      </c>
      <c r="K712" t="s">
        <v>89</v>
      </c>
      <c r="L712" t="s">
        <v>99</v>
      </c>
      <c r="M712">
        <v>19</v>
      </c>
      <c r="N712" t="s">
        <v>81</v>
      </c>
      <c r="O712">
        <v>2001</v>
      </c>
      <c r="P712" t="s">
        <v>5978</v>
      </c>
      <c r="Q712" t="s">
        <v>5979</v>
      </c>
      <c r="R712">
        <v>7353</v>
      </c>
      <c r="S712" t="s">
        <v>5980</v>
      </c>
      <c r="T712" s="1">
        <v>29954</v>
      </c>
      <c r="U712">
        <v>1982</v>
      </c>
      <c r="V712" t="s">
        <v>5981</v>
      </c>
      <c r="W712">
        <v>1.79</v>
      </c>
      <c r="X712" t="s">
        <v>76</v>
      </c>
      <c r="Y712" t="s">
        <v>136</v>
      </c>
      <c r="Z712" t="s">
        <v>87</v>
      </c>
      <c r="AA712" t="s">
        <v>970</v>
      </c>
      <c r="AB712">
        <v>44568</v>
      </c>
      <c r="AC712" t="s">
        <v>108</v>
      </c>
      <c r="AD712" t="s">
        <v>89</v>
      </c>
      <c r="AE712" s="1">
        <v>37689</v>
      </c>
      <c r="AF712">
        <v>21</v>
      </c>
      <c r="AG712" t="s">
        <v>91</v>
      </c>
      <c r="AH712">
        <v>37381</v>
      </c>
      <c r="AI712">
        <v>20</v>
      </c>
      <c r="AJ712" t="s">
        <v>110</v>
      </c>
      <c r="AK712">
        <v>20</v>
      </c>
      <c r="AL712">
        <v>2</v>
      </c>
      <c r="AM712">
        <v>72</v>
      </c>
      <c r="AN712">
        <v>10</v>
      </c>
      <c r="AO712">
        <v>2</v>
      </c>
      <c r="AP712" t="s">
        <v>93</v>
      </c>
      <c r="AQ712" t="s">
        <v>89</v>
      </c>
      <c r="AR712" t="s">
        <v>89</v>
      </c>
      <c r="AS712" t="s">
        <v>111</v>
      </c>
      <c r="AT712">
        <v>44568</v>
      </c>
      <c r="AU712">
        <v>2022</v>
      </c>
      <c r="AV712">
        <v>21</v>
      </c>
      <c r="AW712">
        <v>21</v>
      </c>
      <c r="AX712" t="s">
        <v>89</v>
      </c>
      <c r="AY712" t="s">
        <v>93</v>
      </c>
      <c r="AZ712">
        <v>0</v>
      </c>
      <c r="BA712">
        <v>0</v>
      </c>
      <c r="BB712">
        <v>0</v>
      </c>
      <c r="BC712">
        <v>0</v>
      </c>
      <c r="BD712">
        <v>281</v>
      </c>
      <c r="BE712">
        <v>19413</v>
      </c>
      <c r="BF712">
        <v>25</v>
      </c>
      <c r="BG712">
        <v>40</v>
      </c>
      <c r="BH712">
        <v>281</v>
      </c>
      <c r="BI712">
        <v>19413</v>
      </c>
      <c r="BJ712">
        <v>25</v>
      </c>
      <c r="BK712">
        <f t="shared" si="101"/>
        <v>281</v>
      </c>
      <c r="BL712">
        <f t="shared" si="102"/>
        <v>19413</v>
      </c>
      <c r="BM712">
        <f t="shared" si="103"/>
        <v>25</v>
      </c>
      <c r="BN712">
        <f t="shared" si="104"/>
        <v>0</v>
      </c>
      <c r="BO712">
        <f t="shared" si="105"/>
        <v>0</v>
      </c>
      <c r="BP712">
        <f t="shared" si="106"/>
        <v>0</v>
      </c>
      <c r="BQ712" t="s">
        <v>136</v>
      </c>
      <c r="BR712" t="s">
        <v>140</v>
      </c>
      <c r="BS712" s="1">
        <v>30011</v>
      </c>
      <c r="BT712">
        <v>43</v>
      </c>
      <c r="BU712">
        <v>44568</v>
      </c>
      <c r="BV712" t="s">
        <v>89</v>
      </c>
      <c r="BW712">
        <v>20</v>
      </c>
      <c r="BX712">
        <v>1982</v>
      </c>
      <c r="BY712">
        <v>20</v>
      </c>
      <c r="BZ712">
        <f t="shared" si="107"/>
        <v>1</v>
      </c>
      <c r="CA712">
        <f t="shared" si="108"/>
        <v>0</v>
      </c>
      <c r="CB712" t="b">
        <f t="shared" si="109"/>
        <v>0</v>
      </c>
    </row>
    <row r="713" spans="1:80" x14ac:dyDescent="0.3">
      <c r="A713" t="s">
        <v>5982</v>
      </c>
      <c r="B713" t="s">
        <v>71</v>
      </c>
      <c r="C713" t="s">
        <v>5983</v>
      </c>
      <c r="D713">
        <v>37</v>
      </c>
      <c r="E713" t="s">
        <v>5984</v>
      </c>
      <c r="F713" t="s">
        <v>5985</v>
      </c>
      <c r="G713" t="s">
        <v>535</v>
      </c>
      <c r="H713" t="s">
        <v>76</v>
      </c>
      <c r="I713" t="s">
        <v>116</v>
      </c>
      <c r="J713" t="s">
        <v>300</v>
      </c>
      <c r="K713" t="s">
        <v>5986</v>
      </c>
      <c r="L713" t="s">
        <v>163</v>
      </c>
      <c r="M713">
        <v>18</v>
      </c>
      <c r="N713" t="s">
        <v>118</v>
      </c>
      <c r="O713">
        <v>2006</v>
      </c>
      <c r="P713" t="s">
        <v>5987</v>
      </c>
      <c r="Q713" t="s">
        <v>5988</v>
      </c>
      <c r="R713">
        <v>44068</v>
      </c>
      <c r="S713" t="s">
        <v>5982</v>
      </c>
      <c r="T713" t="s">
        <v>5989</v>
      </c>
      <c r="U713">
        <v>1988</v>
      </c>
      <c r="V713" t="s">
        <v>5990</v>
      </c>
      <c r="W713">
        <v>1.7</v>
      </c>
      <c r="X713" t="s">
        <v>76</v>
      </c>
      <c r="Y713" t="s">
        <v>106</v>
      </c>
      <c r="Z713" t="s">
        <v>152</v>
      </c>
      <c r="AA713" t="s">
        <v>5991</v>
      </c>
      <c r="AB713" t="s">
        <v>1537</v>
      </c>
      <c r="AC713" t="s">
        <v>170</v>
      </c>
      <c r="AD713" t="s">
        <v>442</v>
      </c>
      <c r="AE713">
        <v>39122</v>
      </c>
      <c r="AF713">
        <v>19</v>
      </c>
      <c r="AG713" t="s">
        <v>91</v>
      </c>
      <c r="AH713" t="s">
        <v>727</v>
      </c>
      <c r="AI713">
        <v>18</v>
      </c>
      <c r="AJ713" t="s">
        <v>110</v>
      </c>
      <c r="AK713">
        <v>18</v>
      </c>
      <c r="AL713">
        <v>5</v>
      </c>
      <c r="AM713">
        <v>119</v>
      </c>
      <c r="AN713">
        <v>26</v>
      </c>
      <c r="AO713">
        <v>5</v>
      </c>
      <c r="AP713" t="s">
        <v>93</v>
      </c>
      <c r="AQ713" t="s">
        <v>89</v>
      </c>
      <c r="AR713" t="s">
        <v>89</v>
      </c>
      <c r="AS713" t="s">
        <v>93</v>
      </c>
      <c r="AT713" t="s">
        <v>89</v>
      </c>
      <c r="AU713" t="s">
        <v>89</v>
      </c>
      <c r="AV713" t="s">
        <v>89</v>
      </c>
      <c r="AW713">
        <v>19</v>
      </c>
      <c r="AX713">
        <v>64</v>
      </c>
      <c r="AY713" t="s">
        <v>111</v>
      </c>
      <c r="AZ713">
        <v>13</v>
      </c>
      <c r="BA713">
        <v>27</v>
      </c>
      <c r="BB713">
        <v>1086</v>
      </c>
      <c r="BC713">
        <v>10</v>
      </c>
      <c r="BD713">
        <v>628</v>
      </c>
      <c r="BE713">
        <v>40981</v>
      </c>
      <c r="BF713">
        <v>129</v>
      </c>
      <c r="BG713" t="s">
        <v>89</v>
      </c>
      <c r="BH713">
        <v>655</v>
      </c>
      <c r="BI713">
        <v>42067</v>
      </c>
      <c r="BJ713">
        <v>139</v>
      </c>
      <c r="BK713">
        <f t="shared" si="101"/>
        <v>655</v>
      </c>
      <c r="BL713">
        <f t="shared" si="102"/>
        <v>42067</v>
      </c>
      <c r="BM713">
        <f t="shared" si="103"/>
        <v>139</v>
      </c>
      <c r="BN713">
        <f t="shared" si="104"/>
        <v>0</v>
      </c>
      <c r="BO713">
        <f t="shared" si="105"/>
        <v>0</v>
      </c>
      <c r="BP713">
        <f t="shared" si="106"/>
        <v>0</v>
      </c>
      <c r="BQ713" t="s">
        <v>106</v>
      </c>
      <c r="BR713" t="s">
        <v>112</v>
      </c>
      <c r="BS713" s="1">
        <v>32261</v>
      </c>
      <c r="BT713">
        <v>37</v>
      </c>
      <c r="BU713" t="s">
        <v>89</v>
      </c>
      <c r="BV713" t="s">
        <v>89</v>
      </c>
      <c r="BW713">
        <v>19</v>
      </c>
      <c r="BX713">
        <v>1988</v>
      </c>
      <c r="BY713">
        <v>19</v>
      </c>
      <c r="BZ713">
        <f t="shared" si="107"/>
        <v>0</v>
      </c>
      <c r="CA713">
        <f t="shared" si="108"/>
        <v>0</v>
      </c>
      <c r="CB713" t="b">
        <f t="shared" si="109"/>
        <v>1</v>
      </c>
    </row>
    <row r="714" spans="1:80" x14ac:dyDescent="0.3">
      <c r="A714" t="s">
        <v>5992</v>
      </c>
      <c r="B714" t="s">
        <v>71</v>
      </c>
      <c r="C714" t="s">
        <v>5993</v>
      </c>
      <c r="D714">
        <v>33</v>
      </c>
      <c r="E714" t="s">
        <v>5994</v>
      </c>
      <c r="F714" t="s">
        <v>310</v>
      </c>
      <c r="G714" t="s">
        <v>160</v>
      </c>
      <c r="H714" t="s">
        <v>76</v>
      </c>
      <c r="I714" t="s">
        <v>791</v>
      </c>
      <c r="J714" t="s">
        <v>300</v>
      </c>
      <c r="K714" t="s">
        <v>4710</v>
      </c>
      <c r="L714" t="s">
        <v>254</v>
      </c>
      <c r="M714">
        <v>17</v>
      </c>
      <c r="N714" t="s">
        <v>279</v>
      </c>
      <c r="O714">
        <v>2009</v>
      </c>
      <c r="P714" t="s">
        <v>5995</v>
      </c>
      <c r="Q714" t="s">
        <v>5996</v>
      </c>
      <c r="R714">
        <v>85357</v>
      </c>
      <c r="S714" t="s">
        <v>5992</v>
      </c>
      <c r="T714" t="s">
        <v>5997</v>
      </c>
      <c r="U714">
        <v>1992</v>
      </c>
      <c r="V714" t="s">
        <v>315</v>
      </c>
      <c r="W714">
        <v>1.75</v>
      </c>
      <c r="X714" t="s">
        <v>76</v>
      </c>
      <c r="Y714" t="s">
        <v>106</v>
      </c>
      <c r="Z714" t="s">
        <v>152</v>
      </c>
      <c r="AA714" t="s">
        <v>4710</v>
      </c>
      <c r="AB714" t="s">
        <v>5998</v>
      </c>
      <c r="AC714" t="s">
        <v>394</v>
      </c>
      <c r="AD714" t="s">
        <v>89</v>
      </c>
      <c r="AE714" t="s">
        <v>5999</v>
      </c>
      <c r="AF714">
        <v>18</v>
      </c>
      <c r="AG714" t="s">
        <v>91</v>
      </c>
      <c r="AH714" t="s">
        <v>927</v>
      </c>
      <c r="AI714">
        <v>20</v>
      </c>
      <c r="AJ714" t="s">
        <v>110</v>
      </c>
      <c r="AK714">
        <v>18</v>
      </c>
      <c r="AL714">
        <v>3</v>
      </c>
      <c r="AM714">
        <v>102</v>
      </c>
      <c r="AN714">
        <v>12</v>
      </c>
      <c r="AO714">
        <v>3</v>
      </c>
      <c r="AP714" t="s">
        <v>93</v>
      </c>
      <c r="AQ714" t="s">
        <v>89</v>
      </c>
      <c r="AR714" t="s">
        <v>89</v>
      </c>
      <c r="AS714" t="s">
        <v>93</v>
      </c>
      <c r="AT714" t="s">
        <v>89</v>
      </c>
      <c r="AU714" t="s">
        <v>89</v>
      </c>
      <c r="AV714" t="s">
        <v>89</v>
      </c>
      <c r="AW714">
        <v>16</v>
      </c>
      <c r="AX714">
        <v>10</v>
      </c>
      <c r="AY714" t="s">
        <v>93</v>
      </c>
      <c r="AZ714">
        <v>0</v>
      </c>
      <c r="BA714">
        <v>0</v>
      </c>
      <c r="BB714">
        <v>0</v>
      </c>
      <c r="BC714">
        <v>0</v>
      </c>
      <c r="BD714">
        <v>260</v>
      </c>
      <c r="BE714">
        <v>13719</v>
      </c>
      <c r="BF714">
        <v>30</v>
      </c>
      <c r="BG714" t="s">
        <v>89</v>
      </c>
      <c r="BH714">
        <v>260</v>
      </c>
      <c r="BI714">
        <v>13719</v>
      </c>
      <c r="BJ714">
        <v>30</v>
      </c>
      <c r="BK714">
        <f t="shared" si="101"/>
        <v>260</v>
      </c>
      <c r="BL714">
        <f t="shared" si="102"/>
        <v>13719</v>
      </c>
      <c r="BM714">
        <f t="shared" si="103"/>
        <v>30</v>
      </c>
      <c r="BN714">
        <f t="shared" si="104"/>
        <v>0</v>
      </c>
      <c r="BO714">
        <f t="shared" si="105"/>
        <v>0</v>
      </c>
      <c r="BP714">
        <f t="shared" si="106"/>
        <v>0</v>
      </c>
      <c r="BQ714" t="s">
        <v>106</v>
      </c>
      <c r="BR714" t="s">
        <v>112</v>
      </c>
      <c r="BS714" t="s">
        <v>89</v>
      </c>
      <c r="BT714">
        <v>34</v>
      </c>
      <c r="BU714" t="s">
        <v>89</v>
      </c>
      <c r="BV714" t="s">
        <v>89</v>
      </c>
      <c r="BW714">
        <v>16</v>
      </c>
      <c r="BX714">
        <v>1992</v>
      </c>
      <c r="BY714">
        <v>15</v>
      </c>
      <c r="BZ714">
        <f t="shared" si="107"/>
        <v>0</v>
      </c>
      <c r="CA714">
        <f t="shared" si="108"/>
        <v>1</v>
      </c>
      <c r="CB714" t="b">
        <f t="shared" si="109"/>
        <v>1</v>
      </c>
    </row>
    <row r="715" spans="1:80" x14ac:dyDescent="0.3">
      <c r="A715" t="s">
        <v>6000</v>
      </c>
      <c r="B715" t="s">
        <v>71</v>
      </c>
      <c r="C715" t="s">
        <v>6001</v>
      </c>
      <c r="D715">
        <v>29</v>
      </c>
      <c r="E715" t="s">
        <v>6002</v>
      </c>
      <c r="F715" t="s">
        <v>384</v>
      </c>
      <c r="G715" t="s">
        <v>6003</v>
      </c>
      <c r="H715" t="s">
        <v>76</v>
      </c>
      <c r="I715" t="s">
        <v>401</v>
      </c>
      <c r="J715" t="s">
        <v>78</v>
      </c>
      <c r="K715" t="s">
        <v>1257</v>
      </c>
      <c r="L715" t="s">
        <v>762</v>
      </c>
      <c r="M715">
        <v>18</v>
      </c>
      <c r="N715" t="s">
        <v>304</v>
      </c>
      <c r="O715">
        <v>2014</v>
      </c>
      <c r="P715" t="s">
        <v>6004</v>
      </c>
      <c r="Q715" t="s">
        <v>6005</v>
      </c>
      <c r="R715">
        <v>268958</v>
      </c>
      <c r="S715" t="s">
        <v>6000</v>
      </c>
      <c r="T715" s="1">
        <v>35044</v>
      </c>
      <c r="U715">
        <v>1995</v>
      </c>
      <c r="V715" t="s">
        <v>390</v>
      </c>
      <c r="W715">
        <v>1.8</v>
      </c>
      <c r="X715" t="s">
        <v>76</v>
      </c>
      <c r="Y715" t="s">
        <v>123</v>
      </c>
      <c r="Z715" t="s">
        <v>87</v>
      </c>
      <c r="AA715" t="s">
        <v>6006</v>
      </c>
      <c r="AB715" t="s">
        <v>3407</v>
      </c>
      <c r="AC715" t="s">
        <v>88</v>
      </c>
      <c r="AD715" t="s">
        <v>89</v>
      </c>
      <c r="AE715" s="1">
        <v>42218</v>
      </c>
      <c r="AF715">
        <v>19</v>
      </c>
      <c r="AG715" t="s">
        <v>91</v>
      </c>
      <c r="AH715">
        <v>42469</v>
      </c>
      <c r="AI715">
        <v>20</v>
      </c>
      <c r="AJ715" t="s">
        <v>110</v>
      </c>
      <c r="AK715">
        <v>19</v>
      </c>
      <c r="AL715" t="s">
        <v>89</v>
      </c>
      <c r="AM715" t="s">
        <v>89</v>
      </c>
      <c r="AN715" t="s">
        <v>89</v>
      </c>
      <c r="AO715">
        <v>0</v>
      </c>
      <c r="AP715" t="s">
        <v>93</v>
      </c>
      <c r="AQ715" t="s">
        <v>89</v>
      </c>
      <c r="AR715" t="s">
        <v>89</v>
      </c>
      <c r="AS715" t="s">
        <v>93</v>
      </c>
      <c r="AT715" t="s">
        <v>89</v>
      </c>
      <c r="AU715" t="s">
        <v>89</v>
      </c>
      <c r="AV715" t="s">
        <v>89</v>
      </c>
      <c r="AW715">
        <v>11</v>
      </c>
      <c r="AX715">
        <v>9</v>
      </c>
      <c r="AY715" t="s">
        <v>93</v>
      </c>
      <c r="AZ715">
        <v>0</v>
      </c>
      <c r="BA715">
        <v>0</v>
      </c>
      <c r="BB715">
        <v>0</v>
      </c>
      <c r="BC715">
        <v>0</v>
      </c>
      <c r="BD715">
        <v>244</v>
      </c>
      <c r="BE715">
        <v>12815</v>
      </c>
      <c r="BF715">
        <v>55</v>
      </c>
      <c r="BG715" t="s">
        <v>89</v>
      </c>
      <c r="BH715">
        <v>244</v>
      </c>
      <c r="BI715">
        <v>12815</v>
      </c>
      <c r="BJ715">
        <v>55</v>
      </c>
      <c r="BK715">
        <f t="shared" si="101"/>
        <v>244</v>
      </c>
      <c r="BL715">
        <f t="shared" si="102"/>
        <v>12815</v>
      </c>
      <c r="BM715">
        <f t="shared" si="103"/>
        <v>55</v>
      </c>
      <c r="BN715">
        <f t="shared" si="104"/>
        <v>0</v>
      </c>
      <c r="BO715">
        <f t="shared" si="105"/>
        <v>0</v>
      </c>
      <c r="BP715">
        <f t="shared" si="106"/>
        <v>0</v>
      </c>
      <c r="BQ715" t="s">
        <v>123</v>
      </c>
      <c r="BR715" t="s">
        <v>112</v>
      </c>
      <c r="BS715" s="1">
        <v>35015</v>
      </c>
      <c r="BT715">
        <v>30</v>
      </c>
      <c r="BU715" t="s">
        <v>89</v>
      </c>
      <c r="BV715" t="s">
        <v>89</v>
      </c>
      <c r="BW715">
        <v>11</v>
      </c>
      <c r="BX715">
        <v>1995</v>
      </c>
      <c r="BY715">
        <v>10</v>
      </c>
      <c r="BZ715">
        <f t="shared" si="107"/>
        <v>0</v>
      </c>
      <c r="CA715">
        <f t="shared" si="108"/>
        <v>1</v>
      </c>
      <c r="CB715" t="b">
        <f t="shared" si="109"/>
        <v>1</v>
      </c>
    </row>
    <row r="716" spans="1:80" x14ac:dyDescent="0.3">
      <c r="A716" t="s">
        <v>6007</v>
      </c>
      <c r="B716" t="s">
        <v>156</v>
      </c>
      <c r="C716" t="s">
        <v>6008</v>
      </c>
      <c r="D716">
        <v>36</v>
      </c>
      <c r="E716" t="s">
        <v>6009</v>
      </c>
      <c r="F716" t="s">
        <v>4062</v>
      </c>
      <c r="G716" t="s">
        <v>160</v>
      </c>
      <c r="H716" t="s">
        <v>177</v>
      </c>
      <c r="I716" t="s">
        <v>161</v>
      </c>
      <c r="J716" t="s">
        <v>78</v>
      </c>
      <c r="K716" t="s">
        <v>6010</v>
      </c>
      <c r="L716" t="s">
        <v>80</v>
      </c>
      <c r="M716">
        <v>23</v>
      </c>
      <c r="N716" t="s">
        <v>100</v>
      </c>
      <c r="O716">
        <v>2012</v>
      </c>
      <c r="P716" t="s">
        <v>6011</v>
      </c>
      <c r="Q716" t="s">
        <v>6012</v>
      </c>
      <c r="R716">
        <v>56831</v>
      </c>
      <c r="S716" t="s">
        <v>6007</v>
      </c>
      <c r="T716" t="s">
        <v>3636</v>
      </c>
      <c r="U716">
        <v>1989</v>
      </c>
      <c r="V716" t="s">
        <v>6013</v>
      </c>
      <c r="W716">
        <v>1.79</v>
      </c>
      <c r="X716" t="s">
        <v>177</v>
      </c>
      <c r="Y716" t="s">
        <v>106</v>
      </c>
      <c r="Z716" t="s">
        <v>87</v>
      </c>
      <c r="AA716" t="s">
        <v>2916</v>
      </c>
      <c r="AB716">
        <v>43107</v>
      </c>
      <c r="AC716" t="s">
        <v>170</v>
      </c>
      <c r="AD716" t="s">
        <v>89</v>
      </c>
      <c r="AE716" t="s">
        <v>6014</v>
      </c>
      <c r="AF716">
        <v>18</v>
      </c>
      <c r="AG716" t="s">
        <v>171</v>
      </c>
      <c r="AH716">
        <v>41856</v>
      </c>
      <c r="AI716">
        <v>25</v>
      </c>
      <c r="AJ716" t="s">
        <v>6015</v>
      </c>
      <c r="AK716">
        <v>18</v>
      </c>
      <c r="AL716">
        <v>7</v>
      </c>
      <c r="AM716">
        <v>188</v>
      </c>
      <c r="AN716">
        <v>26</v>
      </c>
      <c r="AO716">
        <v>4</v>
      </c>
      <c r="AP716" t="s">
        <v>93</v>
      </c>
      <c r="AQ716" t="s">
        <v>89</v>
      </c>
      <c r="AR716" t="s">
        <v>89</v>
      </c>
      <c r="AS716" t="s">
        <v>93</v>
      </c>
      <c r="AT716" t="s">
        <v>89</v>
      </c>
      <c r="AU716" t="s">
        <v>89</v>
      </c>
      <c r="AV716" t="s">
        <v>89</v>
      </c>
      <c r="AW716">
        <v>13</v>
      </c>
      <c r="AX716">
        <v>10</v>
      </c>
      <c r="AY716" t="s">
        <v>93</v>
      </c>
      <c r="AZ716">
        <v>0</v>
      </c>
      <c r="BA716">
        <v>0</v>
      </c>
      <c r="BB716">
        <v>0</v>
      </c>
      <c r="BC716">
        <v>0</v>
      </c>
      <c r="BD716">
        <v>173</v>
      </c>
      <c r="BE716">
        <v>9418</v>
      </c>
      <c r="BF716">
        <v>25</v>
      </c>
      <c r="BG716" t="s">
        <v>89</v>
      </c>
      <c r="BH716">
        <v>173</v>
      </c>
      <c r="BI716">
        <v>9418</v>
      </c>
      <c r="BJ716">
        <v>25</v>
      </c>
      <c r="BK716">
        <f t="shared" si="101"/>
        <v>173</v>
      </c>
      <c r="BL716">
        <f t="shared" si="102"/>
        <v>9418</v>
      </c>
      <c r="BM716">
        <f t="shared" si="103"/>
        <v>25</v>
      </c>
      <c r="BN716">
        <f t="shared" si="104"/>
        <v>0</v>
      </c>
      <c r="BO716">
        <f t="shared" si="105"/>
        <v>0</v>
      </c>
      <c r="BP716">
        <f t="shared" si="106"/>
        <v>0</v>
      </c>
      <c r="BQ716" t="s">
        <v>106</v>
      </c>
      <c r="BR716" t="s">
        <v>112</v>
      </c>
      <c r="BS716" s="1">
        <v>32560</v>
      </c>
      <c r="BT716">
        <v>36</v>
      </c>
      <c r="BU716" t="s">
        <v>89</v>
      </c>
      <c r="BV716" t="s">
        <v>89</v>
      </c>
      <c r="BW716">
        <v>18</v>
      </c>
      <c r="BX716">
        <v>1989</v>
      </c>
      <c r="BY716">
        <v>18</v>
      </c>
      <c r="BZ716">
        <f t="shared" si="107"/>
        <v>-5</v>
      </c>
      <c r="CA716">
        <f t="shared" si="108"/>
        <v>0</v>
      </c>
      <c r="CB716" t="b">
        <f t="shared" si="109"/>
        <v>0</v>
      </c>
    </row>
    <row r="717" spans="1:80" x14ac:dyDescent="0.3">
      <c r="A717" t="s">
        <v>6016</v>
      </c>
      <c r="B717" t="s">
        <v>71</v>
      </c>
      <c r="C717" t="s">
        <v>6017</v>
      </c>
      <c r="D717">
        <v>46</v>
      </c>
      <c r="E717" s="1">
        <v>28735</v>
      </c>
      <c r="F717" t="s">
        <v>89</v>
      </c>
      <c r="G717" t="s">
        <v>819</v>
      </c>
      <c r="H717" t="s">
        <v>89</v>
      </c>
      <c r="I717" t="s">
        <v>178</v>
      </c>
      <c r="J717" t="s">
        <v>89</v>
      </c>
      <c r="K717" t="s">
        <v>89</v>
      </c>
      <c r="L717" t="s">
        <v>845</v>
      </c>
      <c r="M717">
        <v>23</v>
      </c>
      <c r="N717" t="s">
        <v>131</v>
      </c>
      <c r="O717">
        <v>2002</v>
      </c>
      <c r="P717" t="s">
        <v>6018</v>
      </c>
      <c r="Q717" t="s">
        <v>6019</v>
      </c>
      <c r="R717">
        <v>27685</v>
      </c>
      <c r="S717" t="s">
        <v>6016</v>
      </c>
      <c r="T717" s="1">
        <v>28530</v>
      </c>
      <c r="U717">
        <v>1978</v>
      </c>
      <c r="V717" t="s">
        <v>1284</v>
      </c>
      <c r="W717">
        <v>1.9</v>
      </c>
      <c r="X717" t="s">
        <v>76</v>
      </c>
      <c r="Y717" t="s">
        <v>186</v>
      </c>
      <c r="Z717" t="s">
        <v>87</v>
      </c>
      <c r="AA717" t="s">
        <v>1916</v>
      </c>
      <c r="AB717">
        <v>43107</v>
      </c>
      <c r="AC717" t="s">
        <v>108</v>
      </c>
      <c r="AD717" t="s">
        <v>89</v>
      </c>
      <c r="AE717" t="s">
        <v>2751</v>
      </c>
      <c r="AF717">
        <v>24</v>
      </c>
      <c r="AG717" t="s">
        <v>91</v>
      </c>
      <c r="AH717" t="s">
        <v>3429</v>
      </c>
      <c r="AI717">
        <v>25</v>
      </c>
      <c r="AJ717" t="s">
        <v>110</v>
      </c>
      <c r="AK717">
        <v>24</v>
      </c>
      <c r="AL717" t="s">
        <v>89</v>
      </c>
      <c r="AM717" t="s">
        <v>89</v>
      </c>
      <c r="AN717" t="s">
        <v>89</v>
      </c>
      <c r="AO717">
        <v>0</v>
      </c>
      <c r="AP717" t="s">
        <v>93</v>
      </c>
      <c r="AQ717" t="s">
        <v>89</v>
      </c>
      <c r="AR717" t="s">
        <v>89</v>
      </c>
      <c r="AS717" t="s">
        <v>111</v>
      </c>
      <c r="AT717">
        <v>43107</v>
      </c>
      <c r="AU717">
        <v>2018</v>
      </c>
      <c r="AV717">
        <v>16</v>
      </c>
      <c r="AW717">
        <v>16</v>
      </c>
      <c r="AX717" t="s">
        <v>89</v>
      </c>
      <c r="AY717" t="s">
        <v>93</v>
      </c>
      <c r="AZ717">
        <v>0</v>
      </c>
      <c r="BA717">
        <v>0</v>
      </c>
      <c r="BB717">
        <v>0</v>
      </c>
      <c r="BC717">
        <v>0</v>
      </c>
      <c r="BD717">
        <v>282</v>
      </c>
      <c r="BE717">
        <v>25056</v>
      </c>
      <c r="BF717">
        <v>0</v>
      </c>
      <c r="BG717">
        <v>40</v>
      </c>
      <c r="BH717">
        <v>282</v>
      </c>
      <c r="BI717">
        <v>25056</v>
      </c>
      <c r="BJ717">
        <v>0</v>
      </c>
      <c r="BK717">
        <f t="shared" si="101"/>
        <v>282</v>
      </c>
      <c r="BL717">
        <f t="shared" si="102"/>
        <v>25056</v>
      </c>
      <c r="BM717">
        <f t="shared" si="103"/>
        <v>0</v>
      </c>
      <c r="BN717">
        <f t="shared" si="104"/>
        <v>0</v>
      </c>
      <c r="BO717">
        <f t="shared" si="105"/>
        <v>0</v>
      </c>
      <c r="BP717">
        <f t="shared" si="106"/>
        <v>0</v>
      </c>
      <c r="BQ717" t="s">
        <v>186</v>
      </c>
      <c r="BR717" t="s">
        <v>186</v>
      </c>
      <c r="BS717" s="1">
        <v>28735</v>
      </c>
      <c r="BT717">
        <v>47</v>
      </c>
      <c r="BU717">
        <v>43107</v>
      </c>
      <c r="BV717" t="s">
        <v>89</v>
      </c>
      <c r="BW717">
        <v>16</v>
      </c>
      <c r="BX717">
        <v>1978</v>
      </c>
      <c r="BY717">
        <v>16</v>
      </c>
      <c r="BZ717">
        <f t="shared" si="107"/>
        <v>0</v>
      </c>
      <c r="CA717">
        <f t="shared" si="108"/>
        <v>0</v>
      </c>
      <c r="CB717" t="b">
        <f t="shared" si="109"/>
        <v>1</v>
      </c>
    </row>
    <row r="718" spans="1:80" x14ac:dyDescent="0.3">
      <c r="A718" t="s">
        <v>6020</v>
      </c>
      <c r="B718" t="s">
        <v>71</v>
      </c>
      <c r="C718" t="s">
        <v>6021</v>
      </c>
      <c r="D718">
        <v>35</v>
      </c>
      <c r="E718" s="1">
        <v>32878</v>
      </c>
      <c r="F718" t="s">
        <v>89</v>
      </c>
      <c r="G718" t="s">
        <v>298</v>
      </c>
      <c r="H718" t="s">
        <v>89</v>
      </c>
      <c r="I718" t="s">
        <v>195</v>
      </c>
      <c r="J718" t="s">
        <v>300</v>
      </c>
      <c r="K718" t="s">
        <v>89</v>
      </c>
      <c r="L718" t="s">
        <v>254</v>
      </c>
      <c r="M718">
        <v>19</v>
      </c>
      <c r="N718" t="s">
        <v>1858</v>
      </c>
      <c r="O718">
        <v>2009</v>
      </c>
      <c r="P718" t="s">
        <v>6022</v>
      </c>
      <c r="Q718" t="s">
        <v>6023</v>
      </c>
      <c r="R718">
        <v>126252</v>
      </c>
      <c r="S718" t="s">
        <v>6020</v>
      </c>
      <c r="T718">
        <v>32994</v>
      </c>
      <c r="U718">
        <v>1990</v>
      </c>
      <c r="V718" t="s">
        <v>1858</v>
      </c>
      <c r="W718">
        <v>1.78</v>
      </c>
      <c r="X718" t="s">
        <v>76</v>
      </c>
      <c r="Y718" t="s">
        <v>203</v>
      </c>
      <c r="Z718" t="s">
        <v>152</v>
      </c>
      <c r="AA718" t="s">
        <v>6024</v>
      </c>
      <c r="AB718">
        <v>43472</v>
      </c>
      <c r="AC718" t="s">
        <v>108</v>
      </c>
      <c r="AD718" t="s">
        <v>89</v>
      </c>
      <c r="AE718" t="s">
        <v>125</v>
      </c>
      <c r="AF718">
        <v>23</v>
      </c>
      <c r="AG718" t="s">
        <v>91</v>
      </c>
      <c r="AH718" s="1">
        <v>40096</v>
      </c>
      <c r="AI718">
        <v>19</v>
      </c>
      <c r="AJ718" t="s">
        <v>110</v>
      </c>
      <c r="AK718">
        <v>19</v>
      </c>
      <c r="AL718">
        <v>4</v>
      </c>
      <c r="AM718">
        <v>99</v>
      </c>
      <c r="AN718">
        <v>7</v>
      </c>
      <c r="AO718">
        <v>4</v>
      </c>
      <c r="AP718" t="s">
        <v>93</v>
      </c>
      <c r="AQ718" t="s">
        <v>89</v>
      </c>
      <c r="AR718" t="s">
        <v>89</v>
      </c>
      <c r="AS718" t="s">
        <v>111</v>
      </c>
      <c r="AT718">
        <v>43472</v>
      </c>
      <c r="AU718">
        <v>2019</v>
      </c>
      <c r="AV718">
        <v>10</v>
      </c>
      <c r="AW718">
        <v>10</v>
      </c>
      <c r="AX718" t="s">
        <v>89</v>
      </c>
      <c r="AY718" t="s">
        <v>93</v>
      </c>
      <c r="AZ718">
        <v>0</v>
      </c>
      <c r="BA718">
        <v>0</v>
      </c>
      <c r="BB718">
        <v>0</v>
      </c>
      <c r="BC718">
        <v>0</v>
      </c>
      <c r="BD718">
        <v>203</v>
      </c>
      <c r="BE718">
        <v>16691</v>
      </c>
      <c r="BF718">
        <v>2</v>
      </c>
      <c r="BG718">
        <v>29</v>
      </c>
      <c r="BH718">
        <v>203</v>
      </c>
      <c r="BI718">
        <v>16691</v>
      </c>
      <c r="BJ718">
        <v>2</v>
      </c>
      <c r="BK718">
        <f t="shared" si="101"/>
        <v>203</v>
      </c>
      <c r="BL718">
        <f t="shared" si="102"/>
        <v>16691</v>
      </c>
      <c r="BM718">
        <f t="shared" si="103"/>
        <v>2</v>
      </c>
      <c r="BN718">
        <f t="shared" si="104"/>
        <v>0</v>
      </c>
      <c r="BO718">
        <f t="shared" si="105"/>
        <v>0</v>
      </c>
      <c r="BP718">
        <f t="shared" si="106"/>
        <v>0</v>
      </c>
      <c r="BQ718" t="s">
        <v>203</v>
      </c>
      <c r="BR718" t="s">
        <v>140</v>
      </c>
      <c r="BS718" t="s">
        <v>89</v>
      </c>
      <c r="BT718">
        <v>36</v>
      </c>
      <c r="BU718">
        <v>43472</v>
      </c>
      <c r="BV718" t="s">
        <v>89</v>
      </c>
      <c r="BW718">
        <v>10</v>
      </c>
      <c r="BX718">
        <v>1990</v>
      </c>
      <c r="BY718">
        <v>10</v>
      </c>
      <c r="BZ718">
        <f t="shared" si="107"/>
        <v>0</v>
      </c>
      <c r="CA718">
        <f t="shared" si="108"/>
        <v>0</v>
      </c>
      <c r="CB718" t="b">
        <f t="shared" si="109"/>
        <v>1</v>
      </c>
    </row>
    <row r="719" spans="1:80" x14ac:dyDescent="0.3">
      <c r="A719" t="s">
        <v>6025</v>
      </c>
      <c r="B719" t="s">
        <v>71</v>
      </c>
      <c r="C719" t="s">
        <v>6026</v>
      </c>
      <c r="D719">
        <v>43</v>
      </c>
      <c r="E719" s="1">
        <v>30042</v>
      </c>
      <c r="F719" t="s">
        <v>89</v>
      </c>
      <c r="G719" t="s">
        <v>226</v>
      </c>
      <c r="H719" t="s">
        <v>89</v>
      </c>
      <c r="I719" t="s">
        <v>253</v>
      </c>
      <c r="J719" t="s">
        <v>78</v>
      </c>
      <c r="K719" t="s">
        <v>89</v>
      </c>
      <c r="L719" t="s">
        <v>657</v>
      </c>
      <c r="M719">
        <v>21</v>
      </c>
      <c r="N719" t="s">
        <v>629</v>
      </c>
      <c r="O719">
        <v>2003</v>
      </c>
      <c r="P719" t="s">
        <v>6027</v>
      </c>
      <c r="Q719" t="s">
        <v>6028</v>
      </c>
      <c r="R719">
        <v>15983</v>
      </c>
      <c r="S719" t="s">
        <v>6025</v>
      </c>
      <c r="T719" t="s">
        <v>6029</v>
      </c>
      <c r="U719">
        <v>1981</v>
      </c>
      <c r="V719" t="s">
        <v>1047</v>
      </c>
      <c r="W719">
        <v>1.85</v>
      </c>
      <c r="X719" t="s">
        <v>76</v>
      </c>
      <c r="Y719" t="s">
        <v>259</v>
      </c>
      <c r="Z719" t="s">
        <v>87</v>
      </c>
      <c r="AA719" t="s">
        <v>548</v>
      </c>
      <c r="AB719" s="1">
        <v>42742</v>
      </c>
      <c r="AC719" t="s">
        <v>108</v>
      </c>
      <c r="AD719" t="s">
        <v>89</v>
      </c>
      <c r="AE719" t="s">
        <v>6030</v>
      </c>
      <c r="AF719">
        <v>21</v>
      </c>
      <c r="AG719" t="s">
        <v>91</v>
      </c>
      <c r="AH719">
        <v>38050</v>
      </c>
      <c r="AI719">
        <v>22</v>
      </c>
      <c r="AJ719" t="s">
        <v>110</v>
      </c>
      <c r="AK719">
        <v>21</v>
      </c>
      <c r="AL719">
        <v>5</v>
      </c>
      <c r="AM719">
        <v>130</v>
      </c>
      <c r="AN719">
        <v>18</v>
      </c>
      <c r="AO719">
        <v>2</v>
      </c>
      <c r="AP719" t="s">
        <v>93</v>
      </c>
      <c r="AQ719" t="s">
        <v>89</v>
      </c>
      <c r="AR719" t="s">
        <v>89</v>
      </c>
      <c r="AS719" t="s">
        <v>111</v>
      </c>
      <c r="AT719" s="1">
        <v>42742</v>
      </c>
      <c r="AU719">
        <v>2017</v>
      </c>
      <c r="AV719">
        <v>14</v>
      </c>
      <c r="AW719">
        <v>14</v>
      </c>
      <c r="AX719" t="s">
        <v>89</v>
      </c>
      <c r="AY719" t="s">
        <v>93</v>
      </c>
      <c r="AZ719">
        <v>0</v>
      </c>
      <c r="BA719">
        <v>0</v>
      </c>
      <c r="BB719">
        <v>0</v>
      </c>
      <c r="BC719">
        <v>0</v>
      </c>
      <c r="BD719">
        <v>367</v>
      </c>
      <c r="BE719">
        <v>27242</v>
      </c>
      <c r="BF719">
        <v>24</v>
      </c>
      <c r="BG719">
        <v>36</v>
      </c>
      <c r="BH719">
        <v>367</v>
      </c>
      <c r="BI719">
        <v>27242</v>
      </c>
      <c r="BJ719">
        <v>24</v>
      </c>
      <c r="BK719">
        <f t="shared" si="101"/>
        <v>367</v>
      </c>
      <c r="BL719">
        <f t="shared" si="102"/>
        <v>27242</v>
      </c>
      <c r="BM719">
        <f t="shared" si="103"/>
        <v>24</v>
      </c>
      <c r="BN719">
        <f t="shared" si="104"/>
        <v>0</v>
      </c>
      <c r="BO719">
        <f t="shared" si="105"/>
        <v>0</v>
      </c>
      <c r="BP719">
        <f t="shared" si="106"/>
        <v>0</v>
      </c>
      <c r="BQ719" t="s">
        <v>259</v>
      </c>
      <c r="BR719" t="s">
        <v>94</v>
      </c>
      <c r="BS719" t="s">
        <v>89</v>
      </c>
      <c r="BT719">
        <v>45</v>
      </c>
      <c r="BU719" s="1">
        <v>42742</v>
      </c>
      <c r="BV719" s="1">
        <v>42917</v>
      </c>
      <c r="BW719">
        <v>15</v>
      </c>
      <c r="BX719">
        <v>1981</v>
      </c>
      <c r="BY719">
        <v>15</v>
      </c>
      <c r="BZ719">
        <f t="shared" si="107"/>
        <v>-1</v>
      </c>
      <c r="CA719">
        <f t="shared" si="108"/>
        <v>0</v>
      </c>
      <c r="CB719" t="b">
        <f t="shared" si="109"/>
        <v>0</v>
      </c>
    </row>
    <row r="720" spans="1:80" x14ac:dyDescent="0.3">
      <c r="A720" t="s">
        <v>6031</v>
      </c>
      <c r="B720" t="s">
        <v>71</v>
      </c>
      <c r="C720" t="s">
        <v>6032</v>
      </c>
      <c r="D720">
        <v>40</v>
      </c>
      <c r="E720" s="1">
        <v>31037</v>
      </c>
      <c r="F720" t="s">
        <v>89</v>
      </c>
      <c r="G720" t="s">
        <v>176</v>
      </c>
      <c r="H720" t="s">
        <v>76</v>
      </c>
      <c r="I720" t="s">
        <v>596</v>
      </c>
      <c r="J720" t="s">
        <v>78</v>
      </c>
      <c r="K720" t="s">
        <v>89</v>
      </c>
      <c r="L720" t="s">
        <v>845</v>
      </c>
      <c r="M720">
        <v>17</v>
      </c>
      <c r="N720" t="s">
        <v>2514</v>
      </c>
      <c r="O720">
        <v>2002</v>
      </c>
      <c r="P720" t="s">
        <v>6033</v>
      </c>
      <c r="Q720" t="s">
        <v>6034</v>
      </c>
      <c r="R720">
        <v>16595</v>
      </c>
      <c r="S720" t="s">
        <v>6035</v>
      </c>
      <c r="T720" t="s">
        <v>3905</v>
      </c>
      <c r="U720">
        <v>1984</v>
      </c>
      <c r="V720" t="s">
        <v>6036</v>
      </c>
      <c r="W720">
        <v>1.84</v>
      </c>
      <c r="X720" t="s">
        <v>76</v>
      </c>
      <c r="Y720" t="s">
        <v>136</v>
      </c>
      <c r="Z720" t="s">
        <v>87</v>
      </c>
      <c r="AA720" t="s">
        <v>181</v>
      </c>
      <c r="AB720" s="1">
        <v>42011</v>
      </c>
      <c r="AC720" t="s">
        <v>108</v>
      </c>
      <c r="AD720" t="s">
        <v>89</v>
      </c>
      <c r="AE720">
        <v>37814</v>
      </c>
      <c r="AF720">
        <v>18</v>
      </c>
      <c r="AG720" t="s">
        <v>91</v>
      </c>
      <c r="AH720" t="s">
        <v>6037</v>
      </c>
      <c r="AI720">
        <v>18</v>
      </c>
      <c r="AJ720" t="s">
        <v>110</v>
      </c>
      <c r="AK720">
        <v>18</v>
      </c>
      <c r="AL720">
        <v>4</v>
      </c>
      <c r="AM720">
        <v>342</v>
      </c>
      <c r="AN720">
        <v>44</v>
      </c>
      <c r="AO720">
        <v>3</v>
      </c>
      <c r="AP720" t="s">
        <v>93</v>
      </c>
      <c r="AQ720" t="s">
        <v>89</v>
      </c>
      <c r="AR720" t="s">
        <v>89</v>
      </c>
      <c r="AS720" t="s">
        <v>111</v>
      </c>
      <c r="AT720" s="1">
        <v>42011</v>
      </c>
      <c r="AU720">
        <v>2015</v>
      </c>
      <c r="AV720">
        <v>13</v>
      </c>
      <c r="AW720">
        <v>13</v>
      </c>
      <c r="AX720" t="s">
        <v>89</v>
      </c>
      <c r="AY720" t="s">
        <v>93</v>
      </c>
      <c r="AZ720">
        <v>0</v>
      </c>
      <c r="BA720">
        <v>0</v>
      </c>
      <c r="BB720">
        <v>0</v>
      </c>
      <c r="BC720">
        <v>0</v>
      </c>
      <c r="BD720">
        <v>252</v>
      </c>
      <c r="BE720">
        <v>18776</v>
      </c>
      <c r="BF720">
        <v>12</v>
      </c>
      <c r="BG720">
        <v>31</v>
      </c>
      <c r="BH720">
        <v>252</v>
      </c>
      <c r="BI720">
        <v>18776</v>
      </c>
      <c r="BJ720">
        <v>12</v>
      </c>
      <c r="BK720">
        <f t="shared" si="101"/>
        <v>252</v>
      </c>
      <c r="BL720">
        <f t="shared" si="102"/>
        <v>18776</v>
      </c>
      <c r="BM720">
        <f t="shared" si="103"/>
        <v>12</v>
      </c>
      <c r="BN720">
        <f t="shared" si="104"/>
        <v>0</v>
      </c>
      <c r="BO720">
        <f t="shared" si="105"/>
        <v>0</v>
      </c>
      <c r="BP720">
        <f t="shared" si="106"/>
        <v>0</v>
      </c>
      <c r="BQ720" t="s">
        <v>136</v>
      </c>
      <c r="BR720" t="s">
        <v>140</v>
      </c>
      <c r="BS720" s="1">
        <v>31037</v>
      </c>
      <c r="BT720">
        <v>41</v>
      </c>
      <c r="BU720" s="1">
        <v>42011</v>
      </c>
      <c r="BV720" s="1">
        <v>42186</v>
      </c>
      <c r="BW720">
        <v>13</v>
      </c>
      <c r="BX720">
        <v>1984</v>
      </c>
      <c r="BY720">
        <v>13</v>
      </c>
      <c r="BZ720">
        <f t="shared" si="107"/>
        <v>0</v>
      </c>
      <c r="CA720">
        <f t="shared" si="108"/>
        <v>0</v>
      </c>
      <c r="CB720" t="b">
        <f t="shared" si="109"/>
        <v>1</v>
      </c>
    </row>
    <row r="721" spans="1:80" x14ac:dyDescent="0.3">
      <c r="A721" t="s">
        <v>6038</v>
      </c>
      <c r="B721" t="s">
        <v>71</v>
      </c>
      <c r="C721" t="s">
        <v>6039</v>
      </c>
      <c r="D721">
        <v>36</v>
      </c>
      <c r="E721" s="1">
        <v>32397</v>
      </c>
      <c r="F721" t="s">
        <v>89</v>
      </c>
      <c r="G721" t="s">
        <v>321</v>
      </c>
      <c r="H721" t="s">
        <v>89</v>
      </c>
      <c r="I721" t="s">
        <v>6040</v>
      </c>
      <c r="J721" t="s">
        <v>78</v>
      </c>
      <c r="K721" t="s">
        <v>89</v>
      </c>
      <c r="L721" t="s">
        <v>180</v>
      </c>
      <c r="M721">
        <v>18</v>
      </c>
      <c r="N721" t="s">
        <v>181</v>
      </c>
      <c r="O721">
        <v>2007</v>
      </c>
      <c r="P721" t="s">
        <v>6041</v>
      </c>
      <c r="Q721" t="s">
        <v>6042</v>
      </c>
      <c r="R721">
        <v>64411</v>
      </c>
      <c r="S721" t="s">
        <v>6043</v>
      </c>
      <c r="T721" t="s">
        <v>6044</v>
      </c>
      <c r="U721">
        <v>1988</v>
      </c>
      <c r="V721" t="s">
        <v>122</v>
      </c>
      <c r="W721">
        <v>1.79</v>
      </c>
      <c r="X721" t="s">
        <v>76</v>
      </c>
      <c r="Y721" t="s">
        <v>136</v>
      </c>
      <c r="Z721" t="s">
        <v>87</v>
      </c>
      <c r="AA721" t="s">
        <v>2758</v>
      </c>
      <c r="AB721" s="1">
        <v>44933</v>
      </c>
      <c r="AC721" t="s">
        <v>108</v>
      </c>
      <c r="AD721" t="s">
        <v>89</v>
      </c>
      <c r="AE721" t="s">
        <v>6045</v>
      </c>
      <c r="AF721">
        <v>19</v>
      </c>
      <c r="AG721" t="s">
        <v>91</v>
      </c>
      <c r="AH721" t="s">
        <v>274</v>
      </c>
      <c r="AI721">
        <v>23</v>
      </c>
      <c r="AJ721" t="s">
        <v>110</v>
      </c>
      <c r="AK721">
        <v>19</v>
      </c>
      <c r="AL721">
        <v>3</v>
      </c>
      <c r="AM721">
        <v>180</v>
      </c>
      <c r="AN721">
        <v>28</v>
      </c>
      <c r="AO721">
        <v>2</v>
      </c>
      <c r="AP721" t="s">
        <v>93</v>
      </c>
      <c r="AQ721" t="s">
        <v>89</v>
      </c>
      <c r="AR721" t="s">
        <v>89</v>
      </c>
      <c r="AS721" t="s">
        <v>111</v>
      </c>
      <c r="AT721" s="1">
        <v>44933</v>
      </c>
      <c r="AU721">
        <v>2023</v>
      </c>
      <c r="AV721">
        <v>16</v>
      </c>
      <c r="AW721">
        <v>16</v>
      </c>
      <c r="AX721" t="s">
        <v>89</v>
      </c>
      <c r="AY721" t="s">
        <v>93</v>
      </c>
      <c r="AZ721">
        <v>0</v>
      </c>
      <c r="BA721">
        <v>0</v>
      </c>
      <c r="BB721">
        <v>0</v>
      </c>
      <c r="BC721">
        <v>0</v>
      </c>
      <c r="BD721">
        <v>363</v>
      </c>
      <c r="BE721">
        <v>28641</v>
      </c>
      <c r="BF721">
        <v>8</v>
      </c>
      <c r="BG721">
        <v>35</v>
      </c>
      <c r="BH721">
        <v>363</v>
      </c>
      <c r="BI721">
        <v>28641</v>
      </c>
      <c r="BJ721">
        <v>8</v>
      </c>
      <c r="BK721">
        <f t="shared" si="101"/>
        <v>363</v>
      </c>
      <c r="BL721">
        <f t="shared" si="102"/>
        <v>28641</v>
      </c>
      <c r="BM721">
        <f t="shared" si="103"/>
        <v>8</v>
      </c>
      <c r="BN721">
        <f t="shared" si="104"/>
        <v>0</v>
      </c>
      <c r="BO721">
        <f t="shared" si="105"/>
        <v>0</v>
      </c>
      <c r="BP721">
        <f t="shared" si="106"/>
        <v>0</v>
      </c>
      <c r="BQ721" t="s">
        <v>136</v>
      </c>
      <c r="BR721" t="s">
        <v>140</v>
      </c>
      <c r="BS721" t="s">
        <v>89</v>
      </c>
      <c r="BT721">
        <v>38</v>
      </c>
      <c r="BU721" s="1">
        <v>44933</v>
      </c>
      <c r="BV721" s="1">
        <v>45108</v>
      </c>
      <c r="BW721">
        <v>16</v>
      </c>
      <c r="BX721">
        <v>1988</v>
      </c>
      <c r="BY721">
        <v>16</v>
      </c>
      <c r="BZ721">
        <f t="shared" si="107"/>
        <v>0</v>
      </c>
      <c r="CA721">
        <f t="shared" si="108"/>
        <v>0</v>
      </c>
      <c r="CB721" t="b">
        <f t="shared" si="109"/>
        <v>1</v>
      </c>
    </row>
    <row r="722" spans="1:80" x14ac:dyDescent="0.3">
      <c r="A722" t="s">
        <v>6038</v>
      </c>
      <c r="B722" t="s">
        <v>89</v>
      </c>
      <c r="C722" t="s">
        <v>6046</v>
      </c>
      <c r="D722">
        <v>40</v>
      </c>
      <c r="E722">
        <v>31056</v>
      </c>
      <c r="F722" t="s">
        <v>89</v>
      </c>
      <c r="G722" t="s">
        <v>115</v>
      </c>
      <c r="H722" t="s">
        <v>76</v>
      </c>
      <c r="I722" t="s">
        <v>1190</v>
      </c>
      <c r="J722" t="s">
        <v>78</v>
      </c>
      <c r="K722" t="s">
        <v>89</v>
      </c>
      <c r="L722" t="s">
        <v>657</v>
      </c>
      <c r="M722">
        <v>18</v>
      </c>
      <c r="N722" t="s">
        <v>268</v>
      </c>
      <c r="O722">
        <v>2003</v>
      </c>
      <c r="P722" t="s">
        <v>6047</v>
      </c>
      <c r="Q722" t="s">
        <v>6048</v>
      </c>
      <c r="R722">
        <v>16635</v>
      </c>
      <c r="S722" t="s">
        <v>6049</v>
      </c>
      <c r="T722">
        <v>31291</v>
      </c>
      <c r="U722">
        <v>1985</v>
      </c>
      <c r="V722" t="s">
        <v>6050</v>
      </c>
      <c r="W722">
        <v>1.81</v>
      </c>
      <c r="X722" t="s">
        <v>76</v>
      </c>
      <c r="Y722" t="s">
        <v>136</v>
      </c>
      <c r="Z722" t="s">
        <v>87</v>
      </c>
      <c r="AA722" t="s">
        <v>3033</v>
      </c>
      <c r="AB722">
        <v>44199</v>
      </c>
      <c r="AC722" t="s">
        <v>108</v>
      </c>
      <c r="AD722" t="s">
        <v>442</v>
      </c>
      <c r="AE722" t="s">
        <v>6051</v>
      </c>
      <c r="AF722">
        <v>19</v>
      </c>
      <c r="AG722" t="s">
        <v>91</v>
      </c>
      <c r="AH722" t="s">
        <v>92</v>
      </c>
      <c r="AI722" t="s">
        <v>89</v>
      </c>
      <c r="AJ722" t="s">
        <v>92</v>
      </c>
      <c r="AK722">
        <v>19</v>
      </c>
      <c r="AL722">
        <v>10</v>
      </c>
      <c r="AM722">
        <v>271</v>
      </c>
      <c r="AN722">
        <v>39</v>
      </c>
      <c r="AO722">
        <v>6</v>
      </c>
      <c r="AP722" t="s">
        <v>93</v>
      </c>
      <c r="AQ722" t="s">
        <v>89</v>
      </c>
      <c r="AR722" t="s">
        <v>89</v>
      </c>
      <c r="AS722" t="s">
        <v>111</v>
      </c>
      <c r="AT722">
        <v>44199</v>
      </c>
      <c r="AU722">
        <v>2021</v>
      </c>
      <c r="AV722">
        <v>18</v>
      </c>
      <c r="AW722">
        <v>18</v>
      </c>
      <c r="AX722" t="s">
        <v>89</v>
      </c>
      <c r="AY722" t="s">
        <v>111</v>
      </c>
      <c r="AZ722">
        <v>8</v>
      </c>
      <c r="BA722">
        <v>17</v>
      </c>
      <c r="BB722">
        <v>1414</v>
      </c>
      <c r="BC722">
        <v>0</v>
      </c>
      <c r="BD722">
        <v>568</v>
      </c>
      <c r="BE722">
        <v>43811</v>
      </c>
      <c r="BF722">
        <v>20</v>
      </c>
      <c r="BG722">
        <v>36</v>
      </c>
      <c r="BH722">
        <v>585</v>
      </c>
      <c r="BI722">
        <v>45225</v>
      </c>
      <c r="BJ722">
        <v>20</v>
      </c>
      <c r="BK722">
        <f t="shared" si="101"/>
        <v>585</v>
      </c>
      <c r="BL722">
        <f t="shared" si="102"/>
        <v>45225</v>
      </c>
      <c r="BM722">
        <f t="shared" si="103"/>
        <v>20</v>
      </c>
      <c r="BN722">
        <f t="shared" si="104"/>
        <v>0</v>
      </c>
      <c r="BO722">
        <f t="shared" si="105"/>
        <v>0</v>
      </c>
      <c r="BP722">
        <f t="shared" si="106"/>
        <v>0</v>
      </c>
      <c r="BQ722" t="s">
        <v>136</v>
      </c>
      <c r="BR722" t="s">
        <v>140</v>
      </c>
      <c r="BS722" t="s">
        <v>89</v>
      </c>
      <c r="BT722">
        <v>41</v>
      </c>
      <c r="BU722">
        <v>44199</v>
      </c>
      <c r="BV722" t="s">
        <v>89</v>
      </c>
      <c r="BW722">
        <v>17</v>
      </c>
      <c r="BX722">
        <v>1985</v>
      </c>
      <c r="BY722">
        <v>17</v>
      </c>
      <c r="BZ722">
        <f t="shared" si="107"/>
        <v>1</v>
      </c>
      <c r="CA722">
        <f t="shared" si="108"/>
        <v>0</v>
      </c>
      <c r="CB722" t="b">
        <f t="shared" si="109"/>
        <v>0</v>
      </c>
    </row>
    <row r="723" spans="1:80" x14ac:dyDescent="0.3">
      <c r="A723" t="s">
        <v>6038</v>
      </c>
      <c r="B723" t="s">
        <v>89</v>
      </c>
      <c r="C723" t="s">
        <v>6052</v>
      </c>
      <c r="D723">
        <v>49</v>
      </c>
      <c r="E723" s="1">
        <v>27956</v>
      </c>
      <c r="F723" t="s">
        <v>89</v>
      </c>
      <c r="G723" t="s">
        <v>413</v>
      </c>
      <c r="H723" t="s">
        <v>76</v>
      </c>
      <c r="I723" t="s">
        <v>195</v>
      </c>
      <c r="J723" t="s">
        <v>300</v>
      </c>
      <c r="K723" t="s">
        <v>89</v>
      </c>
      <c r="L723" t="s">
        <v>1919</v>
      </c>
      <c r="M723">
        <v>21</v>
      </c>
      <c r="N723" t="s">
        <v>214</v>
      </c>
      <c r="O723">
        <v>1997</v>
      </c>
      <c r="P723" t="s">
        <v>6053</v>
      </c>
      <c r="Q723" t="s">
        <v>6054</v>
      </c>
      <c r="R723">
        <v>7542</v>
      </c>
      <c r="S723" t="s">
        <v>6038</v>
      </c>
      <c r="T723" t="s">
        <v>6055</v>
      </c>
      <c r="U723">
        <v>1976</v>
      </c>
      <c r="V723" t="s">
        <v>214</v>
      </c>
      <c r="W723">
        <v>1.82</v>
      </c>
      <c r="X723" t="s">
        <v>76</v>
      </c>
      <c r="Y723" t="s">
        <v>203</v>
      </c>
      <c r="Z723" t="s">
        <v>152</v>
      </c>
      <c r="AA723" t="s">
        <v>751</v>
      </c>
      <c r="AB723" s="1">
        <v>42376</v>
      </c>
      <c r="AC723" t="s">
        <v>108</v>
      </c>
      <c r="AD723" t="s">
        <v>89</v>
      </c>
      <c r="AE723" t="s">
        <v>5816</v>
      </c>
      <c r="AF723">
        <v>21</v>
      </c>
      <c r="AG723" t="s">
        <v>91</v>
      </c>
      <c r="AH723" t="s">
        <v>6056</v>
      </c>
      <c r="AI723">
        <v>20</v>
      </c>
      <c r="AJ723" t="s">
        <v>110</v>
      </c>
      <c r="AK723">
        <v>20</v>
      </c>
      <c r="AL723">
        <v>8</v>
      </c>
      <c r="AM723">
        <v>199</v>
      </c>
      <c r="AN723">
        <v>25</v>
      </c>
      <c r="AO723">
        <v>4</v>
      </c>
      <c r="AP723" t="s">
        <v>93</v>
      </c>
      <c r="AQ723" t="s">
        <v>89</v>
      </c>
      <c r="AR723" t="s">
        <v>89</v>
      </c>
      <c r="AS723" t="s">
        <v>111</v>
      </c>
      <c r="AT723">
        <v>42376</v>
      </c>
      <c r="AU723">
        <v>2016</v>
      </c>
      <c r="AV723">
        <v>19</v>
      </c>
      <c r="AW723">
        <v>19</v>
      </c>
      <c r="AX723" t="s">
        <v>89</v>
      </c>
      <c r="AY723" t="s">
        <v>111</v>
      </c>
      <c r="AZ723">
        <v>1</v>
      </c>
      <c r="BA723">
        <v>3</v>
      </c>
      <c r="BB723">
        <v>291</v>
      </c>
      <c r="BC723">
        <v>0</v>
      </c>
      <c r="BD723">
        <v>515</v>
      </c>
      <c r="BE723">
        <v>40457</v>
      </c>
      <c r="BF723">
        <v>11</v>
      </c>
      <c r="BG723">
        <v>40</v>
      </c>
      <c r="BH723">
        <v>518</v>
      </c>
      <c r="BI723">
        <v>40748</v>
      </c>
      <c r="BJ723">
        <v>11</v>
      </c>
      <c r="BK723">
        <f t="shared" si="101"/>
        <v>518</v>
      </c>
      <c r="BL723">
        <f t="shared" si="102"/>
        <v>40748</v>
      </c>
      <c r="BM723">
        <f t="shared" si="103"/>
        <v>11</v>
      </c>
      <c r="BN723">
        <f t="shared" si="104"/>
        <v>0</v>
      </c>
      <c r="BO723">
        <f t="shared" si="105"/>
        <v>0</v>
      </c>
      <c r="BP723">
        <f t="shared" si="106"/>
        <v>0</v>
      </c>
      <c r="BQ723" t="s">
        <v>203</v>
      </c>
      <c r="BR723" t="s">
        <v>140</v>
      </c>
      <c r="BS723" t="s">
        <v>89</v>
      </c>
      <c r="BT723">
        <v>50</v>
      </c>
      <c r="BU723">
        <v>42376</v>
      </c>
      <c r="BV723" t="s">
        <v>89</v>
      </c>
      <c r="BW723">
        <v>20</v>
      </c>
      <c r="BX723">
        <v>1976</v>
      </c>
      <c r="BY723">
        <v>20</v>
      </c>
      <c r="BZ723">
        <f t="shared" si="107"/>
        <v>-1</v>
      </c>
      <c r="CA723">
        <f t="shared" si="108"/>
        <v>0</v>
      </c>
      <c r="CB723" t="b">
        <f t="shared" si="109"/>
        <v>0</v>
      </c>
    </row>
    <row r="724" spans="1:80" x14ac:dyDescent="0.3">
      <c r="A724" t="s">
        <v>6057</v>
      </c>
      <c r="B724" t="s">
        <v>71</v>
      </c>
      <c r="C724" t="s">
        <v>6058</v>
      </c>
      <c r="D724">
        <v>45</v>
      </c>
      <c r="E724">
        <v>29268</v>
      </c>
      <c r="F724" t="s">
        <v>89</v>
      </c>
      <c r="G724" t="s">
        <v>193</v>
      </c>
      <c r="H724" t="s">
        <v>89</v>
      </c>
      <c r="I724" t="s">
        <v>2719</v>
      </c>
      <c r="J724" t="s">
        <v>89</v>
      </c>
      <c r="K724" t="s">
        <v>89</v>
      </c>
      <c r="L724" t="s">
        <v>845</v>
      </c>
      <c r="M724">
        <v>22</v>
      </c>
      <c r="N724" t="s">
        <v>1047</v>
      </c>
      <c r="O724">
        <v>2002</v>
      </c>
      <c r="P724" t="s">
        <v>6059</v>
      </c>
      <c r="Q724" t="s">
        <v>6060</v>
      </c>
      <c r="R724">
        <v>7795</v>
      </c>
      <c r="S724" t="s">
        <v>6057</v>
      </c>
      <c r="T724" t="s">
        <v>6061</v>
      </c>
      <c r="U724">
        <v>1980</v>
      </c>
      <c r="V724" t="s">
        <v>1047</v>
      </c>
      <c r="W724">
        <v>1.87</v>
      </c>
      <c r="X724" t="s">
        <v>76</v>
      </c>
      <c r="Y724" t="s">
        <v>259</v>
      </c>
      <c r="Z724" t="s">
        <v>87</v>
      </c>
      <c r="AA724" t="s">
        <v>5967</v>
      </c>
      <c r="AB724" s="1">
        <v>41281</v>
      </c>
      <c r="AC724" t="s">
        <v>108</v>
      </c>
      <c r="AD724" t="s">
        <v>89</v>
      </c>
      <c r="AE724" s="1">
        <v>37265</v>
      </c>
      <c r="AF724">
        <v>22</v>
      </c>
      <c r="AG724" t="s">
        <v>91</v>
      </c>
      <c r="AH724" t="s">
        <v>92</v>
      </c>
      <c r="AI724" t="s">
        <v>89</v>
      </c>
      <c r="AJ724" t="s">
        <v>92</v>
      </c>
      <c r="AK724">
        <v>22</v>
      </c>
      <c r="AL724" t="s">
        <v>89</v>
      </c>
      <c r="AM724" t="s">
        <v>89</v>
      </c>
      <c r="AN724" t="s">
        <v>89</v>
      </c>
      <c r="AO724">
        <v>0</v>
      </c>
      <c r="AP724" t="s">
        <v>93</v>
      </c>
      <c r="AQ724" t="s">
        <v>89</v>
      </c>
      <c r="AR724" t="s">
        <v>89</v>
      </c>
      <c r="AS724" t="s">
        <v>111</v>
      </c>
      <c r="AT724">
        <v>41281</v>
      </c>
      <c r="AU724">
        <v>2013</v>
      </c>
      <c r="AV724">
        <v>11</v>
      </c>
      <c r="AW724">
        <v>11</v>
      </c>
      <c r="AX724" t="s">
        <v>89</v>
      </c>
      <c r="AY724" t="s">
        <v>93</v>
      </c>
      <c r="AZ724">
        <v>0</v>
      </c>
      <c r="BA724">
        <v>0</v>
      </c>
      <c r="BB724">
        <v>0</v>
      </c>
      <c r="BC724">
        <v>0</v>
      </c>
      <c r="BD724">
        <v>240</v>
      </c>
      <c r="BE724">
        <v>18125</v>
      </c>
      <c r="BF724">
        <v>4</v>
      </c>
      <c r="BG724">
        <v>33</v>
      </c>
      <c r="BH724">
        <v>240</v>
      </c>
      <c r="BI724">
        <v>18125</v>
      </c>
      <c r="BJ724">
        <v>4</v>
      </c>
      <c r="BK724">
        <f t="shared" si="101"/>
        <v>240</v>
      </c>
      <c r="BL724">
        <f t="shared" si="102"/>
        <v>18125</v>
      </c>
      <c r="BM724">
        <f t="shared" si="103"/>
        <v>4</v>
      </c>
      <c r="BN724">
        <f t="shared" si="104"/>
        <v>0</v>
      </c>
      <c r="BO724">
        <f t="shared" si="105"/>
        <v>0</v>
      </c>
      <c r="BP724">
        <f t="shared" si="106"/>
        <v>0</v>
      </c>
      <c r="BQ724" t="s">
        <v>259</v>
      </c>
      <c r="BR724" t="s">
        <v>94</v>
      </c>
      <c r="BS724" t="s">
        <v>89</v>
      </c>
      <c r="BT724">
        <v>46</v>
      </c>
      <c r="BU724">
        <v>41281</v>
      </c>
      <c r="BV724" t="s">
        <v>89</v>
      </c>
      <c r="BW724">
        <v>11</v>
      </c>
      <c r="BX724">
        <v>1980</v>
      </c>
      <c r="BY724">
        <v>11</v>
      </c>
      <c r="BZ724">
        <f t="shared" si="107"/>
        <v>0</v>
      </c>
      <c r="CA724">
        <f t="shared" si="108"/>
        <v>0</v>
      </c>
      <c r="CB724" t="b">
        <f t="shared" si="109"/>
        <v>1</v>
      </c>
    </row>
    <row r="725" spans="1:80" x14ac:dyDescent="0.3">
      <c r="A725" t="s">
        <v>6062</v>
      </c>
      <c r="B725" t="s">
        <v>71</v>
      </c>
      <c r="C725" t="s">
        <v>6063</v>
      </c>
      <c r="D725">
        <v>35</v>
      </c>
      <c r="E725" s="1">
        <v>32962</v>
      </c>
      <c r="F725" t="s">
        <v>89</v>
      </c>
      <c r="G725" t="s">
        <v>75</v>
      </c>
      <c r="H725" t="s">
        <v>76</v>
      </c>
      <c r="I725" t="s">
        <v>6064</v>
      </c>
      <c r="J725" t="s">
        <v>300</v>
      </c>
      <c r="K725" t="s">
        <v>89</v>
      </c>
      <c r="L725" t="s">
        <v>228</v>
      </c>
      <c r="M725">
        <v>20</v>
      </c>
      <c r="N725" t="s">
        <v>268</v>
      </c>
      <c r="O725">
        <v>2010</v>
      </c>
      <c r="P725" t="s">
        <v>6065</v>
      </c>
      <c r="Q725" t="s">
        <v>6066</v>
      </c>
      <c r="R725">
        <v>126625</v>
      </c>
      <c r="S725" t="s">
        <v>6062</v>
      </c>
      <c r="T725" t="s">
        <v>6067</v>
      </c>
      <c r="U725">
        <v>1990</v>
      </c>
      <c r="V725" t="s">
        <v>6068</v>
      </c>
      <c r="W725">
        <v>1.79</v>
      </c>
      <c r="X725" t="s">
        <v>76</v>
      </c>
      <c r="Y725" t="s">
        <v>203</v>
      </c>
      <c r="Z725" t="s">
        <v>152</v>
      </c>
      <c r="AA725" t="s">
        <v>476</v>
      </c>
      <c r="AB725" s="1">
        <v>45664</v>
      </c>
      <c r="AC725" t="s">
        <v>108</v>
      </c>
      <c r="AD725" t="s">
        <v>442</v>
      </c>
      <c r="AE725" s="1">
        <v>40247</v>
      </c>
      <c r="AF725">
        <v>20</v>
      </c>
      <c r="AG725" t="s">
        <v>91</v>
      </c>
      <c r="AH725" t="s">
        <v>6069</v>
      </c>
      <c r="AI725">
        <v>28</v>
      </c>
      <c r="AJ725" t="s">
        <v>110</v>
      </c>
      <c r="AK725">
        <v>20</v>
      </c>
      <c r="AL725">
        <v>18</v>
      </c>
      <c r="AM725">
        <v>777</v>
      </c>
      <c r="AN725">
        <v>113</v>
      </c>
      <c r="AO725">
        <v>9</v>
      </c>
      <c r="AP725" t="s">
        <v>93</v>
      </c>
      <c r="AQ725" t="s">
        <v>89</v>
      </c>
      <c r="AR725" t="s">
        <v>89</v>
      </c>
      <c r="AS725" t="s">
        <v>93</v>
      </c>
      <c r="AT725" t="s">
        <v>89</v>
      </c>
      <c r="AU725" t="s">
        <v>89</v>
      </c>
      <c r="AV725" t="s">
        <v>89</v>
      </c>
      <c r="AW725">
        <v>15</v>
      </c>
      <c r="AX725" t="s">
        <v>89</v>
      </c>
      <c r="AY725" t="s">
        <v>93</v>
      </c>
      <c r="AZ725">
        <v>0</v>
      </c>
      <c r="BA725">
        <v>0</v>
      </c>
      <c r="BB725">
        <v>0</v>
      </c>
      <c r="BC725">
        <v>0</v>
      </c>
      <c r="BD725">
        <v>317</v>
      </c>
      <c r="BE725">
        <v>22441</v>
      </c>
      <c r="BF725">
        <v>9</v>
      </c>
      <c r="BG725" t="s">
        <v>89</v>
      </c>
      <c r="BH725">
        <v>317</v>
      </c>
      <c r="BI725">
        <v>22441</v>
      </c>
      <c r="BJ725">
        <v>9</v>
      </c>
      <c r="BK725">
        <f t="shared" si="101"/>
        <v>317</v>
      </c>
      <c r="BL725">
        <f t="shared" si="102"/>
        <v>22441</v>
      </c>
      <c r="BM725">
        <f t="shared" si="103"/>
        <v>9</v>
      </c>
      <c r="BN725">
        <f t="shared" si="104"/>
        <v>0</v>
      </c>
      <c r="BO725">
        <f t="shared" si="105"/>
        <v>0</v>
      </c>
      <c r="BP725">
        <f t="shared" si="106"/>
        <v>0</v>
      </c>
      <c r="BQ725" t="s">
        <v>203</v>
      </c>
      <c r="BR725" t="s">
        <v>140</v>
      </c>
      <c r="BS725" s="1">
        <v>32962</v>
      </c>
      <c r="BT725">
        <v>35</v>
      </c>
      <c r="BU725" t="s">
        <v>89</v>
      </c>
      <c r="BV725" t="s">
        <v>89</v>
      </c>
      <c r="BW725">
        <v>15</v>
      </c>
      <c r="BX725">
        <v>1990</v>
      </c>
      <c r="BY725">
        <v>15</v>
      </c>
      <c r="BZ725">
        <f t="shared" si="107"/>
        <v>0</v>
      </c>
      <c r="CA725">
        <f t="shared" si="108"/>
        <v>0</v>
      </c>
      <c r="CB725" t="b">
        <f t="shared" si="109"/>
        <v>1</v>
      </c>
    </row>
    <row r="726" spans="1:80" x14ac:dyDescent="0.3">
      <c r="A726" t="s">
        <v>6070</v>
      </c>
      <c r="B726" t="s">
        <v>71</v>
      </c>
      <c r="C726" t="s">
        <v>6071</v>
      </c>
      <c r="D726">
        <v>45</v>
      </c>
      <c r="E726" s="1">
        <v>29349</v>
      </c>
      <c r="F726" t="s">
        <v>89</v>
      </c>
      <c r="G726" t="s">
        <v>687</v>
      </c>
      <c r="H726" t="s">
        <v>89</v>
      </c>
      <c r="I726" t="s">
        <v>2523</v>
      </c>
      <c r="J726" t="s">
        <v>89</v>
      </c>
      <c r="K726" t="s">
        <v>89</v>
      </c>
      <c r="L726" t="s">
        <v>845</v>
      </c>
      <c r="M726">
        <v>22</v>
      </c>
      <c r="N726" t="s">
        <v>527</v>
      </c>
      <c r="O726">
        <v>2002</v>
      </c>
      <c r="P726" t="s">
        <v>6072</v>
      </c>
      <c r="Q726" t="s">
        <v>6073</v>
      </c>
      <c r="R726">
        <v>22568</v>
      </c>
      <c r="S726" t="s">
        <v>6070</v>
      </c>
      <c r="T726" t="s">
        <v>6074</v>
      </c>
      <c r="U726">
        <v>1980</v>
      </c>
      <c r="V726" t="s">
        <v>1047</v>
      </c>
      <c r="W726">
        <v>1.72</v>
      </c>
      <c r="X726" t="s">
        <v>76</v>
      </c>
      <c r="Y726" t="s">
        <v>151</v>
      </c>
      <c r="Z726" t="s">
        <v>152</v>
      </c>
      <c r="AA726" t="s">
        <v>3118</v>
      </c>
      <c r="AB726" t="s">
        <v>1729</v>
      </c>
      <c r="AC726" t="s">
        <v>108</v>
      </c>
      <c r="AD726" t="s">
        <v>89</v>
      </c>
      <c r="AE726" t="s">
        <v>153</v>
      </c>
      <c r="AF726">
        <v>24</v>
      </c>
      <c r="AG726" t="s">
        <v>91</v>
      </c>
      <c r="AH726">
        <v>37417</v>
      </c>
      <c r="AI726">
        <v>22</v>
      </c>
      <c r="AJ726" t="s">
        <v>110</v>
      </c>
      <c r="AK726">
        <v>22</v>
      </c>
      <c r="AL726">
        <v>2</v>
      </c>
      <c r="AM726">
        <v>129</v>
      </c>
      <c r="AN726">
        <v>21</v>
      </c>
      <c r="AO726">
        <v>2</v>
      </c>
      <c r="AP726" t="s">
        <v>93</v>
      </c>
      <c r="AQ726" t="s">
        <v>89</v>
      </c>
      <c r="AR726" t="s">
        <v>89</v>
      </c>
      <c r="AS726" t="s">
        <v>111</v>
      </c>
      <c r="AT726" t="s">
        <v>1729</v>
      </c>
      <c r="AU726">
        <v>2014</v>
      </c>
      <c r="AV726">
        <v>12</v>
      </c>
      <c r="AW726">
        <v>12</v>
      </c>
      <c r="AX726" t="s">
        <v>89</v>
      </c>
      <c r="AY726" t="s">
        <v>93</v>
      </c>
      <c r="AZ726">
        <v>0</v>
      </c>
      <c r="BA726">
        <v>0</v>
      </c>
      <c r="BB726">
        <v>0</v>
      </c>
      <c r="BC726">
        <v>0</v>
      </c>
      <c r="BD726">
        <v>276</v>
      </c>
      <c r="BE726">
        <v>17822</v>
      </c>
      <c r="BF726">
        <v>41</v>
      </c>
      <c r="BG726">
        <v>34</v>
      </c>
      <c r="BH726">
        <v>276</v>
      </c>
      <c r="BI726">
        <v>17822</v>
      </c>
      <c r="BJ726">
        <v>41</v>
      </c>
      <c r="BK726">
        <f t="shared" si="101"/>
        <v>276</v>
      </c>
      <c r="BL726">
        <f t="shared" si="102"/>
        <v>17822</v>
      </c>
      <c r="BM726">
        <f t="shared" si="103"/>
        <v>41</v>
      </c>
      <c r="BN726">
        <f t="shared" si="104"/>
        <v>0</v>
      </c>
      <c r="BO726">
        <f t="shared" si="105"/>
        <v>0</v>
      </c>
      <c r="BP726">
        <f t="shared" si="106"/>
        <v>0</v>
      </c>
      <c r="BQ726" t="s">
        <v>151</v>
      </c>
      <c r="BR726" t="s">
        <v>94</v>
      </c>
      <c r="BS726" t="s">
        <v>89</v>
      </c>
      <c r="BT726">
        <v>46</v>
      </c>
      <c r="BU726" t="s">
        <v>1729</v>
      </c>
      <c r="BV726" s="1">
        <v>41875</v>
      </c>
      <c r="BW726">
        <v>12</v>
      </c>
      <c r="BX726">
        <v>1980</v>
      </c>
      <c r="BY726">
        <v>12</v>
      </c>
      <c r="BZ726">
        <f t="shared" si="107"/>
        <v>0</v>
      </c>
      <c r="CA726">
        <f t="shared" si="108"/>
        <v>0</v>
      </c>
      <c r="CB726" t="b">
        <f t="shared" si="109"/>
        <v>1</v>
      </c>
    </row>
    <row r="727" spans="1:80" x14ac:dyDescent="0.3">
      <c r="A727" t="s">
        <v>6075</v>
      </c>
      <c r="B727" t="s">
        <v>71</v>
      </c>
      <c r="C727" t="s">
        <v>6076</v>
      </c>
      <c r="D727">
        <v>32</v>
      </c>
      <c r="E727">
        <v>34020</v>
      </c>
      <c r="F727" t="s">
        <v>89</v>
      </c>
      <c r="G727" t="s">
        <v>1519</v>
      </c>
      <c r="H727" t="s">
        <v>89</v>
      </c>
      <c r="I727" t="s">
        <v>401</v>
      </c>
      <c r="J727" t="s">
        <v>89</v>
      </c>
      <c r="K727" t="s">
        <v>89</v>
      </c>
      <c r="L727" t="s">
        <v>324</v>
      </c>
      <c r="M727">
        <v>20</v>
      </c>
      <c r="N727" t="s">
        <v>301</v>
      </c>
      <c r="O727">
        <v>2013</v>
      </c>
      <c r="P727" t="s">
        <v>6077</v>
      </c>
      <c r="Q727" t="s">
        <v>6078</v>
      </c>
      <c r="R727">
        <v>315312</v>
      </c>
      <c r="S727" t="s">
        <v>6079</v>
      </c>
      <c r="T727" t="s">
        <v>6080</v>
      </c>
      <c r="U727">
        <v>1993</v>
      </c>
      <c r="V727" t="s">
        <v>6081</v>
      </c>
      <c r="W727">
        <v>1.67</v>
      </c>
      <c r="X727" t="s">
        <v>76</v>
      </c>
      <c r="Y727" t="s">
        <v>494</v>
      </c>
      <c r="Z727" t="s">
        <v>89</v>
      </c>
      <c r="AA727" t="s">
        <v>888</v>
      </c>
      <c r="AB727" s="1">
        <v>45999</v>
      </c>
      <c r="AC727" t="s">
        <v>394</v>
      </c>
      <c r="AD727" t="s">
        <v>89</v>
      </c>
      <c r="AE727">
        <v>41673</v>
      </c>
      <c r="AF727">
        <v>21</v>
      </c>
      <c r="AG727" t="s">
        <v>91</v>
      </c>
      <c r="AH727" t="s">
        <v>6082</v>
      </c>
      <c r="AI727">
        <v>28</v>
      </c>
      <c r="AJ727" t="s">
        <v>110</v>
      </c>
      <c r="AK727">
        <v>21</v>
      </c>
      <c r="AL727" t="s">
        <v>89</v>
      </c>
      <c r="AM727" t="s">
        <v>89</v>
      </c>
      <c r="AN727" t="s">
        <v>89</v>
      </c>
      <c r="AO727">
        <v>0</v>
      </c>
      <c r="AP727" t="s">
        <v>93</v>
      </c>
      <c r="AQ727" t="s">
        <v>89</v>
      </c>
      <c r="AR727" t="s">
        <v>89</v>
      </c>
      <c r="AS727" t="s">
        <v>93</v>
      </c>
      <c r="AT727" t="s">
        <v>89</v>
      </c>
      <c r="AU727" t="s">
        <v>89</v>
      </c>
      <c r="AV727" t="s">
        <v>89</v>
      </c>
      <c r="AW727">
        <v>12</v>
      </c>
      <c r="AX727">
        <v>21</v>
      </c>
      <c r="AY727" t="s">
        <v>93</v>
      </c>
      <c r="AZ727">
        <v>0</v>
      </c>
      <c r="BA727">
        <v>0</v>
      </c>
      <c r="BB727">
        <v>0</v>
      </c>
      <c r="BC727">
        <v>0</v>
      </c>
      <c r="BD727">
        <v>149</v>
      </c>
      <c r="BE727">
        <v>9052</v>
      </c>
      <c r="BF727">
        <v>18</v>
      </c>
      <c r="BG727" t="s">
        <v>89</v>
      </c>
      <c r="BH727">
        <v>149</v>
      </c>
      <c r="BI727">
        <v>9052</v>
      </c>
      <c r="BJ727">
        <v>18</v>
      </c>
      <c r="BK727">
        <f t="shared" si="101"/>
        <v>149</v>
      </c>
      <c r="BL727">
        <f t="shared" si="102"/>
        <v>9052</v>
      </c>
      <c r="BM727">
        <f t="shared" si="103"/>
        <v>18</v>
      </c>
      <c r="BN727">
        <f t="shared" si="104"/>
        <v>0</v>
      </c>
      <c r="BO727">
        <f t="shared" si="105"/>
        <v>0</v>
      </c>
      <c r="BP727">
        <f t="shared" si="106"/>
        <v>0</v>
      </c>
      <c r="BQ727" t="s">
        <v>494</v>
      </c>
      <c r="BR727" t="s">
        <v>112</v>
      </c>
      <c r="BS727" t="s">
        <v>89</v>
      </c>
      <c r="BT727">
        <v>33</v>
      </c>
      <c r="BU727" t="s">
        <v>89</v>
      </c>
      <c r="BV727" t="s">
        <v>89</v>
      </c>
      <c r="BW727">
        <v>12</v>
      </c>
      <c r="BX727">
        <v>1993</v>
      </c>
      <c r="BY727">
        <v>11</v>
      </c>
      <c r="BZ727">
        <f t="shared" si="107"/>
        <v>0</v>
      </c>
      <c r="CA727">
        <f t="shared" si="108"/>
        <v>1</v>
      </c>
      <c r="CB727" t="b">
        <f t="shared" si="109"/>
        <v>1</v>
      </c>
    </row>
    <row r="728" spans="1:80" ht="43.2" x14ac:dyDescent="0.3">
      <c r="A728" t="s">
        <v>6075</v>
      </c>
      <c r="B728" t="s">
        <v>89</v>
      </c>
      <c r="C728" t="s">
        <v>6083</v>
      </c>
      <c r="D728">
        <v>44</v>
      </c>
      <c r="E728" s="1">
        <v>29735</v>
      </c>
      <c r="F728" t="s">
        <v>89</v>
      </c>
      <c r="G728" t="s">
        <v>1289</v>
      </c>
      <c r="H728" t="s">
        <v>89</v>
      </c>
      <c r="I728" t="s">
        <v>3616</v>
      </c>
      <c r="J728" t="s">
        <v>78</v>
      </c>
      <c r="K728" t="s">
        <v>89</v>
      </c>
      <c r="L728" t="s">
        <v>657</v>
      </c>
      <c r="M728">
        <v>22</v>
      </c>
      <c r="N728" t="s">
        <v>629</v>
      </c>
      <c r="O728">
        <v>2003</v>
      </c>
      <c r="P728" t="s">
        <v>6084</v>
      </c>
      <c r="Q728" t="s">
        <v>5979</v>
      </c>
      <c r="R728">
        <v>23220</v>
      </c>
      <c r="S728" t="s">
        <v>6085</v>
      </c>
      <c r="T728" s="2" t="s">
        <v>6086</v>
      </c>
      <c r="U728">
        <v>1981</v>
      </c>
      <c r="V728" t="s">
        <v>6087</v>
      </c>
      <c r="W728">
        <v>1.76</v>
      </c>
      <c r="X728" t="s">
        <v>76</v>
      </c>
      <c r="Y728" t="s">
        <v>494</v>
      </c>
      <c r="Z728" t="s">
        <v>87</v>
      </c>
      <c r="AA728" t="s">
        <v>6088</v>
      </c>
      <c r="AB728" s="2" t="s">
        <v>6089</v>
      </c>
      <c r="AC728" t="s">
        <v>108</v>
      </c>
      <c r="AD728" t="s">
        <v>89</v>
      </c>
      <c r="AE728" t="s">
        <v>6090</v>
      </c>
      <c r="AF728">
        <v>23</v>
      </c>
      <c r="AG728" t="s">
        <v>91</v>
      </c>
      <c r="AH728" s="1">
        <v>37721</v>
      </c>
      <c r="AI728">
        <v>22</v>
      </c>
      <c r="AJ728" t="s">
        <v>110</v>
      </c>
      <c r="AK728">
        <v>22</v>
      </c>
      <c r="AL728">
        <v>2</v>
      </c>
      <c r="AM728">
        <v>92</v>
      </c>
      <c r="AN728">
        <v>14</v>
      </c>
      <c r="AO728">
        <v>2</v>
      </c>
      <c r="AP728" t="s">
        <v>93</v>
      </c>
      <c r="AQ728" t="s">
        <v>89</v>
      </c>
      <c r="AR728" t="s">
        <v>89</v>
      </c>
      <c r="AS728" t="s">
        <v>111</v>
      </c>
      <c r="AT728" s="1">
        <v>42011</v>
      </c>
      <c r="AU728">
        <v>2015</v>
      </c>
      <c r="AV728">
        <v>12</v>
      </c>
      <c r="AW728">
        <v>12</v>
      </c>
      <c r="AX728" t="s">
        <v>89</v>
      </c>
      <c r="AY728" t="s">
        <v>93</v>
      </c>
      <c r="AZ728">
        <v>0</v>
      </c>
      <c r="BA728">
        <v>0</v>
      </c>
      <c r="BB728">
        <v>0</v>
      </c>
      <c r="BC728">
        <v>0</v>
      </c>
      <c r="BD728">
        <v>293</v>
      </c>
      <c r="BE728">
        <v>16916</v>
      </c>
      <c r="BF728">
        <v>25</v>
      </c>
      <c r="BG728">
        <v>34</v>
      </c>
      <c r="BH728">
        <v>293</v>
      </c>
      <c r="BI728">
        <v>16916</v>
      </c>
      <c r="BJ728">
        <v>25</v>
      </c>
      <c r="BK728">
        <f t="shared" si="101"/>
        <v>293</v>
      </c>
      <c r="BL728">
        <f t="shared" si="102"/>
        <v>16916</v>
      </c>
      <c r="BM728">
        <f t="shared" si="103"/>
        <v>25</v>
      </c>
      <c r="BN728">
        <f t="shared" si="104"/>
        <v>0</v>
      </c>
      <c r="BO728">
        <f t="shared" si="105"/>
        <v>0</v>
      </c>
      <c r="BP728">
        <f t="shared" si="106"/>
        <v>0</v>
      </c>
      <c r="BQ728" t="s">
        <v>494</v>
      </c>
      <c r="BR728" t="s">
        <v>112</v>
      </c>
      <c r="BS728" s="1">
        <v>29735</v>
      </c>
      <c r="BT728">
        <v>44</v>
      </c>
      <c r="BU728" s="1">
        <v>42011</v>
      </c>
      <c r="BV728" s="1">
        <v>42186</v>
      </c>
      <c r="BW728">
        <v>12</v>
      </c>
      <c r="BX728">
        <v>1981</v>
      </c>
      <c r="BY728">
        <v>12</v>
      </c>
      <c r="BZ728">
        <f t="shared" si="107"/>
        <v>0</v>
      </c>
      <c r="CA728">
        <f t="shared" si="108"/>
        <v>0</v>
      </c>
      <c r="CB728" t="b">
        <f t="shared" si="109"/>
        <v>1</v>
      </c>
    </row>
    <row r="729" spans="1:80" x14ac:dyDescent="0.3">
      <c r="A729" t="s">
        <v>6091</v>
      </c>
      <c r="B729" t="s">
        <v>71</v>
      </c>
      <c r="C729" t="s">
        <v>6092</v>
      </c>
      <c r="D729">
        <v>32</v>
      </c>
      <c r="E729" t="s">
        <v>6093</v>
      </c>
      <c r="F729" t="s">
        <v>6094</v>
      </c>
      <c r="G729" t="s">
        <v>1946</v>
      </c>
      <c r="H729" t="s">
        <v>76</v>
      </c>
      <c r="I729" t="s">
        <v>161</v>
      </c>
      <c r="J729" t="s">
        <v>78</v>
      </c>
      <c r="K729" t="s">
        <v>181</v>
      </c>
      <c r="L729" t="s">
        <v>254</v>
      </c>
      <c r="M729">
        <v>16</v>
      </c>
      <c r="N729" t="s">
        <v>1047</v>
      </c>
      <c r="O729">
        <v>2009</v>
      </c>
      <c r="P729" t="s">
        <v>6095</v>
      </c>
      <c r="Q729" t="s">
        <v>6096</v>
      </c>
      <c r="R729">
        <v>126737</v>
      </c>
      <c r="S729" t="s">
        <v>6091</v>
      </c>
      <c r="T729" t="s">
        <v>6097</v>
      </c>
      <c r="U729">
        <v>1993</v>
      </c>
      <c r="V729" t="s">
        <v>6098</v>
      </c>
      <c r="W729">
        <v>1.72</v>
      </c>
      <c r="X729" t="s">
        <v>76</v>
      </c>
      <c r="Y729" t="s">
        <v>391</v>
      </c>
      <c r="Z729" t="s">
        <v>87</v>
      </c>
      <c r="AA729" t="s">
        <v>181</v>
      </c>
      <c r="AB729" s="1">
        <v>45664</v>
      </c>
      <c r="AC729" t="s">
        <v>88</v>
      </c>
      <c r="AD729" t="s">
        <v>89</v>
      </c>
      <c r="AE729" t="s">
        <v>6099</v>
      </c>
      <c r="AF729">
        <v>16</v>
      </c>
      <c r="AG729" t="s">
        <v>91</v>
      </c>
      <c r="AH729" t="s">
        <v>6100</v>
      </c>
      <c r="AI729">
        <v>19</v>
      </c>
      <c r="AJ729" t="s">
        <v>110</v>
      </c>
      <c r="AK729">
        <v>16</v>
      </c>
      <c r="AL729">
        <v>3</v>
      </c>
      <c r="AM729">
        <v>420</v>
      </c>
      <c r="AN729">
        <v>49</v>
      </c>
      <c r="AO729">
        <v>3</v>
      </c>
      <c r="AP729" t="s">
        <v>93</v>
      </c>
      <c r="AQ729" t="s">
        <v>89</v>
      </c>
      <c r="AR729" t="s">
        <v>89</v>
      </c>
      <c r="AS729" t="s">
        <v>93</v>
      </c>
      <c r="AT729" t="s">
        <v>89</v>
      </c>
      <c r="AU729" t="s">
        <v>89</v>
      </c>
      <c r="AV729" t="s">
        <v>89</v>
      </c>
      <c r="AW729">
        <v>16</v>
      </c>
      <c r="AX729">
        <v>7</v>
      </c>
      <c r="AY729" t="s">
        <v>111</v>
      </c>
      <c r="AZ729">
        <v>2</v>
      </c>
      <c r="BA729">
        <v>1</v>
      </c>
      <c r="BB729">
        <v>61</v>
      </c>
      <c r="BC729">
        <v>0</v>
      </c>
      <c r="BD729">
        <v>403</v>
      </c>
      <c r="BE729">
        <v>20247</v>
      </c>
      <c r="BF729">
        <v>84</v>
      </c>
      <c r="BG729" t="s">
        <v>89</v>
      </c>
      <c r="BH729">
        <v>404</v>
      </c>
      <c r="BI729">
        <v>20308</v>
      </c>
      <c r="BJ729">
        <v>84</v>
      </c>
      <c r="BK729">
        <f t="shared" si="101"/>
        <v>404</v>
      </c>
      <c r="BL729">
        <f t="shared" si="102"/>
        <v>20308</v>
      </c>
      <c r="BM729">
        <f t="shared" si="103"/>
        <v>84</v>
      </c>
      <c r="BN729">
        <f t="shared" si="104"/>
        <v>0</v>
      </c>
      <c r="BO729">
        <f t="shared" si="105"/>
        <v>0</v>
      </c>
      <c r="BP729">
        <f t="shared" si="106"/>
        <v>0</v>
      </c>
      <c r="BQ729" t="s">
        <v>391</v>
      </c>
      <c r="BR729" t="s">
        <v>112</v>
      </c>
      <c r="BS729" s="1">
        <v>34109</v>
      </c>
      <c r="BT729">
        <v>32</v>
      </c>
      <c r="BU729" t="s">
        <v>89</v>
      </c>
      <c r="BV729" t="s">
        <v>89</v>
      </c>
      <c r="BW729">
        <v>16</v>
      </c>
      <c r="BX729">
        <v>1993</v>
      </c>
      <c r="BY729">
        <v>16</v>
      </c>
      <c r="BZ729">
        <f t="shared" si="107"/>
        <v>0</v>
      </c>
      <c r="CA729">
        <f t="shared" si="108"/>
        <v>0</v>
      </c>
      <c r="CB729" t="b">
        <f t="shared" si="109"/>
        <v>1</v>
      </c>
    </row>
    <row r="730" spans="1:80" x14ac:dyDescent="0.3">
      <c r="A730" t="s">
        <v>6101</v>
      </c>
      <c r="B730" t="s">
        <v>1305</v>
      </c>
      <c r="C730" t="s">
        <v>6102</v>
      </c>
      <c r="D730">
        <v>31</v>
      </c>
      <c r="E730" t="s">
        <v>6103</v>
      </c>
      <c r="F730" t="s">
        <v>6104</v>
      </c>
      <c r="G730" t="s">
        <v>1289</v>
      </c>
      <c r="H730" t="s">
        <v>1307</v>
      </c>
      <c r="I730" t="s">
        <v>116</v>
      </c>
      <c r="J730" t="s">
        <v>300</v>
      </c>
      <c r="K730" t="s">
        <v>6105</v>
      </c>
      <c r="L730" t="s">
        <v>762</v>
      </c>
      <c r="M730">
        <v>20</v>
      </c>
      <c r="N730" t="s">
        <v>1047</v>
      </c>
      <c r="O730">
        <v>2014</v>
      </c>
      <c r="P730" t="s">
        <v>6106</v>
      </c>
      <c r="Q730" t="s">
        <v>6107</v>
      </c>
      <c r="R730">
        <v>256680</v>
      </c>
      <c r="S730" t="s">
        <v>6101</v>
      </c>
      <c r="T730" t="s">
        <v>6108</v>
      </c>
      <c r="U730">
        <v>1994</v>
      </c>
      <c r="V730" t="s">
        <v>1312</v>
      </c>
      <c r="W730">
        <v>1.76</v>
      </c>
      <c r="X730" t="s">
        <v>1313</v>
      </c>
      <c r="Y730" t="s">
        <v>106</v>
      </c>
      <c r="Z730" t="s">
        <v>152</v>
      </c>
      <c r="AA730" t="s">
        <v>6109</v>
      </c>
      <c r="AB730" s="1">
        <v>45718</v>
      </c>
      <c r="AC730" t="s">
        <v>170</v>
      </c>
      <c r="AD730" t="s">
        <v>442</v>
      </c>
      <c r="AE730" t="s">
        <v>3946</v>
      </c>
      <c r="AF730">
        <v>20</v>
      </c>
      <c r="AG730" t="s">
        <v>91</v>
      </c>
      <c r="AH730" t="s">
        <v>6110</v>
      </c>
      <c r="AI730">
        <v>24</v>
      </c>
      <c r="AJ730" t="s">
        <v>110</v>
      </c>
      <c r="AK730">
        <v>20</v>
      </c>
      <c r="AL730">
        <v>7</v>
      </c>
      <c r="AM730">
        <v>473</v>
      </c>
      <c r="AN730">
        <v>36</v>
      </c>
      <c r="AO730">
        <v>5</v>
      </c>
      <c r="AP730" t="s">
        <v>93</v>
      </c>
      <c r="AQ730" t="s">
        <v>89</v>
      </c>
      <c r="AR730" t="s">
        <v>89</v>
      </c>
      <c r="AS730" t="s">
        <v>93</v>
      </c>
      <c r="AT730" t="s">
        <v>89</v>
      </c>
      <c r="AU730" t="s">
        <v>89</v>
      </c>
      <c r="AV730" t="s">
        <v>89</v>
      </c>
      <c r="AW730">
        <v>11</v>
      </c>
      <c r="AX730">
        <v>10</v>
      </c>
      <c r="AY730" t="s">
        <v>111</v>
      </c>
      <c r="AZ730">
        <v>10</v>
      </c>
      <c r="BA730">
        <v>24</v>
      </c>
      <c r="BB730">
        <v>1111</v>
      </c>
      <c r="BC730">
        <v>1</v>
      </c>
      <c r="BD730">
        <v>240</v>
      </c>
      <c r="BE730">
        <v>15424</v>
      </c>
      <c r="BF730">
        <v>28</v>
      </c>
      <c r="BG730" t="s">
        <v>89</v>
      </c>
      <c r="BH730">
        <v>264</v>
      </c>
      <c r="BI730">
        <v>16535</v>
      </c>
      <c r="BJ730">
        <v>29</v>
      </c>
      <c r="BK730">
        <f t="shared" si="101"/>
        <v>264</v>
      </c>
      <c r="BL730">
        <f t="shared" si="102"/>
        <v>16535</v>
      </c>
      <c r="BM730">
        <f t="shared" si="103"/>
        <v>29</v>
      </c>
      <c r="BN730">
        <f t="shared" si="104"/>
        <v>0</v>
      </c>
      <c r="BO730">
        <f t="shared" si="105"/>
        <v>0</v>
      </c>
      <c r="BP730">
        <f t="shared" si="106"/>
        <v>0</v>
      </c>
      <c r="BQ730" t="s">
        <v>106</v>
      </c>
      <c r="BR730" t="s">
        <v>112</v>
      </c>
      <c r="BS730" s="1">
        <v>34358</v>
      </c>
      <c r="BT730">
        <v>32</v>
      </c>
      <c r="BU730" t="s">
        <v>89</v>
      </c>
      <c r="BV730" t="s">
        <v>89</v>
      </c>
      <c r="BW730">
        <v>12</v>
      </c>
      <c r="BX730">
        <v>1994</v>
      </c>
      <c r="BY730">
        <v>11</v>
      </c>
      <c r="BZ730">
        <f t="shared" si="107"/>
        <v>-1</v>
      </c>
      <c r="CA730">
        <f t="shared" si="108"/>
        <v>1</v>
      </c>
      <c r="CB730" t="b">
        <f t="shared" si="109"/>
        <v>0</v>
      </c>
    </row>
    <row r="731" spans="1:80" x14ac:dyDescent="0.3">
      <c r="A731" t="s">
        <v>6111</v>
      </c>
      <c r="B731" t="s">
        <v>71</v>
      </c>
      <c r="C731" t="s">
        <v>6112</v>
      </c>
      <c r="D731">
        <v>45</v>
      </c>
      <c r="E731" s="1">
        <v>29335</v>
      </c>
      <c r="F731" t="s">
        <v>89</v>
      </c>
      <c r="G731" t="s">
        <v>413</v>
      </c>
      <c r="H731" t="s">
        <v>89</v>
      </c>
      <c r="I731" t="s">
        <v>348</v>
      </c>
      <c r="J731" t="s">
        <v>89</v>
      </c>
      <c r="K731" t="s">
        <v>89</v>
      </c>
      <c r="L731" t="s">
        <v>99</v>
      </c>
      <c r="M731">
        <v>21</v>
      </c>
      <c r="N731" t="s">
        <v>751</v>
      </c>
      <c r="O731">
        <v>2001</v>
      </c>
      <c r="P731" t="s">
        <v>6113</v>
      </c>
      <c r="Q731" t="s">
        <v>6114</v>
      </c>
      <c r="R731">
        <v>51560</v>
      </c>
      <c r="S731" t="s">
        <v>6111</v>
      </c>
      <c r="T731" t="s">
        <v>6115</v>
      </c>
      <c r="U731">
        <v>1980</v>
      </c>
      <c r="V731" t="s">
        <v>6116</v>
      </c>
      <c r="W731">
        <v>1.83</v>
      </c>
      <c r="X731" t="s">
        <v>76</v>
      </c>
      <c r="Y731" t="s">
        <v>136</v>
      </c>
      <c r="Z731" t="s">
        <v>87</v>
      </c>
      <c r="AA731" t="s">
        <v>480</v>
      </c>
      <c r="AB731" s="1">
        <v>42376</v>
      </c>
      <c r="AC731" t="s">
        <v>108</v>
      </c>
      <c r="AD731" t="s">
        <v>89</v>
      </c>
      <c r="AE731" t="s">
        <v>719</v>
      </c>
      <c r="AF731">
        <v>28</v>
      </c>
      <c r="AG731" t="s">
        <v>91</v>
      </c>
      <c r="AH731" t="s">
        <v>6117</v>
      </c>
      <c r="AI731">
        <v>20</v>
      </c>
      <c r="AJ731" t="s">
        <v>459</v>
      </c>
      <c r="AK731">
        <v>20</v>
      </c>
      <c r="AL731">
        <v>1</v>
      </c>
      <c r="AM731">
        <v>221</v>
      </c>
      <c r="AN731">
        <v>27</v>
      </c>
      <c r="AO731">
        <v>1</v>
      </c>
      <c r="AP731" t="s">
        <v>93</v>
      </c>
      <c r="AQ731" t="s">
        <v>89</v>
      </c>
      <c r="AR731" t="s">
        <v>89</v>
      </c>
      <c r="AS731" t="s">
        <v>111</v>
      </c>
      <c r="AT731">
        <v>42376</v>
      </c>
      <c r="AU731">
        <v>2016</v>
      </c>
      <c r="AV731">
        <v>15</v>
      </c>
      <c r="AW731">
        <v>15</v>
      </c>
      <c r="AX731" t="s">
        <v>89</v>
      </c>
      <c r="AY731" t="s">
        <v>93</v>
      </c>
      <c r="AZ731">
        <v>0</v>
      </c>
      <c r="BA731">
        <v>0</v>
      </c>
      <c r="BB731">
        <v>0</v>
      </c>
      <c r="BC731">
        <v>0</v>
      </c>
      <c r="BD731">
        <v>236</v>
      </c>
      <c r="BE731">
        <v>19261</v>
      </c>
      <c r="BF731">
        <v>3</v>
      </c>
      <c r="BG731">
        <v>36</v>
      </c>
      <c r="BH731">
        <v>236</v>
      </c>
      <c r="BI731">
        <v>19261</v>
      </c>
      <c r="BJ731">
        <v>3</v>
      </c>
      <c r="BK731">
        <f t="shared" si="101"/>
        <v>236</v>
      </c>
      <c r="BL731">
        <f t="shared" si="102"/>
        <v>19261</v>
      </c>
      <c r="BM731">
        <f t="shared" si="103"/>
        <v>3</v>
      </c>
      <c r="BN731">
        <f t="shared" si="104"/>
        <v>0</v>
      </c>
      <c r="BO731">
        <f t="shared" si="105"/>
        <v>0</v>
      </c>
      <c r="BP731">
        <f t="shared" si="106"/>
        <v>0</v>
      </c>
      <c r="BQ731" t="s">
        <v>136</v>
      </c>
      <c r="BR731" t="s">
        <v>140</v>
      </c>
      <c r="BS731" s="1">
        <v>29335</v>
      </c>
      <c r="BT731">
        <v>45</v>
      </c>
      <c r="BU731">
        <v>42376</v>
      </c>
      <c r="BV731" t="s">
        <v>89</v>
      </c>
      <c r="BW731">
        <v>16</v>
      </c>
      <c r="BX731">
        <v>1980</v>
      </c>
      <c r="BY731">
        <v>16</v>
      </c>
      <c r="BZ731">
        <f t="shared" si="107"/>
        <v>-1</v>
      </c>
      <c r="CA731">
        <f t="shared" si="108"/>
        <v>0</v>
      </c>
      <c r="CB731" t="b">
        <f t="shared" si="109"/>
        <v>0</v>
      </c>
    </row>
    <row r="732" spans="1:80" x14ac:dyDescent="0.3">
      <c r="A732" t="s">
        <v>6118</v>
      </c>
      <c r="B732" t="s">
        <v>776</v>
      </c>
      <c r="C732" t="s">
        <v>6119</v>
      </c>
      <c r="D732">
        <v>45</v>
      </c>
      <c r="E732" s="1">
        <v>29178</v>
      </c>
      <c r="F732" t="s">
        <v>89</v>
      </c>
      <c r="G732" t="s">
        <v>321</v>
      </c>
      <c r="H732" t="s">
        <v>89</v>
      </c>
      <c r="I732" t="s">
        <v>253</v>
      </c>
      <c r="J732" t="s">
        <v>89</v>
      </c>
      <c r="K732" t="s">
        <v>89</v>
      </c>
      <c r="L732" t="s">
        <v>130</v>
      </c>
      <c r="M732">
        <v>28</v>
      </c>
      <c r="N732" t="s">
        <v>4831</v>
      </c>
      <c r="O732">
        <v>2008</v>
      </c>
      <c r="P732" t="s">
        <v>6120</v>
      </c>
      <c r="Q732" t="s">
        <v>6121</v>
      </c>
      <c r="R732">
        <v>51675</v>
      </c>
      <c r="S732" t="s">
        <v>6118</v>
      </c>
      <c r="T732" t="s">
        <v>6122</v>
      </c>
      <c r="U732">
        <v>1979</v>
      </c>
      <c r="V732" t="s">
        <v>6123</v>
      </c>
      <c r="W732">
        <v>1.79</v>
      </c>
      <c r="X732" t="s">
        <v>2292</v>
      </c>
      <c r="Y732" t="s">
        <v>259</v>
      </c>
      <c r="Z732" t="s">
        <v>87</v>
      </c>
      <c r="AA732" t="s">
        <v>3668</v>
      </c>
      <c r="AB732" t="s">
        <v>6124</v>
      </c>
      <c r="AC732" t="s">
        <v>108</v>
      </c>
      <c r="AD732" t="s">
        <v>89</v>
      </c>
      <c r="AE732">
        <v>36564</v>
      </c>
      <c r="AF732">
        <v>20</v>
      </c>
      <c r="AG732" t="s">
        <v>786</v>
      </c>
      <c r="AH732" t="s">
        <v>6125</v>
      </c>
      <c r="AI732">
        <v>32</v>
      </c>
      <c r="AJ732" t="s">
        <v>986</v>
      </c>
      <c r="AK732">
        <v>20</v>
      </c>
      <c r="AL732">
        <v>3</v>
      </c>
      <c r="AM732">
        <v>125</v>
      </c>
      <c r="AN732">
        <v>12</v>
      </c>
      <c r="AO732">
        <v>3</v>
      </c>
      <c r="AP732" t="s">
        <v>93</v>
      </c>
      <c r="AQ732" t="s">
        <v>89</v>
      </c>
      <c r="AR732" t="s">
        <v>89</v>
      </c>
      <c r="AS732" t="s">
        <v>111</v>
      </c>
      <c r="AT732" t="s">
        <v>6124</v>
      </c>
      <c r="AU732">
        <v>2014</v>
      </c>
      <c r="AV732">
        <v>6</v>
      </c>
      <c r="AW732">
        <v>6</v>
      </c>
      <c r="AX732" t="s">
        <v>89</v>
      </c>
      <c r="AY732" t="s">
        <v>93</v>
      </c>
      <c r="AZ732">
        <v>0</v>
      </c>
      <c r="BA732">
        <v>0</v>
      </c>
      <c r="BB732">
        <v>0</v>
      </c>
      <c r="BC732">
        <v>0</v>
      </c>
      <c r="BD732">
        <v>47</v>
      </c>
      <c r="BE732">
        <v>3251</v>
      </c>
      <c r="BF732">
        <v>5</v>
      </c>
      <c r="BG732">
        <v>35</v>
      </c>
      <c r="BH732">
        <v>47</v>
      </c>
      <c r="BI732">
        <v>3251</v>
      </c>
      <c r="BJ732">
        <v>5</v>
      </c>
      <c r="BK732">
        <f t="shared" si="101"/>
        <v>47</v>
      </c>
      <c r="BL732">
        <f t="shared" si="102"/>
        <v>3251</v>
      </c>
      <c r="BM732">
        <f t="shared" si="103"/>
        <v>5</v>
      </c>
      <c r="BN732">
        <f t="shared" si="104"/>
        <v>0</v>
      </c>
      <c r="BO732">
        <f t="shared" si="105"/>
        <v>0</v>
      </c>
      <c r="BP732">
        <f t="shared" si="106"/>
        <v>0</v>
      </c>
      <c r="BQ732" t="s">
        <v>259</v>
      </c>
      <c r="BR732" t="s">
        <v>94</v>
      </c>
      <c r="BS732" s="1">
        <v>29178</v>
      </c>
      <c r="BT732">
        <v>46</v>
      </c>
      <c r="BU732" t="s">
        <v>6124</v>
      </c>
      <c r="BV732" s="1">
        <v>41655</v>
      </c>
      <c r="BW732">
        <v>15</v>
      </c>
      <c r="BX732">
        <v>1979</v>
      </c>
      <c r="BY732">
        <v>15</v>
      </c>
      <c r="BZ732">
        <f t="shared" si="107"/>
        <v>-9</v>
      </c>
      <c r="CA732">
        <f t="shared" si="108"/>
        <v>0</v>
      </c>
      <c r="CB732" t="b">
        <f t="shared" si="109"/>
        <v>0</v>
      </c>
    </row>
    <row r="733" spans="1:80" x14ac:dyDescent="0.3">
      <c r="A733" t="s">
        <v>6126</v>
      </c>
      <c r="B733" t="s">
        <v>6127</v>
      </c>
      <c r="C733" t="s">
        <v>6128</v>
      </c>
      <c r="D733">
        <v>36</v>
      </c>
      <c r="E733" t="s">
        <v>6129</v>
      </c>
      <c r="F733" t="s">
        <v>6130</v>
      </c>
      <c r="G733" t="s">
        <v>97</v>
      </c>
      <c r="H733" t="s">
        <v>6131</v>
      </c>
      <c r="I733" t="s">
        <v>375</v>
      </c>
      <c r="J733" t="s">
        <v>300</v>
      </c>
      <c r="K733" t="s">
        <v>6132</v>
      </c>
      <c r="L733">
        <v>2007</v>
      </c>
      <c r="M733">
        <v>18</v>
      </c>
      <c r="N733" t="s">
        <v>6133</v>
      </c>
      <c r="O733">
        <v>2007</v>
      </c>
      <c r="P733" t="s">
        <v>6134</v>
      </c>
      <c r="Q733" t="s">
        <v>6135</v>
      </c>
      <c r="R733">
        <v>47785</v>
      </c>
      <c r="S733" t="s">
        <v>6126</v>
      </c>
      <c r="T733" t="s">
        <v>6136</v>
      </c>
      <c r="U733">
        <v>1988</v>
      </c>
      <c r="V733" t="s">
        <v>6137</v>
      </c>
      <c r="W733">
        <v>1.81</v>
      </c>
      <c r="X733" t="s">
        <v>6131</v>
      </c>
      <c r="Y733" t="s">
        <v>235</v>
      </c>
      <c r="Z733" t="s">
        <v>392</v>
      </c>
      <c r="AA733" t="s">
        <v>6132</v>
      </c>
      <c r="AB733" s="1">
        <v>45292</v>
      </c>
      <c r="AC733" t="s">
        <v>222</v>
      </c>
      <c r="AD733" t="s">
        <v>89</v>
      </c>
      <c r="AE733" t="s">
        <v>6138</v>
      </c>
      <c r="AF733">
        <v>18</v>
      </c>
      <c r="AG733" t="s">
        <v>6139</v>
      </c>
      <c r="AH733" t="s">
        <v>6140</v>
      </c>
      <c r="AI733">
        <v>17</v>
      </c>
      <c r="AJ733" t="s">
        <v>6141</v>
      </c>
      <c r="AK733">
        <v>17</v>
      </c>
      <c r="AL733">
        <v>3</v>
      </c>
      <c r="AM733">
        <v>137</v>
      </c>
      <c r="AN733">
        <v>15</v>
      </c>
      <c r="AO733">
        <v>2</v>
      </c>
      <c r="AP733" t="s">
        <v>93</v>
      </c>
      <c r="AQ733" t="s">
        <v>89</v>
      </c>
      <c r="AR733" t="s">
        <v>89</v>
      </c>
      <c r="AS733" t="s">
        <v>93</v>
      </c>
      <c r="AT733" t="s">
        <v>89</v>
      </c>
      <c r="AU733" t="s">
        <v>89</v>
      </c>
      <c r="AV733" t="s">
        <v>89</v>
      </c>
      <c r="AW733">
        <v>18</v>
      </c>
      <c r="AX733">
        <v>22</v>
      </c>
      <c r="AY733" t="s">
        <v>111</v>
      </c>
      <c r="AZ733">
        <v>15</v>
      </c>
      <c r="BA733">
        <v>49</v>
      </c>
      <c r="BB733">
        <v>3668</v>
      </c>
      <c r="BC733">
        <v>0</v>
      </c>
      <c r="BD733">
        <v>392</v>
      </c>
      <c r="BE733">
        <v>31431</v>
      </c>
      <c r="BF733">
        <v>3</v>
      </c>
      <c r="BG733" t="s">
        <v>89</v>
      </c>
      <c r="BH733">
        <v>441</v>
      </c>
      <c r="BI733">
        <v>35099</v>
      </c>
      <c r="BJ733">
        <v>3</v>
      </c>
      <c r="BK733">
        <f t="shared" si="101"/>
        <v>441</v>
      </c>
      <c r="BL733">
        <f t="shared" si="102"/>
        <v>35099</v>
      </c>
      <c r="BM733">
        <f t="shared" si="103"/>
        <v>3</v>
      </c>
      <c r="BN733">
        <f t="shared" si="104"/>
        <v>0</v>
      </c>
      <c r="BO733">
        <f t="shared" si="105"/>
        <v>0</v>
      </c>
      <c r="BP733">
        <f t="shared" si="106"/>
        <v>0</v>
      </c>
      <c r="BQ733" t="s">
        <v>235</v>
      </c>
      <c r="BR733" t="s">
        <v>140</v>
      </c>
      <c r="BS733" s="1">
        <v>32401</v>
      </c>
      <c r="BT733">
        <v>37</v>
      </c>
      <c r="BU733" t="s">
        <v>89</v>
      </c>
      <c r="BV733" t="s">
        <v>89</v>
      </c>
      <c r="BW733">
        <v>20</v>
      </c>
      <c r="BX733">
        <v>1988</v>
      </c>
      <c r="BY733">
        <v>19</v>
      </c>
      <c r="BZ733">
        <f t="shared" si="107"/>
        <v>-2</v>
      </c>
      <c r="CA733">
        <f t="shared" si="108"/>
        <v>1</v>
      </c>
      <c r="CB733" t="b">
        <f t="shared" si="109"/>
        <v>0</v>
      </c>
    </row>
    <row r="734" spans="1:80" x14ac:dyDescent="0.3">
      <c r="A734" t="s">
        <v>6142</v>
      </c>
      <c r="B734" t="s">
        <v>71</v>
      </c>
      <c r="C734" t="s">
        <v>6143</v>
      </c>
      <c r="D734">
        <v>34</v>
      </c>
      <c r="E734" t="s">
        <v>6144</v>
      </c>
      <c r="F734" t="s">
        <v>6145</v>
      </c>
      <c r="G734" t="s">
        <v>3627</v>
      </c>
      <c r="H734" t="s">
        <v>89</v>
      </c>
      <c r="I734" t="s">
        <v>178</v>
      </c>
      <c r="J734" t="s">
        <v>78</v>
      </c>
      <c r="K734" t="s">
        <v>6146</v>
      </c>
      <c r="L734" t="s">
        <v>80</v>
      </c>
      <c r="M734">
        <v>21</v>
      </c>
      <c r="N734" t="s">
        <v>304</v>
      </c>
      <c r="O734">
        <v>2012</v>
      </c>
      <c r="P734" t="s">
        <v>6147</v>
      </c>
      <c r="Q734" t="s">
        <v>6148</v>
      </c>
      <c r="R734">
        <v>176936</v>
      </c>
      <c r="S734" t="s">
        <v>6142</v>
      </c>
      <c r="T734" t="s">
        <v>6149</v>
      </c>
      <c r="U734">
        <v>1991</v>
      </c>
      <c r="V734" t="s">
        <v>6150</v>
      </c>
      <c r="W734">
        <v>1.96</v>
      </c>
      <c r="X734" t="s">
        <v>76</v>
      </c>
      <c r="Y734" t="s">
        <v>186</v>
      </c>
      <c r="Z734" t="s">
        <v>87</v>
      </c>
      <c r="AA734" t="s">
        <v>6146</v>
      </c>
      <c r="AB734" t="s">
        <v>2910</v>
      </c>
      <c r="AC734" t="s">
        <v>88</v>
      </c>
      <c r="AD734" t="s">
        <v>89</v>
      </c>
      <c r="AE734" t="s">
        <v>6151</v>
      </c>
      <c r="AF734">
        <v>21</v>
      </c>
      <c r="AG734" t="s">
        <v>91</v>
      </c>
      <c r="AH734">
        <v>42073</v>
      </c>
      <c r="AI734">
        <v>24</v>
      </c>
      <c r="AJ734" t="s">
        <v>110</v>
      </c>
      <c r="AK734">
        <v>21</v>
      </c>
      <c r="AL734">
        <v>7</v>
      </c>
      <c r="AM734">
        <v>132</v>
      </c>
      <c r="AN734">
        <v>19</v>
      </c>
      <c r="AO734">
        <v>5</v>
      </c>
      <c r="AP734" t="s">
        <v>93</v>
      </c>
      <c r="AQ734" t="s">
        <v>89</v>
      </c>
      <c r="AR734" t="s">
        <v>89</v>
      </c>
      <c r="AS734" t="s">
        <v>93</v>
      </c>
      <c r="AT734" t="s">
        <v>89</v>
      </c>
      <c r="AU734" t="s">
        <v>89</v>
      </c>
      <c r="AV734" t="s">
        <v>89</v>
      </c>
      <c r="AW734">
        <v>13</v>
      </c>
      <c r="AX734">
        <v>1</v>
      </c>
      <c r="AY734" t="s">
        <v>93</v>
      </c>
      <c r="AZ734">
        <v>0</v>
      </c>
      <c r="BA734">
        <v>0</v>
      </c>
      <c r="BB734">
        <v>0</v>
      </c>
      <c r="BC734">
        <v>0</v>
      </c>
      <c r="BD734">
        <v>246</v>
      </c>
      <c r="BE734">
        <v>22026</v>
      </c>
      <c r="BF734">
        <v>0</v>
      </c>
      <c r="BG734" t="s">
        <v>89</v>
      </c>
      <c r="BH734">
        <v>246</v>
      </c>
      <c r="BI734">
        <v>22026</v>
      </c>
      <c r="BJ734">
        <v>0</v>
      </c>
      <c r="BK734">
        <f t="shared" si="101"/>
        <v>246</v>
      </c>
      <c r="BL734">
        <f t="shared" si="102"/>
        <v>22026</v>
      </c>
      <c r="BM734">
        <f t="shared" si="103"/>
        <v>0</v>
      </c>
      <c r="BN734">
        <f t="shared" si="104"/>
        <v>0</v>
      </c>
      <c r="BO734">
        <f t="shared" si="105"/>
        <v>0</v>
      </c>
      <c r="BP734">
        <f t="shared" si="106"/>
        <v>0</v>
      </c>
      <c r="BQ734" t="s">
        <v>186</v>
      </c>
      <c r="BR734" t="s">
        <v>186</v>
      </c>
      <c r="BS734" s="1">
        <v>33325</v>
      </c>
      <c r="BT734">
        <v>34</v>
      </c>
      <c r="BU734" t="s">
        <v>89</v>
      </c>
      <c r="BV734" t="s">
        <v>89</v>
      </c>
      <c r="BW734">
        <v>13</v>
      </c>
      <c r="BX734">
        <v>1991</v>
      </c>
      <c r="BY734">
        <v>13</v>
      </c>
      <c r="BZ734">
        <f t="shared" si="107"/>
        <v>0</v>
      </c>
      <c r="CA734">
        <f t="shared" si="108"/>
        <v>0</v>
      </c>
      <c r="CB734" t="b">
        <f t="shared" si="109"/>
        <v>1</v>
      </c>
    </row>
    <row r="735" spans="1:80" x14ac:dyDescent="0.3">
      <c r="A735" t="s">
        <v>6152</v>
      </c>
      <c r="B735" t="s">
        <v>71</v>
      </c>
      <c r="C735" t="s">
        <v>6153</v>
      </c>
      <c r="D735">
        <v>33</v>
      </c>
      <c r="E735" s="1">
        <v>33690</v>
      </c>
      <c r="F735" t="s">
        <v>89</v>
      </c>
      <c r="G735" t="s">
        <v>143</v>
      </c>
      <c r="H735" t="s">
        <v>76</v>
      </c>
      <c r="I735" t="s">
        <v>340</v>
      </c>
      <c r="J735" t="s">
        <v>78</v>
      </c>
      <c r="K735" t="s">
        <v>89</v>
      </c>
      <c r="L735" t="s">
        <v>228</v>
      </c>
      <c r="M735">
        <v>18</v>
      </c>
      <c r="N735" t="s">
        <v>416</v>
      </c>
      <c r="O735">
        <v>2010</v>
      </c>
      <c r="P735" t="s">
        <v>6154</v>
      </c>
      <c r="Q735" t="s">
        <v>6155</v>
      </c>
      <c r="R735">
        <v>99349</v>
      </c>
      <c r="S735" t="s">
        <v>6156</v>
      </c>
      <c r="T735" t="s">
        <v>6157</v>
      </c>
      <c r="U735">
        <v>1992</v>
      </c>
      <c r="V735" t="s">
        <v>1450</v>
      </c>
      <c r="W735">
        <v>1.76</v>
      </c>
      <c r="X735" t="s">
        <v>76</v>
      </c>
      <c r="Y735" t="s">
        <v>86</v>
      </c>
      <c r="Z735" t="s">
        <v>87</v>
      </c>
      <c r="AA735" t="s">
        <v>6158</v>
      </c>
      <c r="AB735" s="1">
        <v>44933</v>
      </c>
      <c r="AC735" t="s">
        <v>108</v>
      </c>
      <c r="AD735" t="s">
        <v>89</v>
      </c>
      <c r="AE735" t="s">
        <v>6159</v>
      </c>
      <c r="AF735">
        <v>18</v>
      </c>
      <c r="AG735" t="s">
        <v>91</v>
      </c>
      <c r="AH735" t="s">
        <v>6160</v>
      </c>
      <c r="AI735">
        <v>20</v>
      </c>
      <c r="AJ735" t="s">
        <v>110</v>
      </c>
      <c r="AK735">
        <v>18</v>
      </c>
      <c r="AL735" t="s">
        <v>89</v>
      </c>
      <c r="AM735" t="s">
        <v>89</v>
      </c>
      <c r="AN735" t="s">
        <v>89</v>
      </c>
      <c r="AO735">
        <v>0</v>
      </c>
      <c r="AP735" t="s">
        <v>93</v>
      </c>
      <c r="AQ735" t="s">
        <v>89</v>
      </c>
      <c r="AR735" t="s">
        <v>89</v>
      </c>
      <c r="AS735" t="s">
        <v>111</v>
      </c>
      <c r="AT735">
        <v>44933</v>
      </c>
      <c r="AU735">
        <v>2023</v>
      </c>
      <c r="AV735">
        <v>13</v>
      </c>
      <c r="AW735">
        <v>13</v>
      </c>
      <c r="AX735" t="s">
        <v>89</v>
      </c>
      <c r="AY735" t="s">
        <v>93</v>
      </c>
      <c r="AZ735">
        <v>0</v>
      </c>
      <c r="BA735">
        <v>0</v>
      </c>
      <c r="BB735">
        <v>0</v>
      </c>
      <c r="BC735">
        <v>0</v>
      </c>
      <c r="BD735">
        <v>42</v>
      </c>
      <c r="BE735">
        <v>1918</v>
      </c>
      <c r="BF735">
        <v>0</v>
      </c>
      <c r="BG735">
        <v>31</v>
      </c>
      <c r="BH735">
        <v>42</v>
      </c>
      <c r="BI735">
        <v>1918</v>
      </c>
      <c r="BJ735">
        <v>0</v>
      </c>
      <c r="BK735">
        <f t="shared" si="101"/>
        <v>42</v>
      </c>
      <c r="BL735">
        <f t="shared" si="102"/>
        <v>1918</v>
      </c>
      <c r="BM735">
        <f t="shared" si="103"/>
        <v>0</v>
      </c>
      <c r="BN735">
        <f t="shared" si="104"/>
        <v>0</v>
      </c>
      <c r="BO735">
        <f t="shared" si="105"/>
        <v>0</v>
      </c>
      <c r="BP735">
        <f t="shared" si="106"/>
        <v>0</v>
      </c>
      <c r="BQ735" t="s">
        <v>86</v>
      </c>
      <c r="BR735" t="s">
        <v>94</v>
      </c>
      <c r="BS735" s="1">
        <v>33690</v>
      </c>
      <c r="BT735">
        <v>33</v>
      </c>
      <c r="BU735">
        <v>44933</v>
      </c>
      <c r="BV735" t="s">
        <v>89</v>
      </c>
      <c r="BW735">
        <v>13</v>
      </c>
      <c r="BX735">
        <v>1992</v>
      </c>
      <c r="BY735">
        <v>13</v>
      </c>
      <c r="BZ735">
        <f t="shared" si="107"/>
        <v>0</v>
      </c>
      <c r="CA735">
        <f t="shared" si="108"/>
        <v>0</v>
      </c>
      <c r="CB735" t="b">
        <f t="shared" si="109"/>
        <v>1</v>
      </c>
    </row>
    <row r="736" spans="1:80" x14ac:dyDescent="0.3">
      <c r="A736" t="s">
        <v>6161</v>
      </c>
      <c r="B736" t="s">
        <v>191</v>
      </c>
      <c r="C736" t="s">
        <v>6162</v>
      </c>
      <c r="D736">
        <v>45</v>
      </c>
      <c r="E736" s="1">
        <v>29084</v>
      </c>
      <c r="F736" t="s">
        <v>89</v>
      </c>
      <c r="G736" t="s">
        <v>176</v>
      </c>
      <c r="H736" t="s">
        <v>194</v>
      </c>
      <c r="I736" t="s">
        <v>227</v>
      </c>
      <c r="J736" t="s">
        <v>89</v>
      </c>
      <c r="K736" t="s">
        <v>89</v>
      </c>
      <c r="L736" t="s">
        <v>2014</v>
      </c>
      <c r="M736">
        <v>19</v>
      </c>
      <c r="N736" t="s">
        <v>3083</v>
      </c>
      <c r="O736">
        <v>1999</v>
      </c>
      <c r="P736" t="s">
        <v>6163</v>
      </c>
      <c r="Q736" t="s">
        <v>6164</v>
      </c>
      <c r="R736">
        <v>3573</v>
      </c>
      <c r="S736" t="s">
        <v>6161</v>
      </c>
      <c r="T736" t="s">
        <v>6165</v>
      </c>
      <c r="U736">
        <v>1979</v>
      </c>
      <c r="V736" t="s">
        <v>6166</v>
      </c>
      <c r="W736">
        <v>1.84</v>
      </c>
      <c r="X736" t="s">
        <v>194</v>
      </c>
      <c r="Y736" t="s">
        <v>235</v>
      </c>
      <c r="Z736" t="s">
        <v>152</v>
      </c>
      <c r="AA736" t="s">
        <v>3138</v>
      </c>
      <c r="AB736">
        <v>41646</v>
      </c>
      <c r="AC736" t="s">
        <v>108</v>
      </c>
      <c r="AD736" t="s">
        <v>89</v>
      </c>
      <c r="AE736" t="s">
        <v>2917</v>
      </c>
      <c r="AF736">
        <v>20</v>
      </c>
      <c r="AG736" t="s">
        <v>206</v>
      </c>
      <c r="AH736" t="s">
        <v>6167</v>
      </c>
      <c r="AI736">
        <v>18</v>
      </c>
      <c r="AJ736" t="s">
        <v>1044</v>
      </c>
      <c r="AK736">
        <v>18</v>
      </c>
      <c r="AL736">
        <v>7</v>
      </c>
      <c r="AM736">
        <v>133</v>
      </c>
      <c r="AN736">
        <v>24</v>
      </c>
      <c r="AO736">
        <v>2</v>
      </c>
      <c r="AP736" t="s">
        <v>93</v>
      </c>
      <c r="AQ736" t="s">
        <v>89</v>
      </c>
      <c r="AR736" t="s">
        <v>89</v>
      </c>
      <c r="AS736" t="s">
        <v>111</v>
      </c>
      <c r="AT736">
        <v>41646</v>
      </c>
      <c r="AU736">
        <v>2014</v>
      </c>
      <c r="AV736">
        <v>15</v>
      </c>
      <c r="AW736">
        <v>15</v>
      </c>
      <c r="AX736" t="s">
        <v>89</v>
      </c>
      <c r="AY736" t="s">
        <v>111</v>
      </c>
      <c r="AZ736">
        <v>2</v>
      </c>
      <c r="BA736">
        <v>7</v>
      </c>
      <c r="BB736">
        <v>548</v>
      </c>
      <c r="BC736">
        <v>0</v>
      </c>
      <c r="BD736">
        <v>409</v>
      </c>
      <c r="BE736">
        <v>34513</v>
      </c>
      <c r="BF736">
        <v>15</v>
      </c>
      <c r="BG736">
        <v>35</v>
      </c>
      <c r="BH736">
        <v>416</v>
      </c>
      <c r="BI736">
        <v>35061</v>
      </c>
      <c r="BJ736">
        <v>15</v>
      </c>
      <c r="BK736">
        <f t="shared" si="101"/>
        <v>416</v>
      </c>
      <c r="BL736">
        <f t="shared" si="102"/>
        <v>35061</v>
      </c>
      <c r="BM736">
        <f t="shared" si="103"/>
        <v>15</v>
      </c>
      <c r="BN736">
        <f t="shared" si="104"/>
        <v>0</v>
      </c>
      <c r="BO736">
        <f t="shared" si="105"/>
        <v>0</v>
      </c>
      <c r="BP736">
        <f t="shared" si="106"/>
        <v>0</v>
      </c>
      <c r="BQ736" t="s">
        <v>235</v>
      </c>
      <c r="BR736" t="s">
        <v>140</v>
      </c>
      <c r="BS736" s="1">
        <v>29084</v>
      </c>
      <c r="BT736">
        <v>46</v>
      </c>
      <c r="BU736">
        <v>41646</v>
      </c>
      <c r="BV736" t="s">
        <v>89</v>
      </c>
      <c r="BW736">
        <v>17</v>
      </c>
      <c r="BX736">
        <v>1979</v>
      </c>
      <c r="BY736">
        <v>17</v>
      </c>
      <c r="BZ736">
        <f t="shared" si="107"/>
        <v>-2</v>
      </c>
      <c r="CA736">
        <f t="shared" si="108"/>
        <v>0</v>
      </c>
      <c r="CB736" t="b">
        <f t="shared" si="109"/>
        <v>0</v>
      </c>
    </row>
    <row r="737" spans="1:80" x14ac:dyDescent="0.3">
      <c r="A737" t="s">
        <v>6168</v>
      </c>
      <c r="B737" t="s">
        <v>191</v>
      </c>
      <c r="C737" t="s">
        <v>6169</v>
      </c>
      <c r="D737">
        <v>38</v>
      </c>
      <c r="E737" s="1">
        <v>31906</v>
      </c>
      <c r="F737" t="s">
        <v>89</v>
      </c>
      <c r="G737" t="s">
        <v>518</v>
      </c>
      <c r="H737" t="s">
        <v>194</v>
      </c>
      <c r="I737" t="s">
        <v>437</v>
      </c>
      <c r="J737" t="s">
        <v>78</v>
      </c>
      <c r="K737" t="s">
        <v>89</v>
      </c>
      <c r="L737" t="s">
        <v>117</v>
      </c>
      <c r="M737">
        <v>18</v>
      </c>
      <c r="N737" t="s">
        <v>6170</v>
      </c>
      <c r="O737">
        <v>2005</v>
      </c>
      <c r="P737" t="s">
        <v>6171</v>
      </c>
      <c r="Q737" t="s">
        <v>6172</v>
      </c>
      <c r="R737">
        <v>27389</v>
      </c>
      <c r="S737" t="s">
        <v>6168</v>
      </c>
      <c r="T737">
        <v>32025</v>
      </c>
      <c r="U737">
        <v>1987</v>
      </c>
      <c r="V737" t="s">
        <v>6173</v>
      </c>
      <c r="W737">
        <v>1.72</v>
      </c>
      <c r="X737" t="s">
        <v>194</v>
      </c>
      <c r="Y737" t="s">
        <v>123</v>
      </c>
      <c r="Z737" t="s">
        <v>87</v>
      </c>
      <c r="AA737" t="s">
        <v>6174</v>
      </c>
      <c r="AB737" t="s">
        <v>6175</v>
      </c>
      <c r="AC737" t="s">
        <v>108</v>
      </c>
      <c r="AD737" t="s">
        <v>89</v>
      </c>
      <c r="AE737">
        <v>38634</v>
      </c>
      <c r="AF737">
        <v>18</v>
      </c>
      <c r="AG737" t="s">
        <v>206</v>
      </c>
      <c r="AH737" t="s">
        <v>6176</v>
      </c>
      <c r="AI737">
        <v>19</v>
      </c>
      <c r="AJ737" t="s">
        <v>1044</v>
      </c>
      <c r="AK737">
        <v>18</v>
      </c>
      <c r="AL737">
        <v>21</v>
      </c>
      <c r="AM737">
        <v>420</v>
      </c>
      <c r="AN737">
        <v>70</v>
      </c>
      <c r="AO737">
        <v>9</v>
      </c>
      <c r="AP737" t="s">
        <v>93</v>
      </c>
      <c r="AQ737" t="s">
        <v>89</v>
      </c>
      <c r="AR737" t="s">
        <v>89</v>
      </c>
      <c r="AS737" t="s">
        <v>111</v>
      </c>
      <c r="AT737" t="s">
        <v>6175</v>
      </c>
      <c r="AU737">
        <v>2025</v>
      </c>
      <c r="AV737">
        <v>20</v>
      </c>
      <c r="AW737">
        <v>20</v>
      </c>
      <c r="AX737" t="s">
        <v>89</v>
      </c>
      <c r="AY737" t="s">
        <v>111</v>
      </c>
      <c r="AZ737">
        <v>4</v>
      </c>
      <c r="BA737">
        <v>7</v>
      </c>
      <c r="BB737">
        <v>339</v>
      </c>
      <c r="BC737">
        <v>2</v>
      </c>
      <c r="BD737">
        <v>667</v>
      </c>
      <c r="BE737">
        <v>39512</v>
      </c>
      <c r="BF737">
        <v>220</v>
      </c>
      <c r="BG737">
        <v>38</v>
      </c>
      <c r="BH737">
        <v>674</v>
      </c>
      <c r="BI737">
        <v>39851</v>
      </c>
      <c r="BJ737">
        <v>222</v>
      </c>
      <c r="BK737">
        <f t="shared" si="101"/>
        <v>674</v>
      </c>
      <c r="BL737">
        <f t="shared" si="102"/>
        <v>39851</v>
      </c>
      <c r="BM737">
        <f t="shared" si="103"/>
        <v>222</v>
      </c>
      <c r="BN737">
        <f t="shared" si="104"/>
        <v>0</v>
      </c>
      <c r="BO737">
        <f t="shared" si="105"/>
        <v>0</v>
      </c>
      <c r="BP737">
        <f t="shared" si="106"/>
        <v>0</v>
      </c>
      <c r="BQ737" t="s">
        <v>123</v>
      </c>
      <c r="BR737" t="s">
        <v>112</v>
      </c>
      <c r="BS737" t="s">
        <v>89</v>
      </c>
      <c r="BT737">
        <v>39</v>
      </c>
      <c r="BU737" t="s">
        <v>6175</v>
      </c>
      <c r="BV737" s="1">
        <v>45732</v>
      </c>
      <c r="BW737">
        <v>20</v>
      </c>
      <c r="BX737">
        <v>1987</v>
      </c>
      <c r="BY737">
        <v>20</v>
      </c>
      <c r="BZ737">
        <f t="shared" si="107"/>
        <v>0</v>
      </c>
      <c r="CA737">
        <f t="shared" si="108"/>
        <v>0</v>
      </c>
      <c r="CB737" t="b">
        <f t="shared" si="109"/>
        <v>1</v>
      </c>
    </row>
    <row r="738" spans="1:80" ht="43.2" x14ac:dyDescent="0.3">
      <c r="A738" t="s">
        <v>6177</v>
      </c>
      <c r="B738" t="s">
        <v>776</v>
      </c>
      <c r="C738" t="s">
        <v>6178</v>
      </c>
      <c r="D738">
        <v>44</v>
      </c>
      <c r="E738" s="1">
        <v>29722</v>
      </c>
      <c r="F738" t="s">
        <v>89</v>
      </c>
      <c r="G738" t="s">
        <v>819</v>
      </c>
      <c r="H738" t="s">
        <v>89</v>
      </c>
      <c r="I738" t="s">
        <v>227</v>
      </c>
      <c r="J738" t="s">
        <v>78</v>
      </c>
      <c r="K738" t="s">
        <v>89</v>
      </c>
      <c r="L738" t="s">
        <v>163</v>
      </c>
      <c r="M738">
        <v>25</v>
      </c>
      <c r="N738" t="s">
        <v>607</v>
      </c>
      <c r="O738">
        <v>2006</v>
      </c>
      <c r="P738" t="s">
        <v>6179</v>
      </c>
      <c r="Q738" t="s">
        <v>6180</v>
      </c>
      <c r="R738">
        <v>41234</v>
      </c>
      <c r="S738" t="s">
        <v>6177</v>
      </c>
      <c r="T738" t="s">
        <v>6181</v>
      </c>
      <c r="U738">
        <v>1981</v>
      </c>
      <c r="V738" t="s">
        <v>6182</v>
      </c>
      <c r="W738" t="s">
        <v>89</v>
      </c>
      <c r="X738" t="s">
        <v>6183</v>
      </c>
      <c r="Y738" t="s">
        <v>5900</v>
      </c>
      <c r="Z738" t="s">
        <v>89</v>
      </c>
      <c r="AA738" t="s">
        <v>89</v>
      </c>
      <c r="AB738" s="2" t="s">
        <v>6184</v>
      </c>
      <c r="AC738" t="s">
        <v>108</v>
      </c>
      <c r="AD738" t="s">
        <v>89</v>
      </c>
      <c r="AE738">
        <v>2006</v>
      </c>
      <c r="AF738">
        <v>25</v>
      </c>
      <c r="AG738" t="s">
        <v>613</v>
      </c>
      <c r="AH738">
        <v>2011</v>
      </c>
      <c r="AI738">
        <v>29</v>
      </c>
      <c r="AJ738" t="s">
        <v>1328</v>
      </c>
      <c r="AK738">
        <v>25</v>
      </c>
      <c r="AL738">
        <v>1</v>
      </c>
      <c r="AM738">
        <v>253</v>
      </c>
      <c r="AN738">
        <v>34</v>
      </c>
      <c r="AO738">
        <v>1</v>
      </c>
      <c r="AP738" t="s">
        <v>93</v>
      </c>
      <c r="AQ738" t="s">
        <v>89</v>
      </c>
      <c r="AR738" t="s">
        <v>89</v>
      </c>
      <c r="AS738" t="s">
        <v>111</v>
      </c>
      <c r="AT738" s="1">
        <v>43837</v>
      </c>
      <c r="AU738">
        <v>2020</v>
      </c>
      <c r="AV738">
        <v>14</v>
      </c>
      <c r="AW738">
        <v>14</v>
      </c>
      <c r="AX738" t="s">
        <v>89</v>
      </c>
      <c r="AY738" t="s">
        <v>93</v>
      </c>
      <c r="AZ738">
        <v>0</v>
      </c>
      <c r="BA738">
        <v>0</v>
      </c>
      <c r="BB738">
        <v>0</v>
      </c>
      <c r="BC738">
        <v>0</v>
      </c>
      <c r="BD738">
        <v>168</v>
      </c>
      <c r="BE738">
        <v>13844</v>
      </c>
      <c r="BF738">
        <v>4</v>
      </c>
      <c r="BG738">
        <v>39</v>
      </c>
      <c r="BH738">
        <v>168</v>
      </c>
      <c r="BI738">
        <v>13844</v>
      </c>
      <c r="BJ738">
        <v>4</v>
      </c>
      <c r="BK738">
        <f t="shared" si="101"/>
        <v>168</v>
      </c>
      <c r="BL738">
        <f t="shared" si="102"/>
        <v>13844</v>
      </c>
      <c r="BM738">
        <f t="shared" si="103"/>
        <v>4</v>
      </c>
      <c r="BN738">
        <f t="shared" si="104"/>
        <v>0</v>
      </c>
      <c r="BO738">
        <f t="shared" si="105"/>
        <v>0</v>
      </c>
      <c r="BP738">
        <f t="shared" si="106"/>
        <v>0</v>
      </c>
      <c r="BQ738" t="s">
        <v>5900</v>
      </c>
      <c r="BR738" t="s">
        <v>140</v>
      </c>
      <c r="BS738" s="1">
        <v>29722</v>
      </c>
      <c r="BT738">
        <v>44</v>
      </c>
      <c r="BU738" s="1">
        <v>43837</v>
      </c>
      <c r="BV738" s="1">
        <v>44013</v>
      </c>
      <c r="BW738">
        <v>14</v>
      </c>
      <c r="BX738">
        <v>1981</v>
      </c>
      <c r="BY738">
        <v>14</v>
      </c>
      <c r="BZ738">
        <f t="shared" si="107"/>
        <v>0</v>
      </c>
      <c r="CA738">
        <f t="shared" si="108"/>
        <v>0</v>
      </c>
      <c r="CB738" t="b">
        <f t="shared" si="109"/>
        <v>1</v>
      </c>
    </row>
    <row r="739" spans="1:80" x14ac:dyDescent="0.3">
      <c r="A739" t="s">
        <v>6177</v>
      </c>
      <c r="B739" t="s">
        <v>89</v>
      </c>
      <c r="C739" t="s">
        <v>6185</v>
      </c>
      <c r="D739">
        <v>43</v>
      </c>
      <c r="E739" s="1">
        <v>30063</v>
      </c>
      <c r="F739" t="s">
        <v>89</v>
      </c>
      <c r="G739" t="s">
        <v>193</v>
      </c>
      <c r="H739" t="s">
        <v>778</v>
      </c>
      <c r="I739" t="s">
        <v>161</v>
      </c>
      <c r="J739" t="s">
        <v>639</v>
      </c>
      <c r="K739" t="s">
        <v>89</v>
      </c>
      <c r="L739" t="s">
        <v>657</v>
      </c>
      <c r="M739">
        <v>21</v>
      </c>
      <c r="N739" t="s">
        <v>3663</v>
      </c>
      <c r="O739">
        <v>2003</v>
      </c>
      <c r="P739" t="s">
        <v>6186</v>
      </c>
      <c r="Q739" t="s">
        <v>6180</v>
      </c>
      <c r="R739">
        <v>3366</v>
      </c>
      <c r="S739" t="s">
        <v>6177</v>
      </c>
      <c r="T739" t="s">
        <v>5606</v>
      </c>
      <c r="U739">
        <v>1982</v>
      </c>
      <c r="V739" t="s">
        <v>6187</v>
      </c>
      <c r="W739">
        <v>1.86</v>
      </c>
      <c r="X739" t="s">
        <v>2292</v>
      </c>
      <c r="Y739" t="s">
        <v>106</v>
      </c>
      <c r="Z739" t="s">
        <v>392</v>
      </c>
      <c r="AA739" t="s">
        <v>767</v>
      </c>
      <c r="AB739" t="s">
        <v>6188</v>
      </c>
      <c r="AC739" t="s">
        <v>108</v>
      </c>
      <c r="AD739" t="s">
        <v>442</v>
      </c>
      <c r="AE739">
        <v>2001</v>
      </c>
      <c r="AF739">
        <v>19</v>
      </c>
      <c r="AG739" t="s">
        <v>786</v>
      </c>
      <c r="AH739" t="s">
        <v>89</v>
      </c>
      <c r="AI739" t="s">
        <v>89</v>
      </c>
      <c r="AJ739" t="s">
        <v>89</v>
      </c>
      <c r="AK739">
        <v>19</v>
      </c>
      <c r="AL739">
        <v>12</v>
      </c>
      <c r="AM739">
        <v>390</v>
      </c>
      <c r="AN739">
        <v>68</v>
      </c>
      <c r="AO739">
        <v>7</v>
      </c>
      <c r="AP739" t="s">
        <v>93</v>
      </c>
      <c r="AQ739" t="s">
        <v>89</v>
      </c>
      <c r="AR739" t="s">
        <v>89</v>
      </c>
      <c r="AS739" t="s">
        <v>111</v>
      </c>
      <c r="AT739" t="s">
        <v>6188</v>
      </c>
      <c r="AU739">
        <v>2017</v>
      </c>
      <c r="AV739">
        <v>14</v>
      </c>
      <c r="AW739">
        <v>14</v>
      </c>
      <c r="AX739" t="s">
        <v>89</v>
      </c>
      <c r="AY739" t="s">
        <v>111</v>
      </c>
      <c r="AZ739">
        <v>9</v>
      </c>
      <c r="BA739">
        <v>24</v>
      </c>
      <c r="BB739">
        <v>1631</v>
      </c>
      <c r="BC739">
        <v>4</v>
      </c>
      <c r="BD739">
        <v>496</v>
      </c>
      <c r="BE739">
        <v>37552</v>
      </c>
      <c r="BF739">
        <v>157</v>
      </c>
      <c r="BG739">
        <v>35</v>
      </c>
      <c r="BH739">
        <v>520</v>
      </c>
      <c r="BI739">
        <v>39183</v>
      </c>
      <c r="BJ739">
        <v>161</v>
      </c>
      <c r="BK739">
        <f t="shared" si="101"/>
        <v>520</v>
      </c>
      <c r="BL739">
        <f t="shared" si="102"/>
        <v>39183</v>
      </c>
      <c r="BM739">
        <f t="shared" si="103"/>
        <v>161</v>
      </c>
      <c r="BN739">
        <f t="shared" si="104"/>
        <v>0</v>
      </c>
      <c r="BO739">
        <f t="shared" si="105"/>
        <v>0</v>
      </c>
      <c r="BP739">
        <f t="shared" si="106"/>
        <v>0</v>
      </c>
      <c r="BQ739" t="s">
        <v>106</v>
      </c>
      <c r="BR739" t="s">
        <v>112</v>
      </c>
      <c r="BS739" s="1">
        <v>30063</v>
      </c>
      <c r="BT739">
        <v>43</v>
      </c>
      <c r="BU739" t="s">
        <v>6188</v>
      </c>
      <c r="BV739" s="1">
        <v>43086</v>
      </c>
      <c r="BW739">
        <v>16</v>
      </c>
      <c r="BX739">
        <v>1982</v>
      </c>
      <c r="BY739">
        <v>16</v>
      </c>
      <c r="BZ739">
        <f t="shared" si="107"/>
        <v>-2</v>
      </c>
      <c r="CA739">
        <f t="shared" si="108"/>
        <v>0</v>
      </c>
      <c r="CB739" t="b">
        <f t="shared" si="109"/>
        <v>0</v>
      </c>
    </row>
    <row r="740" spans="1:80" x14ac:dyDescent="0.3">
      <c r="A740" t="s">
        <v>6189</v>
      </c>
      <c r="B740" t="s">
        <v>4646</v>
      </c>
      <c r="C740" t="s">
        <v>6190</v>
      </c>
      <c r="D740">
        <v>42</v>
      </c>
      <c r="E740" s="1">
        <v>30270</v>
      </c>
      <c r="F740" t="s">
        <v>89</v>
      </c>
      <c r="G740" t="s">
        <v>321</v>
      </c>
      <c r="H740" t="s">
        <v>4648</v>
      </c>
      <c r="I740" t="s">
        <v>161</v>
      </c>
      <c r="J740" t="s">
        <v>78</v>
      </c>
      <c r="K740" t="s">
        <v>89</v>
      </c>
      <c r="L740" t="s">
        <v>845</v>
      </c>
      <c r="M740">
        <v>19</v>
      </c>
      <c r="N740" t="s">
        <v>6191</v>
      </c>
      <c r="O740">
        <v>2002</v>
      </c>
      <c r="P740" t="s">
        <v>6192</v>
      </c>
      <c r="Q740" t="s">
        <v>6193</v>
      </c>
      <c r="R740">
        <v>6585</v>
      </c>
      <c r="S740" t="s">
        <v>6189</v>
      </c>
      <c r="T740" t="s">
        <v>6194</v>
      </c>
      <c r="U740">
        <v>1982</v>
      </c>
      <c r="V740" t="s">
        <v>4651</v>
      </c>
      <c r="W740">
        <v>1.8</v>
      </c>
      <c r="X740" t="s">
        <v>4652</v>
      </c>
      <c r="Y740" t="s">
        <v>123</v>
      </c>
      <c r="Z740" t="s">
        <v>87</v>
      </c>
      <c r="AA740" t="s">
        <v>6195</v>
      </c>
      <c r="AB740" s="1">
        <v>44568</v>
      </c>
      <c r="AC740" t="s">
        <v>108</v>
      </c>
      <c r="AD740" t="s">
        <v>89</v>
      </c>
      <c r="AE740" t="s">
        <v>6196</v>
      </c>
      <c r="AF740">
        <v>18</v>
      </c>
      <c r="AG740" t="s">
        <v>1631</v>
      </c>
      <c r="AH740" s="1">
        <v>38451</v>
      </c>
      <c r="AI740">
        <v>22</v>
      </c>
      <c r="AJ740" t="s">
        <v>110</v>
      </c>
      <c r="AK740">
        <v>18</v>
      </c>
      <c r="AL740">
        <v>4</v>
      </c>
      <c r="AM740">
        <v>113</v>
      </c>
      <c r="AN740">
        <v>10</v>
      </c>
      <c r="AO740">
        <v>3</v>
      </c>
      <c r="AP740" t="s">
        <v>93</v>
      </c>
      <c r="AQ740" t="s">
        <v>89</v>
      </c>
      <c r="AR740" t="s">
        <v>89</v>
      </c>
      <c r="AS740" t="s">
        <v>111</v>
      </c>
      <c r="AT740" s="1">
        <v>44568</v>
      </c>
      <c r="AU740">
        <v>2022</v>
      </c>
      <c r="AV740">
        <v>20</v>
      </c>
      <c r="AW740">
        <v>20</v>
      </c>
      <c r="AX740" t="s">
        <v>89</v>
      </c>
      <c r="AY740" t="s">
        <v>111</v>
      </c>
      <c r="AZ740">
        <v>3</v>
      </c>
      <c r="BA740">
        <v>8</v>
      </c>
      <c r="BB740">
        <v>437</v>
      </c>
      <c r="BC740">
        <v>2</v>
      </c>
      <c r="BD740">
        <v>392</v>
      </c>
      <c r="BE740">
        <v>24250</v>
      </c>
      <c r="BF740">
        <v>115</v>
      </c>
      <c r="BG740">
        <v>40</v>
      </c>
      <c r="BH740">
        <v>400</v>
      </c>
      <c r="BI740">
        <v>24687</v>
      </c>
      <c r="BJ740">
        <v>117</v>
      </c>
      <c r="BK740">
        <f t="shared" si="101"/>
        <v>400</v>
      </c>
      <c r="BL740">
        <f t="shared" si="102"/>
        <v>24687</v>
      </c>
      <c r="BM740">
        <f t="shared" si="103"/>
        <v>117</v>
      </c>
      <c r="BN740">
        <f t="shared" si="104"/>
        <v>0</v>
      </c>
      <c r="BO740">
        <f t="shared" si="105"/>
        <v>0</v>
      </c>
      <c r="BP740">
        <f t="shared" si="106"/>
        <v>0</v>
      </c>
      <c r="BQ740" t="s">
        <v>123</v>
      </c>
      <c r="BR740" t="s">
        <v>112</v>
      </c>
      <c r="BS740" s="1">
        <v>30270</v>
      </c>
      <c r="BT740">
        <v>43</v>
      </c>
      <c r="BU740" s="1">
        <v>44568</v>
      </c>
      <c r="BV740" s="1">
        <v>44743</v>
      </c>
      <c r="BW740">
        <v>22</v>
      </c>
      <c r="BX740">
        <v>1982</v>
      </c>
      <c r="BY740">
        <v>22</v>
      </c>
      <c r="BZ740">
        <f t="shared" si="107"/>
        <v>-2</v>
      </c>
      <c r="CA740">
        <f t="shared" si="108"/>
        <v>0</v>
      </c>
      <c r="CB740" t="b">
        <f t="shared" si="109"/>
        <v>0</v>
      </c>
    </row>
    <row r="741" spans="1:80" x14ac:dyDescent="0.3">
      <c r="A741" t="s">
        <v>6197</v>
      </c>
      <c r="B741" t="s">
        <v>191</v>
      </c>
      <c r="C741" t="s">
        <v>6198</v>
      </c>
      <c r="D741">
        <v>37</v>
      </c>
      <c r="E741" t="s">
        <v>6199</v>
      </c>
      <c r="F741" t="s">
        <v>6200</v>
      </c>
      <c r="G741" t="s">
        <v>413</v>
      </c>
      <c r="H741" t="s">
        <v>194</v>
      </c>
      <c r="I741" t="s">
        <v>437</v>
      </c>
      <c r="J741" t="s">
        <v>78</v>
      </c>
      <c r="K741" t="s">
        <v>3558</v>
      </c>
      <c r="L741" t="s">
        <v>145</v>
      </c>
      <c r="M741">
        <v>16</v>
      </c>
      <c r="N741" t="s">
        <v>201</v>
      </c>
      <c r="O741">
        <v>2004</v>
      </c>
      <c r="P741" t="s">
        <v>6201</v>
      </c>
      <c r="Q741" t="s">
        <v>6202</v>
      </c>
      <c r="R741">
        <v>18922</v>
      </c>
      <c r="S741" t="s">
        <v>6197</v>
      </c>
      <c r="T741" t="s">
        <v>6203</v>
      </c>
      <c r="U741">
        <v>1987</v>
      </c>
      <c r="V741" t="s">
        <v>201</v>
      </c>
      <c r="W741">
        <v>1.85</v>
      </c>
      <c r="X741" t="s">
        <v>1039</v>
      </c>
      <c r="Y741" t="s">
        <v>123</v>
      </c>
      <c r="Z741" t="s">
        <v>87</v>
      </c>
      <c r="AA741" t="s">
        <v>3563</v>
      </c>
      <c r="AB741" s="1">
        <v>44933</v>
      </c>
      <c r="AC741" t="s">
        <v>170</v>
      </c>
      <c r="AD741" t="s">
        <v>442</v>
      </c>
      <c r="AE741" t="s">
        <v>6204</v>
      </c>
      <c r="AF741">
        <v>17</v>
      </c>
      <c r="AG741" t="s">
        <v>206</v>
      </c>
      <c r="AH741" t="s">
        <v>92</v>
      </c>
      <c r="AI741" t="s">
        <v>89</v>
      </c>
      <c r="AJ741" t="s">
        <v>92</v>
      </c>
      <c r="AK741">
        <v>17</v>
      </c>
      <c r="AL741">
        <v>43</v>
      </c>
      <c r="AM741">
        <v>712</v>
      </c>
      <c r="AN741">
        <v>129</v>
      </c>
      <c r="AO741">
        <v>15</v>
      </c>
      <c r="AP741" t="s">
        <v>93</v>
      </c>
      <c r="AQ741" t="s">
        <v>89</v>
      </c>
      <c r="AR741" t="s">
        <v>89</v>
      </c>
      <c r="AS741" t="s">
        <v>93</v>
      </c>
      <c r="AT741" t="s">
        <v>89</v>
      </c>
      <c r="AU741" t="s">
        <v>89</v>
      </c>
      <c r="AV741" t="s">
        <v>89</v>
      </c>
      <c r="AW741">
        <v>21</v>
      </c>
      <c r="AX741">
        <v>9</v>
      </c>
      <c r="AY741" t="s">
        <v>111</v>
      </c>
      <c r="AZ741">
        <v>14</v>
      </c>
      <c r="BA741">
        <v>68</v>
      </c>
      <c r="BB741">
        <v>4714</v>
      </c>
      <c r="BC741">
        <v>28</v>
      </c>
      <c r="BD741">
        <v>794</v>
      </c>
      <c r="BE741">
        <v>57676</v>
      </c>
      <c r="BF741">
        <v>426</v>
      </c>
      <c r="BG741" t="s">
        <v>89</v>
      </c>
      <c r="BH741">
        <v>862</v>
      </c>
      <c r="BI741">
        <v>62390</v>
      </c>
      <c r="BJ741">
        <v>454</v>
      </c>
      <c r="BK741">
        <f t="shared" si="101"/>
        <v>862</v>
      </c>
      <c r="BL741">
        <f t="shared" si="102"/>
        <v>62390</v>
      </c>
      <c r="BM741">
        <f t="shared" si="103"/>
        <v>454</v>
      </c>
      <c r="BN741">
        <f t="shared" si="104"/>
        <v>0</v>
      </c>
      <c r="BO741">
        <f t="shared" si="105"/>
        <v>0</v>
      </c>
      <c r="BP741">
        <f t="shared" si="106"/>
        <v>0</v>
      </c>
      <c r="BQ741" t="s">
        <v>123</v>
      </c>
      <c r="BR741" t="s">
        <v>112</v>
      </c>
      <c r="BS741" s="1">
        <v>32130</v>
      </c>
      <c r="BT741">
        <v>38</v>
      </c>
      <c r="BU741" t="s">
        <v>89</v>
      </c>
      <c r="BV741" t="s">
        <v>89</v>
      </c>
      <c r="BW741">
        <v>21</v>
      </c>
      <c r="BX741">
        <v>1987</v>
      </c>
      <c r="BY741">
        <v>20</v>
      </c>
      <c r="BZ741">
        <f t="shared" si="107"/>
        <v>0</v>
      </c>
      <c r="CA741">
        <f t="shared" si="108"/>
        <v>1</v>
      </c>
      <c r="CB741" t="b">
        <f t="shared" si="109"/>
        <v>1</v>
      </c>
    </row>
    <row r="742" spans="1:80" x14ac:dyDescent="0.3">
      <c r="A742" t="s">
        <v>6205</v>
      </c>
      <c r="B742" t="s">
        <v>191</v>
      </c>
      <c r="C742" t="s">
        <v>6206</v>
      </c>
      <c r="D742">
        <v>36</v>
      </c>
      <c r="E742" t="s">
        <v>6207</v>
      </c>
      <c r="F742" t="s">
        <v>6208</v>
      </c>
      <c r="G742" t="s">
        <v>400</v>
      </c>
      <c r="H742" t="s">
        <v>89</v>
      </c>
      <c r="I742" t="s">
        <v>791</v>
      </c>
      <c r="J742" t="s">
        <v>300</v>
      </c>
      <c r="K742" t="s">
        <v>6209</v>
      </c>
      <c r="L742" t="s">
        <v>254</v>
      </c>
      <c r="M742">
        <v>20</v>
      </c>
      <c r="N742" t="s">
        <v>6210</v>
      </c>
      <c r="O742">
        <v>2009</v>
      </c>
      <c r="P742" t="s">
        <v>6211</v>
      </c>
      <c r="Q742" t="s">
        <v>6212</v>
      </c>
      <c r="R742">
        <v>61464</v>
      </c>
      <c r="S742" t="s">
        <v>6205</v>
      </c>
      <c r="T742" t="s">
        <v>6213</v>
      </c>
      <c r="U742">
        <v>1988</v>
      </c>
      <c r="V742" t="s">
        <v>6214</v>
      </c>
      <c r="W742">
        <v>1.82</v>
      </c>
      <c r="X742" t="s">
        <v>6215</v>
      </c>
      <c r="Y742" t="s">
        <v>494</v>
      </c>
      <c r="Z742" t="s">
        <v>152</v>
      </c>
      <c r="AA742" t="s">
        <v>6216</v>
      </c>
      <c r="AB742">
        <v>45786</v>
      </c>
      <c r="AC742" t="s">
        <v>108</v>
      </c>
      <c r="AD742" t="s">
        <v>89</v>
      </c>
      <c r="AE742" t="s">
        <v>6217</v>
      </c>
      <c r="AF742">
        <v>20</v>
      </c>
      <c r="AG742" t="s">
        <v>1054</v>
      </c>
      <c r="AH742">
        <v>39086</v>
      </c>
      <c r="AI742">
        <v>18</v>
      </c>
      <c r="AJ742" t="s">
        <v>6218</v>
      </c>
      <c r="AK742">
        <v>18</v>
      </c>
      <c r="AL742">
        <v>9</v>
      </c>
      <c r="AM742">
        <v>1106</v>
      </c>
      <c r="AN742">
        <v>122</v>
      </c>
      <c r="AO742">
        <v>6</v>
      </c>
      <c r="AP742" t="s">
        <v>93</v>
      </c>
      <c r="AQ742" t="s">
        <v>89</v>
      </c>
      <c r="AR742" t="s">
        <v>89</v>
      </c>
      <c r="AS742" t="s">
        <v>93</v>
      </c>
      <c r="AT742" t="s">
        <v>89</v>
      </c>
      <c r="AU742" t="s">
        <v>89</v>
      </c>
      <c r="AV742" t="s">
        <v>89</v>
      </c>
      <c r="AW742">
        <v>16</v>
      </c>
      <c r="AX742">
        <v>10</v>
      </c>
      <c r="AY742" t="s">
        <v>93</v>
      </c>
      <c r="AZ742">
        <v>0</v>
      </c>
      <c r="BA742">
        <v>0</v>
      </c>
      <c r="BB742">
        <v>0</v>
      </c>
      <c r="BC742">
        <v>0</v>
      </c>
      <c r="BD742">
        <v>229</v>
      </c>
      <c r="BE742">
        <v>14494</v>
      </c>
      <c r="BF742">
        <v>24</v>
      </c>
      <c r="BG742" t="s">
        <v>89</v>
      </c>
      <c r="BH742">
        <v>229</v>
      </c>
      <c r="BI742">
        <v>14494</v>
      </c>
      <c r="BJ742">
        <v>24</v>
      </c>
      <c r="BK742">
        <f t="shared" si="101"/>
        <v>229</v>
      </c>
      <c r="BL742">
        <f t="shared" si="102"/>
        <v>14494</v>
      </c>
      <c r="BM742">
        <f t="shared" si="103"/>
        <v>24</v>
      </c>
      <c r="BN742">
        <f t="shared" si="104"/>
        <v>0</v>
      </c>
      <c r="BO742">
        <f t="shared" si="105"/>
        <v>0</v>
      </c>
      <c r="BP742">
        <f t="shared" si="106"/>
        <v>0</v>
      </c>
      <c r="BQ742" t="s">
        <v>494</v>
      </c>
      <c r="BR742" t="s">
        <v>112</v>
      </c>
      <c r="BS742" s="1">
        <v>32441</v>
      </c>
      <c r="BT742">
        <v>37</v>
      </c>
      <c r="BU742" t="s">
        <v>89</v>
      </c>
      <c r="BV742" t="s">
        <v>89</v>
      </c>
      <c r="BW742">
        <v>19</v>
      </c>
      <c r="BX742">
        <v>1988</v>
      </c>
      <c r="BY742">
        <v>18</v>
      </c>
      <c r="BZ742">
        <f t="shared" si="107"/>
        <v>-3</v>
      </c>
      <c r="CA742">
        <f t="shared" si="108"/>
        <v>1</v>
      </c>
      <c r="CB742" t="b">
        <f t="shared" si="109"/>
        <v>0</v>
      </c>
    </row>
    <row r="743" spans="1:80" x14ac:dyDescent="0.3">
      <c r="A743" t="s">
        <v>6219</v>
      </c>
      <c r="B743" t="s">
        <v>2630</v>
      </c>
      <c r="C743" t="s">
        <v>6220</v>
      </c>
      <c r="D743">
        <v>44</v>
      </c>
      <c r="E743">
        <v>29527</v>
      </c>
      <c r="F743" t="s">
        <v>89</v>
      </c>
      <c r="G743" t="s">
        <v>97</v>
      </c>
      <c r="H743" t="s">
        <v>2632</v>
      </c>
      <c r="I743" t="s">
        <v>791</v>
      </c>
      <c r="J743" t="s">
        <v>78</v>
      </c>
      <c r="K743" t="s">
        <v>89</v>
      </c>
      <c r="L743">
        <v>2001</v>
      </c>
      <c r="M743">
        <v>20</v>
      </c>
      <c r="N743" t="s">
        <v>6221</v>
      </c>
      <c r="O743">
        <v>2001</v>
      </c>
      <c r="P743" t="s">
        <v>6222</v>
      </c>
      <c r="Q743" t="s">
        <v>6223</v>
      </c>
      <c r="R743">
        <v>17221</v>
      </c>
      <c r="S743" t="s">
        <v>6224</v>
      </c>
      <c r="T743">
        <v>29262</v>
      </c>
      <c r="U743">
        <v>1980</v>
      </c>
      <c r="V743" t="s">
        <v>6225</v>
      </c>
      <c r="W743">
        <v>1.81</v>
      </c>
      <c r="X743" t="s">
        <v>6226</v>
      </c>
      <c r="Y743" t="s">
        <v>585</v>
      </c>
      <c r="Z743" t="s">
        <v>87</v>
      </c>
      <c r="AA743" t="s">
        <v>6221</v>
      </c>
      <c r="AB743">
        <v>43466</v>
      </c>
      <c r="AC743" t="s">
        <v>108</v>
      </c>
      <c r="AD743" t="s">
        <v>89</v>
      </c>
      <c r="AE743">
        <v>37076</v>
      </c>
      <c r="AF743">
        <v>20</v>
      </c>
      <c r="AG743">
        <v>0</v>
      </c>
      <c r="AH743">
        <v>40977</v>
      </c>
      <c r="AI743">
        <v>31</v>
      </c>
      <c r="AJ743" t="s">
        <v>2641</v>
      </c>
      <c r="AK743">
        <v>20</v>
      </c>
      <c r="AL743">
        <v>5</v>
      </c>
      <c r="AM743">
        <v>207</v>
      </c>
      <c r="AN743">
        <v>29</v>
      </c>
      <c r="AO743">
        <v>4</v>
      </c>
      <c r="AP743" t="s">
        <v>93</v>
      </c>
      <c r="AQ743" t="s">
        <v>89</v>
      </c>
      <c r="AR743" t="s">
        <v>89</v>
      </c>
      <c r="AS743" t="s">
        <v>111</v>
      </c>
      <c r="AT743">
        <v>43466</v>
      </c>
      <c r="AU743">
        <v>2019</v>
      </c>
      <c r="AV743">
        <v>18</v>
      </c>
      <c r="AW743">
        <v>24</v>
      </c>
      <c r="AX743" t="s">
        <v>89</v>
      </c>
      <c r="AY743" t="s">
        <v>111</v>
      </c>
      <c r="AZ743">
        <v>1</v>
      </c>
      <c r="BA743">
        <v>2</v>
      </c>
      <c r="BB743">
        <v>46</v>
      </c>
      <c r="BC743">
        <v>0</v>
      </c>
      <c r="BD743">
        <v>387</v>
      </c>
      <c r="BE743">
        <v>27885</v>
      </c>
      <c r="BF743">
        <v>112</v>
      </c>
      <c r="BG743">
        <v>39</v>
      </c>
      <c r="BH743">
        <v>389</v>
      </c>
      <c r="BI743">
        <v>27931</v>
      </c>
      <c r="BJ743">
        <v>112</v>
      </c>
      <c r="BK743">
        <f t="shared" si="101"/>
        <v>389</v>
      </c>
      <c r="BL743">
        <f t="shared" si="102"/>
        <v>27931</v>
      </c>
      <c r="BM743">
        <f t="shared" si="103"/>
        <v>112</v>
      </c>
      <c r="BN743">
        <f t="shared" si="104"/>
        <v>0</v>
      </c>
      <c r="BO743">
        <f t="shared" si="105"/>
        <v>0</v>
      </c>
      <c r="BP743">
        <f t="shared" si="106"/>
        <v>0</v>
      </c>
      <c r="BQ743" t="s">
        <v>585</v>
      </c>
      <c r="BR743" t="s">
        <v>94</v>
      </c>
      <c r="BS743" t="s">
        <v>89</v>
      </c>
      <c r="BT743">
        <v>46</v>
      </c>
      <c r="BU743">
        <v>43466</v>
      </c>
      <c r="BV743" t="s">
        <v>89</v>
      </c>
      <c r="BW743">
        <v>19</v>
      </c>
      <c r="BX743">
        <v>1980</v>
      </c>
      <c r="BY743">
        <v>19</v>
      </c>
      <c r="BZ743">
        <f t="shared" si="107"/>
        <v>5</v>
      </c>
      <c r="CA743">
        <f t="shared" si="108"/>
        <v>0</v>
      </c>
      <c r="CB743" t="b">
        <f t="shared" si="109"/>
        <v>0</v>
      </c>
    </row>
    <row r="744" spans="1:80" x14ac:dyDescent="0.3">
      <c r="A744" t="s">
        <v>6227</v>
      </c>
      <c r="B744" t="s">
        <v>71</v>
      </c>
      <c r="C744" t="s">
        <v>6228</v>
      </c>
      <c r="D744">
        <v>35</v>
      </c>
      <c r="E744">
        <v>32759</v>
      </c>
      <c r="F744" t="s">
        <v>89</v>
      </c>
      <c r="G744" t="s">
        <v>160</v>
      </c>
      <c r="H744" t="s">
        <v>89</v>
      </c>
      <c r="I744" t="s">
        <v>195</v>
      </c>
      <c r="J744" t="s">
        <v>300</v>
      </c>
      <c r="K744" t="s">
        <v>89</v>
      </c>
      <c r="L744" t="s">
        <v>228</v>
      </c>
      <c r="M744">
        <v>20</v>
      </c>
      <c r="N744" t="s">
        <v>6229</v>
      </c>
      <c r="O744">
        <v>2010</v>
      </c>
      <c r="P744" t="s">
        <v>6230</v>
      </c>
      <c r="Q744" t="s">
        <v>6231</v>
      </c>
      <c r="R744">
        <v>163654</v>
      </c>
      <c r="S744" t="s">
        <v>6232</v>
      </c>
      <c r="T744" t="s">
        <v>6233</v>
      </c>
      <c r="U744">
        <v>1991</v>
      </c>
      <c r="V744" t="s">
        <v>6234</v>
      </c>
      <c r="W744">
        <v>1.77</v>
      </c>
      <c r="X744" t="s">
        <v>76</v>
      </c>
      <c r="Y744" t="s">
        <v>235</v>
      </c>
      <c r="Z744" t="s">
        <v>152</v>
      </c>
      <c r="AA744" t="s">
        <v>6235</v>
      </c>
      <c r="AB744">
        <v>44682</v>
      </c>
      <c r="AC744" t="s">
        <v>170</v>
      </c>
      <c r="AD744" t="s">
        <v>89</v>
      </c>
      <c r="AE744" t="s">
        <v>4644</v>
      </c>
      <c r="AF744">
        <v>21</v>
      </c>
      <c r="AG744" t="s">
        <v>91</v>
      </c>
      <c r="AH744" t="s">
        <v>2284</v>
      </c>
      <c r="AI744">
        <v>23</v>
      </c>
      <c r="AJ744" t="s">
        <v>110</v>
      </c>
      <c r="AK744">
        <v>21</v>
      </c>
      <c r="AL744">
        <v>5</v>
      </c>
      <c r="AM744">
        <v>268</v>
      </c>
      <c r="AN744">
        <v>25</v>
      </c>
      <c r="AO744">
        <v>5</v>
      </c>
      <c r="AP744" t="s">
        <v>93</v>
      </c>
      <c r="AQ744" t="s">
        <v>89</v>
      </c>
      <c r="AR744" t="s">
        <v>89</v>
      </c>
      <c r="AS744" t="s">
        <v>93</v>
      </c>
      <c r="AT744" t="s">
        <v>89</v>
      </c>
      <c r="AU744" t="s">
        <v>89</v>
      </c>
      <c r="AV744" t="s">
        <v>89</v>
      </c>
      <c r="AW744">
        <v>15</v>
      </c>
      <c r="AX744">
        <v>5</v>
      </c>
      <c r="AY744" t="s">
        <v>93</v>
      </c>
      <c r="AZ744">
        <v>0</v>
      </c>
      <c r="BA744">
        <v>0</v>
      </c>
      <c r="BB744">
        <v>0</v>
      </c>
      <c r="BC744">
        <v>0</v>
      </c>
      <c r="BD744">
        <v>128</v>
      </c>
      <c r="BE744">
        <v>10544</v>
      </c>
      <c r="BF744">
        <v>4</v>
      </c>
      <c r="BG744" t="s">
        <v>89</v>
      </c>
      <c r="BH744">
        <v>128</v>
      </c>
      <c r="BI744">
        <v>10544</v>
      </c>
      <c r="BJ744">
        <v>4</v>
      </c>
      <c r="BK744">
        <f t="shared" si="101"/>
        <v>128</v>
      </c>
      <c r="BL744">
        <f t="shared" si="102"/>
        <v>10544</v>
      </c>
      <c r="BM744">
        <f t="shared" si="103"/>
        <v>4</v>
      </c>
      <c r="BN744">
        <f t="shared" si="104"/>
        <v>0</v>
      </c>
      <c r="BO744">
        <f t="shared" si="105"/>
        <v>0</v>
      </c>
      <c r="BP744">
        <f t="shared" si="106"/>
        <v>0</v>
      </c>
      <c r="BQ744" t="s">
        <v>235</v>
      </c>
      <c r="BR744" t="s">
        <v>140</v>
      </c>
      <c r="BS744" t="s">
        <v>89</v>
      </c>
      <c r="BT744">
        <v>35</v>
      </c>
      <c r="BU744" t="s">
        <v>89</v>
      </c>
      <c r="BV744" t="s">
        <v>89</v>
      </c>
      <c r="BW744">
        <v>14</v>
      </c>
      <c r="BX744">
        <v>1991</v>
      </c>
      <c r="BY744">
        <v>14</v>
      </c>
      <c r="BZ744">
        <f t="shared" si="107"/>
        <v>1</v>
      </c>
      <c r="CA744">
        <f t="shared" si="108"/>
        <v>0</v>
      </c>
      <c r="CB744" t="b">
        <f t="shared" si="109"/>
        <v>0</v>
      </c>
    </row>
    <row r="745" spans="1:80" x14ac:dyDescent="0.3">
      <c r="A745" t="s">
        <v>6236</v>
      </c>
      <c r="B745" t="s">
        <v>71</v>
      </c>
      <c r="C745" t="s">
        <v>6237</v>
      </c>
      <c r="D745">
        <v>33</v>
      </c>
      <c r="E745">
        <v>33647</v>
      </c>
      <c r="F745" t="s">
        <v>89</v>
      </c>
      <c r="G745" t="s">
        <v>143</v>
      </c>
      <c r="H745" t="s">
        <v>76</v>
      </c>
      <c r="I745" t="s">
        <v>750</v>
      </c>
      <c r="J745" t="s">
        <v>89</v>
      </c>
      <c r="K745" t="s">
        <v>89</v>
      </c>
      <c r="L745" t="s">
        <v>254</v>
      </c>
      <c r="M745">
        <v>17</v>
      </c>
      <c r="N745" t="s">
        <v>508</v>
      </c>
      <c r="O745">
        <v>2009</v>
      </c>
      <c r="P745" t="s">
        <v>6238</v>
      </c>
      <c r="Q745" t="s">
        <v>6239</v>
      </c>
      <c r="R745">
        <v>89743</v>
      </c>
      <c r="S745" t="s">
        <v>6236</v>
      </c>
      <c r="T745" t="s">
        <v>6240</v>
      </c>
      <c r="U745">
        <v>1992</v>
      </c>
      <c r="V745" t="s">
        <v>508</v>
      </c>
      <c r="W745">
        <v>1.78</v>
      </c>
      <c r="X745" t="s">
        <v>76</v>
      </c>
      <c r="Y745" t="s">
        <v>136</v>
      </c>
      <c r="Z745" t="s">
        <v>87</v>
      </c>
      <c r="AA745" t="s">
        <v>6241</v>
      </c>
      <c r="AB745" s="1">
        <v>45298</v>
      </c>
      <c r="AC745" t="s">
        <v>108</v>
      </c>
      <c r="AD745" t="s">
        <v>89</v>
      </c>
      <c r="AE745">
        <v>40156</v>
      </c>
      <c r="AF745">
        <v>17</v>
      </c>
      <c r="AG745" t="s">
        <v>91</v>
      </c>
      <c r="AH745" t="s">
        <v>92</v>
      </c>
      <c r="AI745" t="s">
        <v>89</v>
      </c>
      <c r="AJ745" t="s">
        <v>92</v>
      </c>
      <c r="AK745">
        <v>17</v>
      </c>
      <c r="AL745" t="s">
        <v>89</v>
      </c>
      <c r="AM745" t="s">
        <v>89</v>
      </c>
      <c r="AN745" t="s">
        <v>89</v>
      </c>
      <c r="AO745">
        <v>0</v>
      </c>
      <c r="AP745" t="s">
        <v>93</v>
      </c>
      <c r="AQ745" t="s">
        <v>89</v>
      </c>
      <c r="AR745" t="s">
        <v>89</v>
      </c>
      <c r="AS745" t="s">
        <v>111</v>
      </c>
      <c r="AT745">
        <v>45298</v>
      </c>
      <c r="AU745">
        <v>2024</v>
      </c>
      <c r="AV745">
        <v>15</v>
      </c>
      <c r="AW745">
        <v>15</v>
      </c>
      <c r="AX745" t="s">
        <v>89</v>
      </c>
      <c r="AY745" t="s">
        <v>93</v>
      </c>
      <c r="AZ745">
        <v>0</v>
      </c>
      <c r="BA745">
        <v>0</v>
      </c>
      <c r="BB745">
        <v>0</v>
      </c>
      <c r="BC745">
        <v>0</v>
      </c>
      <c r="BD745">
        <v>12</v>
      </c>
      <c r="BE745">
        <v>498</v>
      </c>
      <c r="BF745">
        <v>1</v>
      </c>
      <c r="BG745">
        <v>32</v>
      </c>
      <c r="BH745">
        <v>12</v>
      </c>
      <c r="BI745">
        <v>498</v>
      </c>
      <c r="BJ745">
        <v>1</v>
      </c>
      <c r="BK745">
        <f t="shared" si="101"/>
        <v>12</v>
      </c>
      <c r="BL745">
        <f t="shared" si="102"/>
        <v>498</v>
      </c>
      <c r="BM745">
        <f t="shared" si="103"/>
        <v>1</v>
      </c>
      <c r="BN745">
        <f t="shared" si="104"/>
        <v>0</v>
      </c>
      <c r="BO745">
        <f t="shared" si="105"/>
        <v>0</v>
      </c>
      <c r="BP745">
        <f t="shared" si="106"/>
        <v>0</v>
      </c>
      <c r="BQ745" t="s">
        <v>136</v>
      </c>
      <c r="BR745" t="s">
        <v>140</v>
      </c>
      <c r="BS745" s="1">
        <v>33647</v>
      </c>
      <c r="BT745">
        <v>34</v>
      </c>
      <c r="BU745">
        <v>45298</v>
      </c>
      <c r="BV745" t="s">
        <v>89</v>
      </c>
      <c r="BW745">
        <v>15</v>
      </c>
      <c r="BX745">
        <v>1992</v>
      </c>
      <c r="BY745">
        <v>15</v>
      </c>
      <c r="BZ745">
        <f t="shared" si="107"/>
        <v>0</v>
      </c>
      <c r="CA745">
        <f t="shared" si="108"/>
        <v>0</v>
      </c>
      <c r="CB745" t="b">
        <f t="shared" si="109"/>
        <v>1</v>
      </c>
    </row>
    <row r="746" spans="1:80" x14ac:dyDescent="0.3">
      <c r="A746" t="s">
        <v>6242</v>
      </c>
      <c r="B746" t="s">
        <v>2131</v>
      </c>
      <c r="C746" t="s">
        <v>6243</v>
      </c>
      <c r="D746">
        <v>38</v>
      </c>
      <c r="E746" t="s">
        <v>6244</v>
      </c>
      <c r="F746" t="s">
        <v>6245</v>
      </c>
      <c r="G746" t="s">
        <v>413</v>
      </c>
      <c r="H746" t="s">
        <v>2135</v>
      </c>
      <c r="I746" t="s">
        <v>178</v>
      </c>
      <c r="J746" t="s">
        <v>78</v>
      </c>
      <c r="K746" t="s">
        <v>6246</v>
      </c>
      <c r="L746" t="s">
        <v>228</v>
      </c>
      <c r="M746">
        <v>23</v>
      </c>
      <c r="N746" t="s">
        <v>361</v>
      </c>
      <c r="O746">
        <v>2010</v>
      </c>
      <c r="P746" t="s">
        <v>6247</v>
      </c>
      <c r="Q746" t="s">
        <v>6248</v>
      </c>
      <c r="R746">
        <v>79422</v>
      </c>
      <c r="S746" t="s">
        <v>6242</v>
      </c>
      <c r="T746" t="s">
        <v>6249</v>
      </c>
      <c r="U746">
        <v>1986</v>
      </c>
      <c r="V746" t="s">
        <v>6250</v>
      </c>
      <c r="W746">
        <v>1.85</v>
      </c>
      <c r="X746" t="s">
        <v>6251</v>
      </c>
      <c r="Y746" t="s">
        <v>186</v>
      </c>
      <c r="Z746" t="s">
        <v>87</v>
      </c>
      <c r="AA746" t="s">
        <v>2508</v>
      </c>
      <c r="AB746" t="s">
        <v>1271</v>
      </c>
      <c r="AC746" t="s">
        <v>170</v>
      </c>
      <c r="AD746" t="s">
        <v>89</v>
      </c>
      <c r="AE746" t="s">
        <v>6252</v>
      </c>
      <c r="AF746">
        <v>21</v>
      </c>
      <c r="AG746" t="s">
        <v>2147</v>
      </c>
      <c r="AH746" t="s">
        <v>237</v>
      </c>
      <c r="AI746">
        <v>23</v>
      </c>
      <c r="AJ746" t="s">
        <v>110</v>
      </c>
      <c r="AK746">
        <v>21</v>
      </c>
      <c r="AL746">
        <v>28</v>
      </c>
      <c r="AM746">
        <v>548</v>
      </c>
      <c r="AN746">
        <v>96</v>
      </c>
      <c r="AO746">
        <v>10</v>
      </c>
      <c r="AP746" t="s">
        <v>93</v>
      </c>
      <c r="AQ746" t="s">
        <v>89</v>
      </c>
      <c r="AR746" t="s">
        <v>89</v>
      </c>
      <c r="AS746" t="s">
        <v>93</v>
      </c>
      <c r="AT746" t="s">
        <v>89</v>
      </c>
      <c r="AU746" t="s">
        <v>89</v>
      </c>
      <c r="AV746" t="s">
        <v>89</v>
      </c>
      <c r="AW746">
        <v>15</v>
      </c>
      <c r="AX746">
        <v>1</v>
      </c>
      <c r="AY746" t="s">
        <v>111</v>
      </c>
      <c r="AZ746">
        <v>19</v>
      </c>
      <c r="BA746">
        <v>92</v>
      </c>
      <c r="BB746">
        <v>8143</v>
      </c>
      <c r="BC746">
        <v>0</v>
      </c>
      <c r="BD746">
        <v>411</v>
      </c>
      <c r="BE746">
        <v>36921</v>
      </c>
      <c r="BF746">
        <v>0</v>
      </c>
      <c r="BG746" t="s">
        <v>89</v>
      </c>
      <c r="BH746">
        <v>503</v>
      </c>
      <c r="BI746">
        <v>45064</v>
      </c>
      <c r="BJ746">
        <v>0</v>
      </c>
      <c r="BK746">
        <f t="shared" si="101"/>
        <v>503</v>
      </c>
      <c r="BL746">
        <f t="shared" si="102"/>
        <v>45064</v>
      </c>
      <c r="BM746">
        <f t="shared" si="103"/>
        <v>0</v>
      </c>
      <c r="BN746">
        <f t="shared" si="104"/>
        <v>0</v>
      </c>
      <c r="BO746">
        <f t="shared" si="105"/>
        <v>0</v>
      </c>
      <c r="BP746">
        <f t="shared" si="106"/>
        <v>0</v>
      </c>
      <c r="BQ746" t="s">
        <v>186</v>
      </c>
      <c r="BR746" t="s">
        <v>186</v>
      </c>
      <c r="BS746" s="1">
        <v>31761</v>
      </c>
      <c r="BT746">
        <v>39</v>
      </c>
      <c r="BU746" t="s">
        <v>89</v>
      </c>
      <c r="BV746" t="s">
        <v>89</v>
      </c>
      <c r="BW746">
        <v>18</v>
      </c>
      <c r="BX746">
        <v>1986</v>
      </c>
      <c r="BY746">
        <v>17</v>
      </c>
      <c r="BZ746">
        <f t="shared" si="107"/>
        <v>-3</v>
      </c>
      <c r="CA746">
        <f t="shared" si="108"/>
        <v>1</v>
      </c>
      <c r="CB746" t="b">
        <f t="shared" si="109"/>
        <v>0</v>
      </c>
    </row>
    <row r="747" spans="1:80" x14ac:dyDescent="0.3">
      <c r="A747" t="s">
        <v>6253</v>
      </c>
      <c r="B747" t="s">
        <v>603</v>
      </c>
      <c r="C747" t="s">
        <v>6254</v>
      </c>
      <c r="D747">
        <v>32</v>
      </c>
      <c r="E747" t="s">
        <v>6255</v>
      </c>
      <c r="F747" t="s">
        <v>6256</v>
      </c>
      <c r="G747" t="s">
        <v>226</v>
      </c>
      <c r="H747" t="s">
        <v>606</v>
      </c>
      <c r="I747" t="s">
        <v>437</v>
      </c>
      <c r="J747" t="s">
        <v>78</v>
      </c>
      <c r="K747" t="s">
        <v>6257</v>
      </c>
      <c r="L747" t="s">
        <v>254</v>
      </c>
      <c r="M747">
        <v>16</v>
      </c>
      <c r="N747" t="s">
        <v>2763</v>
      </c>
      <c r="O747">
        <v>2009</v>
      </c>
      <c r="P747" t="s">
        <v>6258</v>
      </c>
      <c r="Q747" t="s">
        <v>6259</v>
      </c>
      <c r="R747">
        <v>124902</v>
      </c>
      <c r="S747" t="s">
        <v>6253</v>
      </c>
      <c r="T747" t="s">
        <v>6260</v>
      </c>
      <c r="U747">
        <v>1993</v>
      </c>
      <c r="V747" t="s">
        <v>6261</v>
      </c>
      <c r="W747">
        <v>1.85</v>
      </c>
      <c r="X747" t="s">
        <v>6262</v>
      </c>
      <c r="Y747" t="s">
        <v>123</v>
      </c>
      <c r="Z747" t="s">
        <v>87</v>
      </c>
      <c r="AA747" t="s">
        <v>6263</v>
      </c>
      <c r="AB747" t="s">
        <v>3844</v>
      </c>
      <c r="AC747" t="s">
        <v>170</v>
      </c>
      <c r="AD747" t="s">
        <v>89</v>
      </c>
      <c r="AE747" t="s">
        <v>6264</v>
      </c>
      <c r="AF747">
        <v>16</v>
      </c>
      <c r="AG747" t="s">
        <v>573</v>
      </c>
      <c r="AH747" t="s">
        <v>927</v>
      </c>
      <c r="AI747">
        <v>19</v>
      </c>
      <c r="AJ747" t="s">
        <v>575</v>
      </c>
      <c r="AK747">
        <v>16</v>
      </c>
      <c r="AL747">
        <v>21</v>
      </c>
      <c r="AM747">
        <v>510</v>
      </c>
      <c r="AN747">
        <v>75</v>
      </c>
      <c r="AO747">
        <v>9</v>
      </c>
      <c r="AP747" t="s">
        <v>93</v>
      </c>
      <c r="AQ747" t="s">
        <v>89</v>
      </c>
      <c r="AR747" t="s">
        <v>89</v>
      </c>
      <c r="AS747" t="s">
        <v>93</v>
      </c>
      <c r="AT747" t="s">
        <v>89</v>
      </c>
      <c r="AU747" t="s">
        <v>89</v>
      </c>
      <c r="AV747" t="s">
        <v>89</v>
      </c>
      <c r="AW747">
        <v>16</v>
      </c>
      <c r="AX747">
        <v>15</v>
      </c>
      <c r="AY747" t="s">
        <v>111</v>
      </c>
      <c r="AZ747">
        <v>3</v>
      </c>
      <c r="BA747">
        <v>2</v>
      </c>
      <c r="BB747">
        <v>74</v>
      </c>
      <c r="BC747">
        <v>0</v>
      </c>
      <c r="BD747">
        <v>314</v>
      </c>
      <c r="BE747">
        <v>16261</v>
      </c>
      <c r="BF747">
        <v>83</v>
      </c>
      <c r="BG747" t="s">
        <v>89</v>
      </c>
      <c r="BH747">
        <v>316</v>
      </c>
      <c r="BI747">
        <v>16335</v>
      </c>
      <c r="BJ747">
        <v>83</v>
      </c>
      <c r="BK747">
        <f t="shared" si="101"/>
        <v>316</v>
      </c>
      <c r="BL747">
        <f t="shared" si="102"/>
        <v>16335</v>
      </c>
      <c r="BM747">
        <f t="shared" si="103"/>
        <v>83</v>
      </c>
      <c r="BN747">
        <f t="shared" si="104"/>
        <v>0</v>
      </c>
      <c r="BO747">
        <f t="shared" si="105"/>
        <v>0</v>
      </c>
      <c r="BP747">
        <f t="shared" si="106"/>
        <v>0</v>
      </c>
      <c r="BQ747" t="s">
        <v>123</v>
      </c>
      <c r="BR747" t="s">
        <v>112</v>
      </c>
      <c r="BS747" s="1">
        <v>34045</v>
      </c>
      <c r="BT747">
        <v>32</v>
      </c>
      <c r="BU747" t="s">
        <v>89</v>
      </c>
      <c r="BV747" t="s">
        <v>89</v>
      </c>
      <c r="BW747">
        <v>16</v>
      </c>
      <c r="BX747">
        <v>1993</v>
      </c>
      <c r="BY747">
        <v>16</v>
      </c>
      <c r="BZ747">
        <f t="shared" si="107"/>
        <v>0</v>
      </c>
      <c r="CA747">
        <f t="shared" si="108"/>
        <v>0</v>
      </c>
      <c r="CB747" t="b">
        <f t="shared" si="109"/>
        <v>1</v>
      </c>
    </row>
    <row r="748" spans="1:80" x14ac:dyDescent="0.3">
      <c r="A748" t="s">
        <v>6265</v>
      </c>
      <c r="B748" t="s">
        <v>71</v>
      </c>
      <c r="C748" t="s">
        <v>6266</v>
      </c>
      <c r="D748">
        <v>38</v>
      </c>
      <c r="E748" s="1">
        <v>31687</v>
      </c>
      <c r="F748" t="s">
        <v>89</v>
      </c>
      <c r="G748" t="s">
        <v>241</v>
      </c>
      <c r="H748" t="s">
        <v>76</v>
      </c>
      <c r="I748" t="s">
        <v>178</v>
      </c>
      <c r="J748" t="s">
        <v>78</v>
      </c>
      <c r="K748" t="s">
        <v>89</v>
      </c>
      <c r="L748" t="s">
        <v>117</v>
      </c>
      <c r="M748">
        <v>18</v>
      </c>
      <c r="N748" t="s">
        <v>118</v>
      </c>
      <c r="O748">
        <v>2005</v>
      </c>
      <c r="P748" t="s">
        <v>6267</v>
      </c>
      <c r="Q748" t="s">
        <v>6268</v>
      </c>
      <c r="R748">
        <v>27486</v>
      </c>
      <c r="S748" t="s">
        <v>6265</v>
      </c>
      <c r="T748">
        <v>31453</v>
      </c>
      <c r="U748">
        <v>1986</v>
      </c>
      <c r="V748" t="s">
        <v>6269</v>
      </c>
      <c r="W748">
        <v>1.91</v>
      </c>
      <c r="X748" t="s">
        <v>76</v>
      </c>
      <c r="Y748" t="s">
        <v>186</v>
      </c>
      <c r="Z748" t="s">
        <v>87</v>
      </c>
      <c r="AA748" t="s">
        <v>181</v>
      </c>
      <c r="AB748" s="1">
        <v>44933</v>
      </c>
      <c r="AC748" t="s">
        <v>108</v>
      </c>
      <c r="AD748" t="s">
        <v>89</v>
      </c>
      <c r="AE748" t="s">
        <v>2146</v>
      </c>
      <c r="AF748">
        <v>21</v>
      </c>
      <c r="AG748" t="s">
        <v>91</v>
      </c>
      <c r="AH748" t="s">
        <v>6270</v>
      </c>
      <c r="AI748">
        <v>19</v>
      </c>
      <c r="AJ748" t="s">
        <v>110</v>
      </c>
      <c r="AK748">
        <v>19</v>
      </c>
      <c r="AL748">
        <v>1</v>
      </c>
      <c r="AM748">
        <v>32</v>
      </c>
      <c r="AN748">
        <v>3</v>
      </c>
      <c r="AO748">
        <v>1</v>
      </c>
      <c r="AP748" t="s">
        <v>93</v>
      </c>
      <c r="AQ748" t="s">
        <v>89</v>
      </c>
      <c r="AR748" t="s">
        <v>89</v>
      </c>
      <c r="AS748" t="s">
        <v>111</v>
      </c>
      <c r="AT748" s="1">
        <v>44933</v>
      </c>
      <c r="AU748">
        <v>2023</v>
      </c>
      <c r="AV748">
        <v>18</v>
      </c>
      <c r="AW748">
        <v>18</v>
      </c>
      <c r="AX748" t="s">
        <v>89</v>
      </c>
      <c r="AY748" t="s">
        <v>111</v>
      </c>
      <c r="AZ748">
        <v>2</v>
      </c>
      <c r="BA748">
        <v>1</v>
      </c>
      <c r="BB748">
        <v>14</v>
      </c>
      <c r="BC748">
        <v>0</v>
      </c>
      <c r="BD748">
        <v>312</v>
      </c>
      <c r="BE748">
        <v>27860</v>
      </c>
      <c r="BF748">
        <v>0</v>
      </c>
      <c r="BG748">
        <v>37</v>
      </c>
      <c r="BH748">
        <v>313</v>
      </c>
      <c r="BI748">
        <v>27874</v>
      </c>
      <c r="BJ748">
        <v>0</v>
      </c>
      <c r="BK748">
        <f t="shared" si="101"/>
        <v>313</v>
      </c>
      <c r="BL748">
        <f t="shared" si="102"/>
        <v>27874</v>
      </c>
      <c r="BM748">
        <f t="shared" si="103"/>
        <v>0</v>
      </c>
      <c r="BN748">
        <f t="shared" si="104"/>
        <v>0</v>
      </c>
      <c r="BO748">
        <f t="shared" si="105"/>
        <v>0</v>
      </c>
      <c r="BP748">
        <f t="shared" si="106"/>
        <v>0</v>
      </c>
      <c r="BQ748" t="s">
        <v>186</v>
      </c>
      <c r="BR748" t="s">
        <v>186</v>
      </c>
      <c r="BS748" t="s">
        <v>89</v>
      </c>
      <c r="BT748">
        <v>40</v>
      </c>
      <c r="BU748" s="1">
        <v>44933</v>
      </c>
      <c r="BV748" s="1">
        <v>45108</v>
      </c>
      <c r="BW748">
        <v>18</v>
      </c>
      <c r="BX748">
        <v>1986</v>
      </c>
      <c r="BY748">
        <v>18</v>
      </c>
      <c r="BZ748">
        <f t="shared" si="107"/>
        <v>0</v>
      </c>
      <c r="CA748">
        <f t="shared" si="108"/>
        <v>0</v>
      </c>
      <c r="CB748" t="b">
        <f t="shared" si="109"/>
        <v>1</v>
      </c>
    </row>
    <row r="749" spans="1:80" x14ac:dyDescent="0.3">
      <c r="A749" t="s">
        <v>6271</v>
      </c>
      <c r="B749" t="s">
        <v>71</v>
      </c>
      <c r="C749" t="s">
        <v>6272</v>
      </c>
      <c r="D749">
        <v>34</v>
      </c>
      <c r="E749" t="s">
        <v>6273</v>
      </c>
      <c r="F749" t="s">
        <v>6274</v>
      </c>
      <c r="G749" t="s">
        <v>211</v>
      </c>
      <c r="H749" t="s">
        <v>76</v>
      </c>
      <c r="I749" t="s">
        <v>6040</v>
      </c>
      <c r="J749" t="s">
        <v>78</v>
      </c>
      <c r="K749" t="s">
        <v>181</v>
      </c>
      <c r="L749" t="s">
        <v>130</v>
      </c>
      <c r="M749">
        <v>17</v>
      </c>
      <c r="N749" t="s">
        <v>3221</v>
      </c>
      <c r="O749">
        <v>2008</v>
      </c>
      <c r="P749" t="s">
        <v>6275</v>
      </c>
      <c r="Q749" t="s">
        <v>6276</v>
      </c>
      <c r="R749">
        <v>76467</v>
      </c>
      <c r="S749" t="s">
        <v>6271</v>
      </c>
      <c r="T749">
        <v>33271</v>
      </c>
      <c r="U749">
        <v>1991</v>
      </c>
      <c r="V749" t="s">
        <v>6277</v>
      </c>
      <c r="W749">
        <v>1.74</v>
      </c>
      <c r="X749" t="s">
        <v>76</v>
      </c>
      <c r="Y749" t="s">
        <v>136</v>
      </c>
      <c r="Z749" t="s">
        <v>87</v>
      </c>
      <c r="AA749" t="s">
        <v>181</v>
      </c>
      <c r="AB749" s="1">
        <v>45664</v>
      </c>
      <c r="AC749" t="s">
        <v>88</v>
      </c>
      <c r="AD749" t="s">
        <v>89</v>
      </c>
      <c r="AE749" t="s">
        <v>614</v>
      </c>
      <c r="AF749">
        <v>19</v>
      </c>
      <c r="AG749" t="s">
        <v>91</v>
      </c>
      <c r="AH749" t="s">
        <v>6278</v>
      </c>
      <c r="AI749">
        <v>17</v>
      </c>
      <c r="AJ749" t="s">
        <v>110</v>
      </c>
      <c r="AK749">
        <v>17</v>
      </c>
      <c r="AL749">
        <v>8</v>
      </c>
      <c r="AM749">
        <v>223</v>
      </c>
      <c r="AN749">
        <v>34</v>
      </c>
      <c r="AO749">
        <v>5</v>
      </c>
      <c r="AP749" t="s">
        <v>93</v>
      </c>
      <c r="AQ749" t="s">
        <v>89</v>
      </c>
      <c r="AR749" t="s">
        <v>89</v>
      </c>
      <c r="AS749" t="s">
        <v>93</v>
      </c>
      <c r="AT749" t="s">
        <v>89</v>
      </c>
      <c r="AU749" t="s">
        <v>89</v>
      </c>
      <c r="AV749" t="s">
        <v>89</v>
      </c>
      <c r="AW749">
        <v>17</v>
      </c>
      <c r="AX749">
        <v>17</v>
      </c>
      <c r="AY749" t="s">
        <v>93</v>
      </c>
      <c r="AZ749">
        <v>0</v>
      </c>
      <c r="BA749">
        <v>0</v>
      </c>
      <c r="BB749">
        <v>0</v>
      </c>
      <c r="BC749">
        <v>0</v>
      </c>
      <c r="BD749">
        <v>473</v>
      </c>
      <c r="BE749">
        <v>31616</v>
      </c>
      <c r="BF749">
        <v>16</v>
      </c>
      <c r="BG749" t="s">
        <v>89</v>
      </c>
      <c r="BH749">
        <v>473</v>
      </c>
      <c r="BI749">
        <v>31616</v>
      </c>
      <c r="BJ749">
        <v>16</v>
      </c>
      <c r="BK749">
        <f t="shared" si="101"/>
        <v>473</v>
      </c>
      <c r="BL749">
        <f t="shared" si="102"/>
        <v>31616</v>
      </c>
      <c r="BM749">
        <f t="shared" si="103"/>
        <v>16</v>
      </c>
      <c r="BN749">
        <f t="shared" si="104"/>
        <v>0</v>
      </c>
      <c r="BO749">
        <f t="shared" si="105"/>
        <v>0</v>
      </c>
      <c r="BP749">
        <f t="shared" si="106"/>
        <v>0</v>
      </c>
      <c r="BQ749" t="s">
        <v>136</v>
      </c>
      <c r="BR749" t="s">
        <v>140</v>
      </c>
      <c r="BS749" t="s">
        <v>89</v>
      </c>
      <c r="BT749">
        <v>35</v>
      </c>
      <c r="BU749" t="s">
        <v>89</v>
      </c>
      <c r="BV749" t="s">
        <v>89</v>
      </c>
      <c r="BW749">
        <v>18</v>
      </c>
      <c r="BX749">
        <v>1991</v>
      </c>
      <c r="BY749">
        <v>17</v>
      </c>
      <c r="BZ749">
        <f t="shared" si="107"/>
        <v>-1</v>
      </c>
      <c r="CA749">
        <f t="shared" si="108"/>
        <v>1</v>
      </c>
      <c r="CB749" t="b">
        <f t="shared" si="109"/>
        <v>0</v>
      </c>
    </row>
    <row r="750" spans="1:80" x14ac:dyDescent="0.3">
      <c r="A750" t="s">
        <v>6279</v>
      </c>
      <c r="B750" t="s">
        <v>71</v>
      </c>
      <c r="C750" t="s">
        <v>6280</v>
      </c>
      <c r="D750">
        <v>36</v>
      </c>
      <c r="E750" t="s">
        <v>6281</v>
      </c>
      <c r="F750" t="s">
        <v>6282</v>
      </c>
      <c r="G750" t="s">
        <v>374</v>
      </c>
      <c r="H750" t="s">
        <v>76</v>
      </c>
      <c r="I750" t="s">
        <v>414</v>
      </c>
      <c r="J750" t="s">
        <v>78</v>
      </c>
      <c r="K750" t="s">
        <v>1137</v>
      </c>
      <c r="L750" t="s">
        <v>163</v>
      </c>
      <c r="M750">
        <v>17</v>
      </c>
      <c r="N750" t="s">
        <v>1047</v>
      </c>
      <c r="O750">
        <v>2006</v>
      </c>
      <c r="P750" t="s">
        <v>6283</v>
      </c>
      <c r="Q750" t="s">
        <v>6284</v>
      </c>
      <c r="R750">
        <v>51667</v>
      </c>
      <c r="S750" t="s">
        <v>6279</v>
      </c>
      <c r="T750" t="s">
        <v>6285</v>
      </c>
      <c r="U750">
        <v>1988</v>
      </c>
      <c r="V750" t="s">
        <v>1887</v>
      </c>
      <c r="W750">
        <v>1.84</v>
      </c>
      <c r="X750" t="s">
        <v>76</v>
      </c>
      <c r="Y750" t="s">
        <v>235</v>
      </c>
      <c r="Z750" t="s">
        <v>87</v>
      </c>
      <c r="AA750" t="s">
        <v>476</v>
      </c>
      <c r="AB750" s="1">
        <v>45664</v>
      </c>
      <c r="AC750" t="s">
        <v>108</v>
      </c>
      <c r="AD750" t="s">
        <v>89</v>
      </c>
      <c r="AE750" t="s">
        <v>138</v>
      </c>
      <c r="AF750">
        <v>21</v>
      </c>
      <c r="AG750" t="s">
        <v>91</v>
      </c>
      <c r="AH750" t="s">
        <v>3270</v>
      </c>
      <c r="AI750">
        <v>18</v>
      </c>
      <c r="AJ750" t="s">
        <v>110</v>
      </c>
      <c r="AK750">
        <v>18</v>
      </c>
      <c r="AL750">
        <v>3</v>
      </c>
      <c r="AM750">
        <v>404</v>
      </c>
      <c r="AN750">
        <v>53</v>
      </c>
      <c r="AO750">
        <v>3</v>
      </c>
      <c r="AP750" t="s">
        <v>93</v>
      </c>
      <c r="AQ750" t="s">
        <v>89</v>
      </c>
      <c r="AR750" t="s">
        <v>89</v>
      </c>
      <c r="AS750" t="s">
        <v>93</v>
      </c>
      <c r="AT750" t="s">
        <v>89</v>
      </c>
      <c r="AU750" t="s">
        <v>89</v>
      </c>
      <c r="AV750" t="s">
        <v>89</v>
      </c>
      <c r="AW750">
        <v>19</v>
      </c>
      <c r="AX750" t="s">
        <v>89</v>
      </c>
      <c r="AY750" t="s">
        <v>93</v>
      </c>
      <c r="AZ750">
        <v>0</v>
      </c>
      <c r="BA750">
        <v>0</v>
      </c>
      <c r="BB750">
        <v>0</v>
      </c>
      <c r="BC750">
        <v>0</v>
      </c>
      <c r="BD750">
        <v>491</v>
      </c>
      <c r="BE750">
        <v>40548</v>
      </c>
      <c r="BF750">
        <v>18</v>
      </c>
      <c r="BG750" t="s">
        <v>89</v>
      </c>
      <c r="BH750">
        <v>491</v>
      </c>
      <c r="BI750">
        <v>40548</v>
      </c>
      <c r="BJ750">
        <v>18</v>
      </c>
      <c r="BK750">
        <f t="shared" si="101"/>
        <v>491</v>
      </c>
      <c r="BL750">
        <f t="shared" si="102"/>
        <v>40548</v>
      </c>
      <c r="BM750">
        <f t="shared" si="103"/>
        <v>18</v>
      </c>
      <c r="BN750">
        <f t="shared" si="104"/>
        <v>0</v>
      </c>
      <c r="BO750">
        <f t="shared" si="105"/>
        <v>0</v>
      </c>
      <c r="BP750">
        <f t="shared" si="106"/>
        <v>0</v>
      </c>
      <c r="BQ750" t="s">
        <v>235</v>
      </c>
      <c r="BR750" t="s">
        <v>140</v>
      </c>
      <c r="BS750" s="1">
        <v>32376</v>
      </c>
      <c r="BT750">
        <v>37</v>
      </c>
      <c r="BU750" t="s">
        <v>89</v>
      </c>
      <c r="BV750" t="s">
        <v>89</v>
      </c>
      <c r="BW750">
        <v>19</v>
      </c>
      <c r="BX750">
        <v>1988</v>
      </c>
      <c r="BY750">
        <v>18</v>
      </c>
      <c r="BZ750">
        <f t="shared" si="107"/>
        <v>0</v>
      </c>
      <c r="CA750">
        <f t="shared" si="108"/>
        <v>1</v>
      </c>
      <c r="CB750" t="b">
        <f t="shared" si="109"/>
        <v>1</v>
      </c>
    </row>
    <row r="751" spans="1:80" x14ac:dyDescent="0.3">
      <c r="A751" t="s">
        <v>6286</v>
      </c>
      <c r="B751" t="s">
        <v>6287</v>
      </c>
      <c r="C751" t="s">
        <v>6288</v>
      </c>
      <c r="D751">
        <v>30</v>
      </c>
      <c r="E751" s="1">
        <v>34704</v>
      </c>
      <c r="F751" t="s">
        <v>89</v>
      </c>
      <c r="G751" t="s">
        <v>1519</v>
      </c>
      <c r="H751" t="s">
        <v>6289</v>
      </c>
      <c r="I751" t="s">
        <v>1548</v>
      </c>
      <c r="J751" t="s">
        <v>89</v>
      </c>
      <c r="K751" t="s">
        <v>89</v>
      </c>
      <c r="L751" t="s">
        <v>324</v>
      </c>
      <c r="M751">
        <v>18</v>
      </c>
      <c r="N751" t="s">
        <v>527</v>
      </c>
      <c r="O751">
        <v>2013</v>
      </c>
      <c r="P751" t="s">
        <v>6290</v>
      </c>
      <c r="Q751" t="s">
        <v>6291</v>
      </c>
      <c r="R751">
        <v>271446</v>
      </c>
      <c r="S751" t="s">
        <v>6286</v>
      </c>
      <c r="T751" s="1">
        <v>34790</v>
      </c>
      <c r="U751">
        <v>1995</v>
      </c>
      <c r="V751" t="s">
        <v>6292</v>
      </c>
      <c r="W751">
        <v>1.66</v>
      </c>
      <c r="X751" t="s">
        <v>6293</v>
      </c>
      <c r="Y751" t="s">
        <v>494</v>
      </c>
      <c r="Z751" t="s">
        <v>152</v>
      </c>
      <c r="AA751" t="s">
        <v>6294</v>
      </c>
      <c r="AB751" s="1">
        <v>45658</v>
      </c>
      <c r="AC751" t="s">
        <v>108</v>
      </c>
      <c r="AD751" t="s">
        <v>89</v>
      </c>
      <c r="AE751" t="s">
        <v>125</v>
      </c>
      <c r="AF751">
        <v>18</v>
      </c>
      <c r="AG751" t="s">
        <v>91</v>
      </c>
      <c r="AH751" t="s">
        <v>92</v>
      </c>
      <c r="AI751" t="s">
        <v>89</v>
      </c>
      <c r="AJ751" t="s">
        <v>92</v>
      </c>
      <c r="AK751">
        <v>18</v>
      </c>
      <c r="AL751" t="s">
        <v>89</v>
      </c>
      <c r="AM751" t="s">
        <v>89</v>
      </c>
      <c r="AN751" t="s">
        <v>89</v>
      </c>
      <c r="AO751">
        <v>0</v>
      </c>
      <c r="AP751" t="s">
        <v>93</v>
      </c>
      <c r="AQ751" t="s">
        <v>89</v>
      </c>
      <c r="AR751" t="s">
        <v>89</v>
      </c>
      <c r="AS751" t="s">
        <v>93</v>
      </c>
      <c r="AT751" t="s">
        <v>89</v>
      </c>
      <c r="AU751" t="s">
        <v>89</v>
      </c>
      <c r="AV751" t="s">
        <v>89</v>
      </c>
      <c r="AW751">
        <v>12</v>
      </c>
      <c r="AX751">
        <v>18</v>
      </c>
      <c r="AY751" t="s">
        <v>93</v>
      </c>
      <c r="AZ751">
        <v>0</v>
      </c>
      <c r="BA751">
        <v>0</v>
      </c>
      <c r="BB751">
        <v>0</v>
      </c>
      <c r="BC751">
        <v>0</v>
      </c>
      <c r="BD751">
        <v>2</v>
      </c>
      <c r="BE751">
        <v>9</v>
      </c>
      <c r="BF751">
        <v>0</v>
      </c>
      <c r="BG751" t="s">
        <v>89</v>
      </c>
      <c r="BH751">
        <v>2</v>
      </c>
      <c r="BI751">
        <v>9</v>
      </c>
      <c r="BJ751">
        <v>0</v>
      </c>
      <c r="BK751">
        <f t="shared" si="101"/>
        <v>2</v>
      </c>
      <c r="BL751">
        <f t="shared" si="102"/>
        <v>9</v>
      </c>
      <c r="BM751">
        <f t="shared" si="103"/>
        <v>0</v>
      </c>
      <c r="BN751">
        <f t="shared" si="104"/>
        <v>0</v>
      </c>
      <c r="BO751">
        <f t="shared" si="105"/>
        <v>0</v>
      </c>
      <c r="BP751">
        <f t="shared" si="106"/>
        <v>0</v>
      </c>
      <c r="BQ751" t="s">
        <v>494</v>
      </c>
      <c r="BR751" t="s">
        <v>112</v>
      </c>
      <c r="BS751" s="1">
        <v>34703</v>
      </c>
      <c r="BT751">
        <v>31</v>
      </c>
      <c r="BU751" t="s">
        <v>89</v>
      </c>
      <c r="BV751" t="s">
        <v>89</v>
      </c>
      <c r="BW751">
        <v>13</v>
      </c>
      <c r="BX751">
        <v>1995</v>
      </c>
      <c r="BY751">
        <v>12</v>
      </c>
      <c r="BZ751">
        <f t="shared" si="107"/>
        <v>-1</v>
      </c>
      <c r="CA751">
        <f t="shared" si="108"/>
        <v>1</v>
      </c>
      <c r="CB751" t="b">
        <f t="shared" si="109"/>
        <v>0</v>
      </c>
    </row>
    <row r="752" spans="1:80" x14ac:dyDescent="0.3">
      <c r="A752" t="s">
        <v>6295</v>
      </c>
      <c r="B752" t="s">
        <v>6296</v>
      </c>
      <c r="C752" t="s">
        <v>6297</v>
      </c>
      <c r="D752">
        <v>40</v>
      </c>
      <c r="E752" s="1">
        <v>31245</v>
      </c>
      <c r="F752" t="s">
        <v>89</v>
      </c>
      <c r="G752" t="s">
        <v>160</v>
      </c>
      <c r="H752" t="s">
        <v>6298</v>
      </c>
      <c r="I752" t="s">
        <v>195</v>
      </c>
      <c r="J752" t="s">
        <v>300</v>
      </c>
      <c r="K752" t="s">
        <v>89</v>
      </c>
      <c r="L752">
        <v>2004</v>
      </c>
      <c r="M752">
        <v>18</v>
      </c>
      <c r="N752" t="s">
        <v>6299</v>
      </c>
      <c r="O752">
        <v>2004</v>
      </c>
      <c r="P752" t="s">
        <v>6300</v>
      </c>
      <c r="Q752" t="s">
        <v>6301</v>
      </c>
      <c r="R752">
        <v>37190</v>
      </c>
      <c r="S752" t="s">
        <v>6295</v>
      </c>
      <c r="T752" t="s">
        <v>6302</v>
      </c>
      <c r="U752">
        <v>1985</v>
      </c>
      <c r="V752" t="s">
        <v>6299</v>
      </c>
      <c r="W752">
        <v>1.77</v>
      </c>
      <c r="X752" t="s">
        <v>6298</v>
      </c>
      <c r="Y752" t="s">
        <v>203</v>
      </c>
      <c r="Z752" t="s">
        <v>152</v>
      </c>
      <c r="AA752" t="s">
        <v>6303</v>
      </c>
      <c r="AB752" s="1">
        <v>43101</v>
      </c>
      <c r="AC752" t="s">
        <v>108</v>
      </c>
      <c r="AD752" t="s">
        <v>89</v>
      </c>
      <c r="AE752">
        <v>38084</v>
      </c>
      <c r="AF752">
        <v>18</v>
      </c>
      <c r="AG752" t="s">
        <v>1360</v>
      </c>
      <c r="AH752">
        <v>39329</v>
      </c>
      <c r="AI752">
        <v>21</v>
      </c>
      <c r="AJ752" t="s">
        <v>2148</v>
      </c>
      <c r="AK752">
        <v>18</v>
      </c>
      <c r="AL752" t="s">
        <v>89</v>
      </c>
      <c r="AM752" t="s">
        <v>89</v>
      </c>
      <c r="AN752" t="s">
        <v>89</v>
      </c>
      <c r="AO752">
        <v>0</v>
      </c>
      <c r="AP752" t="s">
        <v>93</v>
      </c>
      <c r="AQ752" t="s">
        <v>89</v>
      </c>
      <c r="AR752" t="s">
        <v>89</v>
      </c>
      <c r="AS752" t="s">
        <v>111</v>
      </c>
      <c r="AT752" s="1">
        <v>43101</v>
      </c>
      <c r="AU752">
        <v>2018</v>
      </c>
      <c r="AV752">
        <v>14</v>
      </c>
      <c r="AW752">
        <v>21</v>
      </c>
      <c r="AX752" t="s">
        <v>89</v>
      </c>
      <c r="AY752" t="s">
        <v>93</v>
      </c>
      <c r="AZ752">
        <v>0</v>
      </c>
      <c r="BA752">
        <v>0</v>
      </c>
      <c r="BB752">
        <v>0</v>
      </c>
      <c r="BC752">
        <v>0</v>
      </c>
      <c r="BD752">
        <v>200</v>
      </c>
      <c r="BE752">
        <v>15758</v>
      </c>
      <c r="BF752">
        <v>1</v>
      </c>
      <c r="BG752">
        <v>33</v>
      </c>
      <c r="BH752">
        <v>200</v>
      </c>
      <c r="BI752">
        <v>15758</v>
      </c>
      <c r="BJ752">
        <v>1</v>
      </c>
      <c r="BK752">
        <f t="shared" si="101"/>
        <v>200</v>
      </c>
      <c r="BL752">
        <f t="shared" si="102"/>
        <v>15758</v>
      </c>
      <c r="BM752">
        <f t="shared" si="103"/>
        <v>1</v>
      </c>
      <c r="BN752">
        <f t="shared" si="104"/>
        <v>0</v>
      </c>
      <c r="BO752">
        <f t="shared" si="105"/>
        <v>0</v>
      </c>
      <c r="BP752">
        <f t="shared" si="106"/>
        <v>0</v>
      </c>
      <c r="BQ752" t="s">
        <v>203</v>
      </c>
      <c r="BR752" t="s">
        <v>140</v>
      </c>
      <c r="BS752" s="1">
        <v>31245</v>
      </c>
      <c r="BT752">
        <v>40</v>
      </c>
      <c r="BU752" s="1">
        <v>43101</v>
      </c>
      <c r="BV752" s="1">
        <v>43101</v>
      </c>
      <c r="BW752">
        <v>15</v>
      </c>
      <c r="BX752">
        <v>1985</v>
      </c>
      <c r="BY752">
        <v>15</v>
      </c>
      <c r="BZ752">
        <f t="shared" si="107"/>
        <v>6</v>
      </c>
      <c r="CA752">
        <f t="shared" si="108"/>
        <v>0</v>
      </c>
      <c r="CB752" t="b">
        <f t="shared" si="109"/>
        <v>0</v>
      </c>
    </row>
    <row r="753" spans="1:80" x14ac:dyDescent="0.3">
      <c r="A753" t="s">
        <v>6304</v>
      </c>
      <c r="B753" t="s">
        <v>71</v>
      </c>
      <c r="C753" t="s">
        <v>6305</v>
      </c>
      <c r="D753">
        <v>44</v>
      </c>
      <c r="E753" s="1">
        <v>29578</v>
      </c>
      <c r="F753" t="s">
        <v>89</v>
      </c>
      <c r="G753" t="s">
        <v>385</v>
      </c>
      <c r="H753" t="s">
        <v>89</v>
      </c>
      <c r="I753" t="s">
        <v>195</v>
      </c>
      <c r="J753" t="s">
        <v>89</v>
      </c>
      <c r="K753" t="s">
        <v>89</v>
      </c>
      <c r="L753" t="s">
        <v>180</v>
      </c>
      <c r="M753">
        <v>26</v>
      </c>
      <c r="N753" t="s">
        <v>137</v>
      </c>
      <c r="O753">
        <v>2007</v>
      </c>
      <c r="P753" t="s">
        <v>6306</v>
      </c>
      <c r="Q753" t="s">
        <v>6307</v>
      </c>
      <c r="R753">
        <v>57024</v>
      </c>
      <c r="S753" t="s">
        <v>6308</v>
      </c>
      <c r="T753" t="s">
        <v>6309</v>
      </c>
      <c r="U753">
        <v>1980</v>
      </c>
      <c r="V753" t="s">
        <v>6310</v>
      </c>
      <c r="W753">
        <v>1.68</v>
      </c>
      <c r="X753" t="s">
        <v>76</v>
      </c>
      <c r="Y753" t="s">
        <v>203</v>
      </c>
      <c r="Z753" t="s">
        <v>152</v>
      </c>
      <c r="AA753" t="s">
        <v>1983</v>
      </c>
      <c r="AB753" s="1">
        <v>41646</v>
      </c>
      <c r="AC753" t="s">
        <v>108</v>
      </c>
      <c r="AD753" t="s">
        <v>89</v>
      </c>
      <c r="AE753" t="s">
        <v>449</v>
      </c>
      <c r="AF753">
        <v>26</v>
      </c>
      <c r="AG753" t="s">
        <v>91</v>
      </c>
      <c r="AH753" t="s">
        <v>274</v>
      </c>
      <c r="AI753">
        <v>31</v>
      </c>
      <c r="AJ753" t="s">
        <v>110</v>
      </c>
      <c r="AK753">
        <v>26</v>
      </c>
      <c r="AL753">
        <v>1</v>
      </c>
      <c r="AM753">
        <v>5</v>
      </c>
      <c r="AN753">
        <v>1</v>
      </c>
      <c r="AO753">
        <v>1</v>
      </c>
      <c r="AP753" t="s">
        <v>93</v>
      </c>
      <c r="AQ753" t="s">
        <v>89</v>
      </c>
      <c r="AR753" t="s">
        <v>89</v>
      </c>
      <c r="AS753" t="s">
        <v>111</v>
      </c>
      <c r="AT753" s="1">
        <v>41646</v>
      </c>
      <c r="AU753">
        <v>2014</v>
      </c>
      <c r="AV753">
        <v>7</v>
      </c>
      <c r="AW753">
        <v>7</v>
      </c>
      <c r="AX753" t="s">
        <v>89</v>
      </c>
      <c r="AY753" t="s">
        <v>93</v>
      </c>
      <c r="AZ753">
        <v>0</v>
      </c>
      <c r="BA753">
        <v>0</v>
      </c>
      <c r="BB753">
        <v>0</v>
      </c>
      <c r="BC753">
        <v>0</v>
      </c>
      <c r="BD753">
        <v>134</v>
      </c>
      <c r="BE753">
        <v>10926</v>
      </c>
      <c r="BF753">
        <v>2</v>
      </c>
      <c r="BG753">
        <v>34</v>
      </c>
      <c r="BH753">
        <v>134</v>
      </c>
      <c r="BI753">
        <v>10926</v>
      </c>
      <c r="BJ753">
        <v>2</v>
      </c>
      <c r="BK753">
        <f t="shared" si="101"/>
        <v>134</v>
      </c>
      <c r="BL753">
        <f t="shared" si="102"/>
        <v>10926</v>
      </c>
      <c r="BM753">
        <f t="shared" si="103"/>
        <v>2</v>
      </c>
      <c r="BN753">
        <f t="shared" si="104"/>
        <v>0</v>
      </c>
      <c r="BO753">
        <f t="shared" si="105"/>
        <v>0</v>
      </c>
      <c r="BP753">
        <f t="shared" si="106"/>
        <v>0</v>
      </c>
      <c r="BQ753" t="s">
        <v>203</v>
      </c>
      <c r="BR753" t="s">
        <v>140</v>
      </c>
      <c r="BS753" s="1">
        <v>29578</v>
      </c>
      <c r="BT753">
        <v>45</v>
      </c>
      <c r="BU753" s="1">
        <v>41646</v>
      </c>
      <c r="BV753" s="1">
        <v>41821</v>
      </c>
      <c r="BW753">
        <v>8</v>
      </c>
      <c r="BX753">
        <v>1980</v>
      </c>
      <c r="BY753">
        <v>8</v>
      </c>
      <c r="BZ753">
        <f t="shared" si="107"/>
        <v>-1</v>
      </c>
      <c r="CA753">
        <f t="shared" si="108"/>
        <v>0</v>
      </c>
      <c r="CB753" t="b">
        <f t="shared" si="109"/>
        <v>0</v>
      </c>
    </row>
    <row r="754" spans="1:80" x14ac:dyDescent="0.3">
      <c r="A754" t="s">
        <v>6311</v>
      </c>
      <c r="B754" t="s">
        <v>71</v>
      </c>
      <c r="C754" t="s">
        <v>6312</v>
      </c>
      <c r="D754">
        <v>33</v>
      </c>
      <c r="E754" t="s">
        <v>6313</v>
      </c>
      <c r="F754" t="s">
        <v>265</v>
      </c>
      <c r="G754" t="s">
        <v>535</v>
      </c>
      <c r="H754" t="s">
        <v>76</v>
      </c>
      <c r="I754" t="s">
        <v>2906</v>
      </c>
      <c r="J754" t="s">
        <v>78</v>
      </c>
      <c r="K754" t="s">
        <v>81</v>
      </c>
      <c r="L754" t="s">
        <v>254</v>
      </c>
      <c r="M754">
        <v>17</v>
      </c>
      <c r="N754" t="s">
        <v>81</v>
      </c>
      <c r="O754">
        <v>2009</v>
      </c>
      <c r="P754" t="s">
        <v>6314</v>
      </c>
      <c r="Q754" t="s">
        <v>6315</v>
      </c>
      <c r="R754">
        <v>74229</v>
      </c>
      <c r="S754" t="s">
        <v>6311</v>
      </c>
      <c r="T754">
        <v>33817</v>
      </c>
      <c r="U754">
        <v>1992</v>
      </c>
      <c r="V754" t="s">
        <v>122</v>
      </c>
      <c r="W754">
        <v>1.76</v>
      </c>
      <c r="X754" t="s">
        <v>76</v>
      </c>
      <c r="Y754" t="s">
        <v>86</v>
      </c>
      <c r="Z754" t="s">
        <v>87</v>
      </c>
      <c r="AA754" t="s">
        <v>1370</v>
      </c>
      <c r="AB754" s="1">
        <v>40544</v>
      </c>
      <c r="AC754" t="s">
        <v>170</v>
      </c>
      <c r="AD754" t="s">
        <v>442</v>
      </c>
      <c r="AE754" t="s">
        <v>1579</v>
      </c>
      <c r="AF754">
        <v>17</v>
      </c>
      <c r="AG754" t="s">
        <v>91</v>
      </c>
      <c r="AH754" t="s">
        <v>92</v>
      </c>
      <c r="AI754" t="s">
        <v>89</v>
      </c>
      <c r="AJ754" t="s">
        <v>92</v>
      </c>
      <c r="AK754">
        <v>17</v>
      </c>
      <c r="AL754">
        <v>16</v>
      </c>
      <c r="AM754">
        <v>346</v>
      </c>
      <c r="AN754">
        <v>63</v>
      </c>
      <c r="AO754">
        <v>9</v>
      </c>
      <c r="AP754" t="s">
        <v>93</v>
      </c>
      <c r="AQ754" t="s">
        <v>89</v>
      </c>
      <c r="AR754" t="s">
        <v>89</v>
      </c>
      <c r="AS754" t="s">
        <v>93</v>
      </c>
      <c r="AT754" t="s">
        <v>89</v>
      </c>
      <c r="AU754" t="s">
        <v>89</v>
      </c>
      <c r="AV754" t="s">
        <v>89</v>
      </c>
      <c r="AW754">
        <v>16</v>
      </c>
      <c r="AX754">
        <v>6</v>
      </c>
      <c r="AY754" t="s">
        <v>111</v>
      </c>
      <c r="AZ754">
        <v>20</v>
      </c>
      <c r="BA754">
        <v>65</v>
      </c>
      <c r="BB754">
        <v>4217</v>
      </c>
      <c r="BC754">
        <v>0</v>
      </c>
      <c r="BD754">
        <v>672</v>
      </c>
      <c r="BE754">
        <v>51186</v>
      </c>
      <c r="BF754">
        <v>48</v>
      </c>
      <c r="BG754" t="s">
        <v>89</v>
      </c>
      <c r="BH754">
        <v>737</v>
      </c>
      <c r="BI754">
        <v>55403</v>
      </c>
      <c r="BJ754">
        <v>48</v>
      </c>
      <c r="BK754">
        <f t="shared" si="101"/>
        <v>737</v>
      </c>
      <c r="BL754">
        <f t="shared" si="102"/>
        <v>55403</v>
      </c>
      <c r="BM754">
        <f t="shared" si="103"/>
        <v>48</v>
      </c>
      <c r="BN754">
        <f t="shared" si="104"/>
        <v>0</v>
      </c>
      <c r="BO754">
        <f t="shared" si="105"/>
        <v>0</v>
      </c>
      <c r="BP754">
        <f t="shared" si="106"/>
        <v>0</v>
      </c>
      <c r="BQ754" t="s">
        <v>86</v>
      </c>
      <c r="BR754" t="s">
        <v>94</v>
      </c>
      <c r="BS754" t="s">
        <v>89</v>
      </c>
      <c r="BT754">
        <v>34</v>
      </c>
      <c r="BU754" t="s">
        <v>89</v>
      </c>
      <c r="BV754" t="s">
        <v>89</v>
      </c>
      <c r="BW754">
        <v>17</v>
      </c>
      <c r="BX754">
        <v>1992</v>
      </c>
      <c r="BY754">
        <v>16</v>
      </c>
      <c r="BZ754">
        <f t="shared" si="107"/>
        <v>-1</v>
      </c>
      <c r="CA754">
        <f t="shared" si="108"/>
        <v>1</v>
      </c>
      <c r="CB754" t="b">
        <f t="shared" si="109"/>
        <v>0</v>
      </c>
    </row>
    <row r="755" spans="1:80" x14ac:dyDescent="0.3">
      <c r="A755" t="s">
        <v>6311</v>
      </c>
      <c r="B755" t="s">
        <v>89</v>
      </c>
      <c r="C755" t="s">
        <v>6316</v>
      </c>
      <c r="D755">
        <v>42</v>
      </c>
      <c r="E755" s="1">
        <v>30433</v>
      </c>
      <c r="F755" t="s">
        <v>89</v>
      </c>
      <c r="G755" t="s">
        <v>75</v>
      </c>
      <c r="H755" t="s">
        <v>89</v>
      </c>
      <c r="I755" t="s">
        <v>437</v>
      </c>
      <c r="J755" t="s">
        <v>89</v>
      </c>
      <c r="K755" t="s">
        <v>89</v>
      </c>
      <c r="L755" t="s">
        <v>845</v>
      </c>
      <c r="M755">
        <v>19</v>
      </c>
      <c r="N755" t="s">
        <v>6317</v>
      </c>
      <c r="O755">
        <v>2002</v>
      </c>
      <c r="P755" t="s">
        <v>6318</v>
      </c>
      <c r="Q755" t="s">
        <v>6315</v>
      </c>
      <c r="R755">
        <v>16132</v>
      </c>
      <c r="S755" t="s">
        <v>6311</v>
      </c>
      <c r="T755" t="s">
        <v>6319</v>
      </c>
      <c r="U755">
        <v>1983</v>
      </c>
      <c r="V755" t="s">
        <v>1047</v>
      </c>
      <c r="W755" t="s">
        <v>89</v>
      </c>
      <c r="X755" t="s">
        <v>76</v>
      </c>
      <c r="Y755" t="s">
        <v>123</v>
      </c>
      <c r="Z755" t="s">
        <v>89</v>
      </c>
      <c r="AA755" t="s">
        <v>6320</v>
      </c>
      <c r="AB755">
        <v>42834</v>
      </c>
      <c r="AC755" t="s">
        <v>108</v>
      </c>
      <c r="AD755" t="s">
        <v>89</v>
      </c>
      <c r="AE755" t="s">
        <v>1490</v>
      </c>
      <c r="AF755">
        <v>19</v>
      </c>
      <c r="AG755" t="s">
        <v>91</v>
      </c>
      <c r="AH755" t="s">
        <v>458</v>
      </c>
      <c r="AI755">
        <v>20</v>
      </c>
      <c r="AJ755" t="s">
        <v>110</v>
      </c>
      <c r="AK755">
        <v>19</v>
      </c>
      <c r="AL755">
        <v>1</v>
      </c>
      <c r="AM755">
        <v>15</v>
      </c>
      <c r="AN755">
        <v>3</v>
      </c>
      <c r="AO755">
        <v>1</v>
      </c>
      <c r="AP755" t="s">
        <v>93</v>
      </c>
      <c r="AQ755" t="s">
        <v>89</v>
      </c>
      <c r="AR755" t="s">
        <v>89</v>
      </c>
      <c r="AS755" t="s">
        <v>111</v>
      </c>
      <c r="AT755">
        <v>42834</v>
      </c>
      <c r="AU755">
        <v>2017</v>
      </c>
      <c r="AV755">
        <v>15</v>
      </c>
      <c r="AW755">
        <v>15</v>
      </c>
      <c r="AX755" t="s">
        <v>89</v>
      </c>
      <c r="AY755" t="s">
        <v>93</v>
      </c>
      <c r="AZ755">
        <v>0</v>
      </c>
      <c r="BA755">
        <v>0</v>
      </c>
      <c r="BB755">
        <v>0</v>
      </c>
      <c r="BC755">
        <v>0</v>
      </c>
      <c r="BD755">
        <v>236</v>
      </c>
      <c r="BE755">
        <v>16292</v>
      </c>
      <c r="BF755">
        <v>46</v>
      </c>
      <c r="BG755">
        <v>34</v>
      </c>
      <c r="BH755">
        <v>236</v>
      </c>
      <c r="BI755">
        <v>16292</v>
      </c>
      <c r="BJ755">
        <v>46</v>
      </c>
      <c r="BK755">
        <f t="shared" si="101"/>
        <v>236</v>
      </c>
      <c r="BL755">
        <f t="shared" si="102"/>
        <v>16292</v>
      </c>
      <c r="BM755">
        <f t="shared" si="103"/>
        <v>46</v>
      </c>
      <c r="BN755">
        <f t="shared" si="104"/>
        <v>0</v>
      </c>
      <c r="BO755">
        <f t="shared" si="105"/>
        <v>0</v>
      </c>
      <c r="BP755">
        <f t="shared" si="106"/>
        <v>0</v>
      </c>
      <c r="BQ755" t="s">
        <v>123</v>
      </c>
      <c r="BR755" t="s">
        <v>112</v>
      </c>
      <c r="BS755" t="s">
        <v>89</v>
      </c>
      <c r="BT755">
        <v>43</v>
      </c>
      <c r="BU755">
        <v>42834</v>
      </c>
      <c r="BV755" t="s">
        <v>89</v>
      </c>
      <c r="BW755">
        <v>15</v>
      </c>
      <c r="BX755">
        <v>1983</v>
      </c>
      <c r="BY755">
        <v>15</v>
      </c>
      <c r="BZ755">
        <f t="shared" si="107"/>
        <v>0</v>
      </c>
      <c r="CA755">
        <f t="shared" si="108"/>
        <v>0</v>
      </c>
      <c r="CB755" t="b">
        <f t="shared" si="109"/>
        <v>1</v>
      </c>
    </row>
    <row r="756" spans="1:80" x14ac:dyDescent="0.3">
      <c r="A756" t="s">
        <v>6321</v>
      </c>
      <c r="B756" t="s">
        <v>6322</v>
      </c>
      <c r="C756" t="s">
        <v>6323</v>
      </c>
      <c r="D756">
        <v>39</v>
      </c>
      <c r="E756" s="1">
        <v>31260</v>
      </c>
      <c r="F756" t="s">
        <v>89</v>
      </c>
      <c r="G756" t="s">
        <v>226</v>
      </c>
      <c r="H756" t="s">
        <v>6324</v>
      </c>
      <c r="I756" t="s">
        <v>227</v>
      </c>
      <c r="J756" t="s">
        <v>89</v>
      </c>
      <c r="K756" t="s">
        <v>89</v>
      </c>
      <c r="L756" t="s">
        <v>657</v>
      </c>
      <c r="M756">
        <v>17</v>
      </c>
      <c r="N756" t="s">
        <v>6325</v>
      </c>
      <c r="O756">
        <v>2003</v>
      </c>
      <c r="P756" t="s">
        <v>6326</v>
      </c>
      <c r="Q756" t="s">
        <v>6327</v>
      </c>
      <c r="R756">
        <v>22931</v>
      </c>
      <c r="S756" t="s">
        <v>6321</v>
      </c>
      <c r="T756">
        <v>31055</v>
      </c>
      <c r="U756">
        <v>1985</v>
      </c>
      <c r="V756" t="s">
        <v>6328</v>
      </c>
      <c r="W756">
        <v>1.85</v>
      </c>
      <c r="X756" t="s">
        <v>6324</v>
      </c>
      <c r="Y756" t="s">
        <v>235</v>
      </c>
      <c r="Z756" t="s">
        <v>87</v>
      </c>
      <c r="AA756" t="s">
        <v>6329</v>
      </c>
      <c r="AB756" s="1">
        <v>42376</v>
      </c>
      <c r="AC756" t="s">
        <v>108</v>
      </c>
      <c r="AD756" t="s">
        <v>89</v>
      </c>
      <c r="AE756" t="s">
        <v>6330</v>
      </c>
      <c r="AF756">
        <v>18</v>
      </c>
      <c r="AG756" t="s">
        <v>5682</v>
      </c>
      <c r="AH756" t="s">
        <v>92</v>
      </c>
      <c r="AI756" t="s">
        <v>89</v>
      </c>
      <c r="AJ756" t="s">
        <v>92</v>
      </c>
      <c r="AK756">
        <v>18</v>
      </c>
      <c r="AL756">
        <v>4</v>
      </c>
      <c r="AM756">
        <v>932</v>
      </c>
      <c r="AN756">
        <v>126</v>
      </c>
      <c r="AO756">
        <v>4</v>
      </c>
      <c r="AP756" t="s">
        <v>93</v>
      </c>
      <c r="AQ756" t="s">
        <v>89</v>
      </c>
      <c r="AR756" t="s">
        <v>89</v>
      </c>
      <c r="AS756" t="s">
        <v>111</v>
      </c>
      <c r="AT756">
        <v>42376</v>
      </c>
      <c r="AU756">
        <v>2016</v>
      </c>
      <c r="AV756">
        <v>13</v>
      </c>
      <c r="AW756">
        <v>13</v>
      </c>
      <c r="AX756" t="s">
        <v>89</v>
      </c>
      <c r="AY756" t="s">
        <v>93</v>
      </c>
      <c r="AZ756">
        <v>0</v>
      </c>
      <c r="BA756">
        <v>0</v>
      </c>
      <c r="BB756">
        <v>0</v>
      </c>
      <c r="BC756">
        <v>0</v>
      </c>
      <c r="BD756">
        <v>190</v>
      </c>
      <c r="BE756">
        <v>15249</v>
      </c>
      <c r="BF756">
        <v>3</v>
      </c>
      <c r="BG756">
        <v>31</v>
      </c>
      <c r="BH756">
        <v>190</v>
      </c>
      <c r="BI756">
        <v>15249</v>
      </c>
      <c r="BJ756">
        <v>3</v>
      </c>
      <c r="BK756">
        <f t="shared" si="101"/>
        <v>190</v>
      </c>
      <c r="BL756">
        <f t="shared" si="102"/>
        <v>15249</v>
      </c>
      <c r="BM756">
        <f t="shared" si="103"/>
        <v>3</v>
      </c>
      <c r="BN756">
        <f t="shared" si="104"/>
        <v>0</v>
      </c>
      <c r="BO756">
        <f t="shared" si="105"/>
        <v>0</v>
      </c>
      <c r="BP756">
        <f t="shared" si="106"/>
        <v>0</v>
      </c>
      <c r="BQ756" t="s">
        <v>235</v>
      </c>
      <c r="BR756" t="s">
        <v>140</v>
      </c>
      <c r="BS756" t="s">
        <v>89</v>
      </c>
      <c r="BT756">
        <v>41</v>
      </c>
      <c r="BU756">
        <v>42376</v>
      </c>
      <c r="BV756" t="s">
        <v>89</v>
      </c>
      <c r="BW756">
        <v>13</v>
      </c>
      <c r="BX756">
        <v>1985</v>
      </c>
      <c r="BY756">
        <v>13</v>
      </c>
      <c r="BZ756">
        <f t="shared" si="107"/>
        <v>0</v>
      </c>
      <c r="CA756">
        <f t="shared" si="108"/>
        <v>0</v>
      </c>
      <c r="CB756" t="b">
        <f t="shared" si="109"/>
        <v>1</v>
      </c>
    </row>
    <row r="757" spans="1:80" x14ac:dyDescent="0.3">
      <c r="A757" t="s">
        <v>6331</v>
      </c>
      <c r="B757" t="s">
        <v>239</v>
      </c>
      <c r="C757" t="s">
        <v>6332</v>
      </c>
      <c r="D757">
        <v>40</v>
      </c>
      <c r="E757" s="1">
        <v>31197</v>
      </c>
      <c r="F757" t="s">
        <v>89</v>
      </c>
      <c r="G757" t="s">
        <v>413</v>
      </c>
      <c r="H757" t="s">
        <v>242</v>
      </c>
      <c r="I757" t="s">
        <v>555</v>
      </c>
      <c r="J757" t="s">
        <v>639</v>
      </c>
      <c r="K757" t="s">
        <v>89</v>
      </c>
      <c r="L757" t="s">
        <v>117</v>
      </c>
      <c r="M757">
        <v>20</v>
      </c>
      <c r="N757" t="s">
        <v>6333</v>
      </c>
      <c r="O757">
        <v>2005</v>
      </c>
      <c r="P757" t="s">
        <v>6334</v>
      </c>
      <c r="Q757" t="s">
        <v>6335</v>
      </c>
      <c r="R757">
        <v>34116</v>
      </c>
      <c r="S757" t="s">
        <v>6331</v>
      </c>
      <c r="T757" t="s">
        <v>6336</v>
      </c>
      <c r="U757">
        <v>1985</v>
      </c>
      <c r="V757" t="s">
        <v>6337</v>
      </c>
      <c r="W757">
        <v>1.89</v>
      </c>
      <c r="X757" t="s">
        <v>242</v>
      </c>
      <c r="Y757" t="s">
        <v>86</v>
      </c>
      <c r="Z757" t="s">
        <v>392</v>
      </c>
      <c r="AA757" t="s">
        <v>6338</v>
      </c>
      <c r="AB757" t="s">
        <v>6339</v>
      </c>
      <c r="AC757" t="s">
        <v>108</v>
      </c>
      <c r="AD757" t="s">
        <v>89</v>
      </c>
      <c r="AE757">
        <v>2002</v>
      </c>
      <c r="AF757">
        <v>17</v>
      </c>
      <c r="AG757">
        <v>0</v>
      </c>
      <c r="AH757">
        <v>2003</v>
      </c>
      <c r="AI757">
        <v>18</v>
      </c>
      <c r="AJ757">
        <v>0</v>
      </c>
      <c r="AK757">
        <v>17</v>
      </c>
      <c r="AL757">
        <v>2</v>
      </c>
      <c r="AM757">
        <v>139</v>
      </c>
      <c r="AN757">
        <v>25</v>
      </c>
      <c r="AO757">
        <v>2</v>
      </c>
      <c r="AP757" t="s">
        <v>93</v>
      </c>
      <c r="AQ757" t="s">
        <v>89</v>
      </c>
      <c r="AR757" t="s">
        <v>89</v>
      </c>
      <c r="AS757" t="s">
        <v>93</v>
      </c>
      <c r="AT757" t="s">
        <v>89</v>
      </c>
      <c r="AU757" t="s">
        <v>89</v>
      </c>
      <c r="AV757" t="s">
        <v>89</v>
      </c>
      <c r="AW757">
        <v>20</v>
      </c>
      <c r="AX757" t="s">
        <v>89</v>
      </c>
      <c r="AY757" t="s">
        <v>111</v>
      </c>
      <c r="AZ757">
        <v>5</v>
      </c>
      <c r="BA757">
        <v>22</v>
      </c>
      <c r="BB757">
        <v>1157</v>
      </c>
      <c r="BC757">
        <v>0</v>
      </c>
      <c r="BD757">
        <v>274</v>
      </c>
      <c r="BE757">
        <v>18757</v>
      </c>
      <c r="BF757">
        <v>27</v>
      </c>
      <c r="BG757" t="s">
        <v>89</v>
      </c>
      <c r="BH757">
        <v>296</v>
      </c>
      <c r="BI757">
        <v>19914</v>
      </c>
      <c r="BJ757">
        <v>27</v>
      </c>
      <c r="BK757">
        <f t="shared" si="101"/>
        <v>296</v>
      </c>
      <c r="BL757">
        <f t="shared" si="102"/>
        <v>19914</v>
      </c>
      <c r="BM757">
        <f t="shared" si="103"/>
        <v>27</v>
      </c>
      <c r="BN757">
        <f t="shared" si="104"/>
        <v>0</v>
      </c>
      <c r="BO757">
        <f t="shared" si="105"/>
        <v>0</v>
      </c>
      <c r="BP757">
        <f t="shared" si="106"/>
        <v>0</v>
      </c>
      <c r="BQ757" t="s">
        <v>86</v>
      </c>
      <c r="BR757" t="s">
        <v>94</v>
      </c>
      <c r="BS757" s="1">
        <v>31197</v>
      </c>
      <c r="BT757">
        <v>40</v>
      </c>
      <c r="BU757" t="s">
        <v>89</v>
      </c>
      <c r="BV757" t="s">
        <v>89</v>
      </c>
      <c r="BW757">
        <v>23</v>
      </c>
      <c r="BX757">
        <v>1985</v>
      </c>
      <c r="BY757">
        <v>23</v>
      </c>
      <c r="BZ757">
        <f t="shared" si="107"/>
        <v>-3</v>
      </c>
      <c r="CA757">
        <f t="shared" si="108"/>
        <v>0</v>
      </c>
      <c r="CB757" t="b">
        <f t="shared" si="109"/>
        <v>0</v>
      </c>
    </row>
    <row r="758" spans="1:80" x14ac:dyDescent="0.3">
      <c r="A758" t="s">
        <v>6340</v>
      </c>
      <c r="B758" t="s">
        <v>776</v>
      </c>
      <c r="C758" t="s">
        <v>6341</v>
      </c>
      <c r="D758">
        <v>32</v>
      </c>
      <c r="E758" t="s">
        <v>6342</v>
      </c>
      <c r="F758" t="s">
        <v>6343</v>
      </c>
      <c r="G758" t="s">
        <v>97</v>
      </c>
      <c r="H758" t="s">
        <v>89</v>
      </c>
      <c r="I758" t="s">
        <v>161</v>
      </c>
      <c r="J758" t="s">
        <v>78</v>
      </c>
      <c r="K758" t="s">
        <v>527</v>
      </c>
      <c r="L758" t="s">
        <v>80</v>
      </c>
      <c r="M758">
        <v>19</v>
      </c>
      <c r="N758" t="s">
        <v>162</v>
      </c>
      <c r="O758">
        <v>2012</v>
      </c>
      <c r="P758" t="s">
        <v>6344</v>
      </c>
      <c r="Q758" t="s">
        <v>6345</v>
      </c>
      <c r="R758">
        <v>221899</v>
      </c>
      <c r="S758" t="s">
        <v>6340</v>
      </c>
      <c r="T758" t="s">
        <v>6346</v>
      </c>
      <c r="U758">
        <v>1992</v>
      </c>
      <c r="V758" t="s">
        <v>6347</v>
      </c>
      <c r="W758">
        <v>1.83</v>
      </c>
      <c r="X758" t="s">
        <v>783</v>
      </c>
      <c r="Y758" t="s">
        <v>123</v>
      </c>
      <c r="Z758" t="s">
        <v>87</v>
      </c>
      <c r="AA758" t="s">
        <v>531</v>
      </c>
      <c r="AB758" s="1">
        <v>44873</v>
      </c>
      <c r="AC758" t="s">
        <v>170</v>
      </c>
      <c r="AD758" t="s">
        <v>223</v>
      </c>
      <c r="AE758" t="s">
        <v>927</v>
      </c>
      <c r="AF758">
        <v>19</v>
      </c>
      <c r="AG758" t="s">
        <v>91</v>
      </c>
      <c r="AH758" t="s">
        <v>5950</v>
      </c>
      <c r="AI758">
        <v>31</v>
      </c>
      <c r="AJ758" t="s">
        <v>459</v>
      </c>
      <c r="AK758">
        <v>19</v>
      </c>
      <c r="AL758">
        <v>12</v>
      </c>
      <c r="AM758">
        <v>500</v>
      </c>
      <c r="AN758">
        <v>64</v>
      </c>
      <c r="AO758">
        <v>7</v>
      </c>
      <c r="AP758" t="s">
        <v>93</v>
      </c>
      <c r="AQ758" t="s">
        <v>89</v>
      </c>
      <c r="AR758" t="s">
        <v>89</v>
      </c>
      <c r="AS758" t="s">
        <v>93</v>
      </c>
      <c r="AT758" t="s">
        <v>89</v>
      </c>
      <c r="AU758" t="s">
        <v>89</v>
      </c>
      <c r="AV758" t="s">
        <v>89</v>
      </c>
      <c r="AW758">
        <v>13</v>
      </c>
      <c r="AX758">
        <v>12</v>
      </c>
      <c r="AY758" t="s">
        <v>93</v>
      </c>
      <c r="AZ758">
        <v>0</v>
      </c>
      <c r="BA758">
        <v>0</v>
      </c>
      <c r="BB758">
        <v>0</v>
      </c>
      <c r="BC758">
        <v>0</v>
      </c>
      <c r="BD758">
        <v>382</v>
      </c>
      <c r="BE758">
        <v>24553</v>
      </c>
      <c r="BF758">
        <v>80</v>
      </c>
      <c r="BG758" t="s">
        <v>89</v>
      </c>
      <c r="BH758">
        <v>382</v>
      </c>
      <c r="BI758">
        <v>24553</v>
      </c>
      <c r="BJ758">
        <v>80</v>
      </c>
      <c r="BK758">
        <f t="shared" si="101"/>
        <v>382</v>
      </c>
      <c r="BL758">
        <f t="shared" si="102"/>
        <v>24553</v>
      </c>
      <c r="BM758">
        <f t="shared" si="103"/>
        <v>80</v>
      </c>
      <c r="BN758">
        <f t="shared" si="104"/>
        <v>0</v>
      </c>
      <c r="BO758">
        <f t="shared" si="105"/>
        <v>0</v>
      </c>
      <c r="BP758">
        <f t="shared" si="106"/>
        <v>0</v>
      </c>
      <c r="BQ758" t="s">
        <v>123</v>
      </c>
      <c r="BR758" t="s">
        <v>112</v>
      </c>
      <c r="BS758" s="1">
        <v>33842</v>
      </c>
      <c r="BT758">
        <v>33</v>
      </c>
      <c r="BU758" t="s">
        <v>89</v>
      </c>
      <c r="BV758" t="s">
        <v>89</v>
      </c>
      <c r="BW758">
        <v>14</v>
      </c>
      <c r="BX758">
        <v>1992</v>
      </c>
      <c r="BY758">
        <v>13</v>
      </c>
      <c r="BZ758">
        <f t="shared" si="107"/>
        <v>-1</v>
      </c>
      <c r="CA758">
        <f t="shared" si="108"/>
        <v>1</v>
      </c>
      <c r="CB758" t="b">
        <f t="shared" si="109"/>
        <v>0</v>
      </c>
    </row>
    <row r="759" spans="1:80" x14ac:dyDescent="0.3">
      <c r="A759" t="s">
        <v>6348</v>
      </c>
      <c r="B759" t="s">
        <v>6349</v>
      </c>
      <c r="C759" t="s">
        <v>6350</v>
      </c>
      <c r="D759">
        <v>33</v>
      </c>
      <c r="E759" t="s">
        <v>6351</v>
      </c>
      <c r="F759" t="s">
        <v>6352</v>
      </c>
      <c r="G759" t="s">
        <v>400</v>
      </c>
      <c r="H759" t="s">
        <v>6353</v>
      </c>
      <c r="I759" t="s">
        <v>555</v>
      </c>
      <c r="J759" t="s">
        <v>78</v>
      </c>
      <c r="K759" t="s">
        <v>6354</v>
      </c>
      <c r="L759" t="s">
        <v>80</v>
      </c>
      <c r="M759">
        <v>20</v>
      </c>
      <c r="N759" t="s">
        <v>289</v>
      </c>
      <c r="O759">
        <v>2012</v>
      </c>
      <c r="P759" t="s">
        <v>6355</v>
      </c>
      <c r="Q759" t="s">
        <v>6356</v>
      </c>
      <c r="R759">
        <v>21297</v>
      </c>
      <c r="S759" t="s">
        <v>6357</v>
      </c>
      <c r="T759">
        <v>33914</v>
      </c>
      <c r="U759">
        <v>1992</v>
      </c>
      <c r="V759" t="s">
        <v>6358</v>
      </c>
      <c r="W759">
        <v>1.82</v>
      </c>
      <c r="X759" t="s">
        <v>6353</v>
      </c>
      <c r="Y759" t="s">
        <v>106</v>
      </c>
      <c r="Z759" t="s">
        <v>87</v>
      </c>
      <c r="AA759" t="s">
        <v>476</v>
      </c>
      <c r="AB759" s="1">
        <v>45664</v>
      </c>
      <c r="AC759" t="s">
        <v>108</v>
      </c>
      <c r="AD759" t="s">
        <v>89</v>
      </c>
      <c r="AE759" t="s">
        <v>5416</v>
      </c>
      <c r="AF759">
        <v>20</v>
      </c>
      <c r="AG759" t="s">
        <v>91</v>
      </c>
      <c r="AH759" t="s">
        <v>1027</v>
      </c>
      <c r="AI759">
        <v>23</v>
      </c>
      <c r="AJ759" t="s">
        <v>110</v>
      </c>
      <c r="AK759">
        <v>20</v>
      </c>
      <c r="AL759">
        <v>2</v>
      </c>
      <c r="AM759">
        <v>45</v>
      </c>
      <c r="AN759">
        <v>11</v>
      </c>
      <c r="AO759">
        <v>2</v>
      </c>
      <c r="AP759" t="s">
        <v>93</v>
      </c>
      <c r="AQ759" t="s">
        <v>89</v>
      </c>
      <c r="AR759" t="s">
        <v>89</v>
      </c>
      <c r="AS759" t="s">
        <v>93</v>
      </c>
      <c r="AT759" t="s">
        <v>89</v>
      </c>
      <c r="AU759" t="s">
        <v>89</v>
      </c>
      <c r="AV759" t="s">
        <v>89</v>
      </c>
      <c r="AW759">
        <v>13</v>
      </c>
      <c r="AX759" t="s">
        <v>89</v>
      </c>
      <c r="AY759" t="s">
        <v>111</v>
      </c>
      <c r="AZ759">
        <v>14</v>
      </c>
      <c r="BA759">
        <v>44</v>
      </c>
      <c r="BB759">
        <v>3011</v>
      </c>
      <c r="BC759">
        <v>4</v>
      </c>
      <c r="BD759">
        <v>103</v>
      </c>
      <c r="BE759">
        <v>5595</v>
      </c>
      <c r="BF759">
        <v>1</v>
      </c>
      <c r="BG759" t="s">
        <v>89</v>
      </c>
      <c r="BH759">
        <v>147</v>
      </c>
      <c r="BI759">
        <v>8606</v>
      </c>
      <c r="BJ759">
        <v>5</v>
      </c>
      <c r="BK759">
        <f t="shared" si="101"/>
        <v>147</v>
      </c>
      <c r="BL759">
        <f t="shared" si="102"/>
        <v>8606</v>
      </c>
      <c r="BM759">
        <f t="shared" si="103"/>
        <v>5</v>
      </c>
      <c r="BN759">
        <f t="shared" si="104"/>
        <v>0</v>
      </c>
      <c r="BO759">
        <f t="shared" si="105"/>
        <v>0</v>
      </c>
      <c r="BP759">
        <f t="shared" si="106"/>
        <v>0</v>
      </c>
      <c r="BQ759" t="s">
        <v>106</v>
      </c>
      <c r="BR759" t="s">
        <v>112</v>
      </c>
      <c r="BS759" t="s">
        <v>89</v>
      </c>
      <c r="BT759">
        <v>34</v>
      </c>
      <c r="BU759" t="s">
        <v>89</v>
      </c>
      <c r="BV759" t="s">
        <v>89</v>
      </c>
      <c r="BW759">
        <v>14</v>
      </c>
      <c r="BX759">
        <v>1992</v>
      </c>
      <c r="BY759">
        <v>13</v>
      </c>
      <c r="BZ759">
        <f t="shared" si="107"/>
        <v>-1</v>
      </c>
      <c r="CA759">
        <f t="shared" si="108"/>
        <v>1</v>
      </c>
      <c r="CB759" t="b">
        <f t="shared" si="109"/>
        <v>0</v>
      </c>
    </row>
    <row r="760" spans="1:80" x14ac:dyDescent="0.3">
      <c r="A760" t="s">
        <v>6359</v>
      </c>
      <c r="B760" t="s">
        <v>6360</v>
      </c>
      <c r="C760" t="s">
        <v>6361</v>
      </c>
      <c r="D760">
        <v>33</v>
      </c>
      <c r="E760" s="1">
        <v>33693</v>
      </c>
      <c r="F760" t="s">
        <v>89</v>
      </c>
      <c r="G760" t="s">
        <v>211</v>
      </c>
      <c r="H760" t="s">
        <v>6362</v>
      </c>
      <c r="I760" t="s">
        <v>340</v>
      </c>
      <c r="J760" t="s">
        <v>639</v>
      </c>
      <c r="K760" t="s">
        <v>89</v>
      </c>
      <c r="L760" t="s">
        <v>228</v>
      </c>
      <c r="M760">
        <v>18</v>
      </c>
      <c r="N760" t="s">
        <v>162</v>
      </c>
      <c r="O760">
        <v>2010</v>
      </c>
      <c r="P760" t="s">
        <v>6363</v>
      </c>
      <c r="Q760" t="s">
        <v>6364</v>
      </c>
      <c r="R760">
        <v>182963</v>
      </c>
      <c r="S760" t="s">
        <v>6359</v>
      </c>
      <c r="T760" t="s">
        <v>6365</v>
      </c>
      <c r="U760">
        <v>1992</v>
      </c>
      <c r="V760" t="s">
        <v>6366</v>
      </c>
      <c r="W760">
        <v>1.69</v>
      </c>
      <c r="X760" t="s">
        <v>6367</v>
      </c>
      <c r="Y760" t="s">
        <v>494</v>
      </c>
      <c r="Z760" t="s">
        <v>87</v>
      </c>
      <c r="AA760" t="s">
        <v>476</v>
      </c>
      <c r="AB760" s="1">
        <v>45664</v>
      </c>
      <c r="AC760" t="s">
        <v>108</v>
      </c>
      <c r="AD760" t="s">
        <v>89</v>
      </c>
      <c r="AE760" t="s">
        <v>654</v>
      </c>
      <c r="AF760">
        <v>19</v>
      </c>
      <c r="AG760" t="s">
        <v>91</v>
      </c>
      <c r="AH760" t="s">
        <v>6368</v>
      </c>
      <c r="AI760">
        <v>18</v>
      </c>
      <c r="AJ760" t="s">
        <v>110</v>
      </c>
      <c r="AK760">
        <v>18</v>
      </c>
      <c r="AL760">
        <v>5</v>
      </c>
      <c r="AM760">
        <v>1135</v>
      </c>
      <c r="AN760">
        <v>20</v>
      </c>
      <c r="AO760">
        <v>4</v>
      </c>
      <c r="AP760" t="s">
        <v>93</v>
      </c>
      <c r="AQ760" t="s">
        <v>89</v>
      </c>
      <c r="AR760" t="s">
        <v>89</v>
      </c>
      <c r="AS760" t="s">
        <v>93</v>
      </c>
      <c r="AT760" t="s">
        <v>89</v>
      </c>
      <c r="AU760" t="s">
        <v>89</v>
      </c>
      <c r="AV760" t="s">
        <v>89</v>
      </c>
      <c r="AW760">
        <v>15</v>
      </c>
      <c r="AX760" t="s">
        <v>89</v>
      </c>
      <c r="AY760" t="s">
        <v>111</v>
      </c>
      <c r="AZ760">
        <v>10</v>
      </c>
      <c r="BA760">
        <v>23</v>
      </c>
      <c r="BB760">
        <v>919</v>
      </c>
      <c r="BC760">
        <v>4</v>
      </c>
      <c r="BD760">
        <v>233</v>
      </c>
      <c r="BE760">
        <v>11332</v>
      </c>
      <c r="BF760">
        <v>13</v>
      </c>
      <c r="BG760" t="s">
        <v>89</v>
      </c>
      <c r="BH760">
        <v>256</v>
      </c>
      <c r="BI760">
        <v>12251</v>
      </c>
      <c r="BJ760">
        <v>17</v>
      </c>
      <c r="BK760">
        <f t="shared" si="101"/>
        <v>256</v>
      </c>
      <c r="BL760">
        <f t="shared" si="102"/>
        <v>12251</v>
      </c>
      <c r="BM760">
        <f t="shared" si="103"/>
        <v>17</v>
      </c>
      <c r="BN760">
        <f t="shared" si="104"/>
        <v>0</v>
      </c>
      <c r="BO760">
        <f t="shared" si="105"/>
        <v>0</v>
      </c>
      <c r="BP760">
        <f t="shared" si="106"/>
        <v>0</v>
      </c>
      <c r="BQ760" t="s">
        <v>494</v>
      </c>
      <c r="BR760" t="s">
        <v>112</v>
      </c>
      <c r="BS760" s="1">
        <v>33693</v>
      </c>
      <c r="BT760">
        <v>33</v>
      </c>
      <c r="BU760" t="s">
        <v>89</v>
      </c>
      <c r="BV760" t="s">
        <v>89</v>
      </c>
      <c r="BW760">
        <v>15</v>
      </c>
      <c r="BX760">
        <v>1992</v>
      </c>
      <c r="BY760">
        <v>15</v>
      </c>
      <c r="BZ760">
        <f t="shared" si="107"/>
        <v>0</v>
      </c>
      <c r="CA760">
        <f t="shared" si="108"/>
        <v>0</v>
      </c>
      <c r="CB760" t="b">
        <f t="shared" si="109"/>
        <v>1</v>
      </c>
    </row>
    <row r="761" spans="1:80" x14ac:dyDescent="0.3">
      <c r="A761" t="s">
        <v>6369</v>
      </c>
      <c r="B761" t="s">
        <v>577</v>
      </c>
      <c r="C761" t="s">
        <v>6370</v>
      </c>
      <c r="D761">
        <v>39</v>
      </c>
      <c r="E761" s="1">
        <v>31479</v>
      </c>
      <c r="F761" t="s">
        <v>89</v>
      </c>
      <c r="G761" t="s">
        <v>374</v>
      </c>
      <c r="H761" t="s">
        <v>579</v>
      </c>
      <c r="I761" t="s">
        <v>437</v>
      </c>
      <c r="J761" t="s">
        <v>78</v>
      </c>
      <c r="K761" t="s">
        <v>89</v>
      </c>
      <c r="L761" t="s">
        <v>130</v>
      </c>
      <c r="M761">
        <v>22</v>
      </c>
      <c r="N761" t="s">
        <v>741</v>
      </c>
      <c r="O761">
        <v>2008</v>
      </c>
      <c r="P761" t="s">
        <v>6371</v>
      </c>
      <c r="Q761" t="s">
        <v>6372</v>
      </c>
      <c r="R761">
        <v>101015</v>
      </c>
      <c r="S761" t="s">
        <v>6369</v>
      </c>
      <c r="T761">
        <v>31627</v>
      </c>
      <c r="U761">
        <v>1986</v>
      </c>
      <c r="V761" t="s">
        <v>599</v>
      </c>
      <c r="W761">
        <v>1.88</v>
      </c>
      <c r="X761" t="s">
        <v>584</v>
      </c>
      <c r="Y761" t="s">
        <v>123</v>
      </c>
      <c r="Z761" t="s">
        <v>87</v>
      </c>
      <c r="AA761" t="s">
        <v>6373</v>
      </c>
      <c r="AB761">
        <v>43107</v>
      </c>
      <c r="AC761" t="s">
        <v>108</v>
      </c>
      <c r="AD761" t="s">
        <v>89</v>
      </c>
      <c r="AE761" s="1">
        <v>39815</v>
      </c>
      <c r="AF761">
        <v>22</v>
      </c>
      <c r="AG761" t="s">
        <v>91</v>
      </c>
      <c r="AH761" t="s">
        <v>306</v>
      </c>
      <c r="AI761">
        <v>25</v>
      </c>
      <c r="AJ761" t="s">
        <v>110</v>
      </c>
      <c r="AK761">
        <v>22</v>
      </c>
      <c r="AL761">
        <v>13</v>
      </c>
      <c r="AM761">
        <v>3123</v>
      </c>
      <c r="AN761">
        <v>85</v>
      </c>
      <c r="AO761">
        <v>6</v>
      </c>
      <c r="AP761" t="s">
        <v>93</v>
      </c>
      <c r="AQ761" t="s">
        <v>89</v>
      </c>
      <c r="AR761" t="s">
        <v>89</v>
      </c>
      <c r="AS761" t="s">
        <v>111</v>
      </c>
      <c r="AT761">
        <v>43107</v>
      </c>
      <c r="AU761">
        <v>2018</v>
      </c>
      <c r="AV761">
        <v>10</v>
      </c>
      <c r="AW761">
        <v>10</v>
      </c>
      <c r="AX761" t="s">
        <v>89</v>
      </c>
      <c r="AY761" t="s">
        <v>93</v>
      </c>
      <c r="AZ761">
        <v>0</v>
      </c>
      <c r="BA761">
        <v>0</v>
      </c>
      <c r="BB761">
        <v>0</v>
      </c>
      <c r="BC761">
        <v>0</v>
      </c>
      <c r="BD761">
        <v>131</v>
      </c>
      <c r="BE761">
        <v>6619</v>
      </c>
      <c r="BF761">
        <v>31</v>
      </c>
      <c r="BG761">
        <v>32</v>
      </c>
      <c r="BH761">
        <v>131</v>
      </c>
      <c r="BI761">
        <v>6619</v>
      </c>
      <c r="BJ761">
        <v>31</v>
      </c>
      <c r="BK761">
        <f t="shared" si="101"/>
        <v>131</v>
      </c>
      <c r="BL761">
        <f t="shared" si="102"/>
        <v>6619</v>
      </c>
      <c r="BM761">
        <f t="shared" si="103"/>
        <v>31</v>
      </c>
      <c r="BN761">
        <f t="shared" si="104"/>
        <v>0</v>
      </c>
      <c r="BO761">
        <f t="shared" si="105"/>
        <v>0</v>
      </c>
      <c r="BP761">
        <f t="shared" si="106"/>
        <v>0</v>
      </c>
      <c r="BQ761" t="s">
        <v>123</v>
      </c>
      <c r="BR761" t="s">
        <v>112</v>
      </c>
      <c r="BS761" t="s">
        <v>89</v>
      </c>
      <c r="BT761">
        <v>40</v>
      </c>
      <c r="BU761">
        <v>43107</v>
      </c>
      <c r="BV761" t="s">
        <v>89</v>
      </c>
      <c r="BW761">
        <v>10</v>
      </c>
      <c r="BX761">
        <v>1986</v>
      </c>
      <c r="BY761">
        <v>10</v>
      </c>
      <c r="BZ761">
        <f t="shared" si="107"/>
        <v>0</v>
      </c>
      <c r="CA761">
        <f t="shared" si="108"/>
        <v>0</v>
      </c>
      <c r="CB761" t="b">
        <f t="shared" si="109"/>
        <v>1</v>
      </c>
    </row>
    <row r="762" spans="1:80" x14ac:dyDescent="0.3">
      <c r="A762" t="s">
        <v>6374</v>
      </c>
      <c r="B762" t="s">
        <v>191</v>
      </c>
      <c r="C762" t="s">
        <v>6375</v>
      </c>
      <c r="D762">
        <v>40</v>
      </c>
      <c r="E762">
        <v>31116</v>
      </c>
      <c r="F762" t="s">
        <v>89</v>
      </c>
      <c r="G762" t="s">
        <v>687</v>
      </c>
      <c r="H762" t="s">
        <v>194</v>
      </c>
      <c r="I762" t="s">
        <v>750</v>
      </c>
      <c r="J762" t="s">
        <v>78</v>
      </c>
      <c r="K762" t="s">
        <v>89</v>
      </c>
      <c r="L762" t="s">
        <v>117</v>
      </c>
      <c r="M762">
        <v>20</v>
      </c>
      <c r="N762" t="s">
        <v>3960</v>
      </c>
      <c r="O762">
        <v>2005</v>
      </c>
      <c r="P762" t="s">
        <v>6376</v>
      </c>
      <c r="Q762" t="s">
        <v>6377</v>
      </c>
      <c r="R762">
        <v>23914</v>
      </c>
      <c r="S762" t="s">
        <v>6374</v>
      </c>
      <c r="T762">
        <v>31323</v>
      </c>
      <c r="U762">
        <v>1985</v>
      </c>
      <c r="V762" t="s">
        <v>1130</v>
      </c>
      <c r="W762">
        <v>1.73</v>
      </c>
      <c r="X762" t="s">
        <v>6378</v>
      </c>
      <c r="Y762" t="s">
        <v>259</v>
      </c>
      <c r="Z762" t="s">
        <v>87</v>
      </c>
      <c r="AA762" t="s">
        <v>6379</v>
      </c>
      <c r="AB762" s="1">
        <v>43679</v>
      </c>
      <c r="AC762" t="s">
        <v>108</v>
      </c>
      <c r="AD762" t="s">
        <v>89</v>
      </c>
      <c r="AE762">
        <v>38839</v>
      </c>
      <c r="AF762">
        <v>20</v>
      </c>
      <c r="AG762" t="s">
        <v>1653</v>
      </c>
      <c r="AH762" t="s">
        <v>6380</v>
      </c>
      <c r="AI762">
        <v>18</v>
      </c>
      <c r="AJ762" t="s">
        <v>1044</v>
      </c>
      <c r="AK762">
        <v>18</v>
      </c>
      <c r="AL762">
        <v>15</v>
      </c>
      <c r="AM762">
        <v>402</v>
      </c>
      <c r="AN762">
        <v>65</v>
      </c>
      <c r="AO762">
        <v>8</v>
      </c>
      <c r="AP762" t="s">
        <v>93</v>
      </c>
      <c r="AQ762" t="s">
        <v>89</v>
      </c>
      <c r="AR762" t="s">
        <v>89</v>
      </c>
      <c r="AS762" t="s">
        <v>111</v>
      </c>
      <c r="AT762">
        <v>43679</v>
      </c>
      <c r="AU762">
        <v>2019</v>
      </c>
      <c r="AV762">
        <v>14</v>
      </c>
      <c r="AW762">
        <v>14</v>
      </c>
      <c r="AX762" t="s">
        <v>89</v>
      </c>
      <c r="AY762" t="s">
        <v>111</v>
      </c>
      <c r="AZ762">
        <v>6</v>
      </c>
      <c r="BA762">
        <v>23</v>
      </c>
      <c r="BB762">
        <v>1687</v>
      </c>
      <c r="BC762">
        <v>0</v>
      </c>
      <c r="BD762">
        <v>270</v>
      </c>
      <c r="BE762">
        <v>19072</v>
      </c>
      <c r="BF762">
        <v>5</v>
      </c>
      <c r="BG762">
        <v>34</v>
      </c>
      <c r="BH762">
        <v>293</v>
      </c>
      <c r="BI762">
        <v>20759</v>
      </c>
      <c r="BJ762">
        <v>5</v>
      </c>
      <c r="BK762">
        <f t="shared" si="101"/>
        <v>293</v>
      </c>
      <c r="BL762">
        <f t="shared" si="102"/>
        <v>20759</v>
      </c>
      <c r="BM762">
        <f t="shared" si="103"/>
        <v>5</v>
      </c>
      <c r="BN762">
        <f t="shared" si="104"/>
        <v>0</v>
      </c>
      <c r="BO762">
        <f t="shared" si="105"/>
        <v>0</v>
      </c>
      <c r="BP762">
        <f t="shared" si="106"/>
        <v>0</v>
      </c>
      <c r="BQ762" t="s">
        <v>259</v>
      </c>
      <c r="BR762" t="s">
        <v>94</v>
      </c>
      <c r="BS762" t="s">
        <v>89</v>
      </c>
      <c r="BT762">
        <v>41</v>
      </c>
      <c r="BU762">
        <v>43679</v>
      </c>
      <c r="BV762" t="s">
        <v>89</v>
      </c>
      <c r="BW762">
        <v>16</v>
      </c>
      <c r="BX762">
        <v>1985</v>
      </c>
      <c r="BY762">
        <v>16</v>
      </c>
      <c r="BZ762">
        <f t="shared" si="107"/>
        <v>-2</v>
      </c>
      <c r="CA762">
        <f t="shared" si="108"/>
        <v>0</v>
      </c>
      <c r="CB762" t="b">
        <f t="shared" si="109"/>
        <v>0</v>
      </c>
    </row>
    <row r="763" spans="1:80" x14ac:dyDescent="0.3">
      <c r="A763" t="s">
        <v>6381</v>
      </c>
      <c r="B763" t="s">
        <v>71</v>
      </c>
      <c r="C763" t="s">
        <v>6382</v>
      </c>
      <c r="D763">
        <v>40</v>
      </c>
      <c r="E763">
        <v>31128</v>
      </c>
      <c r="F763" t="s">
        <v>89</v>
      </c>
      <c r="G763" t="s">
        <v>385</v>
      </c>
      <c r="H763" t="s">
        <v>89</v>
      </c>
      <c r="I763" t="s">
        <v>348</v>
      </c>
      <c r="J763" t="s">
        <v>78</v>
      </c>
      <c r="K763" t="s">
        <v>89</v>
      </c>
      <c r="L763" t="s">
        <v>180</v>
      </c>
      <c r="M763">
        <v>22</v>
      </c>
      <c r="N763" t="s">
        <v>741</v>
      </c>
      <c r="O763">
        <v>2007</v>
      </c>
      <c r="P763" t="s">
        <v>6383</v>
      </c>
      <c r="Q763" t="s">
        <v>6384</v>
      </c>
      <c r="R763">
        <v>57876</v>
      </c>
      <c r="S763" t="s">
        <v>6381</v>
      </c>
      <c r="T763" t="s">
        <v>6385</v>
      </c>
      <c r="U763">
        <v>1985</v>
      </c>
      <c r="V763" t="s">
        <v>122</v>
      </c>
      <c r="W763">
        <v>1.71</v>
      </c>
      <c r="X763" t="s">
        <v>76</v>
      </c>
      <c r="Y763" t="s">
        <v>136</v>
      </c>
      <c r="Z763" t="s">
        <v>87</v>
      </c>
      <c r="AA763" t="s">
        <v>2841</v>
      </c>
      <c r="AB763">
        <v>44933</v>
      </c>
      <c r="AC763" t="s">
        <v>108</v>
      </c>
      <c r="AD763" t="s">
        <v>89</v>
      </c>
      <c r="AE763" t="s">
        <v>2426</v>
      </c>
      <c r="AF763">
        <v>22</v>
      </c>
      <c r="AG763" t="s">
        <v>91</v>
      </c>
      <c r="AH763" t="s">
        <v>306</v>
      </c>
      <c r="AI763">
        <v>26</v>
      </c>
      <c r="AJ763" t="s">
        <v>110</v>
      </c>
      <c r="AK763">
        <v>22</v>
      </c>
      <c r="AL763">
        <v>2</v>
      </c>
      <c r="AM763">
        <v>82</v>
      </c>
      <c r="AN763">
        <v>12</v>
      </c>
      <c r="AO763">
        <v>1</v>
      </c>
      <c r="AP763" t="s">
        <v>93</v>
      </c>
      <c r="AQ763" t="s">
        <v>89</v>
      </c>
      <c r="AR763" t="s">
        <v>89</v>
      </c>
      <c r="AS763" t="s">
        <v>111</v>
      </c>
      <c r="AT763">
        <v>44933</v>
      </c>
      <c r="AU763">
        <v>2023</v>
      </c>
      <c r="AV763">
        <v>16</v>
      </c>
      <c r="AW763">
        <v>16</v>
      </c>
      <c r="AX763" t="s">
        <v>89</v>
      </c>
      <c r="AY763" t="s">
        <v>93</v>
      </c>
      <c r="AZ763">
        <v>0</v>
      </c>
      <c r="BA763">
        <v>0</v>
      </c>
      <c r="BB763">
        <v>0</v>
      </c>
      <c r="BC763">
        <v>0</v>
      </c>
      <c r="BD763">
        <v>373</v>
      </c>
      <c r="BE763">
        <v>30201</v>
      </c>
      <c r="BF763">
        <v>4</v>
      </c>
      <c r="BG763">
        <v>38</v>
      </c>
      <c r="BH763">
        <v>373</v>
      </c>
      <c r="BI763">
        <v>30201</v>
      </c>
      <c r="BJ763">
        <v>4</v>
      </c>
      <c r="BK763">
        <f t="shared" si="101"/>
        <v>373</v>
      </c>
      <c r="BL763">
        <f t="shared" si="102"/>
        <v>30201</v>
      </c>
      <c r="BM763">
        <f t="shared" si="103"/>
        <v>4</v>
      </c>
      <c r="BN763">
        <f t="shared" si="104"/>
        <v>0</v>
      </c>
      <c r="BO763">
        <f t="shared" si="105"/>
        <v>0</v>
      </c>
      <c r="BP763">
        <f t="shared" si="106"/>
        <v>0</v>
      </c>
      <c r="BQ763" t="s">
        <v>136</v>
      </c>
      <c r="BR763" t="s">
        <v>140</v>
      </c>
      <c r="BS763" t="s">
        <v>89</v>
      </c>
      <c r="BT763">
        <v>41</v>
      </c>
      <c r="BU763">
        <v>44933</v>
      </c>
      <c r="BV763" t="s">
        <v>89</v>
      </c>
      <c r="BW763">
        <v>16</v>
      </c>
      <c r="BX763">
        <v>1985</v>
      </c>
      <c r="BY763">
        <v>16</v>
      </c>
      <c r="BZ763">
        <f t="shared" si="107"/>
        <v>0</v>
      </c>
      <c r="CA763">
        <f t="shared" si="108"/>
        <v>0</v>
      </c>
      <c r="CB763" t="b">
        <f t="shared" si="109"/>
        <v>1</v>
      </c>
    </row>
    <row r="764" spans="1:80" x14ac:dyDescent="0.3">
      <c r="A764" t="s">
        <v>6386</v>
      </c>
      <c r="B764" t="s">
        <v>156</v>
      </c>
      <c r="C764" t="s">
        <v>6387</v>
      </c>
      <c r="D764">
        <v>37</v>
      </c>
      <c r="E764" s="1">
        <v>32216</v>
      </c>
      <c r="F764" t="s">
        <v>6388</v>
      </c>
      <c r="G764" t="s">
        <v>6389</v>
      </c>
      <c r="H764" t="s">
        <v>177</v>
      </c>
      <c r="I764" t="s">
        <v>340</v>
      </c>
      <c r="J764" t="s">
        <v>78</v>
      </c>
      <c r="K764" t="s">
        <v>2208</v>
      </c>
      <c r="L764" t="s">
        <v>130</v>
      </c>
      <c r="M764">
        <v>20</v>
      </c>
      <c r="N764" t="s">
        <v>304</v>
      </c>
      <c r="O764">
        <v>2008</v>
      </c>
      <c r="P764" t="s">
        <v>6390</v>
      </c>
      <c r="Q764" t="s">
        <v>6391</v>
      </c>
      <c r="R764">
        <v>45307</v>
      </c>
      <c r="S764" t="s">
        <v>6386</v>
      </c>
      <c r="T764" t="s">
        <v>1602</v>
      </c>
      <c r="U764">
        <v>1988</v>
      </c>
      <c r="V764" t="s">
        <v>6392</v>
      </c>
      <c r="W764">
        <v>1.71</v>
      </c>
      <c r="X764" t="s">
        <v>177</v>
      </c>
      <c r="Y764" t="s">
        <v>391</v>
      </c>
      <c r="Z764" t="s">
        <v>87</v>
      </c>
      <c r="AA764" t="s">
        <v>2208</v>
      </c>
      <c r="AB764" s="1">
        <v>41585</v>
      </c>
      <c r="AC764" t="s">
        <v>222</v>
      </c>
      <c r="AD764" t="s">
        <v>89</v>
      </c>
      <c r="AE764">
        <v>39053</v>
      </c>
      <c r="AF764">
        <v>17</v>
      </c>
      <c r="AG764" t="s">
        <v>171</v>
      </c>
      <c r="AH764" t="s">
        <v>92</v>
      </c>
      <c r="AI764" t="s">
        <v>89</v>
      </c>
      <c r="AJ764" t="s">
        <v>92</v>
      </c>
      <c r="AK764">
        <v>17</v>
      </c>
      <c r="AL764">
        <v>15</v>
      </c>
      <c r="AM764">
        <v>599</v>
      </c>
      <c r="AN764">
        <v>105</v>
      </c>
      <c r="AO764">
        <v>9</v>
      </c>
      <c r="AP764" t="s">
        <v>93</v>
      </c>
      <c r="AQ764" t="s">
        <v>89</v>
      </c>
      <c r="AR764" t="s">
        <v>89</v>
      </c>
      <c r="AS764" t="s">
        <v>93</v>
      </c>
      <c r="AT764" t="s">
        <v>89</v>
      </c>
      <c r="AU764" t="s">
        <v>89</v>
      </c>
      <c r="AV764" t="s">
        <v>89</v>
      </c>
      <c r="AW764">
        <v>17</v>
      </c>
      <c r="AX764">
        <v>7</v>
      </c>
      <c r="AY764" t="s">
        <v>111</v>
      </c>
      <c r="AZ764">
        <v>1</v>
      </c>
      <c r="BA764">
        <v>2</v>
      </c>
      <c r="BB764">
        <v>120</v>
      </c>
      <c r="BC764">
        <v>0</v>
      </c>
      <c r="BD764">
        <v>353</v>
      </c>
      <c r="BE764">
        <v>23699</v>
      </c>
      <c r="BF764">
        <v>44</v>
      </c>
      <c r="BG764" t="s">
        <v>89</v>
      </c>
      <c r="BH764">
        <v>355</v>
      </c>
      <c r="BI764">
        <v>23819</v>
      </c>
      <c r="BJ764">
        <v>44</v>
      </c>
      <c r="BK764">
        <f t="shared" si="101"/>
        <v>355</v>
      </c>
      <c r="BL764">
        <f t="shared" si="102"/>
        <v>23819</v>
      </c>
      <c r="BM764">
        <f t="shared" si="103"/>
        <v>44</v>
      </c>
      <c r="BN764">
        <f t="shared" si="104"/>
        <v>0</v>
      </c>
      <c r="BO764">
        <f t="shared" si="105"/>
        <v>0</v>
      </c>
      <c r="BP764">
        <f t="shared" si="106"/>
        <v>0</v>
      </c>
      <c r="BQ764" t="s">
        <v>391</v>
      </c>
      <c r="BR764" t="s">
        <v>112</v>
      </c>
      <c r="BS764" s="1">
        <v>32216</v>
      </c>
      <c r="BT764">
        <v>37</v>
      </c>
      <c r="BU764" t="s">
        <v>89</v>
      </c>
      <c r="BV764" t="s">
        <v>89</v>
      </c>
      <c r="BW764">
        <v>20</v>
      </c>
      <c r="BX764">
        <v>1988</v>
      </c>
      <c r="BY764">
        <v>20</v>
      </c>
      <c r="BZ764">
        <f t="shared" si="107"/>
        <v>-3</v>
      </c>
      <c r="CA764">
        <f t="shared" si="108"/>
        <v>0</v>
      </c>
      <c r="CB764" t="b">
        <f t="shared" si="109"/>
        <v>0</v>
      </c>
    </row>
    <row r="765" spans="1:80" x14ac:dyDescent="0.3">
      <c r="A765" t="s">
        <v>6393</v>
      </c>
      <c r="B765" t="s">
        <v>156</v>
      </c>
      <c r="C765" t="s">
        <v>6394</v>
      </c>
      <c r="D765">
        <v>48</v>
      </c>
      <c r="E765" s="1">
        <v>28265</v>
      </c>
      <c r="F765" t="s">
        <v>89</v>
      </c>
      <c r="G765" t="s">
        <v>277</v>
      </c>
      <c r="H765" t="s">
        <v>177</v>
      </c>
      <c r="I765" t="s">
        <v>178</v>
      </c>
      <c r="J765" t="s">
        <v>89</v>
      </c>
      <c r="K765" t="s">
        <v>89</v>
      </c>
      <c r="L765" t="s">
        <v>2014</v>
      </c>
      <c r="M765">
        <v>22</v>
      </c>
      <c r="N765" t="s">
        <v>164</v>
      </c>
      <c r="O765">
        <v>1999</v>
      </c>
      <c r="P765" t="s">
        <v>6395</v>
      </c>
      <c r="Q765" t="s">
        <v>6396</v>
      </c>
      <c r="R765">
        <v>7669</v>
      </c>
      <c r="S765" t="s">
        <v>6393</v>
      </c>
      <c r="T765" t="s">
        <v>6397</v>
      </c>
      <c r="U765">
        <v>1977</v>
      </c>
      <c r="V765" t="s">
        <v>6398</v>
      </c>
      <c r="W765">
        <v>1.88</v>
      </c>
      <c r="X765" t="s">
        <v>169</v>
      </c>
      <c r="Y765" t="s">
        <v>186</v>
      </c>
      <c r="Z765" t="s">
        <v>87</v>
      </c>
      <c r="AA765" t="s">
        <v>3878</v>
      </c>
      <c r="AB765" s="1">
        <v>42376</v>
      </c>
      <c r="AC765" t="s">
        <v>108</v>
      </c>
      <c r="AD765" t="s">
        <v>89</v>
      </c>
      <c r="AE765">
        <v>1999</v>
      </c>
      <c r="AF765">
        <v>22</v>
      </c>
      <c r="AG765" t="s">
        <v>91</v>
      </c>
      <c r="AH765">
        <v>1998</v>
      </c>
      <c r="AI765">
        <v>21</v>
      </c>
      <c r="AJ765">
        <v>0</v>
      </c>
      <c r="AK765">
        <v>21</v>
      </c>
      <c r="AL765">
        <v>2</v>
      </c>
      <c r="AM765">
        <v>125</v>
      </c>
      <c r="AN765">
        <v>28</v>
      </c>
      <c r="AO765">
        <v>2</v>
      </c>
      <c r="AP765" t="s">
        <v>93</v>
      </c>
      <c r="AQ765" t="s">
        <v>89</v>
      </c>
      <c r="AR765" t="s">
        <v>89</v>
      </c>
      <c r="AS765" t="s">
        <v>111</v>
      </c>
      <c r="AT765" s="1">
        <v>42376</v>
      </c>
      <c r="AU765">
        <v>2016</v>
      </c>
      <c r="AV765">
        <v>17</v>
      </c>
      <c r="AW765">
        <v>17</v>
      </c>
      <c r="AX765" t="s">
        <v>89</v>
      </c>
      <c r="AY765" t="s">
        <v>111</v>
      </c>
      <c r="AZ765">
        <v>2</v>
      </c>
      <c r="BA765">
        <v>1</v>
      </c>
      <c r="BB765">
        <v>50</v>
      </c>
      <c r="BC765">
        <v>0</v>
      </c>
      <c r="BD765">
        <v>452</v>
      </c>
      <c r="BE765">
        <v>39820</v>
      </c>
      <c r="BF765">
        <v>0</v>
      </c>
      <c r="BG765">
        <v>39</v>
      </c>
      <c r="BH765">
        <v>453</v>
      </c>
      <c r="BI765">
        <v>39870</v>
      </c>
      <c r="BJ765">
        <v>0</v>
      </c>
      <c r="BK765">
        <f t="shared" si="101"/>
        <v>453</v>
      </c>
      <c r="BL765">
        <f t="shared" si="102"/>
        <v>39870</v>
      </c>
      <c r="BM765">
        <f t="shared" si="103"/>
        <v>0</v>
      </c>
      <c r="BN765">
        <f t="shared" si="104"/>
        <v>0</v>
      </c>
      <c r="BO765">
        <f t="shared" si="105"/>
        <v>0</v>
      </c>
      <c r="BP765">
        <f t="shared" si="106"/>
        <v>0</v>
      </c>
      <c r="BQ765" t="s">
        <v>186</v>
      </c>
      <c r="BR765" t="s">
        <v>186</v>
      </c>
      <c r="BS765" s="1">
        <v>28265</v>
      </c>
      <c r="BT765">
        <v>48</v>
      </c>
      <c r="BU765" s="1">
        <v>42376</v>
      </c>
      <c r="BV765" s="1">
        <v>42552</v>
      </c>
      <c r="BW765">
        <v>18</v>
      </c>
      <c r="BX765">
        <v>1977</v>
      </c>
      <c r="BY765">
        <v>18</v>
      </c>
      <c r="BZ765">
        <f t="shared" si="107"/>
        <v>-1</v>
      </c>
      <c r="CA765">
        <f t="shared" si="108"/>
        <v>0</v>
      </c>
      <c r="CB765" t="b">
        <f t="shared" si="109"/>
        <v>0</v>
      </c>
    </row>
    <row r="766" spans="1:80" x14ac:dyDescent="0.3">
      <c r="A766" t="s">
        <v>6399</v>
      </c>
      <c r="B766" t="s">
        <v>156</v>
      </c>
      <c r="C766" t="s">
        <v>6400</v>
      </c>
      <c r="D766">
        <v>43</v>
      </c>
      <c r="E766" s="1">
        <v>29980</v>
      </c>
      <c r="F766" t="s">
        <v>89</v>
      </c>
      <c r="G766" t="s">
        <v>858</v>
      </c>
      <c r="H766" t="s">
        <v>177</v>
      </c>
      <c r="I766" t="s">
        <v>288</v>
      </c>
      <c r="J766" t="s">
        <v>78</v>
      </c>
      <c r="K766" t="s">
        <v>89</v>
      </c>
      <c r="L766" t="s">
        <v>657</v>
      </c>
      <c r="M766">
        <v>21</v>
      </c>
      <c r="N766" t="s">
        <v>508</v>
      </c>
      <c r="O766">
        <v>2003</v>
      </c>
      <c r="P766" t="s">
        <v>6401</v>
      </c>
      <c r="Q766" t="s">
        <v>6402</v>
      </c>
      <c r="R766">
        <v>7987</v>
      </c>
      <c r="S766" t="s">
        <v>6399</v>
      </c>
      <c r="T766" t="s">
        <v>6403</v>
      </c>
      <c r="U766">
        <v>1982</v>
      </c>
      <c r="V766" t="s">
        <v>6404</v>
      </c>
      <c r="W766">
        <v>1.75</v>
      </c>
      <c r="X766" t="s">
        <v>169</v>
      </c>
      <c r="Y766" t="s">
        <v>259</v>
      </c>
      <c r="Z766" t="s">
        <v>87</v>
      </c>
      <c r="AA766" t="s">
        <v>3450</v>
      </c>
      <c r="AB766">
        <v>44562</v>
      </c>
      <c r="AC766" t="s">
        <v>108</v>
      </c>
      <c r="AD766" t="s">
        <v>89</v>
      </c>
      <c r="AE766" t="s">
        <v>6405</v>
      </c>
      <c r="AF766">
        <v>18</v>
      </c>
      <c r="AG766" t="s">
        <v>171</v>
      </c>
      <c r="AH766" t="s">
        <v>6406</v>
      </c>
      <c r="AI766">
        <v>27</v>
      </c>
      <c r="AJ766" t="s">
        <v>110</v>
      </c>
      <c r="AK766">
        <v>18</v>
      </c>
      <c r="AL766">
        <v>14</v>
      </c>
      <c r="AM766">
        <v>409</v>
      </c>
      <c r="AN766">
        <v>60</v>
      </c>
      <c r="AO766">
        <v>10</v>
      </c>
      <c r="AP766" t="s">
        <v>93</v>
      </c>
      <c r="AQ766" t="s">
        <v>89</v>
      </c>
      <c r="AR766" t="s">
        <v>89</v>
      </c>
      <c r="AS766" t="s">
        <v>111</v>
      </c>
      <c r="AT766">
        <v>44562</v>
      </c>
      <c r="AU766">
        <v>2022</v>
      </c>
      <c r="AV766">
        <v>19</v>
      </c>
      <c r="AW766">
        <v>19</v>
      </c>
      <c r="AX766" t="s">
        <v>89</v>
      </c>
      <c r="AY766" t="s">
        <v>111</v>
      </c>
      <c r="AZ766">
        <v>1</v>
      </c>
      <c r="BA766">
        <v>1</v>
      </c>
      <c r="BB766">
        <v>30</v>
      </c>
      <c r="BC766">
        <v>0</v>
      </c>
      <c r="BD766">
        <v>398</v>
      </c>
      <c r="BE766">
        <v>31184</v>
      </c>
      <c r="BF766">
        <v>13</v>
      </c>
      <c r="BG766">
        <v>40</v>
      </c>
      <c r="BH766">
        <v>399</v>
      </c>
      <c r="BI766">
        <v>31214</v>
      </c>
      <c r="BJ766">
        <v>13</v>
      </c>
      <c r="BK766">
        <f t="shared" si="101"/>
        <v>399</v>
      </c>
      <c r="BL766">
        <f t="shared" si="102"/>
        <v>31214</v>
      </c>
      <c r="BM766">
        <f t="shared" si="103"/>
        <v>13</v>
      </c>
      <c r="BN766">
        <f t="shared" si="104"/>
        <v>0</v>
      </c>
      <c r="BO766">
        <f t="shared" si="105"/>
        <v>0</v>
      </c>
      <c r="BP766">
        <f t="shared" si="106"/>
        <v>0</v>
      </c>
      <c r="BQ766" t="s">
        <v>259</v>
      </c>
      <c r="BR766" t="s">
        <v>94</v>
      </c>
      <c r="BS766" s="1">
        <v>29980</v>
      </c>
      <c r="BT766">
        <v>44</v>
      </c>
      <c r="BU766">
        <v>44562</v>
      </c>
      <c r="BV766" t="s">
        <v>89</v>
      </c>
      <c r="BW766">
        <v>22</v>
      </c>
      <c r="BX766">
        <v>1982</v>
      </c>
      <c r="BY766">
        <v>22</v>
      </c>
      <c r="BZ766">
        <f t="shared" si="107"/>
        <v>-3</v>
      </c>
      <c r="CA766">
        <f t="shared" si="108"/>
        <v>0</v>
      </c>
      <c r="CB766" t="b">
        <f t="shared" si="109"/>
        <v>0</v>
      </c>
    </row>
    <row r="767" spans="1:80" x14ac:dyDescent="0.3">
      <c r="A767" t="s">
        <v>6407</v>
      </c>
      <c r="B767" t="s">
        <v>156</v>
      </c>
      <c r="C767" t="s">
        <v>6408</v>
      </c>
      <c r="D767">
        <v>39</v>
      </c>
      <c r="E767" s="1">
        <v>31619</v>
      </c>
      <c r="F767" t="s">
        <v>89</v>
      </c>
      <c r="G767" t="s">
        <v>241</v>
      </c>
      <c r="H767" t="s">
        <v>89</v>
      </c>
      <c r="I767" t="s">
        <v>437</v>
      </c>
      <c r="J767" t="s">
        <v>78</v>
      </c>
      <c r="K767" t="s">
        <v>89</v>
      </c>
      <c r="L767" t="s">
        <v>130</v>
      </c>
      <c r="M767">
        <v>22</v>
      </c>
      <c r="N767" t="s">
        <v>480</v>
      </c>
      <c r="O767">
        <v>2008</v>
      </c>
      <c r="P767" t="s">
        <v>6409</v>
      </c>
      <c r="Q767" t="s">
        <v>6410</v>
      </c>
      <c r="R767">
        <v>54890</v>
      </c>
      <c r="S767" t="s">
        <v>6407</v>
      </c>
      <c r="T767" t="s">
        <v>6411</v>
      </c>
      <c r="U767">
        <v>1986</v>
      </c>
      <c r="V767" t="s">
        <v>6412</v>
      </c>
      <c r="W767">
        <v>1.88</v>
      </c>
      <c r="X767" t="s">
        <v>219</v>
      </c>
      <c r="Y767" t="s">
        <v>123</v>
      </c>
      <c r="Z767" t="s">
        <v>87</v>
      </c>
      <c r="AA767" t="s">
        <v>162</v>
      </c>
      <c r="AB767">
        <v>44203</v>
      </c>
      <c r="AC767" t="s">
        <v>108</v>
      </c>
      <c r="AD767" t="s">
        <v>89</v>
      </c>
      <c r="AE767" s="1">
        <v>38387</v>
      </c>
      <c r="AF767">
        <v>18</v>
      </c>
      <c r="AG767" t="s">
        <v>171</v>
      </c>
      <c r="AH767" t="s">
        <v>719</v>
      </c>
      <c r="AI767">
        <v>22</v>
      </c>
      <c r="AJ767" t="s">
        <v>110</v>
      </c>
      <c r="AK767">
        <v>18</v>
      </c>
      <c r="AL767">
        <v>2</v>
      </c>
      <c r="AM767">
        <v>213</v>
      </c>
      <c r="AN767">
        <v>22</v>
      </c>
      <c r="AO767">
        <v>2</v>
      </c>
      <c r="AP767" t="s">
        <v>93</v>
      </c>
      <c r="AQ767" t="s">
        <v>89</v>
      </c>
      <c r="AR767" t="s">
        <v>89</v>
      </c>
      <c r="AS767" t="s">
        <v>111</v>
      </c>
      <c r="AT767" s="1">
        <v>44203</v>
      </c>
      <c r="AU767">
        <v>2021</v>
      </c>
      <c r="AV767">
        <v>13</v>
      </c>
      <c r="AW767">
        <v>13</v>
      </c>
      <c r="AX767" t="s">
        <v>89</v>
      </c>
      <c r="AY767" t="s">
        <v>93</v>
      </c>
      <c r="AZ767">
        <v>0</v>
      </c>
      <c r="BA767">
        <v>0</v>
      </c>
      <c r="BB767">
        <v>0</v>
      </c>
      <c r="BC767">
        <v>0</v>
      </c>
      <c r="BD767">
        <v>390</v>
      </c>
      <c r="BE767">
        <v>24367</v>
      </c>
      <c r="BF767">
        <v>128</v>
      </c>
      <c r="BG767">
        <v>35</v>
      </c>
      <c r="BH767">
        <v>390</v>
      </c>
      <c r="BI767">
        <v>24367</v>
      </c>
      <c r="BJ767">
        <v>128</v>
      </c>
      <c r="BK767">
        <f t="shared" si="101"/>
        <v>390</v>
      </c>
      <c r="BL767">
        <f t="shared" si="102"/>
        <v>24367</v>
      </c>
      <c r="BM767">
        <f t="shared" si="103"/>
        <v>128</v>
      </c>
      <c r="BN767">
        <f t="shared" si="104"/>
        <v>0</v>
      </c>
      <c r="BO767">
        <f t="shared" si="105"/>
        <v>0</v>
      </c>
      <c r="BP767">
        <f t="shared" si="106"/>
        <v>0</v>
      </c>
      <c r="BQ767" t="s">
        <v>123</v>
      </c>
      <c r="BR767" t="s">
        <v>112</v>
      </c>
      <c r="BS767" s="1">
        <v>31619</v>
      </c>
      <c r="BT767">
        <v>39</v>
      </c>
      <c r="BU767" s="1">
        <v>44203</v>
      </c>
      <c r="BV767" s="1">
        <v>44378</v>
      </c>
      <c r="BW767">
        <v>17</v>
      </c>
      <c r="BX767">
        <v>1986</v>
      </c>
      <c r="BY767">
        <v>17</v>
      </c>
      <c r="BZ767">
        <f t="shared" si="107"/>
        <v>-4</v>
      </c>
      <c r="CA767">
        <f t="shared" si="108"/>
        <v>0</v>
      </c>
      <c r="CB767" t="b">
        <f t="shared" si="109"/>
        <v>0</v>
      </c>
    </row>
    <row r="768" spans="1:80" x14ac:dyDescent="0.3">
      <c r="A768" t="s">
        <v>6413</v>
      </c>
      <c r="B768" t="s">
        <v>156</v>
      </c>
      <c r="C768" t="s">
        <v>6414</v>
      </c>
      <c r="D768">
        <v>33</v>
      </c>
      <c r="E768" t="s">
        <v>6415</v>
      </c>
      <c r="F768" t="s">
        <v>6416</v>
      </c>
      <c r="G768" t="s">
        <v>413</v>
      </c>
      <c r="H768" t="s">
        <v>177</v>
      </c>
      <c r="I768" t="s">
        <v>227</v>
      </c>
      <c r="J768" t="s">
        <v>78</v>
      </c>
      <c r="K768" t="s">
        <v>6417</v>
      </c>
      <c r="L768" t="s">
        <v>324</v>
      </c>
      <c r="M768">
        <v>21</v>
      </c>
      <c r="N768" t="s">
        <v>162</v>
      </c>
      <c r="O768">
        <v>2013</v>
      </c>
      <c r="P768" t="s">
        <v>6418</v>
      </c>
      <c r="Q768" t="s">
        <v>6419</v>
      </c>
      <c r="R768">
        <v>124244</v>
      </c>
      <c r="S768" t="s">
        <v>6413</v>
      </c>
      <c r="T768">
        <v>33277</v>
      </c>
      <c r="U768">
        <v>1991</v>
      </c>
      <c r="V768" t="s">
        <v>6420</v>
      </c>
      <c r="W768">
        <v>1.83</v>
      </c>
      <c r="X768" t="s">
        <v>169</v>
      </c>
      <c r="Y768" t="s">
        <v>235</v>
      </c>
      <c r="Z768" t="s">
        <v>87</v>
      </c>
      <c r="AA768" t="s">
        <v>6417</v>
      </c>
      <c r="AB768">
        <v>45658</v>
      </c>
      <c r="AC768" t="s">
        <v>222</v>
      </c>
      <c r="AD768" t="s">
        <v>89</v>
      </c>
      <c r="AE768" t="s">
        <v>6421</v>
      </c>
      <c r="AF768">
        <v>18</v>
      </c>
      <c r="AG768" t="s">
        <v>189</v>
      </c>
      <c r="AH768" t="s">
        <v>92</v>
      </c>
      <c r="AI768" t="s">
        <v>89</v>
      </c>
      <c r="AJ768" t="s">
        <v>92</v>
      </c>
      <c r="AK768">
        <v>18</v>
      </c>
      <c r="AL768">
        <v>3</v>
      </c>
      <c r="AM768">
        <v>76</v>
      </c>
      <c r="AN768">
        <v>10</v>
      </c>
      <c r="AO768">
        <v>2</v>
      </c>
      <c r="AP768" t="s">
        <v>93</v>
      </c>
      <c r="AQ768" t="s">
        <v>89</v>
      </c>
      <c r="AR768" t="s">
        <v>89</v>
      </c>
      <c r="AS768" t="s">
        <v>93</v>
      </c>
      <c r="AT768" t="s">
        <v>89</v>
      </c>
      <c r="AU768" t="s">
        <v>89</v>
      </c>
      <c r="AV768" t="s">
        <v>89</v>
      </c>
      <c r="AW768">
        <v>12</v>
      </c>
      <c r="AX768">
        <v>6</v>
      </c>
      <c r="AY768" t="s">
        <v>93</v>
      </c>
      <c r="AZ768">
        <v>0</v>
      </c>
      <c r="BA768">
        <v>0</v>
      </c>
      <c r="BB768">
        <v>0</v>
      </c>
      <c r="BC768">
        <v>0</v>
      </c>
      <c r="BD768">
        <v>257</v>
      </c>
      <c r="BE768">
        <v>21111</v>
      </c>
      <c r="BF768">
        <v>10</v>
      </c>
      <c r="BG768" t="s">
        <v>89</v>
      </c>
      <c r="BH768">
        <v>257</v>
      </c>
      <c r="BI768">
        <v>21111</v>
      </c>
      <c r="BJ768">
        <v>10</v>
      </c>
      <c r="BK768">
        <f t="shared" si="101"/>
        <v>257</v>
      </c>
      <c r="BL768">
        <f t="shared" si="102"/>
        <v>21111</v>
      </c>
      <c r="BM768">
        <f t="shared" si="103"/>
        <v>10</v>
      </c>
      <c r="BN768">
        <f t="shared" si="104"/>
        <v>0</v>
      </c>
      <c r="BO768">
        <f t="shared" si="105"/>
        <v>0</v>
      </c>
      <c r="BP768">
        <f t="shared" si="106"/>
        <v>0</v>
      </c>
      <c r="BQ768" t="s">
        <v>235</v>
      </c>
      <c r="BR768" t="s">
        <v>140</v>
      </c>
      <c r="BS768" t="s">
        <v>89</v>
      </c>
      <c r="BT768">
        <v>35</v>
      </c>
      <c r="BU768" t="s">
        <v>89</v>
      </c>
      <c r="BV768" t="s">
        <v>89</v>
      </c>
      <c r="BW768">
        <v>17</v>
      </c>
      <c r="BX768">
        <v>1991</v>
      </c>
      <c r="BY768">
        <v>15</v>
      </c>
      <c r="BZ768">
        <f t="shared" si="107"/>
        <v>-5</v>
      </c>
      <c r="CA768">
        <f t="shared" si="108"/>
        <v>2</v>
      </c>
      <c r="CB768" t="b">
        <f t="shared" si="109"/>
        <v>0</v>
      </c>
    </row>
    <row r="769" spans="1:80" x14ac:dyDescent="0.3">
      <c r="A769" t="s">
        <v>6422</v>
      </c>
      <c r="B769" t="s">
        <v>565</v>
      </c>
      <c r="C769" t="s">
        <v>6423</v>
      </c>
      <c r="D769">
        <v>37</v>
      </c>
      <c r="E769" s="1">
        <v>32207</v>
      </c>
      <c r="F769" t="s">
        <v>89</v>
      </c>
      <c r="G769" t="s">
        <v>193</v>
      </c>
      <c r="H769" t="s">
        <v>567</v>
      </c>
      <c r="I769" t="s">
        <v>1747</v>
      </c>
      <c r="J769" t="s">
        <v>300</v>
      </c>
      <c r="K769" t="s">
        <v>89</v>
      </c>
      <c r="L769" t="s">
        <v>278</v>
      </c>
      <c r="M769">
        <v>23</v>
      </c>
      <c r="N769" t="s">
        <v>1365</v>
      </c>
      <c r="O769">
        <v>2011</v>
      </c>
      <c r="P769" t="s">
        <v>6424</v>
      </c>
      <c r="Q769" t="s">
        <v>6425</v>
      </c>
      <c r="R769">
        <v>89325</v>
      </c>
      <c r="S769" t="s">
        <v>6422</v>
      </c>
      <c r="T769">
        <v>32266</v>
      </c>
      <c r="U769">
        <v>1988</v>
      </c>
      <c r="V769" t="s">
        <v>733</v>
      </c>
      <c r="W769">
        <v>1.88</v>
      </c>
      <c r="X769" t="s">
        <v>572</v>
      </c>
      <c r="Y769" t="s">
        <v>235</v>
      </c>
      <c r="Z769" t="s">
        <v>152</v>
      </c>
      <c r="AA769" t="s">
        <v>6426</v>
      </c>
      <c r="AB769" s="1">
        <v>44933</v>
      </c>
      <c r="AC769" t="s">
        <v>108</v>
      </c>
      <c r="AD769" t="s">
        <v>89</v>
      </c>
      <c r="AE769">
        <v>40825</v>
      </c>
      <c r="AF769">
        <v>23</v>
      </c>
      <c r="AG769" t="s">
        <v>91</v>
      </c>
      <c r="AH769" t="s">
        <v>5182</v>
      </c>
      <c r="AI769">
        <v>25</v>
      </c>
      <c r="AJ769" t="s">
        <v>110</v>
      </c>
      <c r="AK769">
        <v>23</v>
      </c>
      <c r="AL769">
        <v>7</v>
      </c>
      <c r="AM769">
        <v>160</v>
      </c>
      <c r="AN769">
        <v>27</v>
      </c>
      <c r="AO769">
        <v>4</v>
      </c>
      <c r="AP769" t="s">
        <v>93</v>
      </c>
      <c r="AQ769" t="s">
        <v>89</v>
      </c>
      <c r="AR769" t="s">
        <v>89</v>
      </c>
      <c r="AS769" t="s">
        <v>93</v>
      </c>
      <c r="AT769" t="s">
        <v>89</v>
      </c>
      <c r="AU769" t="s">
        <v>89</v>
      </c>
      <c r="AV769" t="s">
        <v>89</v>
      </c>
      <c r="AW769">
        <v>14</v>
      </c>
      <c r="AX769" t="s">
        <v>89</v>
      </c>
      <c r="AY769" t="s">
        <v>111</v>
      </c>
      <c r="AZ769">
        <v>9</v>
      </c>
      <c r="BA769">
        <v>8</v>
      </c>
      <c r="BB769">
        <v>640</v>
      </c>
      <c r="BC769">
        <v>1</v>
      </c>
      <c r="BD769">
        <v>102</v>
      </c>
      <c r="BE769">
        <v>7695</v>
      </c>
      <c r="BF769">
        <v>2</v>
      </c>
      <c r="BG769" t="s">
        <v>89</v>
      </c>
      <c r="BH769">
        <v>110</v>
      </c>
      <c r="BI769">
        <v>8335</v>
      </c>
      <c r="BJ769">
        <v>3</v>
      </c>
      <c r="BK769">
        <f t="shared" si="101"/>
        <v>110</v>
      </c>
      <c r="BL769">
        <f t="shared" si="102"/>
        <v>8335</v>
      </c>
      <c r="BM769">
        <f t="shared" si="103"/>
        <v>3</v>
      </c>
      <c r="BN769">
        <f t="shared" si="104"/>
        <v>0</v>
      </c>
      <c r="BO769">
        <f t="shared" si="105"/>
        <v>0</v>
      </c>
      <c r="BP769">
        <f t="shared" si="106"/>
        <v>0</v>
      </c>
      <c r="BQ769" t="s">
        <v>235</v>
      </c>
      <c r="BR769" t="s">
        <v>140</v>
      </c>
      <c r="BS769" t="s">
        <v>89</v>
      </c>
      <c r="BT769">
        <v>38</v>
      </c>
      <c r="BU769" t="s">
        <v>89</v>
      </c>
      <c r="BV769" t="s">
        <v>89</v>
      </c>
      <c r="BW769">
        <v>15</v>
      </c>
      <c r="BX769">
        <v>1988</v>
      </c>
      <c r="BY769">
        <v>14</v>
      </c>
      <c r="BZ769">
        <f t="shared" si="107"/>
        <v>-1</v>
      </c>
      <c r="CA769">
        <f t="shared" si="108"/>
        <v>1</v>
      </c>
      <c r="CB769" t="b">
        <f t="shared" si="109"/>
        <v>0</v>
      </c>
    </row>
    <row r="770" spans="1:80" x14ac:dyDescent="0.3">
      <c r="A770" t="s">
        <v>6427</v>
      </c>
      <c r="B770" t="s">
        <v>1231</v>
      </c>
      <c r="C770" t="s">
        <v>6428</v>
      </c>
      <c r="D770">
        <v>36</v>
      </c>
      <c r="E770">
        <v>32394</v>
      </c>
      <c r="F770" t="s">
        <v>89</v>
      </c>
      <c r="G770" t="s">
        <v>97</v>
      </c>
      <c r="H770" t="s">
        <v>1234</v>
      </c>
      <c r="I770" t="s">
        <v>116</v>
      </c>
      <c r="J770" t="s">
        <v>78</v>
      </c>
      <c r="K770" t="s">
        <v>89</v>
      </c>
      <c r="L770" t="s">
        <v>130</v>
      </c>
      <c r="M770">
        <v>19</v>
      </c>
      <c r="N770" t="s">
        <v>607</v>
      </c>
      <c r="O770">
        <v>2008</v>
      </c>
      <c r="P770" t="s">
        <v>6429</v>
      </c>
      <c r="Q770" t="s">
        <v>6430</v>
      </c>
      <c r="R770">
        <v>51058</v>
      </c>
      <c r="S770" t="s">
        <v>6427</v>
      </c>
      <c r="T770" t="s">
        <v>6431</v>
      </c>
      <c r="U770">
        <v>1989</v>
      </c>
      <c r="V770" t="s">
        <v>6432</v>
      </c>
      <c r="W770">
        <v>1.81</v>
      </c>
      <c r="X770" t="s">
        <v>1234</v>
      </c>
      <c r="Y770" t="s">
        <v>391</v>
      </c>
      <c r="Z770" t="s">
        <v>87</v>
      </c>
      <c r="AA770" t="s">
        <v>6432</v>
      </c>
      <c r="AB770" s="1">
        <v>45171</v>
      </c>
      <c r="AC770" t="s">
        <v>1615</v>
      </c>
      <c r="AD770" t="s">
        <v>89</v>
      </c>
      <c r="AE770" t="s">
        <v>6433</v>
      </c>
      <c r="AF770">
        <v>20</v>
      </c>
      <c r="AG770" t="s">
        <v>613</v>
      </c>
      <c r="AH770">
        <v>40361</v>
      </c>
      <c r="AI770">
        <v>21</v>
      </c>
      <c r="AJ770" t="s">
        <v>615</v>
      </c>
      <c r="AK770">
        <v>20</v>
      </c>
      <c r="AL770">
        <v>2</v>
      </c>
      <c r="AM770">
        <v>23</v>
      </c>
      <c r="AN770">
        <v>3</v>
      </c>
      <c r="AO770">
        <v>2</v>
      </c>
      <c r="AP770" t="s">
        <v>93</v>
      </c>
      <c r="AQ770" t="s">
        <v>89</v>
      </c>
      <c r="AR770" t="s">
        <v>89</v>
      </c>
      <c r="AS770" t="s">
        <v>93</v>
      </c>
      <c r="AT770" t="s">
        <v>89</v>
      </c>
      <c r="AU770" t="s">
        <v>89</v>
      </c>
      <c r="AV770" t="s">
        <v>89</v>
      </c>
      <c r="AW770">
        <v>17</v>
      </c>
      <c r="AX770">
        <v>88</v>
      </c>
      <c r="AY770" t="s">
        <v>93</v>
      </c>
      <c r="AZ770">
        <v>0</v>
      </c>
      <c r="BA770">
        <v>0</v>
      </c>
      <c r="BB770">
        <v>0</v>
      </c>
      <c r="BC770">
        <v>0</v>
      </c>
      <c r="BD770">
        <v>270</v>
      </c>
      <c r="BE770">
        <v>17928</v>
      </c>
      <c r="BF770">
        <v>40</v>
      </c>
      <c r="BG770" t="s">
        <v>89</v>
      </c>
      <c r="BH770">
        <v>270</v>
      </c>
      <c r="BI770">
        <v>17928</v>
      </c>
      <c r="BJ770">
        <v>40</v>
      </c>
      <c r="BK770">
        <f t="shared" si="101"/>
        <v>270</v>
      </c>
      <c r="BL770">
        <f t="shared" si="102"/>
        <v>17928</v>
      </c>
      <c r="BM770">
        <f t="shared" si="103"/>
        <v>40</v>
      </c>
      <c r="BN770">
        <f t="shared" si="104"/>
        <v>0</v>
      </c>
      <c r="BO770">
        <f t="shared" si="105"/>
        <v>0</v>
      </c>
      <c r="BP770">
        <f t="shared" si="106"/>
        <v>0</v>
      </c>
      <c r="BQ770" t="s">
        <v>391</v>
      </c>
      <c r="BR770" t="s">
        <v>112</v>
      </c>
      <c r="BS770" t="s">
        <v>89</v>
      </c>
      <c r="BT770">
        <v>37</v>
      </c>
      <c r="BU770" t="s">
        <v>89</v>
      </c>
      <c r="BV770" t="s">
        <v>89</v>
      </c>
      <c r="BW770">
        <v>17</v>
      </c>
      <c r="BX770">
        <v>1989</v>
      </c>
      <c r="BY770">
        <v>16</v>
      </c>
      <c r="BZ770">
        <f t="shared" si="107"/>
        <v>0</v>
      </c>
      <c r="CA770">
        <f t="shared" si="108"/>
        <v>1</v>
      </c>
      <c r="CB770" t="b">
        <f t="shared" si="109"/>
        <v>1</v>
      </c>
    </row>
    <row r="771" spans="1:80" x14ac:dyDescent="0.3">
      <c r="A771" t="s">
        <v>6434</v>
      </c>
      <c r="B771" t="s">
        <v>71</v>
      </c>
      <c r="C771" t="s">
        <v>6435</v>
      </c>
      <c r="D771">
        <v>36</v>
      </c>
      <c r="E771">
        <v>32594</v>
      </c>
      <c r="F771" t="s">
        <v>89</v>
      </c>
      <c r="G771" t="s">
        <v>115</v>
      </c>
      <c r="H771" t="s">
        <v>76</v>
      </c>
      <c r="I771" t="s">
        <v>348</v>
      </c>
      <c r="J771" t="s">
        <v>78</v>
      </c>
      <c r="K771" t="s">
        <v>89</v>
      </c>
      <c r="L771" t="s">
        <v>130</v>
      </c>
      <c r="M771">
        <v>19</v>
      </c>
      <c r="N771" t="s">
        <v>2514</v>
      </c>
      <c r="O771">
        <v>2008</v>
      </c>
      <c r="P771" t="s">
        <v>6436</v>
      </c>
      <c r="Q771" t="s">
        <v>6437</v>
      </c>
      <c r="R771">
        <v>62913</v>
      </c>
      <c r="S771" t="s">
        <v>6438</v>
      </c>
      <c r="T771" t="s">
        <v>6439</v>
      </c>
      <c r="U771">
        <v>1989</v>
      </c>
      <c r="V771" t="s">
        <v>6440</v>
      </c>
      <c r="W771">
        <v>1.76</v>
      </c>
      <c r="X771" t="s">
        <v>76</v>
      </c>
      <c r="Y771" t="s">
        <v>136</v>
      </c>
      <c r="Z771" t="s">
        <v>87</v>
      </c>
      <c r="AA771" t="s">
        <v>476</v>
      </c>
      <c r="AB771" s="1">
        <v>45664</v>
      </c>
      <c r="AC771" t="s">
        <v>108</v>
      </c>
      <c r="AD771" t="s">
        <v>89</v>
      </c>
      <c r="AE771" t="s">
        <v>6441</v>
      </c>
      <c r="AF771">
        <v>20</v>
      </c>
      <c r="AG771" t="s">
        <v>91</v>
      </c>
      <c r="AH771" t="s">
        <v>961</v>
      </c>
      <c r="AI771">
        <v>19</v>
      </c>
      <c r="AJ771" t="s">
        <v>110</v>
      </c>
      <c r="AK771">
        <v>19</v>
      </c>
      <c r="AL771">
        <v>5</v>
      </c>
      <c r="AM771">
        <v>375</v>
      </c>
      <c r="AN771">
        <v>42</v>
      </c>
      <c r="AO771">
        <v>4</v>
      </c>
      <c r="AP771" t="s">
        <v>93</v>
      </c>
      <c r="AQ771" t="s">
        <v>89</v>
      </c>
      <c r="AR771" t="s">
        <v>89</v>
      </c>
      <c r="AS771" t="s">
        <v>93</v>
      </c>
      <c r="AT771" t="s">
        <v>89</v>
      </c>
      <c r="AU771" t="s">
        <v>89</v>
      </c>
      <c r="AV771" t="s">
        <v>89</v>
      </c>
      <c r="AW771">
        <v>17</v>
      </c>
      <c r="AX771" t="s">
        <v>89</v>
      </c>
      <c r="AY771" t="s">
        <v>93</v>
      </c>
      <c r="AZ771">
        <v>0</v>
      </c>
      <c r="BA771">
        <v>0</v>
      </c>
      <c r="BB771">
        <v>0</v>
      </c>
      <c r="BC771">
        <v>0</v>
      </c>
      <c r="BD771">
        <v>179</v>
      </c>
      <c r="BE771">
        <v>14027</v>
      </c>
      <c r="BF771">
        <v>1</v>
      </c>
      <c r="BG771" t="s">
        <v>89</v>
      </c>
      <c r="BH771">
        <v>179</v>
      </c>
      <c r="BI771">
        <v>14027</v>
      </c>
      <c r="BJ771">
        <v>1</v>
      </c>
      <c r="BK771">
        <f t="shared" ref="BK771:BK834" si="110">+BA771+BD771</f>
        <v>179</v>
      </c>
      <c r="BL771">
        <f t="shared" ref="BL771:BL834" si="111">+BB771+BE771</f>
        <v>14027</v>
      </c>
      <c r="BM771">
        <f t="shared" ref="BM771:BM834" si="112">+BC771+BF771</f>
        <v>1</v>
      </c>
      <c r="BN771">
        <f t="shared" ref="BN771:BN834" si="113">+BK771-BH771</f>
        <v>0</v>
      </c>
      <c r="BO771">
        <f t="shared" ref="BO771:BO834" si="114">+BL771-BI771</f>
        <v>0</v>
      </c>
      <c r="BP771">
        <f t="shared" ref="BP771:BP834" si="115">+BM771-BJ771</f>
        <v>0</v>
      </c>
      <c r="BQ771" t="s">
        <v>136</v>
      </c>
      <c r="BR771" t="s">
        <v>140</v>
      </c>
      <c r="BS771" s="1">
        <v>32594</v>
      </c>
      <c r="BT771">
        <v>36</v>
      </c>
      <c r="BU771" t="s">
        <v>89</v>
      </c>
      <c r="BV771" t="s">
        <v>89</v>
      </c>
      <c r="BW771">
        <v>17</v>
      </c>
      <c r="BX771">
        <v>1989</v>
      </c>
      <c r="BY771">
        <v>17</v>
      </c>
      <c r="BZ771">
        <f t="shared" ref="BZ771:BZ834" si="116">+AW771-BW771</f>
        <v>0</v>
      </c>
      <c r="CA771">
        <f t="shared" ref="CA771:CA834" si="117">+BW771-BY771</f>
        <v>0</v>
      </c>
      <c r="CB771" t="b">
        <f t="shared" ref="CB771:CB834" si="118">+BW771=AW771</f>
        <v>1</v>
      </c>
    </row>
    <row r="772" spans="1:80" x14ac:dyDescent="0.3">
      <c r="A772" t="s">
        <v>6442</v>
      </c>
      <c r="B772" t="s">
        <v>156</v>
      </c>
      <c r="C772" t="s">
        <v>6443</v>
      </c>
      <c r="D772">
        <v>38</v>
      </c>
      <c r="E772" t="s">
        <v>6444</v>
      </c>
      <c r="F772" t="s">
        <v>210</v>
      </c>
      <c r="G772" t="s">
        <v>535</v>
      </c>
      <c r="H772" t="s">
        <v>177</v>
      </c>
      <c r="I772" t="s">
        <v>668</v>
      </c>
      <c r="J772" t="s">
        <v>300</v>
      </c>
      <c r="K772" t="s">
        <v>179</v>
      </c>
      <c r="L772" t="s">
        <v>145</v>
      </c>
      <c r="M772">
        <v>17</v>
      </c>
      <c r="N772" t="s">
        <v>644</v>
      </c>
      <c r="O772">
        <v>2004</v>
      </c>
      <c r="P772" t="s">
        <v>6445</v>
      </c>
      <c r="Q772" t="s">
        <v>6446</v>
      </c>
      <c r="R772">
        <v>28003</v>
      </c>
      <c r="S772" t="s">
        <v>6442</v>
      </c>
      <c r="T772" t="s">
        <v>6447</v>
      </c>
      <c r="U772">
        <v>1987</v>
      </c>
      <c r="V772" t="s">
        <v>218</v>
      </c>
      <c r="W772">
        <v>1.7</v>
      </c>
      <c r="X772" t="s">
        <v>219</v>
      </c>
      <c r="Y772" t="s">
        <v>494</v>
      </c>
      <c r="Z772" t="s">
        <v>152</v>
      </c>
      <c r="AA772" t="s">
        <v>187</v>
      </c>
      <c r="AB772" t="s">
        <v>6448</v>
      </c>
      <c r="AC772" t="s">
        <v>6449</v>
      </c>
      <c r="AD772" t="s">
        <v>442</v>
      </c>
      <c r="AE772" t="s">
        <v>353</v>
      </c>
      <c r="AF772">
        <v>17</v>
      </c>
      <c r="AG772" t="s">
        <v>91</v>
      </c>
      <c r="AH772" t="s">
        <v>92</v>
      </c>
      <c r="AI772" t="s">
        <v>89</v>
      </c>
      <c r="AJ772" t="s">
        <v>92</v>
      </c>
      <c r="AK772">
        <v>17</v>
      </c>
      <c r="AL772">
        <v>48</v>
      </c>
      <c r="AM772">
        <v>849</v>
      </c>
      <c r="AN772">
        <v>172</v>
      </c>
      <c r="AO772">
        <v>19</v>
      </c>
      <c r="AP772" t="s">
        <v>93</v>
      </c>
      <c r="AQ772" t="s">
        <v>89</v>
      </c>
      <c r="AR772" t="s">
        <v>89</v>
      </c>
      <c r="AS772" t="s">
        <v>93</v>
      </c>
      <c r="AT772" t="s">
        <v>89</v>
      </c>
      <c r="AU772" t="s">
        <v>89</v>
      </c>
      <c r="AV772" t="s">
        <v>89</v>
      </c>
      <c r="AW772">
        <v>21</v>
      </c>
      <c r="AX772">
        <v>10</v>
      </c>
      <c r="AY772" t="s">
        <v>111</v>
      </c>
      <c r="AZ772">
        <v>19</v>
      </c>
      <c r="BA772">
        <v>101</v>
      </c>
      <c r="BB772">
        <v>8387</v>
      </c>
      <c r="BC772">
        <v>75</v>
      </c>
      <c r="BD772">
        <v>868</v>
      </c>
      <c r="BE772">
        <v>71608</v>
      </c>
      <c r="BF772">
        <v>729</v>
      </c>
      <c r="BG772" t="s">
        <v>89</v>
      </c>
      <c r="BH772">
        <v>969</v>
      </c>
      <c r="BI772">
        <v>79995</v>
      </c>
      <c r="BJ772">
        <v>804</v>
      </c>
      <c r="BK772">
        <f t="shared" si="110"/>
        <v>969</v>
      </c>
      <c r="BL772">
        <f t="shared" si="111"/>
        <v>79995</v>
      </c>
      <c r="BM772">
        <f t="shared" si="112"/>
        <v>804</v>
      </c>
      <c r="BN772">
        <f t="shared" si="113"/>
        <v>0</v>
      </c>
      <c r="BO772">
        <f t="shared" si="114"/>
        <v>0</v>
      </c>
      <c r="BP772">
        <f t="shared" si="115"/>
        <v>0</v>
      </c>
      <c r="BQ772" t="s">
        <v>494</v>
      </c>
      <c r="BR772" t="s">
        <v>112</v>
      </c>
      <c r="BS772" s="1">
        <v>31952</v>
      </c>
      <c r="BT772">
        <v>38</v>
      </c>
      <c r="BU772" t="s">
        <v>89</v>
      </c>
      <c r="BV772" t="s">
        <v>89</v>
      </c>
      <c r="BW772">
        <v>21</v>
      </c>
      <c r="BX772">
        <v>1987</v>
      </c>
      <c r="BY772">
        <v>21</v>
      </c>
      <c r="BZ772">
        <f t="shared" si="116"/>
        <v>0</v>
      </c>
      <c r="CA772">
        <f t="shared" si="117"/>
        <v>0</v>
      </c>
      <c r="CB772" t="b">
        <f t="shared" si="118"/>
        <v>1</v>
      </c>
    </row>
    <row r="773" spans="1:80" x14ac:dyDescent="0.3">
      <c r="A773" t="s">
        <v>6450</v>
      </c>
      <c r="B773" t="s">
        <v>156</v>
      </c>
      <c r="C773" t="s">
        <v>6451</v>
      </c>
      <c r="D773">
        <v>35</v>
      </c>
      <c r="E773" t="s">
        <v>6452</v>
      </c>
      <c r="F773" t="s">
        <v>6453</v>
      </c>
      <c r="G773" t="s">
        <v>819</v>
      </c>
      <c r="H773" t="s">
        <v>177</v>
      </c>
      <c r="I773" t="s">
        <v>414</v>
      </c>
      <c r="J773" t="s">
        <v>78</v>
      </c>
      <c r="K773" t="s">
        <v>3922</v>
      </c>
      <c r="L773" t="s">
        <v>324</v>
      </c>
      <c r="M773">
        <v>23</v>
      </c>
      <c r="N773" t="s">
        <v>181</v>
      </c>
      <c r="O773">
        <v>2013</v>
      </c>
      <c r="P773" t="s">
        <v>6454</v>
      </c>
      <c r="Q773" t="s">
        <v>6455</v>
      </c>
      <c r="R773">
        <v>125019</v>
      </c>
      <c r="S773" t="s">
        <v>6450</v>
      </c>
      <c r="T773" t="s">
        <v>6456</v>
      </c>
      <c r="U773">
        <v>1989</v>
      </c>
      <c r="V773" t="s">
        <v>6457</v>
      </c>
      <c r="W773">
        <v>1.87</v>
      </c>
      <c r="X773" t="s">
        <v>219</v>
      </c>
      <c r="Y773" t="s">
        <v>235</v>
      </c>
      <c r="Z773" t="s">
        <v>87</v>
      </c>
      <c r="AA773" t="s">
        <v>3922</v>
      </c>
      <c r="AB773" s="1">
        <v>45815</v>
      </c>
      <c r="AC773" t="s">
        <v>188</v>
      </c>
      <c r="AD773" t="s">
        <v>89</v>
      </c>
      <c r="AE773" t="s">
        <v>2475</v>
      </c>
      <c r="AF773">
        <v>20</v>
      </c>
      <c r="AG773" t="s">
        <v>171</v>
      </c>
      <c r="AH773">
        <v>45482</v>
      </c>
      <c r="AI773">
        <v>35</v>
      </c>
      <c r="AJ773" t="s">
        <v>459</v>
      </c>
      <c r="AK773">
        <v>20</v>
      </c>
      <c r="AL773">
        <v>9</v>
      </c>
      <c r="AM773">
        <v>264</v>
      </c>
      <c r="AN773">
        <v>39</v>
      </c>
      <c r="AO773">
        <v>5</v>
      </c>
      <c r="AP773" t="s">
        <v>93</v>
      </c>
      <c r="AQ773" t="s">
        <v>89</v>
      </c>
      <c r="AR773" t="s">
        <v>89</v>
      </c>
      <c r="AS773" t="s">
        <v>93</v>
      </c>
      <c r="AT773" t="s">
        <v>89</v>
      </c>
      <c r="AU773" t="s">
        <v>89</v>
      </c>
      <c r="AV773" t="s">
        <v>89</v>
      </c>
      <c r="AW773">
        <v>12</v>
      </c>
      <c r="AX773">
        <v>17</v>
      </c>
      <c r="AY773" t="s">
        <v>93</v>
      </c>
      <c r="AZ773">
        <v>0</v>
      </c>
      <c r="BA773">
        <v>0</v>
      </c>
      <c r="BB773">
        <v>0</v>
      </c>
      <c r="BC773">
        <v>0</v>
      </c>
      <c r="BD773">
        <v>248</v>
      </c>
      <c r="BE773">
        <v>20869</v>
      </c>
      <c r="BF773">
        <v>29</v>
      </c>
      <c r="BG773" t="s">
        <v>89</v>
      </c>
      <c r="BH773">
        <v>248</v>
      </c>
      <c r="BI773">
        <v>20869</v>
      </c>
      <c r="BJ773">
        <v>29</v>
      </c>
      <c r="BK773">
        <f t="shared" si="110"/>
        <v>248</v>
      </c>
      <c r="BL773">
        <f t="shared" si="111"/>
        <v>20869</v>
      </c>
      <c r="BM773">
        <f t="shared" si="112"/>
        <v>29</v>
      </c>
      <c r="BN773">
        <f t="shared" si="113"/>
        <v>0</v>
      </c>
      <c r="BO773">
        <f t="shared" si="114"/>
        <v>0</v>
      </c>
      <c r="BP773">
        <f t="shared" si="115"/>
        <v>0</v>
      </c>
      <c r="BQ773" t="s">
        <v>235</v>
      </c>
      <c r="BR773" t="s">
        <v>140</v>
      </c>
      <c r="BS773" t="s">
        <v>89</v>
      </c>
      <c r="BT773">
        <v>37</v>
      </c>
      <c r="BU773" t="s">
        <v>89</v>
      </c>
      <c r="BV773" t="s">
        <v>89</v>
      </c>
      <c r="BW773">
        <v>17</v>
      </c>
      <c r="BX773">
        <v>1989</v>
      </c>
      <c r="BY773">
        <v>15</v>
      </c>
      <c r="BZ773">
        <f t="shared" si="116"/>
        <v>-5</v>
      </c>
      <c r="CA773">
        <f t="shared" si="117"/>
        <v>2</v>
      </c>
      <c r="CB773" t="b">
        <f t="shared" si="118"/>
        <v>0</v>
      </c>
    </row>
    <row r="774" spans="1:80" x14ac:dyDescent="0.3">
      <c r="A774" t="s">
        <v>6458</v>
      </c>
      <c r="B774" t="s">
        <v>71</v>
      </c>
      <c r="C774" t="s">
        <v>6459</v>
      </c>
      <c r="D774">
        <v>39</v>
      </c>
      <c r="E774" s="1">
        <v>31497</v>
      </c>
      <c r="F774" t="s">
        <v>89</v>
      </c>
      <c r="G774" t="s">
        <v>143</v>
      </c>
      <c r="H774" t="s">
        <v>76</v>
      </c>
      <c r="I774" t="s">
        <v>253</v>
      </c>
      <c r="J774" t="s">
        <v>78</v>
      </c>
      <c r="K774" t="s">
        <v>89</v>
      </c>
      <c r="L774" t="s">
        <v>130</v>
      </c>
      <c r="M774">
        <v>22</v>
      </c>
      <c r="N774" t="s">
        <v>1609</v>
      </c>
      <c r="O774">
        <v>2008</v>
      </c>
      <c r="P774" t="s">
        <v>6460</v>
      </c>
      <c r="Q774" t="s">
        <v>6461</v>
      </c>
      <c r="R774">
        <v>8108</v>
      </c>
      <c r="S774" t="s">
        <v>6462</v>
      </c>
      <c r="T774" t="s">
        <v>6463</v>
      </c>
      <c r="U774">
        <v>1986</v>
      </c>
      <c r="V774" t="s">
        <v>6464</v>
      </c>
      <c r="W774">
        <v>1.74</v>
      </c>
      <c r="X774" t="s">
        <v>76</v>
      </c>
      <c r="Y774" t="s">
        <v>86</v>
      </c>
      <c r="Z774" t="s">
        <v>87</v>
      </c>
      <c r="AA774" t="s">
        <v>6465</v>
      </c>
      <c r="AB774" t="s">
        <v>6466</v>
      </c>
      <c r="AC774" t="s">
        <v>108</v>
      </c>
      <c r="AD774" t="s">
        <v>89</v>
      </c>
      <c r="AE774" t="s">
        <v>4897</v>
      </c>
      <c r="AF774">
        <v>26</v>
      </c>
      <c r="AG774" t="s">
        <v>91</v>
      </c>
      <c r="AH774" t="s">
        <v>719</v>
      </c>
      <c r="AI774">
        <v>22</v>
      </c>
      <c r="AJ774" t="s">
        <v>110</v>
      </c>
      <c r="AK774">
        <v>22</v>
      </c>
      <c r="AL774">
        <v>4</v>
      </c>
      <c r="AM774">
        <v>234</v>
      </c>
      <c r="AN774">
        <v>36</v>
      </c>
      <c r="AO774">
        <v>4</v>
      </c>
      <c r="AP774" t="s">
        <v>93</v>
      </c>
      <c r="AQ774" t="s">
        <v>89</v>
      </c>
      <c r="AR774" t="s">
        <v>89</v>
      </c>
      <c r="AS774" t="s">
        <v>111</v>
      </c>
      <c r="AT774" t="s">
        <v>6466</v>
      </c>
      <c r="AU774">
        <v>2022</v>
      </c>
      <c r="AV774">
        <v>14</v>
      </c>
      <c r="AW774">
        <v>14</v>
      </c>
      <c r="AX774" t="s">
        <v>89</v>
      </c>
      <c r="AY774" t="s">
        <v>93</v>
      </c>
      <c r="AZ774">
        <v>0</v>
      </c>
      <c r="BA774">
        <v>0</v>
      </c>
      <c r="BB774">
        <v>0</v>
      </c>
      <c r="BC774">
        <v>0</v>
      </c>
      <c r="BD774">
        <v>278</v>
      </c>
      <c r="BE774">
        <v>18718</v>
      </c>
      <c r="BF774">
        <v>7</v>
      </c>
      <c r="BG774">
        <v>36</v>
      </c>
      <c r="BH774">
        <v>278</v>
      </c>
      <c r="BI774">
        <v>18718</v>
      </c>
      <c r="BJ774">
        <v>7</v>
      </c>
      <c r="BK774">
        <f t="shared" si="110"/>
        <v>278</v>
      </c>
      <c r="BL774">
        <f t="shared" si="111"/>
        <v>18718</v>
      </c>
      <c r="BM774">
        <f t="shared" si="112"/>
        <v>7</v>
      </c>
      <c r="BN774">
        <f t="shared" si="113"/>
        <v>0</v>
      </c>
      <c r="BO774">
        <f t="shared" si="114"/>
        <v>0</v>
      </c>
      <c r="BP774">
        <f t="shared" si="115"/>
        <v>0</v>
      </c>
      <c r="BQ774" t="s">
        <v>86</v>
      </c>
      <c r="BR774" t="s">
        <v>94</v>
      </c>
      <c r="BS774" s="1">
        <v>31497</v>
      </c>
      <c r="BT774">
        <v>39</v>
      </c>
      <c r="BU774" t="s">
        <v>6466</v>
      </c>
      <c r="BV774" s="1">
        <v>44616</v>
      </c>
      <c r="BW774">
        <v>14</v>
      </c>
      <c r="BX774">
        <v>1986</v>
      </c>
      <c r="BY774">
        <v>14</v>
      </c>
      <c r="BZ774">
        <f t="shared" si="116"/>
        <v>0</v>
      </c>
      <c r="CA774">
        <f t="shared" si="117"/>
        <v>0</v>
      </c>
      <c r="CB774" t="b">
        <f t="shared" si="118"/>
        <v>1</v>
      </c>
    </row>
    <row r="775" spans="1:80" x14ac:dyDescent="0.3">
      <c r="A775" t="s">
        <v>6467</v>
      </c>
      <c r="B775" t="s">
        <v>71</v>
      </c>
      <c r="C775" t="s">
        <v>6468</v>
      </c>
      <c r="D775">
        <v>40</v>
      </c>
      <c r="E775">
        <v>30916</v>
      </c>
      <c r="F775" t="s">
        <v>89</v>
      </c>
      <c r="G775" t="s">
        <v>400</v>
      </c>
      <c r="H775" t="s">
        <v>89</v>
      </c>
      <c r="I775" t="s">
        <v>6469</v>
      </c>
      <c r="J775" t="s">
        <v>89</v>
      </c>
      <c r="K775" t="s">
        <v>89</v>
      </c>
      <c r="L775" t="s">
        <v>180</v>
      </c>
      <c r="M775">
        <v>22</v>
      </c>
      <c r="N775" t="s">
        <v>304</v>
      </c>
      <c r="O775">
        <v>2007</v>
      </c>
      <c r="P775" t="s">
        <v>6470</v>
      </c>
      <c r="Q775" t="s">
        <v>6471</v>
      </c>
      <c r="R775">
        <v>58789</v>
      </c>
      <c r="S775" t="s">
        <v>6467</v>
      </c>
      <c r="T775" t="s">
        <v>6472</v>
      </c>
      <c r="U775">
        <v>1984</v>
      </c>
      <c r="V775" t="s">
        <v>969</v>
      </c>
      <c r="W775">
        <v>1.82</v>
      </c>
      <c r="X775" t="s">
        <v>76</v>
      </c>
      <c r="Y775" t="s">
        <v>259</v>
      </c>
      <c r="Z775" t="s">
        <v>87</v>
      </c>
      <c r="AA775" t="s">
        <v>5748</v>
      </c>
      <c r="AB775" t="s">
        <v>6473</v>
      </c>
      <c r="AC775" t="s">
        <v>108</v>
      </c>
      <c r="AD775" t="s">
        <v>89</v>
      </c>
      <c r="AE775">
        <v>39450</v>
      </c>
      <c r="AF775">
        <v>23</v>
      </c>
      <c r="AG775" t="s">
        <v>91</v>
      </c>
      <c r="AH775" t="s">
        <v>449</v>
      </c>
      <c r="AI775">
        <v>23</v>
      </c>
      <c r="AJ775" t="s">
        <v>110</v>
      </c>
      <c r="AK775">
        <v>23</v>
      </c>
      <c r="AL775">
        <v>4</v>
      </c>
      <c r="AM775">
        <v>218</v>
      </c>
      <c r="AN775">
        <v>19</v>
      </c>
      <c r="AO775">
        <v>3</v>
      </c>
      <c r="AP775" t="s">
        <v>93</v>
      </c>
      <c r="AQ775" t="s">
        <v>89</v>
      </c>
      <c r="AR775" t="s">
        <v>89</v>
      </c>
      <c r="AS775" t="s">
        <v>111</v>
      </c>
      <c r="AT775" t="s">
        <v>6473</v>
      </c>
      <c r="AU775">
        <v>2022</v>
      </c>
      <c r="AV775">
        <v>15</v>
      </c>
      <c r="AW775">
        <v>15</v>
      </c>
      <c r="AX775" t="s">
        <v>89</v>
      </c>
      <c r="AY775" t="s">
        <v>93</v>
      </c>
      <c r="AZ775">
        <v>0</v>
      </c>
      <c r="BA775">
        <v>0</v>
      </c>
      <c r="BB775">
        <v>0</v>
      </c>
      <c r="BC775">
        <v>0</v>
      </c>
      <c r="BD775">
        <v>200</v>
      </c>
      <c r="BE775">
        <v>13597</v>
      </c>
      <c r="BF775">
        <v>10</v>
      </c>
      <c r="BG775">
        <v>38</v>
      </c>
      <c r="BH775">
        <v>200</v>
      </c>
      <c r="BI775">
        <v>13597</v>
      </c>
      <c r="BJ775">
        <v>10</v>
      </c>
      <c r="BK775">
        <f t="shared" si="110"/>
        <v>200</v>
      </c>
      <c r="BL775">
        <f t="shared" si="111"/>
        <v>13597</v>
      </c>
      <c r="BM775">
        <f t="shared" si="112"/>
        <v>10</v>
      </c>
      <c r="BN775">
        <f t="shared" si="113"/>
        <v>0</v>
      </c>
      <c r="BO775">
        <f t="shared" si="114"/>
        <v>0</v>
      </c>
      <c r="BP775">
        <f t="shared" si="115"/>
        <v>0</v>
      </c>
      <c r="BQ775" t="s">
        <v>259</v>
      </c>
      <c r="BR775" t="s">
        <v>94</v>
      </c>
      <c r="BS775" s="1">
        <v>30916</v>
      </c>
      <c r="BT775">
        <v>41</v>
      </c>
      <c r="BU775" t="s">
        <v>6473</v>
      </c>
      <c r="BV775" s="1">
        <v>44888</v>
      </c>
      <c r="BW775">
        <v>15</v>
      </c>
      <c r="BX775">
        <v>1984</v>
      </c>
      <c r="BY775">
        <v>15</v>
      </c>
      <c r="BZ775">
        <f t="shared" si="116"/>
        <v>0</v>
      </c>
      <c r="CA775">
        <f t="shared" si="117"/>
        <v>0</v>
      </c>
      <c r="CB775" t="b">
        <f t="shared" si="118"/>
        <v>1</v>
      </c>
    </row>
    <row r="776" spans="1:80" x14ac:dyDescent="0.3">
      <c r="A776" t="s">
        <v>6467</v>
      </c>
      <c r="B776" t="s">
        <v>89</v>
      </c>
      <c r="C776" t="s">
        <v>6474</v>
      </c>
      <c r="D776">
        <v>32</v>
      </c>
      <c r="E776">
        <v>34066</v>
      </c>
      <c r="F776" t="s">
        <v>89</v>
      </c>
      <c r="G776" t="s">
        <v>400</v>
      </c>
      <c r="H776" t="s">
        <v>89</v>
      </c>
      <c r="I776" t="s">
        <v>161</v>
      </c>
      <c r="J776" t="s">
        <v>89</v>
      </c>
      <c r="K776" t="s">
        <v>89</v>
      </c>
      <c r="L776" t="s">
        <v>80</v>
      </c>
      <c r="M776">
        <v>19</v>
      </c>
      <c r="N776" t="s">
        <v>100</v>
      </c>
      <c r="O776">
        <v>2012</v>
      </c>
      <c r="P776" t="s">
        <v>6475</v>
      </c>
      <c r="Q776" t="s">
        <v>6476</v>
      </c>
      <c r="R776">
        <v>230210</v>
      </c>
      <c r="S776" t="s">
        <v>6477</v>
      </c>
      <c r="T776" t="s">
        <v>6478</v>
      </c>
      <c r="U776">
        <v>1993</v>
      </c>
      <c r="V776" t="s">
        <v>4779</v>
      </c>
      <c r="W776">
        <v>1.8</v>
      </c>
      <c r="X776" t="s">
        <v>76</v>
      </c>
      <c r="Y776" t="s">
        <v>123</v>
      </c>
      <c r="Z776" t="s">
        <v>87</v>
      </c>
      <c r="AA776" t="s">
        <v>476</v>
      </c>
      <c r="AB776" t="s">
        <v>6479</v>
      </c>
      <c r="AC776" t="s">
        <v>108</v>
      </c>
      <c r="AD776" t="s">
        <v>89</v>
      </c>
      <c r="AE776" t="s">
        <v>4897</v>
      </c>
      <c r="AF776">
        <v>19</v>
      </c>
      <c r="AG776" t="s">
        <v>91</v>
      </c>
      <c r="AH776" t="s">
        <v>6480</v>
      </c>
      <c r="AI776">
        <v>20</v>
      </c>
      <c r="AJ776" t="s">
        <v>615</v>
      </c>
      <c r="AK776">
        <v>19</v>
      </c>
      <c r="AL776">
        <v>1</v>
      </c>
      <c r="AM776">
        <v>22</v>
      </c>
      <c r="AN776">
        <v>3</v>
      </c>
      <c r="AO776">
        <v>1</v>
      </c>
      <c r="AP776" t="s">
        <v>93</v>
      </c>
      <c r="AQ776" t="s">
        <v>89</v>
      </c>
      <c r="AR776" t="s">
        <v>89</v>
      </c>
      <c r="AS776" t="s">
        <v>93</v>
      </c>
      <c r="AT776" t="s">
        <v>89</v>
      </c>
      <c r="AU776" t="s">
        <v>89</v>
      </c>
      <c r="AV776" t="s">
        <v>89</v>
      </c>
      <c r="AW776">
        <v>13</v>
      </c>
      <c r="AX776" t="s">
        <v>89</v>
      </c>
      <c r="AY776" t="s">
        <v>93</v>
      </c>
      <c r="AZ776">
        <v>0</v>
      </c>
      <c r="BA776">
        <v>0</v>
      </c>
      <c r="BB776">
        <v>0</v>
      </c>
      <c r="BC776">
        <v>0</v>
      </c>
      <c r="BD776">
        <v>96</v>
      </c>
      <c r="BE776">
        <v>6037</v>
      </c>
      <c r="BF776">
        <v>9</v>
      </c>
      <c r="BG776" t="s">
        <v>89</v>
      </c>
      <c r="BH776">
        <v>96</v>
      </c>
      <c r="BI776">
        <v>6037</v>
      </c>
      <c r="BJ776">
        <v>9</v>
      </c>
      <c r="BK776">
        <f t="shared" si="110"/>
        <v>96</v>
      </c>
      <c r="BL776">
        <f t="shared" si="111"/>
        <v>6037</v>
      </c>
      <c r="BM776">
        <f t="shared" si="112"/>
        <v>9</v>
      </c>
      <c r="BN776">
        <f t="shared" si="113"/>
        <v>0</v>
      </c>
      <c r="BO776">
        <f t="shared" si="114"/>
        <v>0</v>
      </c>
      <c r="BP776">
        <f t="shared" si="115"/>
        <v>0</v>
      </c>
      <c r="BQ776" t="s">
        <v>123</v>
      </c>
      <c r="BR776" t="s">
        <v>112</v>
      </c>
      <c r="BS776" t="s">
        <v>89</v>
      </c>
      <c r="BT776">
        <v>33</v>
      </c>
      <c r="BU776" t="s">
        <v>89</v>
      </c>
      <c r="BV776" t="s">
        <v>89</v>
      </c>
      <c r="BW776">
        <v>14</v>
      </c>
      <c r="BX776">
        <v>1993</v>
      </c>
      <c r="BY776">
        <v>13</v>
      </c>
      <c r="BZ776">
        <f t="shared" si="116"/>
        <v>-1</v>
      </c>
      <c r="CA776">
        <f t="shared" si="117"/>
        <v>1</v>
      </c>
      <c r="CB776" t="b">
        <f t="shared" si="118"/>
        <v>0</v>
      </c>
    </row>
    <row r="777" spans="1:80" x14ac:dyDescent="0.3">
      <c r="A777" t="s">
        <v>6481</v>
      </c>
      <c r="B777" t="s">
        <v>1089</v>
      </c>
      <c r="C777" t="s">
        <v>6482</v>
      </c>
      <c r="D777">
        <v>34</v>
      </c>
      <c r="E777" t="s">
        <v>6483</v>
      </c>
      <c r="F777" t="s">
        <v>3264</v>
      </c>
      <c r="G777" t="s">
        <v>143</v>
      </c>
      <c r="H777" t="s">
        <v>1093</v>
      </c>
      <c r="I777" t="s">
        <v>288</v>
      </c>
      <c r="J777" t="s">
        <v>78</v>
      </c>
      <c r="K777" t="s">
        <v>6484</v>
      </c>
      <c r="L777" t="s">
        <v>324</v>
      </c>
      <c r="M777">
        <v>22</v>
      </c>
      <c r="N777" t="s">
        <v>301</v>
      </c>
      <c r="O777">
        <v>2013</v>
      </c>
      <c r="P777" t="s">
        <v>6485</v>
      </c>
      <c r="Q777" t="s">
        <v>6486</v>
      </c>
      <c r="R777">
        <v>119537</v>
      </c>
      <c r="S777" t="s">
        <v>6481</v>
      </c>
      <c r="T777" t="s">
        <v>6487</v>
      </c>
      <c r="U777">
        <v>1991</v>
      </c>
      <c r="V777" t="s">
        <v>6488</v>
      </c>
      <c r="W777">
        <v>1.75</v>
      </c>
      <c r="X777" t="s">
        <v>1093</v>
      </c>
      <c r="Y777" t="s">
        <v>259</v>
      </c>
      <c r="Z777" t="s">
        <v>87</v>
      </c>
      <c r="AA777" t="s">
        <v>6489</v>
      </c>
      <c r="AB777" t="s">
        <v>6490</v>
      </c>
      <c r="AC777" t="s">
        <v>188</v>
      </c>
      <c r="AD777" t="s">
        <v>89</v>
      </c>
      <c r="AE777" t="s">
        <v>3392</v>
      </c>
      <c r="AF777">
        <v>17</v>
      </c>
      <c r="AG777" t="s">
        <v>985</v>
      </c>
      <c r="AH777" t="s">
        <v>1729</v>
      </c>
      <c r="AI777">
        <v>23</v>
      </c>
      <c r="AJ777" t="s">
        <v>110</v>
      </c>
      <c r="AK777">
        <v>17</v>
      </c>
      <c r="AL777">
        <v>3</v>
      </c>
      <c r="AM777">
        <v>213</v>
      </c>
      <c r="AN777">
        <v>22</v>
      </c>
      <c r="AO777">
        <v>3</v>
      </c>
      <c r="AP777" t="s">
        <v>93</v>
      </c>
      <c r="AQ777" t="s">
        <v>89</v>
      </c>
      <c r="AR777" t="s">
        <v>89</v>
      </c>
      <c r="AS777" t="s">
        <v>93</v>
      </c>
      <c r="AT777" t="s">
        <v>89</v>
      </c>
      <c r="AU777" t="s">
        <v>89</v>
      </c>
      <c r="AV777" t="s">
        <v>89</v>
      </c>
      <c r="AW777">
        <v>12</v>
      </c>
      <c r="AX777">
        <v>21</v>
      </c>
      <c r="AY777" t="s">
        <v>111</v>
      </c>
      <c r="AZ777">
        <v>2</v>
      </c>
      <c r="BA777">
        <v>6</v>
      </c>
      <c r="BB777">
        <v>421</v>
      </c>
      <c r="BC777">
        <v>1</v>
      </c>
      <c r="BD777">
        <v>344</v>
      </c>
      <c r="BE777">
        <v>28104</v>
      </c>
      <c r="BF777">
        <v>10</v>
      </c>
      <c r="BG777" t="s">
        <v>89</v>
      </c>
      <c r="BH777">
        <v>350</v>
      </c>
      <c r="BI777">
        <v>28525</v>
      </c>
      <c r="BJ777">
        <v>11</v>
      </c>
      <c r="BK777">
        <f t="shared" si="110"/>
        <v>350</v>
      </c>
      <c r="BL777">
        <f t="shared" si="111"/>
        <v>28525</v>
      </c>
      <c r="BM777">
        <f t="shared" si="112"/>
        <v>11</v>
      </c>
      <c r="BN777">
        <f t="shared" si="113"/>
        <v>0</v>
      </c>
      <c r="BO777">
        <f t="shared" si="114"/>
        <v>0</v>
      </c>
      <c r="BP777">
        <f t="shared" si="115"/>
        <v>0</v>
      </c>
      <c r="BQ777" t="s">
        <v>259</v>
      </c>
      <c r="BR777" t="s">
        <v>94</v>
      </c>
      <c r="BS777" s="1">
        <v>33402</v>
      </c>
      <c r="BT777">
        <v>34</v>
      </c>
      <c r="BU777" t="s">
        <v>89</v>
      </c>
      <c r="BV777" t="s">
        <v>89</v>
      </c>
      <c r="BW777">
        <v>17</v>
      </c>
      <c r="BX777">
        <v>1991</v>
      </c>
      <c r="BY777">
        <v>17</v>
      </c>
      <c r="BZ777">
        <f t="shared" si="116"/>
        <v>-5</v>
      </c>
      <c r="CA777">
        <f t="shared" si="117"/>
        <v>0</v>
      </c>
      <c r="CB777" t="b">
        <f t="shared" si="118"/>
        <v>0</v>
      </c>
    </row>
    <row r="778" spans="1:80" x14ac:dyDescent="0.3">
      <c r="A778" t="s">
        <v>6491</v>
      </c>
      <c r="B778" t="s">
        <v>1069</v>
      </c>
      <c r="C778" t="s">
        <v>6492</v>
      </c>
      <c r="D778">
        <v>44</v>
      </c>
      <c r="E778" s="1">
        <v>29622</v>
      </c>
      <c r="F778" t="s">
        <v>89</v>
      </c>
      <c r="G778" t="s">
        <v>176</v>
      </c>
      <c r="H778" t="s">
        <v>1071</v>
      </c>
      <c r="I778" t="s">
        <v>227</v>
      </c>
      <c r="J778" t="s">
        <v>78</v>
      </c>
      <c r="K778" t="s">
        <v>89</v>
      </c>
      <c r="L778" t="s">
        <v>657</v>
      </c>
      <c r="M778">
        <v>22</v>
      </c>
      <c r="N778" t="s">
        <v>6493</v>
      </c>
      <c r="O778">
        <v>2003</v>
      </c>
      <c r="P778" t="s">
        <v>6494</v>
      </c>
      <c r="Q778" t="s">
        <v>6495</v>
      </c>
      <c r="R778">
        <v>16458</v>
      </c>
      <c r="S778" t="s">
        <v>6491</v>
      </c>
      <c r="T778" s="1">
        <v>29708</v>
      </c>
      <c r="U778">
        <v>1981</v>
      </c>
      <c r="V778" t="s">
        <v>6496</v>
      </c>
      <c r="W778">
        <v>1.84</v>
      </c>
      <c r="X778" t="s">
        <v>6497</v>
      </c>
      <c r="Y778" t="s">
        <v>235</v>
      </c>
      <c r="Z778" t="s">
        <v>87</v>
      </c>
      <c r="AA778" t="s">
        <v>6498</v>
      </c>
      <c r="AB778" s="1">
        <v>44568</v>
      </c>
      <c r="AC778" t="s">
        <v>108</v>
      </c>
      <c r="AD778" t="s">
        <v>89</v>
      </c>
      <c r="AE778" t="s">
        <v>6499</v>
      </c>
      <c r="AF778">
        <v>22</v>
      </c>
      <c r="AG778" t="s">
        <v>1078</v>
      </c>
      <c r="AH778" t="s">
        <v>6196</v>
      </c>
      <c r="AI778">
        <v>20</v>
      </c>
      <c r="AJ778" t="s">
        <v>6500</v>
      </c>
      <c r="AK778">
        <v>20</v>
      </c>
      <c r="AL778">
        <v>3</v>
      </c>
      <c r="AM778">
        <v>37</v>
      </c>
      <c r="AN778">
        <v>10</v>
      </c>
      <c r="AO778">
        <v>2</v>
      </c>
      <c r="AP778" t="s">
        <v>93</v>
      </c>
      <c r="AQ778" t="s">
        <v>89</v>
      </c>
      <c r="AR778" t="s">
        <v>89</v>
      </c>
      <c r="AS778" t="s">
        <v>111</v>
      </c>
      <c r="AT778" s="1">
        <v>44568</v>
      </c>
      <c r="AU778">
        <v>2022</v>
      </c>
      <c r="AV778">
        <v>19</v>
      </c>
      <c r="AW778">
        <v>19</v>
      </c>
      <c r="AX778" t="s">
        <v>89</v>
      </c>
      <c r="AY778" t="s">
        <v>111</v>
      </c>
      <c r="AZ778">
        <v>12</v>
      </c>
      <c r="BA778">
        <v>28</v>
      </c>
      <c r="BB778">
        <v>2111</v>
      </c>
      <c r="BC778">
        <v>0</v>
      </c>
      <c r="BD778">
        <v>401</v>
      </c>
      <c r="BE778">
        <v>33047</v>
      </c>
      <c r="BF778">
        <v>13</v>
      </c>
      <c r="BG778">
        <v>41</v>
      </c>
      <c r="BH778">
        <v>429</v>
      </c>
      <c r="BI778">
        <v>35158</v>
      </c>
      <c r="BJ778">
        <v>13</v>
      </c>
      <c r="BK778">
        <f t="shared" si="110"/>
        <v>429</v>
      </c>
      <c r="BL778">
        <f t="shared" si="111"/>
        <v>35158</v>
      </c>
      <c r="BM778">
        <f t="shared" si="112"/>
        <v>13</v>
      </c>
      <c r="BN778">
        <f t="shared" si="113"/>
        <v>0</v>
      </c>
      <c r="BO778">
        <f t="shared" si="114"/>
        <v>0</v>
      </c>
      <c r="BP778">
        <f t="shared" si="115"/>
        <v>0</v>
      </c>
      <c r="BQ778" t="s">
        <v>235</v>
      </c>
      <c r="BR778" t="s">
        <v>140</v>
      </c>
      <c r="BS778" s="1">
        <v>29622</v>
      </c>
      <c r="BT778">
        <v>45</v>
      </c>
      <c r="BU778" s="1">
        <v>44568</v>
      </c>
      <c r="BV778" s="1">
        <v>44743</v>
      </c>
      <c r="BW778">
        <v>21</v>
      </c>
      <c r="BX778">
        <v>1981</v>
      </c>
      <c r="BY778">
        <v>21</v>
      </c>
      <c r="BZ778">
        <f t="shared" si="116"/>
        <v>-2</v>
      </c>
      <c r="CA778">
        <f t="shared" si="117"/>
        <v>0</v>
      </c>
      <c r="CB778" t="b">
        <f t="shared" si="118"/>
        <v>0</v>
      </c>
    </row>
    <row r="779" spans="1:80" x14ac:dyDescent="0.3">
      <c r="A779" t="s">
        <v>6501</v>
      </c>
      <c r="B779" t="s">
        <v>776</v>
      </c>
      <c r="C779" t="s">
        <v>6502</v>
      </c>
      <c r="D779">
        <v>44</v>
      </c>
      <c r="E779">
        <v>29533</v>
      </c>
      <c r="F779" t="s">
        <v>89</v>
      </c>
      <c r="G779" t="s">
        <v>226</v>
      </c>
      <c r="H779" t="s">
        <v>778</v>
      </c>
      <c r="I779" t="s">
        <v>437</v>
      </c>
      <c r="J779" t="s">
        <v>639</v>
      </c>
      <c r="K779" t="s">
        <v>89</v>
      </c>
      <c r="L779" t="s">
        <v>196</v>
      </c>
      <c r="M779">
        <v>19</v>
      </c>
      <c r="N779" t="s">
        <v>3083</v>
      </c>
      <c r="O779">
        <v>2000</v>
      </c>
      <c r="P779" t="s">
        <v>6503</v>
      </c>
      <c r="Q779" t="s">
        <v>6504</v>
      </c>
      <c r="R779">
        <v>19082</v>
      </c>
      <c r="S779" t="s">
        <v>6501</v>
      </c>
      <c r="T779" s="1">
        <v>29444</v>
      </c>
      <c r="U779">
        <v>1980</v>
      </c>
      <c r="V779" t="s">
        <v>3562</v>
      </c>
      <c r="W779">
        <v>1.86</v>
      </c>
      <c r="X779" t="s">
        <v>783</v>
      </c>
      <c r="Y779" t="s">
        <v>123</v>
      </c>
      <c r="Z779" t="s">
        <v>87</v>
      </c>
      <c r="AA779" t="s">
        <v>6505</v>
      </c>
      <c r="AB779" s="1">
        <v>43314</v>
      </c>
      <c r="AC779" t="s">
        <v>108</v>
      </c>
      <c r="AD779" t="s">
        <v>89</v>
      </c>
      <c r="AE779" t="s">
        <v>6506</v>
      </c>
      <c r="AF779">
        <v>17</v>
      </c>
      <c r="AG779" t="s">
        <v>786</v>
      </c>
      <c r="AH779" t="s">
        <v>6507</v>
      </c>
      <c r="AI779">
        <v>35</v>
      </c>
      <c r="AJ779" t="s">
        <v>4240</v>
      </c>
      <c r="AK779">
        <v>17</v>
      </c>
      <c r="AL779">
        <v>6</v>
      </c>
      <c r="AM779">
        <v>263</v>
      </c>
      <c r="AN779">
        <v>68</v>
      </c>
      <c r="AO779">
        <v>4</v>
      </c>
      <c r="AP779" t="s">
        <v>93</v>
      </c>
      <c r="AQ779" t="s">
        <v>89</v>
      </c>
      <c r="AR779" t="s">
        <v>89</v>
      </c>
      <c r="AS779" t="s">
        <v>111</v>
      </c>
      <c r="AT779">
        <v>43314</v>
      </c>
      <c r="AU779">
        <v>2018</v>
      </c>
      <c r="AV779">
        <v>18</v>
      </c>
      <c r="AW779">
        <v>18</v>
      </c>
      <c r="AX779" t="s">
        <v>89</v>
      </c>
      <c r="AY779" t="s">
        <v>111</v>
      </c>
      <c r="AZ779">
        <v>3</v>
      </c>
      <c r="BA779">
        <v>10</v>
      </c>
      <c r="BB779">
        <v>842</v>
      </c>
      <c r="BC779">
        <v>8</v>
      </c>
      <c r="BD779">
        <v>298</v>
      </c>
      <c r="BE779">
        <v>19528</v>
      </c>
      <c r="BF779">
        <v>113</v>
      </c>
      <c r="BG779">
        <v>38</v>
      </c>
      <c r="BH779">
        <v>308</v>
      </c>
      <c r="BI779">
        <v>20370</v>
      </c>
      <c r="BJ779">
        <v>121</v>
      </c>
      <c r="BK779">
        <f t="shared" si="110"/>
        <v>308</v>
      </c>
      <c r="BL779">
        <f t="shared" si="111"/>
        <v>20370</v>
      </c>
      <c r="BM779">
        <f t="shared" si="112"/>
        <v>121</v>
      </c>
      <c r="BN779">
        <f t="shared" si="113"/>
        <v>0</v>
      </c>
      <c r="BO779">
        <f t="shared" si="114"/>
        <v>0</v>
      </c>
      <c r="BP779">
        <f t="shared" si="115"/>
        <v>0</v>
      </c>
      <c r="BQ779" t="s">
        <v>123</v>
      </c>
      <c r="BR779" t="s">
        <v>112</v>
      </c>
      <c r="BS779" s="1">
        <v>29533</v>
      </c>
      <c r="BT779">
        <v>45</v>
      </c>
      <c r="BU779">
        <v>43314</v>
      </c>
      <c r="BV779" t="s">
        <v>89</v>
      </c>
      <c r="BW779">
        <v>21</v>
      </c>
      <c r="BX779">
        <v>1980</v>
      </c>
      <c r="BY779">
        <v>21</v>
      </c>
      <c r="BZ779">
        <f t="shared" si="116"/>
        <v>-3</v>
      </c>
      <c r="CA779">
        <f t="shared" si="117"/>
        <v>0</v>
      </c>
      <c r="CB779" t="b">
        <f t="shared" si="118"/>
        <v>0</v>
      </c>
    </row>
    <row r="780" spans="1:80" x14ac:dyDescent="0.3">
      <c r="A780" t="s">
        <v>6508</v>
      </c>
      <c r="B780" t="s">
        <v>1231</v>
      </c>
      <c r="C780" t="s">
        <v>6509</v>
      </c>
      <c r="D780">
        <v>33</v>
      </c>
      <c r="E780">
        <v>33765</v>
      </c>
      <c r="F780" t="s">
        <v>89</v>
      </c>
      <c r="G780" t="s">
        <v>298</v>
      </c>
      <c r="H780" t="s">
        <v>1234</v>
      </c>
      <c r="I780" t="s">
        <v>195</v>
      </c>
      <c r="J780" t="s">
        <v>300</v>
      </c>
      <c r="K780" t="s">
        <v>89</v>
      </c>
      <c r="L780" t="s">
        <v>278</v>
      </c>
      <c r="M780">
        <v>19</v>
      </c>
      <c r="N780" t="s">
        <v>490</v>
      </c>
      <c r="O780">
        <v>2011</v>
      </c>
      <c r="P780" t="s">
        <v>6510</v>
      </c>
      <c r="Q780" t="s">
        <v>6511</v>
      </c>
      <c r="R780">
        <v>187896</v>
      </c>
      <c r="S780" t="s">
        <v>6508</v>
      </c>
      <c r="T780" t="s">
        <v>6512</v>
      </c>
      <c r="U780">
        <v>1992</v>
      </c>
      <c r="V780" t="s">
        <v>6513</v>
      </c>
      <c r="W780">
        <v>1.77</v>
      </c>
      <c r="X780" t="s">
        <v>1234</v>
      </c>
      <c r="Y780" t="s">
        <v>203</v>
      </c>
      <c r="Z780" t="s">
        <v>152</v>
      </c>
      <c r="AA780" t="s">
        <v>476</v>
      </c>
      <c r="AB780" s="1">
        <v>45658</v>
      </c>
      <c r="AC780" t="s">
        <v>108</v>
      </c>
      <c r="AD780" t="s">
        <v>89</v>
      </c>
      <c r="AE780" t="s">
        <v>2580</v>
      </c>
      <c r="AF780">
        <v>19</v>
      </c>
      <c r="AG780" t="s">
        <v>613</v>
      </c>
      <c r="AH780">
        <v>41221</v>
      </c>
      <c r="AI780">
        <v>20</v>
      </c>
      <c r="AJ780" t="s">
        <v>615</v>
      </c>
      <c r="AK780">
        <v>19</v>
      </c>
      <c r="AL780">
        <v>7</v>
      </c>
      <c r="AM780">
        <v>292</v>
      </c>
      <c r="AN780">
        <v>46</v>
      </c>
      <c r="AO780">
        <v>5</v>
      </c>
      <c r="AP780" t="s">
        <v>93</v>
      </c>
      <c r="AQ780" t="s">
        <v>89</v>
      </c>
      <c r="AR780" t="s">
        <v>89</v>
      </c>
      <c r="AS780" t="s">
        <v>93</v>
      </c>
      <c r="AT780" t="s">
        <v>89</v>
      </c>
      <c r="AU780" t="s">
        <v>89</v>
      </c>
      <c r="AV780" t="s">
        <v>89</v>
      </c>
      <c r="AW780">
        <v>14</v>
      </c>
      <c r="AX780" t="s">
        <v>89</v>
      </c>
      <c r="AY780" t="s">
        <v>93</v>
      </c>
      <c r="AZ780">
        <v>0</v>
      </c>
      <c r="BA780">
        <v>0</v>
      </c>
      <c r="BB780">
        <v>0</v>
      </c>
      <c r="BC780">
        <v>0</v>
      </c>
      <c r="BD780">
        <v>204</v>
      </c>
      <c r="BE780">
        <v>14981</v>
      </c>
      <c r="BF780">
        <v>4</v>
      </c>
      <c r="BG780" t="s">
        <v>89</v>
      </c>
      <c r="BH780">
        <v>204</v>
      </c>
      <c r="BI780">
        <v>14981</v>
      </c>
      <c r="BJ780">
        <v>4</v>
      </c>
      <c r="BK780">
        <f t="shared" si="110"/>
        <v>204</v>
      </c>
      <c r="BL780">
        <f t="shared" si="111"/>
        <v>14981</v>
      </c>
      <c r="BM780">
        <f t="shared" si="112"/>
        <v>4</v>
      </c>
      <c r="BN780">
        <f t="shared" si="113"/>
        <v>0</v>
      </c>
      <c r="BO780">
        <f t="shared" si="114"/>
        <v>0</v>
      </c>
      <c r="BP780">
        <f t="shared" si="115"/>
        <v>0</v>
      </c>
      <c r="BQ780" t="s">
        <v>203</v>
      </c>
      <c r="BR780" t="s">
        <v>140</v>
      </c>
      <c r="BS780" t="s">
        <v>89</v>
      </c>
      <c r="BT780">
        <v>34</v>
      </c>
      <c r="BU780" t="s">
        <v>89</v>
      </c>
      <c r="BV780" t="s">
        <v>89</v>
      </c>
      <c r="BW780">
        <v>15</v>
      </c>
      <c r="BX780">
        <v>1992</v>
      </c>
      <c r="BY780">
        <v>14</v>
      </c>
      <c r="BZ780">
        <f t="shared" si="116"/>
        <v>-1</v>
      </c>
      <c r="CA780">
        <f t="shared" si="117"/>
        <v>1</v>
      </c>
      <c r="CB780" t="b">
        <f t="shared" si="118"/>
        <v>0</v>
      </c>
    </row>
    <row r="781" spans="1:80" x14ac:dyDescent="0.3">
      <c r="A781" t="s">
        <v>6514</v>
      </c>
      <c r="B781" t="s">
        <v>1008</v>
      </c>
      <c r="C781" t="s">
        <v>6515</v>
      </c>
      <c r="D781">
        <v>39</v>
      </c>
      <c r="E781" s="1">
        <v>31583</v>
      </c>
      <c r="F781" t="s">
        <v>89</v>
      </c>
      <c r="G781" t="s">
        <v>143</v>
      </c>
      <c r="H781" t="s">
        <v>1010</v>
      </c>
      <c r="I781" t="s">
        <v>288</v>
      </c>
      <c r="J781" t="s">
        <v>78</v>
      </c>
      <c r="K781" t="s">
        <v>89</v>
      </c>
      <c r="L781" t="s">
        <v>117</v>
      </c>
      <c r="M781">
        <v>19</v>
      </c>
      <c r="N781" t="s">
        <v>2383</v>
      </c>
      <c r="O781">
        <v>2005</v>
      </c>
      <c r="P781" t="s">
        <v>6516</v>
      </c>
      <c r="Q781" t="s">
        <v>6517</v>
      </c>
      <c r="R781">
        <v>33218</v>
      </c>
      <c r="S781" t="s">
        <v>6514</v>
      </c>
      <c r="T781" t="s">
        <v>6518</v>
      </c>
      <c r="U781">
        <v>1986</v>
      </c>
      <c r="V781" t="s">
        <v>6519</v>
      </c>
      <c r="W781">
        <v>1.75</v>
      </c>
      <c r="X781" t="s">
        <v>1010</v>
      </c>
      <c r="Y781" t="s">
        <v>259</v>
      </c>
      <c r="Z781" t="s">
        <v>87</v>
      </c>
      <c r="AA781" t="s">
        <v>6520</v>
      </c>
      <c r="AB781" s="1">
        <v>45664</v>
      </c>
      <c r="AC781" t="s">
        <v>108</v>
      </c>
      <c r="AD781" t="s">
        <v>89</v>
      </c>
      <c r="AE781" t="s">
        <v>6521</v>
      </c>
      <c r="AF781">
        <v>19</v>
      </c>
      <c r="AG781" t="s">
        <v>573</v>
      </c>
      <c r="AH781" t="s">
        <v>6522</v>
      </c>
      <c r="AI781">
        <v>37</v>
      </c>
      <c r="AJ781" t="s">
        <v>575</v>
      </c>
      <c r="AK781">
        <v>19</v>
      </c>
      <c r="AL781">
        <v>14</v>
      </c>
      <c r="AM781">
        <v>606</v>
      </c>
      <c r="AN781">
        <v>81</v>
      </c>
      <c r="AO781">
        <v>9</v>
      </c>
      <c r="AP781" t="s">
        <v>93</v>
      </c>
      <c r="AQ781" t="s">
        <v>89</v>
      </c>
      <c r="AR781" t="s">
        <v>89</v>
      </c>
      <c r="AS781" t="s">
        <v>111</v>
      </c>
      <c r="AT781">
        <v>45664</v>
      </c>
      <c r="AU781">
        <v>2025</v>
      </c>
      <c r="AV781">
        <v>20</v>
      </c>
      <c r="AW781">
        <v>20</v>
      </c>
      <c r="AX781" t="s">
        <v>89</v>
      </c>
      <c r="AY781" t="s">
        <v>93</v>
      </c>
      <c r="AZ781">
        <v>0</v>
      </c>
      <c r="BA781">
        <v>0</v>
      </c>
      <c r="BB781">
        <v>0</v>
      </c>
      <c r="BC781">
        <v>0</v>
      </c>
      <c r="BD781">
        <v>422</v>
      </c>
      <c r="BE781">
        <v>28972</v>
      </c>
      <c r="BF781">
        <v>24</v>
      </c>
      <c r="BG781">
        <v>39</v>
      </c>
      <c r="BH781">
        <v>422</v>
      </c>
      <c r="BI781">
        <v>28972</v>
      </c>
      <c r="BJ781">
        <v>24</v>
      </c>
      <c r="BK781">
        <f t="shared" si="110"/>
        <v>422</v>
      </c>
      <c r="BL781">
        <f t="shared" si="111"/>
        <v>28972</v>
      </c>
      <c r="BM781">
        <f t="shared" si="112"/>
        <v>24</v>
      </c>
      <c r="BN781">
        <f t="shared" si="113"/>
        <v>0</v>
      </c>
      <c r="BO781">
        <f t="shared" si="114"/>
        <v>0</v>
      </c>
      <c r="BP781">
        <f t="shared" si="115"/>
        <v>0</v>
      </c>
      <c r="BQ781" t="s">
        <v>259</v>
      </c>
      <c r="BR781" t="s">
        <v>94</v>
      </c>
      <c r="BS781" s="1">
        <v>31583</v>
      </c>
      <c r="BT781">
        <v>39</v>
      </c>
      <c r="BU781">
        <v>45664</v>
      </c>
      <c r="BV781" t="s">
        <v>89</v>
      </c>
      <c r="BW781">
        <v>20</v>
      </c>
      <c r="BX781">
        <v>1986</v>
      </c>
      <c r="BY781">
        <v>20</v>
      </c>
      <c r="BZ781">
        <f t="shared" si="116"/>
        <v>0</v>
      </c>
      <c r="CA781">
        <f t="shared" si="117"/>
        <v>0</v>
      </c>
      <c r="CB781" t="b">
        <f t="shared" si="118"/>
        <v>1</v>
      </c>
    </row>
    <row r="782" spans="1:80" x14ac:dyDescent="0.3">
      <c r="A782" t="s">
        <v>6523</v>
      </c>
      <c r="B782" t="s">
        <v>191</v>
      </c>
      <c r="C782" t="s">
        <v>6524</v>
      </c>
      <c r="D782">
        <v>29</v>
      </c>
      <c r="E782" t="s">
        <v>6525</v>
      </c>
      <c r="F782" t="s">
        <v>6526</v>
      </c>
      <c r="G782" t="s">
        <v>413</v>
      </c>
      <c r="H782" t="s">
        <v>194</v>
      </c>
      <c r="I782" t="s">
        <v>375</v>
      </c>
      <c r="J782" t="s">
        <v>300</v>
      </c>
      <c r="K782" t="s">
        <v>6527</v>
      </c>
      <c r="L782" t="s">
        <v>762</v>
      </c>
      <c r="M782">
        <v>18</v>
      </c>
      <c r="N782" t="s">
        <v>81</v>
      </c>
      <c r="O782">
        <v>2014</v>
      </c>
      <c r="P782" t="s">
        <v>6528</v>
      </c>
      <c r="Q782" t="s">
        <v>6529</v>
      </c>
      <c r="R782">
        <v>281963</v>
      </c>
      <c r="S782" t="s">
        <v>6523</v>
      </c>
      <c r="T782" t="s">
        <v>6530</v>
      </c>
      <c r="U782">
        <v>1996</v>
      </c>
      <c r="V782" t="s">
        <v>599</v>
      </c>
      <c r="W782">
        <v>1.84</v>
      </c>
      <c r="X782" t="s">
        <v>6531</v>
      </c>
      <c r="Y782" t="s">
        <v>203</v>
      </c>
      <c r="Z782" t="s">
        <v>152</v>
      </c>
      <c r="AA782" t="s">
        <v>6379</v>
      </c>
      <c r="AB782" s="1">
        <v>45176</v>
      </c>
      <c r="AC782" t="s">
        <v>394</v>
      </c>
      <c r="AD782" t="s">
        <v>223</v>
      </c>
      <c r="AE782" t="s">
        <v>6532</v>
      </c>
      <c r="AF782">
        <v>18</v>
      </c>
      <c r="AG782" t="s">
        <v>91</v>
      </c>
      <c r="AH782" t="s">
        <v>92</v>
      </c>
      <c r="AI782" t="s">
        <v>89</v>
      </c>
      <c r="AJ782" t="s">
        <v>92</v>
      </c>
      <c r="AK782">
        <v>18</v>
      </c>
      <c r="AL782">
        <v>23</v>
      </c>
      <c r="AM782">
        <v>997</v>
      </c>
      <c r="AN782">
        <v>163</v>
      </c>
      <c r="AO782">
        <v>9</v>
      </c>
      <c r="AP782" t="s">
        <v>93</v>
      </c>
      <c r="AQ782" t="s">
        <v>89</v>
      </c>
      <c r="AR782" t="s">
        <v>89</v>
      </c>
      <c r="AS782" t="s">
        <v>93</v>
      </c>
      <c r="AT782" t="s">
        <v>89</v>
      </c>
      <c r="AU782" t="s">
        <v>89</v>
      </c>
      <c r="AV782" t="s">
        <v>89</v>
      </c>
      <c r="AW782">
        <v>11</v>
      </c>
      <c r="AX782">
        <v>21</v>
      </c>
      <c r="AY782" t="s">
        <v>111</v>
      </c>
      <c r="AZ782">
        <v>17</v>
      </c>
      <c r="BA782">
        <v>39</v>
      </c>
      <c r="BB782">
        <v>2721</v>
      </c>
      <c r="BC782">
        <v>0</v>
      </c>
      <c r="BD782">
        <v>295</v>
      </c>
      <c r="BE782">
        <v>20928</v>
      </c>
      <c r="BF782">
        <v>5</v>
      </c>
      <c r="BG782" t="s">
        <v>89</v>
      </c>
      <c r="BH782">
        <v>334</v>
      </c>
      <c r="BI782">
        <v>23649</v>
      </c>
      <c r="BJ782">
        <v>5</v>
      </c>
      <c r="BK782">
        <f t="shared" si="110"/>
        <v>334</v>
      </c>
      <c r="BL782">
        <f t="shared" si="111"/>
        <v>23649</v>
      </c>
      <c r="BM782">
        <f t="shared" si="112"/>
        <v>5</v>
      </c>
      <c r="BN782">
        <f t="shared" si="113"/>
        <v>0</v>
      </c>
      <c r="BO782">
        <f t="shared" si="114"/>
        <v>0</v>
      </c>
      <c r="BP782">
        <f t="shared" si="115"/>
        <v>0</v>
      </c>
      <c r="BQ782" t="s">
        <v>203</v>
      </c>
      <c r="BR782" t="s">
        <v>140</v>
      </c>
      <c r="BS782" s="1">
        <v>35109</v>
      </c>
      <c r="BT782">
        <v>30</v>
      </c>
      <c r="BU782" t="s">
        <v>89</v>
      </c>
      <c r="BV782" t="s">
        <v>89</v>
      </c>
      <c r="BW782">
        <v>12</v>
      </c>
      <c r="BX782">
        <v>1996</v>
      </c>
      <c r="BY782">
        <v>11</v>
      </c>
      <c r="BZ782">
        <f t="shared" si="116"/>
        <v>-1</v>
      </c>
      <c r="CA782">
        <f t="shared" si="117"/>
        <v>1</v>
      </c>
      <c r="CB782" t="b">
        <f t="shared" si="118"/>
        <v>0</v>
      </c>
    </row>
    <row r="783" spans="1:80" x14ac:dyDescent="0.3">
      <c r="A783" t="s">
        <v>6533</v>
      </c>
      <c r="B783" t="s">
        <v>156</v>
      </c>
      <c r="C783" t="s">
        <v>6534</v>
      </c>
      <c r="D783">
        <v>36</v>
      </c>
      <c r="E783" s="1">
        <v>32542</v>
      </c>
      <c r="F783" t="s">
        <v>89</v>
      </c>
      <c r="G783" t="s">
        <v>176</v>
      </c>
      <c r="H783" t="s">
        <v>177</v>
      </c>
      <c r="I783" t="s">
        <v>375</v>
      </c>
      <c r="J783" t="s">
        <v>300</v>
      </c>
      <c r="K783" t="s">
        <v>89</v>
      </c>
      <c r="L783" t="s">
        <v>324</v>
      </c>
      <c r="M783">
        <v>24</v>
      </c>
      <c r="N783" t="s">
        <v>1656</v>
      </c>
      <c r="O783">
        <v>2013</v>
      </c>
      <c r="P783" t="s">
        <v>6535</v>
      </c>
      <c r="Q783" t="s">
        <v>6536</v>
      </c>
      <c r="R783">
        <v>110309</v>
      </c>
      <c r="S783" t="s">
        <v>6533</v>
      </c>
      <c r="T783">
        <v>32569</v>
      </c>
      <c r="U783">
        <v>1989</v>
      </c>
      <c r="V783" t="s">
        <v>982</v>
      </c>
      <c r="W783">
        <v>1.79</v>
      </c>
      <c r="X783" t="s">
        <v>219</v>
      </c>
      <c r="Y783" t="s">
        <v>235</v>
      </c>
      <c r="Z783" t="s">
        <v>152</v>
      </c>
      <c r="AA783" t="s">
        <v>1857</v>
      </c>
      <c r="AB783" s="1">
        <v>44927</v>
      </c>
      <c r="AC783" t="s">
        <v>108</v>
      </c>
      <c r="AD783" t="s">
        <v>89</v>
      </c>
      <c r="AE783" t="s">
        <v>6537</v>
      </c>
      <c r="AF783">
        <v>20</v>
      </c>
      <c r="AG783" t="s">
        <v>171</v>
      </c>
      <c r="AH783" t="s">
        <v>92</v>
      </c>
      <c r="AI783" t="s">
        <v>89</v>
      </c>
      <c r="AJ783" t="s">
        <v>92</v>
      </c>
      <c r="AK783">
        <v>20</v>
      </c>
      <c r="AL783">
        <v>5</v>
      </c>
      <c r="AM783">
        <v>98</v>
      </c>
      <c r="AN783">
        <v>18</v>
      </c>
      <c r="AO783">
        <v>5</v>
      </c>
      <c r="AP783" t="s">
        <v>93</v>
      </c>
      <c r="AQ783" t="s">
        <v>89</v>
      </c>
      <c r="AR783" t="s">
        <v>89</v>
      </c>
      <c r="AS783" t="s">
        <v>111</v>
      </c>
      <c r="AT783" s="1">
        <v>44927</v>
      </c>
      <c r="AU783">
        <v>2023</v>
      </c>
      <c r="AV783">
        <v>10</v>
      </c>
      <c r="AW783">
        <v>10</v>
      </c>
      <c r="AX783" t="s">
        <v>89</v>
      </c>
      <c r="AY783" t="s">
        <v>111</v>
      </c>
      <c r="AZ783">
        <v>1</v>
      </c>
      <c r="BA783">
        <v>1</v>
      </c>
      <c r="BB783">
        <v>90</v>
      </c>
      <c r="BC783">
        <v>0</v>
      </c>
      <c r="BD783">
        <v>145</v>
      </c>
      <c r="BE783">
        <v>9878</v>
      </c>
      <c r="BF783">
        <v>1</v>
      </c>
      <c r="BG783">
        <v>34</v>
      </c>
      <c r="BH783">
        <v>146</v>
      </c>
      <c r="BI783">
        <v>9968</v>
      </c>
      <c r="BJ783">
        <v>1</v>
      </c>
      <c r="BK783">
        <f t="shared" si="110"/>
        <v>146</v>
      </c>
      <c r="BL783">
        <f t="shared" si="111"/>
        <v>9968</v>
      </c>
      <c r="BM783">
        <f t="shared" si="112"/>
        <v>1</v>
      </c>
      <c r="BN783">
        <f t="shared" si="113"/>
        <v>0</v>
      </c>
      <c r="BO783">
        <f t="shared" si="114"/>
        <v>0</v>
      </c>
      <c r="BP783">
        <f t="shared" si="115"/>
        <v>0</v>
      </c>
      <c r="BQ783" t="s">
        <v>235</v>
      </c>
      <c r="BR783" t="s">
        <v>140</v>
      </c>
      <c r="BS783" t="s">
        <v>89</v>
      </c>
      <c r="BT783">
        <v>37</v>
      </c>
      <c r="BU783" s="1">
        <v>44927</v>
      </c>
      <c r="BV783" s="1">
        <v>44927</v>
      </c>
      <c r="BW783">
        <v>14</v>
      </c>
      <c r="BX783">
        <v>1989</v>
      </c>
      <c r="BY783">
        <v>14</v>
      </c>
      <c r="BZ783">
        <f t="shared" si="116"/>
        <v>-4</v>
      </c>
      <c r="CA783">
        <f t="shared" si="117"/>
        <v>0</v>
      </c>
      <c r="CB783" t="b">
        <f t="shared" si="118"/>
        <v>0</v>
      </c>
    </row>
    <row r="784" spans="1:80" x14ac:dyDescent="0.3">
      <c r="A784" t="s">
        <v>6538</v>
      </c>
      <c r="B784" t="s">
        <v>71</v>
      </c>
      <c r="C784" t="s">
        <v>6539</v>
      </c>
      <c r="D784">
        <v>36</v>
      </c>
      <c r="E784">
        <v>32396</v>
      </c>
      <c r="F784" t="s">
        <v>89</v>
      </c>
      <c r="G784" t="s">
        <v>115</v>
      </c>
      <c r="H784" t="s">
        <v>89</v>
      </c>
      <c r="I784" t="s">
        <v>340</v>
      </c>
      <c r="J784" t="s">
        <v>300</v>
      </c>
      <c r="K784" t="s">
        <v>89</v>
      </c>
      <c r="L784" t="s">
        <v>254</v>
      </c>
      <c r="M784">
        <v>20</v>
      </c>
      <c r="N784" t="s">
        <v>162</v>
      </c>
      <c r="O784">
        <v>2009</v>
      </c>
      <c r="P784" t="s">
        <v>6540</v>
      </c>
      <c r="Q784" t="s">
        <v>6541</v>
      </c>
      <c r="R784">
        <v>73185</v>
      </c>
      <c r="S784" t="s">
        <v>6538</v>
      </c>
      <c r="T784" s="1">
        <v>32425</v>
      </c>
      <c r="U784">
        <v>1988</v>
      </c>
      <c r="V784" t="s">
        <v>258</v>
      </c>
      <c r="W784">
        <v>1.8</v>
      </c>
      <c r="X784" t="s">
        <v>76</v>
      </c>
      <c r="Y784" t="s">
        <v>123</v>
      </c>
      <c r="Z784" t="s">
        <v>152</v>
      </c>
      <c r="AA784" t="s">
        <v>476</v>
      </c>
      <c r="AB784" s="1">
        <v>45664</v>
      </c>
      <c r="AC784" t="s">
        <v>108</v>
      </c>
      <c r="AD784" t="s">
        <v>89</v>
      </c>
      <c r="AE784">
        <v>40697</v>
      </c>
      <c r="AF784">
        <v>22</v>
      </c>
      <c r="AG784" t="s">
        <v>1742</v>
      </c>
      <c r="AH784">
        <v>40361</v>
      </c>
      <c r="AI784">
        <v>21</v>
      </c>
      <c r="AJ784" t="s">
        <v>110</v>
      </c>
      <c r="AK784">
        <v>21</v>
      </c>
      <c r="AL784">
        <v>11</v>
      </c>
      <c r="AM784">
        <v>278</v>
      </c>
      <c r="AN784">
        <v>36</v>
      </c>
      <c r="AO784">
        <v>5</v>
      </c>
      <c r="AP784" t="s">
        <v>93</v>
      </c>
      <c r="AQ784" t="s">
        <v>89</v>
      </c>
      <c r="AR784" t="s">
        <v>89</v>
      </c>
      <c r="AS784" t="s">
        <v>93</v>
      </c>
      <c r="AT784" t="s">
        <v>89</v>
      </c>
      <c r="AU784" t="s">
        <v>89</v>
      </c>
      <c r="AV784" t="s">
        <v>89</v>
      </c>
      <c r="AW784">
        <v>16</v>
      </c>
      <c r="AX784" t="s">
        <v>89</v>
      </c>
      <c r="AY784" t="s">
        <v>93</v>
      </c>
      <c r="AZ784">
        <v>0</v>
      </c>
      <c r="BA784">
        <v>0</v>
      </c>
      <c r="BB784">
        <v>0</v>
      </c>
      <c r="BC784">
        <v>0</v>
      </c>
      <c r="BD784">
        <v>369</v>
      </c>
      <c r="BE784">
        <v>25602</v>
      </c>
      <c r="BF784">
        <v>101</v>
      </c>
      <c r="BG784" t="s">
        <v>89</v>
      </c>
      <c r="BH784">
        <v>369</v>
      </c>
      <c r="BI784">
        <v>25602</v>
      </c>
      <c r="BJ784">
        <v>101</v>
      </c>
      <c r="BK784">
        <f t="shared" si="110"/>
        <v>369</v>
      </c>
      <c r="BL784">
        <f t="shared" si="111"/>
        <v>25602</v>
      </c>
      <c r="BM784">
        <f t="shared" si="112"/>
        <v>101</v>
      </c>
      <c r="BN784">
        <f t="shared" si="113"/>
        <v>0</v>
      </c>
      <c r="BO784">
        <f t="shared" si="114"/>
        <v>0</v>
      </c>
      <c r="BP784">
        <f t="shared" si="115"/>
        <v>0</v>
      </c>
      <c r="BQ784" t="s">
        <v>123</v>
      </c>
      <c r="BR784" t="s">
        <v>112</v>
      </c>
      <c r="BS784" s="1">
        <v>32396</v>
      </c>
      <c r="BT784">
        <v>37</v>
      </c>
      <c r="BU784" t="s">
        <v>89</v>
      </c>
      <c r="BV784" t="s">
        <v>89</v>
      </c>
      <c r="BW784">
        <v>16</v>
      </c>
      <c r="BX784">
        <v>1988</v>
      </c>
      <c r="BY784">
        <v>15</v>
      </c>
      <c r="BZ784">
        <f t="shared" si="116"/>
        <v>0</v>
      </c>
      <c r="CA784">
        <f t="shared" si="117"/>
        <v>1</v>
      </c>
      <c r="CB784" t="b">
        <f t="shared" si="118"/>
        <v>1</v>
      </c>
    </row>
    <row r="785" spans="1:80" x14ac:dyDescent="0.3">
      <c r="A785" t="s">
        <v>6542</v>
      </c>
      <c r="B785" t="s">
        <v>776</v>
      </c>
      <c r="C785" t="s">
        <v>6543</v>
      </c>
      <c r="D785">
        <v>31</v>
      </c>
      <c r="E785" t="s">
        <v>6544</v>
      </c>
      <c r="F785" t="s">
        <v>6545</v>
      </c>
      <c r="G785" t="s">
        <v>400</v>
      </c>
      <c r="H785" t="s">
        <v>778</v>
      </c>
      <c r="I785" t="s">
        <v>116</v>
      </c>
      <c r="J785" t="s">
        <v>78</v>
      </c>
      <c r="K785" t="s">
        <v>5325</v>
      </c>
      <c r="L785" t="s">
        <v>80</v>
      </c>
      <c r="M785">
        <v>18</v>
      </c>
      <c r="N785" t="s">
        <v>1047</v>
      </c>
      <c r="O785">
        <v>2012</v>
      </c>
      <c r="P785" t="s">
        <v>6546</v>
      </c>
      <c r="Q785" t="s">
        <v>6547</v>
      </c>
      <c r="R785">
        <v>176485</v>
      </c>
      <c r="S785" t="s">
        <v>6548</v>
      </c>
      <c r="T785" t="s">
        <v>6549</v>
      </c>
      <c r="U785">
        <v>1994</v>
      </c>
      <c r="V785" t="s">
        <v>3033</v>
      </c>
      <c r="W785">
        <v>1.82</v>
      </c>
      <c r="X785" t="s">
        <v>2292</v>
      </c>
      <c r="Y785" t="s">
        <v>259</v>
      </c>
      <c r="Z785" t="s">
        <v>87</v>
      </c>
      <c r="AA785" t="s">
        <v>5330</v>
      </c>
      <c r="AB785" t="s">
        <v>6550</v>
      </c>
      <c r="AC785" t="s">
        <v>88</v>
      </c>
      <c r="AD785" t="s">
        <v>223</v>
      </c>
      <c r="AE785" t="s">
        <v>6551</v>
      </c>
      <c r="AF785">
        <v>18</v>
      </c>
      <c r="AG785" t="s">
        <v>1653</v>
      </c>
      <c r="AH785">
        <v>42317</v>
      </c>
      <c r="AI785">
        <v>21</v>
      </c>
      <c r="AJ785" t="s">
        <v>855</v>
      </c>
      <c r="AK785">
        <v>18</v>
      </c>
      <c r="AL785">
        <v>7</v>
      </c>
      <c r="AM785">
        <v>264</v>
      </c>
      <c r="AN785">
        <v>37</v>
      </c>
      <c r="AO785">
        <v>6</v>
      </c>
      <c r="AP785" t="s">
        <v>93</v>
      </c>
      <c r="AQ785" t="s">
        <v>89</v>
      </c>
      <c r="AR785" t="s">
        <v>89</v>
      </c>
      <c r="AS785" t="s">
        <v>93</v>
      </c>
      <c r="AT785" t="s">
        <v>89</v>
      </c>
      <c r="AU785" t="s">
        <v>89</v>
      </c>
      <c r="AV785" t="s">
        <v>89</v>
      </c>
      <c r="AW785">
        <v>13</v>
      </c>
      <c r="AX785">
        <v>12</v>
      </c>
      <c r="AY785" t="s">
        <v>93</v>
      </c>
      <c r="AZ785">
        <v>0</v>
      </c>
      <c r="BA785">
        <v>0</v>
      </c>
      <c r="BB785">
        <v>0</v>
      </c>
      <c r="BC785">
        <v>0</v>
      </c>
      <c r="BD785">
        <v>268</v>
      </c>
      <c r="BE785">
        <v>15378</v>
      </c>
      <c r="BF785">
        <v>38</v>
      </c>
      <c r="BG785" t="s">
        <v>89</v>
      </c>
      <c r="BH785">
        <v>268</v>
      </c>
      <c r="BI785">
        <v>15378</v>
      </c>
      <c r="BJ785">
        <v>38</v>
      </c>
      <c r="BK785">
        <f t="shared" si="110"/>
        <v>268</v>
      </c>
      <c r="BL785">
        <f t="shared" si="111"/>
        <v>15378</v>
      </c>
      <c r="BM785">
        <f t="shared" si="112"/>
        <v>38</v>
      </c>
      <c r="BN785">
        <f t="shared" si="113"/>
        <v>0</v>
      </c>
      <c r="BO785">
        <f t="shared" si="114"/>
        <v>0</v>
      </c>
      <c r="BP785">
        <f t="shared" si="115"/>
        <v>0</v>
      </c>
      <c r="BQ785" t="s">
        <v>259</v>
      </c>
      <c r="BR785" t="s">
        <v>94</v>
      </c>
      <c r="BS785" s="1">
        <v>34354</v>
      </c>
      <c r="BT785">
        <v>32</v>
      </c>
      <c r="BU785" t="s">
        <v>89</v>
      </c>
      <c r="BV785" t="s">
        <v>89</v>
      </c>
      <c r="BW785">
        <v>14</v>
      </c>
      <c r="BX785">
        <v>1994</v>
      </c>
      <c r="BY785">
        <v>13</v>
      </c>
      <c r="BZ785">
        <f t="shared" si="116"/>
        <v>-1</v>
      </c>
      <c r="CA785">
        <f t="shared" si="117"/>
        <v>1</v>
      </c>
      <c r="CB785" t="b">
        <f t="shared" si="118"/>
        <v>0</v>
      </c>
    </row>
    <row r="786" spans="1:80" x14ac:dyDescent="0.3">
      <c r="A786" t="s">
        <v>6552</v>
      </c>
      <c r="B786" t="s">
        <v>776</v>
      </c>
      <c r="C786" t="s">
        <v>6553</v>
      </c>
      <c r="D786">
        <v>32</v>
      </c>
      <c r="E786" t="s">
        <v>4098</v>
      </c>
      <c r="F786" t="s">
        <v>6554</v>
      </c>
      <c r="G786" t="s">
        <v>400</v>
      </c>
      <c r="H786" t="s">
        <v>778</v>
      </c>
      <c r="I786" t="s">
        <v>288</v>
      </c>
      <c r="J786" t="s">
        <v>78</v>
      </c>
      <c r="K786" t="s">
        <v>6555</v>
      </c>
      <c r="L786">
        <v>2014</v>
      </c>
      <c r="M786">
        <v>20</v>
      </c>
      <c r="N786" t="s">
        <v>6555</v>
      </c>
      <c r="O786">
        <v>2014</v>
      </c>
      <c r="P786" t="s">
        <v>6556</v>
      </c>
      <c r="Q786" t="s">
        <v>6557</v>
      </c>
      <c r="R786">
        <v>218118</v>
      </c>
      <c r="S786" t="s">
        <v>6552</v>
      </c>
      <c r="T786" t="s">
        <v>6558</v>
      </c>
      <c r="U786">
        <v>1993</v>
      </c>
      <c r="V786" t="s">
        <v>6559</v>
      </c>
      <c r="W786">
        <v>1.81</v>
      </c>
      <c r="X786" t="s">
        <v>778</v>
      </c>
      <c r="Y786" t="s">
        <v>259</v>
      </c>
      <c r="Z786" t="s">
        <v>87</v>
      </c>
      <c r="AA786" t="s">
        <v>6555</v>
      </c>
      <c r="AB786" s="1">
        <v>45206</v>
      </c>
      <c r="AC786" t="s">
        <v>5555</v>
      </c>
      <c r="AD786" t="s">
        <v>223</v>
      </c>
      <c r="AE786" t="s">
        <v>6560</v>
      </c>
      <c r="AF786">
        <v>19</v>
      </c>
      <c r="AG786" t="s">
        <v>786</v>
      </c>
      <c r="AH786">
        <v>44808</v>
      </c>
      <c r="AI786">
        <v>29</v>
      </c>
      <c r="AJ786">
        <v>0</v>
      </c>
      <c r="AK786">
        <v>19</v>
      </c>
      <c r="AL786">
        <v>1</v>
      </c>
      <c r="AM786">
        <v>177</v>
      </c>
      <c r="AN786">
        <v>26</v>
      </c>
      <c r="AO786">
        <v>1</v>
      </c>
      <c r="AP786" t="s">
        <v>93</v>
      </c>
      <c r="AQ786" t="s">
        <v>89</v>
      </c>
      <c r="AR786" t="s">
        <v>89</v>
      </c>
      <c r="AS786" t="s">
        <v>93</v>
      </c>
      <c r="AT786" t="s">
        <v>89</v>
      </c>
      <c r="AU786" t="s">
        <v>89</v>
      </c>
      <c r="AV786" t="s">
        <v>89</v>
      </c>
      <c r="AW786">
        <v>11</v>
      </c>
      <c r="AX786">
        <v>16</v>
      </c>
      <c r="AY786" t="s">
        <v>93</v>
      </c>
      <c r="AZ786">
        <v>0</v>
      </c>
      <c r="BA786">
        <v>0</v>
      </c>
      <c r="BB786">
        <v>0</v>
      </c>
      <c r="BC786">
        <v>0</v>
      </c>
      <c r="BD786">
        <v>309</v>
      </c>
      <c r="BE786">
        <v>19314</v>
      </c>
      <c r="BF786">
        <v>9</v>
      </c>
      <c r="BG786" t="s">
        <v>89</v>
      </c>
      <c r="BH786">
        <v>309</v>
      </c>
      <c r="BI786">
        <v>19314</v>
      </c>
      <c r="BJ786">
        <v>9</v>
      </c>
      <c r="BK786">
        <f t="shared" si="110"/>
        <v>309</v>
      </c>
      <c r="BL786">
        <f t="shared" si="111"/>
        <v>19314</v>
      </c>
      <c r="BM786">
        <f t="shared" si="112"/>
        <v>9</v>
      </c>
      <c r="BN786">
        <f t="shared" si="113"/>
        <v>0</v>
      </c>
      <c r="BO786">
        <f t="shared" si="114"/>
        <v>0</v>
      </c>
      <c r="BP786">
        <f t="shared" si="115"/>
        <v>0</v>
      </c>
      <c r="BQ786" t="s">
        <v>259</v>
      </c>
      <c r="BR786" t="s">
        <v>94</v>
      </c>
      <c r="BS786" t="s">
        <v>89</v>
      </c>
      <c r="BT786">
        <v>33</v>
      </c>
      <c r="BU786" t="s">
        <v>89</v>
      </c>
      <c r="BV786" t="s">
        <v>89</v>
      </c>
      <c r="BW786">
        <v>14</v>
      </c>
      <c r="BX786">
        <v>1993</v>
      </c>
      <c r="BY786">
        <v>13</v>
      </c>
      <c r="BZ786">
        <f t="shared" si="116"/>
        <v>-3</v>
      </c>
      <c r="CA786">
        <f t="shared" si="117"/>
        <v>1</v>
      </c>
      <c r="CB786" t="b">
        <f t="shared" si="118"/>
        <v>0</v>
      </c>
    </row>
    <row r="787" spans="1:80" x14ac:dyDescent="0.3">
      <c r="A787" t="s">
        <v>6561</v>
      </c>
      <c r="B787" t="s">
        <v>71</v>
      </c>
      <c r="C787" t="s">
        <v>6562</v>
      </c>
      <c r="D787">
        <v>34</v>
      </c>
      <c r="E787" t="s">
        <v>3092</v>
      </c>
      <c r="F787" t="s">
        <v>6563</v>
      </c>
      <c r="G787" t="s">
        <v>687</v>
      </c>
      <c r="H787" t="s">
        <v>76</v>
      </c>
      <c r="I787" t="s">
        <v>6040</v>
      </c>
      <c r="J787" t="s">
        <v>78</v>
      </c>
      <c r="K787" t="s">
        <v>1302</v>
      </c>
      <c r="L787" t="s">
        <v>80</v>
      </c>
      <c r="M787">
        <v>21</v>
      </c>
      <c r="N787" t="s">
        <v>118</v>
      </c>
      <c r="O787">
        <v>2012</v>
      </c>
      <c r="P787" t="s">
        <v>6564</v>
      </c>
      <c r="Q787" t="s">
        <v>6565</v>
      </c>
      <c r="R787">
        <v>221316</v>
      </c>
      <c r="S787" t="s">
        <v>6561</v>
      </c>
      <c r="T787">
        <v>33245</v>
      </c>
      <c r="U787">
        <v>1991</v>
      </c>
      <c r="V787" t="s">
        <v>258</v>
      </c>
      <c r="W787">
        <v>1.73</v>
      </c>
      <c r="X787" t="s">
        <v>76</v>
      </c>
      <c r="Y787" t="s">
        <v>136</v>
      </c>
      <c r="Z787" t="s">
        <v>87</v>
      </c>
      <c r="AA787" t="s">
        <v>1302</v>
      </c>
      <c r="AB787" t="s">
        <v>6566</v>
      </c>
      <c r="AC787" t="s">
        <v>88</v>
      </c>
      <c r="AD787" t="s">
        <v>442</v>
      </c>
      <c r="AE787" t="s">
        <v>1758</v>
      </c>
      <c r="AF787">
        <v>23</v>
      </c>
      <c r="AG787" t="s">
        <v>91</v>
      </c>
      <c r="AH787" t="s">
        <v>274</v>
      </c>
      <c r="AI787">
        <v>21</v>
      </c>
      <c r="AJ787" t="s">
        <v>110</v>
      </c>
      <c r="AK787">
        <v>21</v>
      </c>
      <c r="AL787">
        <v>19</v>
      </c>
      <c r="AM787">
        <v>382</v>
      </c>
      <c r="AN787">
        <v>62</v>
      </c>
      <c r="AO787">
        <v>11</v>
      </c>
      <c r="AP787" t="s">
        <v>93</v>
      </c>
      <c r="AQ787" t="s">
        <v>89</v>
      </c>
      <c r="AR787" t="s">
        <v>89</v>
      </c>
      <c r="AS787" t="s">
        <v>93</v>
      </c>
      <c r="AT787" t="s">
        <v>89</v>
      </c>
      <c r="AU787" t="s">
        <v>89</v>
      </c>
      <c r="AV787" t="s">
        <v>89</v>
      </c>
      <c r="AW787">
        <v>13</v>
      </c>
      <c r="AX787">
        <v>21</v>
      </c>
      <c r="AY787" t="s">
        <v>111</v>
      </c>
      <c r="AZ787">
        <v>5</v>
      </c>
      <c r="BA787">
        <v>9</v>
      </c>
      <c r="BB787">
        <v>305</v>
      </c>
      <c r="BC787">
        <v>0</v>
      </c>
      <c r="BD787">
        <v>505</v>
      </c>
      <c r="BE787">
        <v>29867</v>
      </c>
      <c r="BF787">
        <v>53</v>
      </c>
      <c r="BG787" t="s">
        <v>89</v>
      </c>
      <c r="BH787">
        <v>514</v>
      </c>
      <c r="BI787">
        <v>30172</v>
      </c>
      <c r="BJ787">
        <v>53</v>
      </c>
      <c r="BK787">
        <f t="shared" si="110"/>
        <v>514</v>
      </c>
      <c r="BL787">
        <f t="shared" si="111"/>
        <v>30172</v>
      </c>
      <c r="BM787">
        <f t="shared" si="112"/>
        <v>53</v>
      </c>
      <c r="BN787">
        <f t="shared" si="113"/>
        <v>0</v>
      </c>
      <c r="BO787">
        <f t="shared" si="114"/>
        <v>0</v>
      </c>
      <c r="BP787">
        <f t="shared" si="115"/>
        <v>0</v>
      </c>
      <c r="BQ787" t="s">
        <v>136</v>
      </c>
      <c r="BR787" t="s">
        <v>140</v>
      </c>
      <c r="BS787" t="s">
        <v>89</v>
      </c>
      <c r="BT787">
        <v>35</v>
      </c>
      <c r="BU787" t="s">
        <v>89</v>
      </c>
      <c r="BV787" t="s">
        <v>89</v>
      </c>
      <c r="BW787">
        <v>14</v>
      </c>
      <c r="BX787">
        <v>1991</v>
      </c>
      <c r="BY787">
        <v>13</v>
      </c>
      <c r="BZ787">
        <f t="shared" si="116"/>
        <v>-1</v>
      </c>
      <c r="CA787">
        <f t="shared" si="117"/>
        <v>1</v>
      </c>
      <c r="CB787" t="b">
        <f t="shared" si="118"/>
        <v>0</v>
      </c>
    </row>
    <row r="788" spans="1:80" x14ac:dyDescent="0.3">
      <c r="A788" t="s">
        <v>6567</v>
      </c>
      <c r="B788" t="s">
        <v>156</v>
      </c>
      <c r="C788" t="s">
        <v>6568</v>
      </c>
      <c r="D788">
        <v>41</v>
      </c>
      <c r="E788">
        <v>30559</v>
      </c>
      <c r="F788" t="s">
        <v>89</v>
      </c>
      <c r="G788" t="s">
        <v>518</v>
      </c>
      <c r="H788" t="s">
        <v>89</v>
      </c>
      <c r="I788" t="s">
        <v>340</v>
      </c>
      <c r="J788" t="s">
        <v>89</v>
      </c>
      <c r="K788" t="s">
        <v>89</v>
      </c>
      <c r="L788" t="s">
        <v>254</v>
      </c>
      <c r="M788">
        <v>25</v>
      </c>
      <c r="N788" t="s">
        <v>5967</v>
      </c>
      <c r="O788">
        <v>2009</v>
      </c>
      <c r="P788" t="s">
        <v>6569</v>
      </c>
      <c r="Q788" t="s">
        <v>6570</v>
      </c>
      <c r="R788">
        <v>56059</v>
      </c>
      <c r="S788" t="s">
        <v>6567</v>
      </c>
      <c r="T788" t="s">
        <v>6571</v>
      </c>
      <c r="U788">
        <v>1983</v>
      </c>
      <c r="V788" t="s">
        <v>4066</v>
      </c>
      <c r="W788">
        <v>1.7</v>
      </c>
      <c r="X788" t="s">
        <v>177</v>
      </c>
      <c r="Y788" t="s">
        <v>106</v>
      </c>
      <c r="Z788" t="s">
        <v>87</v>
      </c>
      <c r="AA788" t="s">
        <v>6572</v>
      </c>
      <c r="AB788" s="1">
        <v>44562</v>
      </c>
      <c r="AC788" t="s">
        <v>108</v>
      </c>
      <c r="AD788" t="s">
        <v>89</v>
      </c>
      <c r="AE788" t="s">
        <v>6573</v>
      </c>
      <c r="AF788">
        <v>24</v>
      </c>
      <c r="AG788" t="s">
        <v>171</v>
      </c>
      <c r="AH788">
        <v>39459</v>
      </c>
      <c r="AI788">
        <v>25</v>
      </c>
      <c r="AJ788" t="s">
        <v>2210</v>
      </c>
      <c r="AK788">
        <v>24</v>
      </c>
      <c r="AL788" t="s">
        <v>89</v>
      </c>
      <c r="AM788" t="s">
        <v>89</v>
      </c>
      <c r="AN788" t="s">
        <v>89</v>
      </c>
      <c r="AO788">
        <v>0</v>
      </c>
      <c r="AP788" t="s">
        <v>93</v>
      </c>
      <c r="AQ788" t="s">
        <v>89</v>
      </c>
      <c r="AR788" t="s">
        <v>89</v>
      </c>
      <c r="AS788" t="s">
        <v>111</v>
      </c>
      <c r="AT788">
        <v>44562</v>
      </c>
      <c r="AU788">
        <v>2022</v>
      </c>
      <c r="AV788">
        <v>13</v>
      </c>
      <c r="AW788">
        <v>13</v>
      </c>
      <c r="AX788" t="s">
        <v>89</v>
      </c>
      <c r="AY788" t="s">
        <v>93</v>
      </c>
      <c r="AZ788">
        <v>0</v>
      </c>
      <c r="BA788">
        <v>0</v>
      </c>
      <c r="BB788">
        <v>0</v>
      </c>
      <c r="BC788">
        <v>0</v>
      </c>
      <c r="BD788">
        <v>133</v>
      </c>
      <c r="BE788">
        <v>8497</v>
      </c>
      <c r="BF788">
        <v>12</v>
      </c>
      <c r="BG788">
        <v>39</v>
      </c>
      <c r="BH788">
        <v>133</v>
      </c>
      <c r="BI788">
        <v>8497</v>
      </c>
      <c r="BJ788">
        <v>12</v>
      </c>
      <c r="BK788">
        <f t="shared" si="110"/>
        <v>133</v>
      </c>
      <c r="BL788">
        <f t="shared" si="111"/>
        <v>8497</v>
      </c>
      <c r="BM788">
        <f t="shared" si="112"/>
        <v>12</v>
      </c>
      <c r="BN788">
        <f t="shared" si="113"/>
        <v>0</v>
      </c>
      <c r="BO788">
        <f t="shared" si="114"/>
        <v>0</v>
      </c>
      <c r="BP788">
        <f t="shared" si="115"/>
        <v>0</v>
      </c>
      <c r="BQ788" t="s">
        <v>106</v>
      </c>
      <c r="BR788" t="s">
        <v>112</v>
      </c>
      <c r="BS788" s="1">
        <v>30620</v>
      </c>
      <c r="BT788">
        <v>42</v>
      </c>
      <c r="BU788">
        <v>44562</v>
      </c>
      <c r="BV788" t="s">
        <v>89</v>
      </c>
      <c r="BW788">
        <v>15</v>
      </c>
      <c r="BX788">
        <v>1983</v>
      </c>
      <c r="BY788">
        <v>15</v>
      </c>
      <c r="BZ788">
        <f t="shared" si="116"/>
        <v>-2</v>
      </c>
      <c r="CA788">
        <f t="shared" si="117"/>
        <v>0</v>
      </c>
      <c r="CB788" t="b">
        <f t="shared" si="118"/>
        <v>0</v>
      </c>
    </row>
    <row r="789" spans="1:80" x14ac:dyDescent="0.3">
      <c r="A789" t="s">
        <v>6574</v>
      </c>
      <c r="B789" t="s">
        <v>156</v>
      </c>
      <c r="C789" t="s">
        <v>6575</v>
      </c>
      <c r="D789">
        <v>31</v>
      </c>
      <c r="E789" t="s">
        <v>6576</v>
      </c>
      <c r="F789" t="s">
        <v>6577</v>
      </c>
      <c r="G789" t="s">
        <v>687</v>
      </c>
      <c r="H789" t="s">
        <v>177</v>
      </c>
      <c r="I789" t="s">
        <v>161</v>
      </c>
      <c r="J789" t="s">
        <v>78</v>
      </c>
      <c r="K789" t="s">
        <v>1857</v>
      </c>
      <c r="L789" t="s">
        <v>762</v>
      </c>
      <c r="M789">
        <v>20</v>
      </c>
      <c r="N789" t="s">
        <v>763</v>
      </c>
      <c r="O789">
        <v>2014</v>
      </c>
      <c r="P789" t="s">
        <v>6578</v>
      </c>
      <c r="Q789" t="s">
        <v>6579</v>
      </c>
      <c r="R789">
        <v>214316</v>
      </c>
      <c r="S789" t="s">
        <v>6574</v>
      </c>
      <c r="T789" s="1">
        <v>34101</v>
      </c>
      <c r="U789">
        <v>1993</v>
      </c>
      <c r="V789" t="s">
        <v>6580</v>
      </c>
      <c r="W789">
        <v>1.73</v>
      </c>
      <c r="X789" t="s">
        <v>169</v>
      </c>
      <c r="Y789" t="s">
        <v>123</v>
      </c>
      <c r="Z789" t="s">
        <v>87</v>
      </c>
      <c r="AA789" t="s">
        <v>1857</v>
      </c>
      <c r="AB789" t="s">
        <v>2405</v>
      </c>
      <c r="AC789" t="s">
        <v>222</v>
      </c>
      <c r="AD789" t="s">
        <v>89</v>
      </c>
      <c r="AE789" t="s">
        <v>6581</v>
      </c>
      <c r="AF789">
        <v>18</v>
      </c>
      <c r="AG789" t="s">
        <v>171</v>
      </c>
      <c r="AH789" t="s">
        <v>5397</v>
      </c>
      <c r="AI789">
        <v>29</v>
      </c>
      <c r="AJ789">
        <v>0</v>
      </c>
      <c r="AK789">
        <v>18</v>
      </c>
      <c r="AL789">
        <v>13</v>
      </c>
      <c r="AM789">
        <v>235</v>
      </c>
      <c r="AN789">
        <v>36</v>
      </c>
      <c r="AO789">
        <v>7</v>
      </c>
      <c r="AP789" t="s">
        <v>93</v>
      </c>
      <c r="AQ789" t="s">
        <v>89</v>
      </c>
      <c r="AR789" t="s">
        <v>89</v>
      </c>
      <c r="AS789" t="s">
        <v>93</v>
      </c>
      <c r="AT789" t="s">
        <v>89</v>
      </c>
      <c r="AU789" t="s">
        <v>89</v>
      </c>
      <c r="AV789" t="s">
        <v>89</v>
      </c>
      <c r="AW789">
        <v>11</v>
      </c>
      <c r="AX789">
        <v>10</v>
      </c>
      <c r="AY789" t="s">
        <v>93</v>
      </c>
      <c r="AZ789">
        <v>0</v>
      </c>
      <c r="BA789">
        <v>0</v>
      </c>
      <c r="BB789">
        <v>0</v>
      </c>
      <c r="BC789">
        <v>0</v>
      </c>
      <c r="BD789">
        <v>291</v>
      </c>
      <c r="BE789">
        <v>16635</v>
      </c>
      <c r="BF789">
        <v>65</v>
      </c>
      <c r="BG789" t="s">
        <v>89</v>
      </c>
      <c r="BH789">
        <v>291</v>
      </c>
      <c r="BI789">
        <v>16635</v>
      </c>
      <c r="BJ789">
        <v>65</v>
      </c>
      <c r="BK789">
        <f t="shared" si="110"/>
        <v>291</v>
      </c>
      <c r="BL789">
        <f t="shared" si="111"/>
        <v>16635</v>
      </c>
      <c r="BM789">
        <f t="shared" si="112"/>
        <v>65</v>
      </c>
      <c r="BN789">
        <f t="shared" si="113"/>
        <v>0</v>
      </c>
      <c r="BO789">
        <f t="shared" si="114"/>
        <v>0</v>
      </c>
      <c r="BP789">
        <f t="shared" si="115"/>
        <v>0</v>
      </c>
      <c r="BQ789" t="s">
        <v>123</v>
      </c>
      <c r="BR789" t="s">
        <v>112</v>
      </c>
      <c r="BS789" s="1">
        <v>34308</v>
      </c>
      <c r="BT789">
        <v>32</v>
      </c>
      <c r="BU789" t="s">
        <v>89</v>
      </c>
      <c r="BV789" t="s">
        <v>89</v>
      </c>
      <c r="BW789">
        <v>14</v>
      </c>
      <c r="BX789">
        <v>1993</v>
      </c>
      <c r="BY789">
        <v>13</v>
      </c>
      <c r="BZ789">
        <f t="shared" si="116"/>
        <v>-3</v>
      </c>
      <c r="CA789">
        <f t="shared" si="117"/>
        <v>1</v>
      </c>
      <c r="CB789" t="b">
        <f t="shared" si="118"/>
        <v>0</v>
      </c>
    </row>
    <row r="790" spans="1:80" x14ac:dyDescent="0.3">
      <c r="A790" t="s">
        <v>6582</v>
      </c>
      <c r="B790" t="s">
        <v>71</v>
      </c>
      <c r="C790" t="s">
        <v>6583</v>
      </c>
      <c r="D790">
        <v>32</v>
      </c>
      <c r="E790" s="1">
        <v>33875</v>
      </c>
      <c r="F790" t="s">
        <v>6584</v>
      </c>
      <c r="G790" t="s">
        <v>400</v>
      </c>
      <c r="H790" t="s">
        <v>76</v>
      </c>
      <c r="I790" t="s">
        <v>6585</v>
      </c>
      <c r="J790" t="s">
        <v>78</v>
      </c>
      <c r="K790" t="s">
        <v>6586</v>
      </c>
      <c r="L790" t="s">
        <v>228</v>
      </c>
      <c r="M790">
        <v>17</v>
      </c>
      <c r="N790" t="s">
        <v>304</v>
      </c>
      <c r="O790">
        <v>2010</v>
      </c>
      <c r="P790" t="s">
        <v>6587</v>
      </c>
      <c r="Q790" t="s">
        <v>6588</v>
      </c>
      <c r="R790">
        <v>128220</v>
      </c>
      <c r="S790" t="s">
        <v>6582</v>
      </c>
      <c r="T790" t="s">
        <v>6589</v>
      </c>
      <c r="U790">
        <v>1992</v>
      </c>
      <c r="V790" t="s">
        <v>6590</v>
      </c>
      <c r="W790">
        <v>1.83</v>
      </c>
      <c r="X790" t="s">
        <v>76</v>
      </c>
      <c r="Y790" t="s">
        <v>106</v>
      </c>
      <c r="Z790" t="s">
        <v>87</v>
      </c>
      <c r="AA790" t="s">
        <v>6591</v>
      </c>
      <c r="AB790" s="1">
        <v>45298</v>
      </c>
      <c r="AC790" t="s">
        <v>88</v>
      </c>
      <c r="AD790" t="s">
        <v>442</v>
      </c>
      <c r="AE790" t="s">
        <v>6592</v>
      </c>
      <c r="AF790">
        <v>18</v>
      </c>
      <c r="AG790" t="s">
        <v>91</v>
      </c>
      <c r="AH790">
        <v>40948</v>
      </c>
      <c r="AI790">
        <v>19</v>
      </c>
      <c r="AJ790" t="s">
        <v>110</v>
      </c>
      <c r="AK790">
        <v>18</v>
      </c>
      <c r="AL790">
        <v>26</v>
      </c>
      <c r="AM790">
        <v>271</v>
      </c>
      <c r="AN790">
        <v>55</v>
      </c>
      <c r="AO790">
        <v>10</v>
      </c>
      <c r="AP790" t="s">
        <v>93</v>
      </c>
      <c r="AQ790" t="s">
        <v>89</v>
      </c>
      <c r="AR790" t="s">
        <v>89</v>
      </c>
      <c r="AS790" t="s">
        <v>93</v>
      </c>
      <c r="AT790" t="s">
        <v>89</v>
      </c>
      <c r="AU790" t="s">
        <v>89</v>
      </c>
      <c r="AV790" t="s">
        <v>89</v>
      </c>
      <c r="AW790">
        <v>15</v>
      </c>
      <c r="AX790">
        <v>10</v>
      </c>
      <c r="AY790" t="s">
        <v>111</v>
      </c>
      <c r="AZ790">
        <v>2</v>
      </c>
      <c r="BA790">
        <v>1</v>
      </c>
      <c r="BB790">
        <v>17</v>
      </c>
      <c r="BC790">
        <v>0</v>
      </c>
      <c r="BD790">
        <v>411</v>
      </c>
      <c r="BE790">
        <v>28534</v>
      </c>
      <c r="BF790">
        <v>71</v>
      </c>
      <c r="BG790" t="s">
        <v>89</v>
      </c>
      <c r="BH790">
        <v>412</v>
      </c>
      <c r="BI790">
        <v>28551</v>
      </c>
      <c r="BJ790">
        <v>71</v>
      </c>
      <c r="BK790">
        <f t="shared" si="110"/>
        <v>412</v>
      </c>
      <c r="BL790">
        <f t="shared" si="111"/>
        <v>28551</v>
      </c>
      <c r="BM790">
        <f t="shared" si="112"/>
        <v>71</v>
      </c>
      <c r="BN790">
        <f t="shared" si="113"/>
        <v>0</v>
      </c>
      <c r="BO790">
        <f t="shared" si="114"/>
        <v>0</v>
      </c>
      <c r="BP790">
        <f t="shared" si="115"/>
        <v>0</v>
      </c>
      <c r="BQ790" t="s">
        <v>106</v>
      </c>
      <c r="BR790" t="s">
        <v>112</v>
      </c>
      <c r="BS790" t="s">
        <v>89</v>
      </c>
      <c r="BT790">
        <v>34</v>
      </c>
      <c r="BU790" t="s">
        <v>89</v>
      </c>
      <c r="BV790" t="s">
        <v>89</v>
      </c>
      <c r="BW790">
        <v>16</v>
      </c>
      <c r="BX790">
        <v>1992</v>
      </c>
      <c r="BY790">
        <v>14</v>
      </c>
      <c r="BZ790">
        <f t="shared" si="116"/>
        <v>-1</v>
      </c>
      <c r="CA790">
        <f t="shared" si="117"/>
        <v>2</v>
      </c>
      <c r="CB790" t="b">
        <f t="shared" si="118"/>
        <v>0</v>
      </c>
    </row>
    <row r="791" spans="1:80" x14ac:dyDescent="0.3">
      <c r="A791" t="s">
        <v>6593</v>
      </c>
      <c r="B791" t="s">
        <v>617</v>
      </c>
      <c r="C791" t="s">
        <v>6594</v>
      </c>
      <c r="D791">
        <v>46</v>
      </c>
      <c r="E791" s="1">
        <v>28885</v>
      </c>
      <c r="F791" t="s">
        <v>89</v>
      </c>
      <c r="G791" t="s">
        <v>115</v>
      </c>
      <c r="H791" t="s">
        <v>619</v>
      </c>
      <c r="I791" t="s">
        <v>227</v>
      </c>
      <c r="J791" t="s">
        <v>89</v>
      </c>
      <c r="K791" t="s">
        <v>89</v>
      </c>
      <c r="L791" t="s">
        <v>145</v>
      </c>
      <c r="M791">
        <v>25</v>
      </c>
      <c r="N791" t="s">
        <v>81</v>
      </c>
      <c r="O791">
        <v>2004</v>
      </c>
      <c r="P791" t="s">
        <v>6595</v>
      </c>
      <c r="Q791" t="s">
        <v>6596</v>
      </c>
      <c r="R791">
        <v>27489</v>
      </c>
      <c r="S791" t="s">
        <v>6593</v>
      </c>
      <c r="T791" t="s">
        <v>6597</v>
      </c>
      <c r="U791">
        <v>1979</v>
      </c>
      <c r="V791" t="s">
        <v>6598</v>
      </c>
      <c r="W791">
        <v>1.8</v>
      </c>
      <c r="X791" t="s">
        <v>1670</v>
      </c>
      <c r="Y791" t="s">
        <v>235</v>
      </c>
      <c r="Z791" t="s">
        <v>87</v>
      </c>
      <c r="AA791" t="s">
        <v>6599</v>
      </c>
      <c r="AB791" s="1">
        <v>42106</v>
      </c>
      <c r="AC791" t="s">
        <v>108</v>
      </c>
      <c r="AD791" t="s">
        <v>89</v>
      </c>
      <c r="AE791" t="s">
        <v>1087</v>
      </c>
      <c r="AF791">
        <v>25</v>
      </c>
      <c r="AG791" t="s">
        <v>171</v>
      </c>
      <c r="AH791" t="s">
        <v>92</v>
      </c>
      <c r="AI791" t="s">
        <v>89</v>
      </c>
      <c r="AJ791" t="s">
        <v>92</v>
      </c>
      <c r="AK791">
        <v>25</v>
      </c>
      <c r="AL791">
        <v>1</v>
      </c>
      <c r="AM791">
        <v>14</v>
      </c>
      <c r="AN791">
        <v>3</v>
      </c>
      <c r="AO791">
        <v>1</v>
      </c>
      <c r="AP791" t="s">
        <v>93</v>
      </c>
      <c r="AQ791" t="s">
        <v>89</v>
      </c>
      <c r="AR791" t="s">
        <v>89</v>
      </c>
      <c r="AS791" t="s">
        <v>111</v>
      </c>
      <c r="AT791" s="1">
        <v>42106</v>
      </c>
      <c r="AU791">
        <v>2015</v>
      </c>
      <c r="AV791">
        <v>11</v>
      </c>
      <c r="AW791">
        <v>11</v>
      </c>
      <c r="AX791" t="s">
        <v>89</v>
      </c>
      <c r="AY791" t="s">
        <v>111</v>
      </c>
      <c r="AZ791">
        <v>2</v>
      </c>
      <c r="BA791">
        <v>8</v>
      </c>
      <c r="BB791">
        <v>608</v>
      </c>
      <c r="BC791">
        <v>0</v>
      </c>
      <c r="BD791">
        <v>310</v>
      </c>
      <c r="BE791">
        <v>25963</v>
      </c>
      <c r="BF791">
        <v>6</v>
      </c>
      <c r="BG791">
        <v>36</v>
      </c>
      <c r="BH791">
        <v>318</v>
      </c>
      <c r="BI791">
        <v>26571</v>
      </c>
      <c r="BJ791">
        <v>6</v>
      </c>
      <c r="BK791">
        <f t="shared" si="110"/>
        <v>318</v>
      </c>
      <c r="BL791">
        <f t="shared" si="111"/>
        <v>26571</v>
      </c>
      <c r="BM791">
        <f t="shared" si="112"/>
        <v>6</v>
      </c>
      <c r="BN791">
        <f t="shared" si="113"/>
        <v>0</v>
      </c>
      <c r="BO791">
        <f t="shared" si="114"/>
        <v>0</v>
      </c>
      <c r="BP791">
        <f t="shared" si="115"/>
        <v>0</v>
      </c>
      <c r="BQ791" t="s">
        <v>235</v>
      </c>
      <c r="BR791" t="s">
        <v>140</v>
      </c>
      <c r="BS791" s="1">
        <v>28885</v>
      </c>
      <c r="BT791">
        <v>47</v>
      </c>
      <c r="BU791" s="1">
        <v>42106</v>
      </c>
      <c r="BV791" s="1">
        <v>42342</v>
      </c>
      <c r="BW791">
        <v>11</v>
      </c>
      <c r="BX791">
        <v>1979</v>
      </c>
      <c r="BY791">
        <v>11</v>
      </c>
      <c r="BZ791">
        <f t="shared" si="116"/>
        <v>0</v>
      </c>
      <c r="CA791">
        <f t="shared" si="117"/>
        <v>0</v>
      </c>
      <c r="CB791" t="b">
        <f t="shared" si="118"/>
        <v>1</v>
      </c>
    </row>
    <row r="792" spans="1:80" x14ac:dyDescent="0.3">
      <c r="A792" t="s">
        <v>6600</v>
      </c>
      <c r="B792" t="s">
        <v>71</v>
      </c>
      <c r="C792" t="s">
        <v>6601</v>
      </c>
      <c r="D792">
        <v>34</v>
      </c>
      <c r="E792" s="1">
        <v>33223</v>
      </c>
      <c r="F792" t="s">
        <v>89</v>
      </c>
      <c r="G792" t="s">
        <v>535</v>
      </c>
      <c r="H792" t="s">
        <v>89</v>
      </c>
      <c r="I792" t="s">
        <v>2523</v>
      </c>
      <c r="J792" t="s">
        <v>89</v>
      </c>
      <c r="K792" t="s">
        <v>89</v>
      </c>
      <c r="L792" t="s">
        <v>228</v>
      </c>
      <c r="M792">
        <v>19</v>
      </c>
      <c r="N792" t="s">
        <v>3221</v>
      </c>
      <c r="O792">
        <v>2010</v>
      </c>
      <c r="P792" t="s">
        <v>6602</v>
      </c>
      <c r="Q792" t="s">
        <v>6603</v>
      </c>
      <c r="R792">
        <v>186889</v>
      </c>
      <c r="S792" t="s">
        <v>6600</v>
      </c>
      <c r="T792" t="s">
        <v>6604</v>
      </c>
      <c r="U792">
        <v>1990</v>
      </c>
      <c r="V792" t="s">
        <v>100</v>
      </c>
      <c r="W792">
        <v>1.69</v>
      </c>
      <c r="X792" t="s">
        <v>76</v>
      </c>
      <c r="Y792" t="s">
        <v>391</v>
      </c>
      <c r="Z792" t="s">
        <v>89</v>
      </c>
      <c r="AA792" t="s">
        <v>6605</v>
      </c>
      <c r="AB792" s="1">
        <v>44203</v>
      </c>
      <c r="AC792" t="s">
        <v>108</v>
      </c>
      <c r="AD792" t="s">
        <v>89</v>
      </c>
      <c r="AE792" s="1">
        <v>40852</v>
      </c>
      <c r="AF792">
        <v>20</v>
      </c>
      <c r="AG792" t="s">
        <v>91</v>
      </c>
      <c r="AH792" t="s">
        <v>92</v>
      </c>
      <c r="AI792" t="s">
        <v>89</v>
      </c>
      <c r="AJ792" t="s">
        <v>89</v>
      </c>
      <c r="AK792">
        <v>20</v>
      </c>
      <c r="AL792" t="s">
        <v>89</v>
      </c>
      <c r="AM792" t="s">
        <v>89</v>
      </c>
      <c r="AN792" t="s">
        <v>89</v>
      </c>
      <c r="AO792">
        <v>0</v>
      </c>
      <c r="AP792" t="s">
        <v>93</v>
      </c>
      <c r="AQ792" t="s">
        <v>89</v>
      </c>
      <c r="AR792" t="s">
        <v>89</v>
      </c>
      <c r="AS792" t="s">
        <v>93</v>
      </c>
      <c r="AT792" t="s">
        <v>89</v>
      </c>
      <c r="AU792" t="s">
        <v>89</v>
      </c>
      <c r="AV792" t="s">
        <v>89</v>
      </c>
      <c r="AW792">
        <v>15</v>
      </c>
      <c r="AX792" t="s">
        <v>89</v>
      </c>
      <c r="AY792" t="s">
        <v>93</v>
      </c>
      <c r="AZ792">
        <v>0</v>
      </c>
      <c r="BA792">
        <v>0</v>
      </c>
      <c r="BB792">
        <v>0</v>
      </c>
      <c r="BC792">
        <v>0</v>
      </c>
      <c r="BD792">
        <v>1</v>
      </c>
      <c r="BE792">
        <v>36</v>
      </c>
      <c r="BF792">
        <v>0</v>
      </c>
      <c r="BG792" t="s">
        <v>89</v>
      </c>
      <c r="BH792">
        <v>1</v>
      </c>
      <c r="BI792">
        <v>36</v>
      </c>
      <c r="BJ792">
        <v>0</v>
      </c>
      <c r="BK792">
        <f t="shared" si="110"/>
        <v>1</v>
      </c>
      <c r="BL792">
        <f t="shared" si="111"/>
        <v>36</v>
      </c>
      <c r="BM792">
        <f t="shared" si="112"/>
        <v>0</v>
      </c>
      <c r="BN792">
        <f t="shared" si="113"/>
        <v>0</v>
      </c>
      <c r="BO792">
        <f t="shared" si="114"/>
        <v>0</v>
      </c>
      <c r="BP792">
        <f t="shared" si="115"/>
        <v>0</v>
      </c>
      <c r="BQ792" t="s">
        <v>391</v>
      </c>
      <c r="BR792" t="s">
        <v>112</v>
      </c>
      <c r="BS792" s="1">
        <v>33223</v>
      </c>
      <c r="BT792">
        <v>35</v>
      </c>
      <c r="BU792" t="s">
        <v>89</v>
      </c>
      <c r="BV792" t="s">
        <v>89</v>
      </c>
      <c r="BW792">
        <v>15</v>
      </c>
      <c r="BX792">
        <v>1990</v>
      </c>
      <c r="BY792">
        <v>14</v>
      </c>
      <c r="BZ792">
        <f t="shared" si="116"/>
        <v>0</v>
      </c>
      <c r="CA792">
        <f t="shared" si="117"/>
        <v>1</v>
      </c>
      <c r="CB792" t="b">
        <f t="shared" si="118"/>
        <v>1</v>
      </c>
    </row>
    <row r="793" spans="1:80" x14ac:dyDescent="0.3">
      <c r="A793" t="s">
        <v>6606</v>
      </c>
      <c r="B793" t="s">
        <v>156</v>
      </c>
      <c r="C793" t="s">
        <v>6607</v>
      </c>
      <c r="D793">
        <v>34</v>
      </c>
      <c r="E793" s="1">
        <v>33348</v>
      </c>
      <c r="F793" t="s">
        <v>89</v>
      </c>
      <c r="G793" t="s">
        <v>160</v>
      </c>
      <c r="H793" t="s">
        <v>177</v>
      </c>
      <c r="I793" t="s">
        <v>161</v>
      </c>
      <c r="J793" t="s">
        <v>78</v>
      </c>
      <c r="K793" t="s">
        <v>89</v>
      </c>
      <c r="L793" t="s">
        <v>762</v>
      </c>
      <c r="M793">
        <v>23</v>
      </c>
      <c r="N793" t="s">
        <v>741</v>
      </c>
      <c r="O793">
        <v>2014</v>
      </c>
      <c r="P793" t="s">
        <v>6608</v>
      </c>
      <c r="Q793" t="s">
        <v>6609</v>
      </c>
      <c r="R793">
        <v>125735</v>
      </c>
      <c r="S793" t="s">
        <v>6606</v>
      </c>
      <c r="T793" t="s">
        <v>6610</v>
      </c>
      <c r="U793">
        <v>1991</v>
      </c>
      <c r="V793" t="s">
        <v>982</v>
      </c>
      <c r="W793">
        <v>1.77</v>
      </c>
      <c r="X793" t="s">
        <v>6611</v>
      </c>
      <c r="Y793" t="s">
        <v>106</v>
      </c>
      <c r="Z793" t="s">
        <v>87</v>
      </c>
      <c r="AA793" t="s">
        <v>476</v>
      </c>
      <c r="AB793" s="1">
        <v>45292</v>
      </c>
      <c r="AC793" t="s">
        <v>108</v>
      </c>
      <c r="AD793" t="s">
        <v>89</v>
      </c>
      <c r="AE793" t="s">
        <v>6612</v>
      </c>
      <c r="AF793">
        <v>18</v>
      </c>
      <c r="AG793" t="s">
        <v>171</v>
      </c>
      <c r="AH793" t="s">
        <v>92</v>
      </c>
      <c r="AI793" t="s">
        <v>89</v>
      </c>
      <c r="AJ793" t="s">
        <v>92</v>
      </c>
      <c r="AK793">
        <v>18</v>
      </c>
      <c r="AL793">
        <v>3</v>
      </c>
      <c r="AM793">
        <v>48</v>
      </c>
      <c r="AN793">
        <v>6</v>
      </c>
      <c r="AO793">
        <v>2</v>
      </c>
      <c r="AP793" t="s">
        <v>93</v>
      </c>
      <c r="AQ793" t="s">
        <v>89</v>
      </c>
      <c r="AR793" t="s">
        <v>89</v>
      </c>
      <c r="AS793" t="s">
        <v>93</v>
      </c>
      <c r="AT793" t="s">
        <v>89</v>
      </c>
      <c r="AU793" t="s">
        <v>89</v>
      </c>
      <c r="AV793" t="s">
        <v>89</v>
      </c>
      <c r="AW793">
        <v>11</v>
      </c>
      <c r="AX793" t="s">
        <v>89</v>
      </c>
      <c r="AY793" t="s">
        <v>93</v>
      </c>
      <c r="AZ793">
        <v>0</v>
      </c>
      <c r="BA793">
        <v>0</v>
      </c>
      <c r="BB793">
        <v>0</v>
      </c>
      <c r="BC793">
        <v>0</v>
      </c>
      <c r="BD793">
        <v>161</v>
      </c>
      <c r="BE793">
        <v>7852</v>
      </c>
      <c r="BF793">
        <v>9</v>
      </c>
      <c r="BG793" t="s">
        <v>89</v>
      </c>
      <c r="BH793">
        <v>161</v>
      </c>
      <c r="BI793">
        <v>7852</v>
      </c>
      <c r="BJ793">
        <v>9</v>
      </c>
      <c r="BK793">
        <f t="shared" si="110"/>
        <v>161</v>
      </c>
      <c r="BL793">
        <f t="shared" si="111"/>
        <v>7852</v>
      </c>
      <c r="BM793">
        <f t="shared" si="112"/>
        <v>9</v>
      </c>
      <c r="BN793">
        <f t="shared" si="113"/>
        <v>0</v>
      </c>
      <c r="BO793">
        <f t="shared" si="114"/>
        <v>0</v>
      </c>
      <c r="BP793">
        <f t="shared" si="115"/>
        <v>0</v>
      </c>
      <c r="BQ793" t="s">
        <v>106</v>
      </c>
      <c r="BR793" t="s">
        <v>112</v>
      </c>
      <c r="BS793" t="s">
        <v>89</v>
      </c>
      <c r="BT793">
        <v>35</v>
      </c>
      <c r="BU793" t="s">
        <v>89</v>
      </c>
      <c r="BV793" t="s">
        <v>89</v>
      </c>
      <c r="BW793">
        <v>17</v>
      </c>
      <c r="BX793">
        <v>1991</v>
      </c>
      <c r="BY793">
        <v>16</v>
      </c>
      <c r="BZ793">
        <f t="shared" si="116"/>
        <v>-6</v>
      </c>
      <c r="CA793">
        <f t="shared" si="117"/>
        <v>1</v>
      </c>
      <c r="CB793" t="b">
        <f t="shared" si="118"/>
        <v>0</v>
      </c>
    </row>
    <row r="794" spans="1:80" x14ac:dyDescent="0.3">
      <c r="A794" t="s">
        <v>6613</v>
      </c>
      <c r="B794" t="s">
        <v>71</v>
      </c>
      <c r="C794" t="s">
        <v>6614</v>
      </c>
      <c r="D794">
        <v>44</v>
      </c>
      <c r="E794" s="1">
        <v>29623</v>
      </c>
      <c r="F794" t="s">
        <v>89</v>
      </c>
      <c r="G794" t="s">
        <v>115</v>
      </c>
      <c r="H794" t="s">
        <v>76</v>
      </c>
      <c r="I794" t="s">
        <v>340</v>
      </c>
      <c r="J794" t="s">
        <v>78</v>
      </c>
      <c r="K794" t="s">
        <v>89</v>
      </c>
      <c r="L794" t="s">
        <v>657</v>
      </c>
      <c r="M794">
        <v>22</v>
      </c>
      <c r="N794" t="s">
        <v>2514</v>
      </c>
      <c r="O794">
        <v>2003</v>
      </c>
      <c r="P794" t="s">
        <v>6615</v>
      </c>
      <c r="Q794" t="s">
        <v>6616</v>
      </c>
      <c r="R794">
        <v>8006</v>
      </c>
      <c r="S794" t="s">
        <v>6613</v>
      </c>
      <c r="T794" t="s">
        <v>6617</v>
      </c>
      <c r="U794">
        <v>1981</v>
      </c>
      <c r="V794" t="s">
        <v>716</v>
      </c>
      <c r="W794">
        <v>1.78</v>
      </c>
      <c r="X794" t="s">
        <v>76</v>
      </c>
      <c r="Y794" t="s">
        <v>86</v>
      </c>
      <c r="Z794" t="s">
        <v>87</v>
      </c>
      <c r="AA794" t="s">
        <v>784</v>
      </c>
      <c r="AB794" s="1">
        <v>43472</v>
      </c>
      <c r="AC794" t="s">
        <v>108</v>
      </c>
      <c r="AD794" t="s">
        <v>89</v>
      </c>
      <c r="AE794" t="s">
        <v>2556</v>
      </c>
      <c r="AF794">
        <v>22</v>
      </c>
      <c r="AG794" t="s">
        <v>91</v>
      </c>
      <c r="AH794" t="s">
        <v>421</v>
      </c>
      <c r="AI794">
        <v>32</v>
      </c>
      <c r="AJ794" t="s">
        <v>110</v>
      </c>
      <c r="AK794">
        <v>22</v>
      </c>
      <c r="AL794" t="s">
        <v>89</v>
      </c>
      <c r="AM794" t="s">
        <v>89</v>
      </c>
      <c r="AN794" t="s">
        <v>89</v>
      </c>
      <c r="AO794">
        <v>0</v>
      </c>
      <c r="AP794" t="s">
        <v>93</v>
      </c>
      <c r="AQ794" t="s">
        <v>89</v>
      </c>
      <c r="AR794" t="s">
        <v>89</v>
      </c>
      <c r="AS794" t="s">
        <v>111</v>
      </c>
      <c r="AT794">
        <v>43472</v>
      </c>
      <c r="AU794">
        <v>2019</v>
      </c>
      <c r="AV794">
        <v>16</v>
      </c>
      <c r="AW794">
        <v>16</v>
      </c>
      <c r="AX794" t="s">
        <v>89</v>
      </c>
      <c r="AY794" t="s">
        <v>93</v>
      </c>
      <c r="AZ794">
        <v>0</v>
      </c>
      <c r="BA794">
        <v>0</v>
      </c>
      <c r="BB794">
        <v>0</v>
      </c>
      <c r="BC794">
        <v>0</v>
      </c>
      <c r="BD794">
        <v>566</v>
      </c>
      <c r="BE794">
        <v>45614</v>
      </c>
      <c r="BF794">
        <v>120</v>
      </c>
      <c r="BG794">
        <v>38</v>
      </c>
      <c r="BH794">
        <v>566</v>
      </c>
      <c r="BI794">
        <v>45614</v>
      </c>
      <c r="BJ794">
        <v>120</v>
      </c>
      <c r="BK794">
        <f t="shared" si="110"/>
        <v>566</v>
      </c>
      <c r="BL794">
        <f t="shared" si="111"/>
        <v>45614</v>
      </c>
      <c r="BM794">
        <f t="shared" si="112"/>
        <v>120</v>
      </c>
      <c r="BN794">
        <f t="shared" si="113"/>
        <v>0</v>
      </c>
      <c r="BO794">
        <f t="shared" si="114"/>
        <v>0</v>
      </c>
      <c r="BP794">
        <f t="shared" si="115"/>
        <v>0</v>
      </c>
      <c r="BQ794" t="s">
        <v>86</v>
      </c>
      <c r="BR794" t="s">
        <v>94</v>
      </c>
      <c r="BS794" t="s">
        <v>89</v>
      </c>
      <c r="BT794">
        <v>45</v>
      </c>
      <c r="BU794">
        <v>43472</v>
      </c>
      <c r="BV794" t="s">
        <v>89</v>
      </c>
      <c r="BW794">
        <v>16</v>
      </c>
      <c r="BX794">
        <v>1981</v>
      </c>
      <c r="BY794">
        <v>16</v>
      </c>
      <c r="BZ794">
        <f t="shared" si="116"/>
        <v>0</v>
      </c>
      <c r="CA794">
        <f t="shared" si="117"/>
        <v>0</v>
      </c>
      <c r="CB794" t="b">
        <f t="shared" si="118"/>
        <v>1</v>
      </c>
    </row>
    <row r="795" spans="1:80" x14ac:dyDescent="0.3">
      <c r="A795" t="s">
        <v>6618</v>
      </c>
      <c r="B795" t="s">
        <v>71</v>
      </c>
      <c r="C795" t="s">
        <v>6619</v>
      </c>
      <c r="D795">
        <v>38</v>
      </c>
      <c r="E795" s="1">
        <v>31984</v>
      </c>
      <c r="F795" t="s">
        <v>89</v>
      </c>
      <c r="G795" t="s">
        <v>518</v>
      </c>
      <c r="H795" t="s">
        <v>76</v>
      </c>
      <c r="I795" t="s">
        <v>1548</v>
      </c>
      <c r="J795" t="s">
        <v>89</v>
      </c>
      <c r="K795" t="s">
        <v>89</v>
      </c>
      <c r="L795" t="s">
        <v>180</v>
      </c>
      <c r="M795">
        <v>20</v>
      </c>
      <c r="N795" t="s">
        <v>279</v>
      </c>
      <c r="O795">
        <v>2007</v>
      </c>
      <c r="P795" t="s">
        <v>6620</v>
      </c>
      <c r="Q795" t="s">
        <v>6621</v>
      </c>
      <c r="R795">
        <v>57826</v>
      </c>
      <c r="S795" t="s">
        <v>6618</v>
      </c>
      <c r="T795" t="s">
        <v>6622</v>
      </c>
      <c r="U795">
        <v>1987</v>
      </c>
      <c r="V795" t="s">
        <v>6623</v>
      </c>
      <c r="W795">
        <v>1.72</v>
      </c>
      <c r="X795" t="s">
        <v>76</v>
      </c>
      <c r="Y795" t="s">
        <v>123</v>
      </c>
      <c r="Z795" t="s">
        <v>87</v>
      </c>
      <c r="AA795" t="s">
        <v>476</v>
      </c>
      <c r="AB795" s="1">
        <v>45298</v>
      </c>
      <c r="AC795" t="s">
        <v>108</v>
      </c>
      <c r="AD795" t="s">
        <v>89</v>
      </c>
      <c r="AE795" t="s">
        <v>719</v>
      </c>
      <c r="AF795">
        <v>21</v>
      </c>
      <c r="AG795" t="s">
        <v>91</v>
      </c>
      <c r="AH795" t="s">
        <v>2520</v>
      </c>
      <c r="AI795">
        <v>19</v>
      </c>
      <c r="AJ795" t="s">
        <v>110</v>
      </c>
      <c r="AK795">
        <v>19</v>
      </c>
      <c r="AL795" t="s">
        <v>89</v>
      </c>
      <c r="AM795" t="s">
        <v>89</v>
      </c>
      <c r="AN795" t="s">
        <v>89</v>
      </c>
      <c r="AO795">
        <v>0</v>
      </c>
      <c r="AP795" t="s">
        <v>93</v>
      </c>
      <c r="AQ795" t="s">
        <v>89</v>
      </c>
      <c r="AR795" t="s">
        <v>89</v>
      </c>
      <c r="AS795" t="s">
        <v>93</v>
      </c>
      <c r="AT795" t="s">
        <v>89</v>
      </c>
      <c r="AU795" t="s">
        <v>89</v>
      </c>
      <c r="AV795" t="s">
        <v>89</v>
      </c>
      <c r="AW795">
        <v>18</v>
      </c>
      <c r="AX795" t="s">
        <v>89</v>
      </c>
      <c r="AY795" t="s">
        <v>93</v>
      </c>
      <c r="AZ795">
        <v>0</v>
      </c>
      <c r="BA795">
        <v>0</v>
      </c>
      <c r="BB795">
        <v>0</v>
      </c>
      <c r="BC795">
        <v>0</v>
      </c>
      <c r="BD795">
        <v>116</v>
      </c>
      <c r="BE795">
        <v>5344</v>
      </c>
      <c r="BF795">
        <v>14</v>
      </c>
      <c r="BG795" t="s">
        <v>89</v>
      </c>
      <c r="BH795">
        <v>116</v>
      </c>
      <c r="BI795">
        <v>5344</v>
      </c>
      <c r="BJ795">
        <v>14</v>
      </c>
      <c r="BK795">
        <f t="shared" si="110"/>
        <v>116</v>
      </c>
      <c r="BL795">
        <f t="shared" si="111"/>
        <v>5344</v>
      </c>
      <c r="BM795">
        <f t="shared" si="112"/>
        <v>14</v>
      </c>
      <c r="BN795">
        <f t="shared" si="113"/>
        <v>0</v>
      </c>
      <c r="BO795">
        <f t="shared" si="114"/>
        <v>0</v>
      </c>
      <c r="BP795">
        <f t="shared" si="115"/>
        <v>0</v>
      </c>
      <c r="BQ795" t="s">
        <v>123</v>
      </c>
      <c r="BR795" t="s">
        <v>112</v>
      </c>
      <c r="BS795" s="1">
        <v>31984</v>
      </c>
      <c r="BT795">
        <v>38</v>
      </c>
      <c r="BU795" t="s">
        <v>89</v>
      </c>
      <c r="BV795" t="s">
        <v>89</v>
      </c>
      <c r="BW795">
        <v>19</v>
      </c>
      <c r="BX795">
        <v>1987</v>
      </c>
      <c r="BY795">
        <v>19</v>
      </c>
      <c r="BZ795">
        <f t="shared" si="116"/>
        <v>-1</v>
      </c>
      <c r="CA795">
        <f t="shared" si="117"/>
        <v>0</v>
      </c>
      <c r="CB795" t="b">
        <f t="shared" si="118"/>
        <v>0</v>
      </c>
    </row>
    <row r="796" spans="1:80" x14ac:dyDescent="0.3">
      <c r="A796" t="s">
        <v>6624</v>
      </c>
      <c r="B796" t="s">
        <v>729</v>
      </c>
      <c r="C796" t="s">
        <v>6625</v>
      </c>
      <c r="D796">
        <v>38</v>
      </c>
      <c r="E796" t="s">
        <v>6626</v>
      </c>
      <c r="F796" t="s">
        <v>6627</v>
      </c>
      <c r="G796" t="s">
        <v>400</v>
      </c>
      <c r="H796" t="s">
        <v>732</v>
      </c>
      <c r="I796" t="s">
        <v>437</v>
      </c>
      <c r="J796" t="s">
        <v>78</v>
      </c>
      <c r="K796" t="s">
        <v>179</v>
      </c>
      <c r="L796" t="s">
        <v>163</v>
      </c>
      <c r="M796">
        <v>19</v>
      </c>
      <c r="N796" t="s">
        <v>6628</v>
      </c>
      <c r="O796">
        <v>2006</v>
      </c>
      <c r="P796" t="s">
        <v>6629</v>
      </c>
      <c r="Q796" t="s">
        <v>6630</v>
      </c>
      <c r="R796">
        <v>44352</v>
      </c>
      <c r="S796" t="s">
        <v>6624</v>
      </c>
      <c r="T796" t="s">
        <v>6631</v>
      </c>
      <c r="U796">
        <v>1987</v>
      </c>
      <c r="V796" t="s">
        <v>1800</v>
      </c>
      <c r="W796">
        <v>1.82</v>
      </c>
      <c r="X796" t="s">
        <v>732</v>
      </c>
      <c r="Y796" t="s">
        <v>123</v>
      </c>
      <c r="Z796" t="s">
        <v>87</v>
      </c>
      <c r="AA796" t="s">
        <v>187</v>
      </c>
      <c r="AB796" s="1">
        <v>45292</v>
      </c>
      <c r="AC796" t="s">
        <v>222</v>
      </c>
      <c r="AD796" t="s">
        <v>395</v>
      </c>
      <c r="AE796" t="s">
        <v>2219</v>
      </c>
      <c r="AF796">
        <v>19</v>
      </c>
      <c r="AG796">
        <v>0</v>
      </c>
      <c r="AH796" t="s">
        <v>92</v>
      </c>
      <c r="AI796" t="s">
        <v>89</v>
      </c>
      <c r="AJ796" t="s">
        <v>92</v>
      </c>
      <c r="AK796">
        <v>19</v>
      </c>
      <c r="AL796">
        <v>24</v>
      </c>
      <c r="AM796">
        <v>440</v>
      </c>
      <c r="AN796">
        <v>62</v>
      </c>
      <c r="AO796">
        <v>11</v>
      </c>
      <c r="AP796" t="s">
        <v>93</v>
      </c>
      <c r="AQ796" t="s">
        <v>89</v>
      </c>
      <c r="AR796" t="s">
        <v>89</v>
      </c>
      <c r="AS796" t="s">
        <v>93</v>
      </c>
      <c r="AT796" t="s">
        <v>89</v>
      </c>
      <c r="AU796" t="s">
        <v>89</v>
      </c>
      <c r="AV796" t="s">
        <v>89</v>
      </c>
      <c r="AW796">
        <v>19</v>
      </c>
      <c r="AX796">
        <v>9</v>
      </c>
      <c r="AY796" t="s">
        <v>111</v>
      </c>
      <c r="AZ796">
        <v>13</v>
      </c>
      <c r="BA796">
        <v>71</v>
      </c>
      <c r="BB796">
        <v>5778</v>
      </c>
      <c r="BC796">
        <v>37</v>
      </c>
      <c r="BD796">
        <v>773</v>
      </c>
      <c r="BE796">
        <v>62900</v>
      </c>
      <c r="BF796">
        <v>462</v>
      </c>
      <c r="BG796" t="s">
        <v>89</v>
      </c>
      <c r="BH796">
        <v>844</v>
      </c>
      <c r="BI796">
        <v>68678</v>
      </c>
      <c r="BJ796">
        <v>499</v>
      </c>
      <c r="BK796">
        <f t="shared" si="110"/>
        <v>844</v>
      </c>
      <c r="BL796">
        <f t="shared" si="111"/>
        <v>68678</v>
      </c>
      <c r="BM796">
        <f t="shared" si="112"/>
        <v>499</v>
      </c>
      <c r="BN796">
        <f t="shared" si="113"/>
        <v>0</v>
      </c>
      <c r="BO796">
        <f t="shared" si="114"/>
        <v>0</v>
      </c>
      <c r="BP796">
        <f t="shared" si="115"/>
        <v>0</v>
      </c>
      <c r="BQ796" t="s">
        <v>123</v>
      </c>
      <c r="BR796" t="s">
        <v>112</v>
      </c>
      <c r="BS796" s="1">
        <v>31801</v>
      </c>
      <c r="BT796">
        <v>39</v>
      </c>
      <c r="BU796" t="s">
        <v>89</v>
      </c>
      <c r="BV796" t="s">
        <v>89</v>
      </c>
      <c r="BW796">
        <v>20</v>
      </c>
      <c r="BX796">
        <v>1987</v>
      </c>
      <c r="BY796">
        <v>19</v>
      </c>
      <c r="BZ796">
        <f t="shared" si="116"/>
        <v>-1</v>
      </c>
      <c r="CA796">
        <f t="shared" si="117"/>
        <v>1</v>
      </c>
      <c r="CB796" t="b">
        <f t="shared" si="118"/>
        <v>0</v>
      </c>
    </row>
    <row r="797" spans="1:80" x14ac:dyDescent="0.3">
      <c r="A797" t="s">
        <v>6632</v>
      </c>
      <c r="B797" t="s">
        <v>1231</v>
      </c>
      <c r="C797" t="s">
        <v>6633</v>
      </c>
      <c r="D797">
        <v>40</v>
      </c>
      <c r="E797" s="1">
        <v>31172</v>
      </c>
      <c r="F797" t="s">
        <v>89</v>
      </c>
      <c r="G797" t="s">
        <v>143</v>
      </c>
      <c r="H797" t="s">
        <v>89</v>
      </c>
      <c r="I797" t="s">
        <v>195</v>
      </c>
      <c r="J797" t="s">
        <v>300</v>
      </c>
      <c r="K797" t="s">
        <v>89</v>
      </c>
      <c r="L797" t="s">
        <v>278</v>
      </c>
      <c r="M797">
        <v>26</v>
      </c>
      <c r="N797" t="s">
        <v>3095</v>
      </c>
      <c r="O797">
        <v>2011</v>
      </c>
      <c r="P797" t="s">
        <v>6634</v>
      </c>
      <c r="Q797" t="s">
        <v>6635</v>
      </c>
      <c r="R797">
        <v>56777</v>
      </c>
      <c r="S797" t="s">
        <v>6632</v>
      </c>
      <c r="T797" t="s">
        <v>6636</v>
      </c>
      <c r="U797">
        <v>1985</v>
      </c>
      <c r="V797" t="s">
        <v>1236</v>
      </c>
      <c r="W797">
        <v>1.71</v>
      </c>
      <c r="X797" t="s">
        <v>1234</v>
      </c>
      <c r="Y797" t="s">
        <v>203</v>
      </c>
      <c r="Z797" t="s">
        <v>152</v>
      </c>
      <c r="AA797" t="s">
        <v>6637</v>
      </c>
      <c r="AB797" s="1">
        <v>44568</v>
      </c>
      <c r="AC797" t="s">
        <v>108</v>
      </c>
      <c r="AD797" t="s">
        <v>89</v>
      </c>
      <c r="AE797" t="s">
        <v>6638</v>
      </c>
      <c r="AF797">
        <v>26</v>
      </c>
      <c r="AG797" t="s">
        <v>613</v>
      </c>
      <c r="AH797" t="s">
        <v>1681</v>
      </c>
      <c r="AI797">
        <v>22</v>
      </c>
      <c r="AJ797" t="s">
        <v>615</v>
      </c>
      <c r="AK797">
        <v>22</v>
      </c>
      <c r="AL797">
        <v>7</v>
      </c>
      <c r="AM797">
        <v>523</v>
      </c>
      <c r="AN797">
        <v>66</v>
      </c>
      <c r="AO797">
        <v>5</v>
      </c>
      <c r="AP797" t="s">
        <v>93</v>
      </c>
      <c r="AQ797" t="s">
        <v>89</v>
      </c>
      <c r="AR797" t="s">
        <v>89</v>
      </c>
      <c r="AS797" t="s">
        <v>111</v>
      </c>
      <c r="AT797" s="1">
        <v>44568</v>
      </c>
      <c r="AU797">
        <v>2022</v>
      </c>
      <c r="AV797">
        <v>11</v>
      </c>
      <c r="AW797">
        <v>11</v>
      </c>
      <c r="AX797" t="s">
        <v>89</v>
      </c>
      <c r="AY797" t="s">
        <v>93</v>
      </c>
      <c r="AZ797">
        <v>0</v>
      </c>
      <c r="BA797">
        <v>0</v>
      </c>
      <c r="BB797">
        <v>0</v>
      </c>
      <c r="BC797">
        <v>0</v>
      </c>
      <c r="BD797">
        <v>224</v>
      </c>
      <c r="BE797">
        <v>17833</v>
      </c>
      <c r="BF797">
        <v>7</v>
      </c>
      <c r="BG797">
        <v>37</v>
      </c>
      <c r="BH797">
        <v>224</v>
      </c>
      <c r="BI797">
        <v>17833</v>
      </c>
      <c r="BJ797">
        <v>7</v>
      </c>
      <c r="BK797">
        <f t="shared" si="110"/>
        <v>224</v>
      </c>
      <c r="BL797">
        <f t="shared" si="111"/>
        <v>17833</v>
      </c>
      <c r="BM797">
        <f t="shared" si="112"/>
        <v>7</v>
      </c>
      <c r="BN797">
        <f t="shared" si="113"/>
        <v>0</v>
      </c>
      <c r="BO797">
        <f t="shared" si="114"/>
        <v>0</v>
      </c>
      <c r="BP797">
        <f t="shared" si="115"/>
        <v>0</v>
      </c>
      <c r="BQ797" t="s">
        <v>203</v>
      </c>
      <c r="BR797" t="s">
        <v>140</v>
      </c>
      <c r="BS797" t="s">
        <v>89</v>
      </c>
      <c r="BT797">
        <v>41</v>
      </c>
      <c r="BU797" s="1">
        <v>44568</v>
      </c>
      <c r="BV797" s="1">
        <v>44743</v>
      </c>
      <c r="BW797">
        <v>15</v>
      </c>
      <c r="BX797">
        <v>1985</v>
      </c>
      <c r="BY797">
        <v>15</v>
      </c>
      <c r="BZ797">
        <f t="shared" si="116"/>
        <v>-4</v>
      </c>
      <c r="CA797">
        <f t="shared" si="117"/>
        <v>0</v>
      </c>
      <c r="CB797" t="b">
        <f t="shared" si="118"/>
        <v>0</v>
      </c>
    </row>
    <row r="798" spans="1:80" x14ac:dyDescent="0.3">
      <c r="A798" t="s">
        <v>6639</v>
      </c>
      <c r="B798" t="s">
        <v>71</v>
      </c>
      <c r="C798" t="s">
        <v>6640</v>
      </c>
      <c r="D798">
        <v>33</v>
      </c>
      <c r="E798" t="s">
        <v>6641</v>
      </c>
      <c r="F798" t="s">
        <v>6642</v>
      </c>
      <c r="G798" t="s">
        <v>115</v>
      </c>
      <c r="H798" t="s">
        <v>89</v>
      </c>
      <c r="I798" t="s">
        <v>453</v>
      </c>
      <c r="J798" t="s">
        <v>78</v>
      </c>
      <c r="K798" t="s">
        <v>1047</v>
      </c>
      <c r="L798" t="s">
        <v>762</v>
      </c>
      <c r="M798">
        <v>22</v>
      </c>
      <c r="N798" t="s">
        <v>304</v>
      </c>
      <c r="O798">
        <v>2014</v>
      </c>
      <c r="P798" t="s">
        <v>6643</v>
      </c>
      <c r="Q798" t="s">
        <v>6644</v>
      </c>
      <c r="R798">
        <v>207922</v>
      </c>
      <c r="S798" t="s">
        <v>6645</v>
      </c>
      <c r="T798" s="1">
        <v>33729</v>
      </c>
      <c r="U798">
        <v>1992</v>
      </c>
      <c r="V798" t="s">
        <v>6646</v>
      </c>
      <c r="W798">
        <v>1.79</v>
      </c>
      <c r="X798" t="s">
        <v>76</v>
      </c>
      <c r="Y798" t="s">
        <v>259</v>
      </c>
      <c r="Z798" t="s">
        <v>87</v>
      </c>
      <c r="AA798" t="s">
        <v>745</v>
      </c>
      <c r="AB798" t="s">
        <v>917</v>
      </c>
      <c r="AC798" t="s">
        <v>170</v>
      </c>
      <c r="AD798" t="s">
        <v>89</v>
      </c>
      <c r="AE798" t="s">
        <v>561</v>
      </c>
      <c r="AF798">
        <v>22</v>
      </c>
      <c r="AG798" t="s">
        <v>91</v>
      </c>
      <c r="AH798" t="s">
        <v>6647</v>
      </c>
      <c r="AI798">
        <v>24</v>
      </c>
      <c r="AJ798" t="s">
        <v>110</v>
      </c>
      <c r="AK798">
        <v>22</v>
      </c>
      <c r="AL798">
        <v>5</v>
      </c>
      <c r="AM798">
        <v>455</v>
      </c>
      <c r="AN798">
        <v>57</v>
      </c>
      <c r="AO798">
        <v>4</v>
      </c>
      <c r="AP798" t="s">
        <v>93</v>
      </c>
      <c r="AQ798" t="s">
        <v>89</v>
      </c>
      <c r="AR798" t="s">
        <v>89</v>
      </c>
      <c r="AS798" t="s">
        <v>93</v>
      </c>
      <c r="AT798" t="s">
        <v>89</v>
      </c>
      <c r="AU798" t="s">
        <v>89</v>
      </c>
      <c r="AV798" t="s">
        <v>89</v>
      </c>
      <c r="AW798">
        <v>11</v>
      </c>
      <c r="AX798">
        <v>19</v>
      </c>
      <c r="AY798" t="s">
        <v>93</v>
      </c>
      <c r="AZ798">
        <v>0</v>
      </c>
      <c r="BA798">
        <v>0</v>
      </c>
      <c r="BB798">
        <v>0</v>
      </c>
      <c r="BC798">
        <v>0</v>
      </c>
      <c r="BD798">
        <v>204</v>
      </c>
      <c r="BE798">
        <v>15131</v>
      </c>
      <c r="BF798">
        <v>7</v>
      </c>
      <c r="BG798" t="s">
        <v>89</v>
      </c>
      <c r="BH798">
        <v>204</v>
      </c>
      <c r="BI798">
        <v>15131</v>
      </c>
      <c r="BJ798">
        <v>7</v>
      </c>
      <c r="BK798">
        <f t="shared" si="110"/>
        <v>204</v>
      </c>
      <c r="BL798">
        <f t="shared" si="111"/>
        <v>15131</v>
      </c>
      <c r="BM798">
        <f t="shared" si="112"/>
        <v>7</v>
      </c>
      <c r="BN798">
        <f t="shared" si="113"/>
        <v>0</v>
      </c>
      <c r="BO798">
        <f t="shared" si="114"/>
        <v>0</v>
      </c>
      <c r="BP798">
        <f t="shared" si="115"/>
        <v>0</v>
      </c>
      <c r="BQ798" t="s">
        <v>259</v>
      </c>
      <c r="BR798" t="s">
        <v>94</v>
      </c>
      <c r="BS798" s="1">
        <v>33729</v>
      </c>
      <c r="BT798">
        <v>33</v>
      </c>
      <c r="BU798" t="s">
        <v>89</v>
      </c>
      <c r="BV798" t="s">
        <v>89</v>
      </c>
      <c r="BW798">
        <v>11</v>
      </c>
      <c r="BX798">
        <v>1992</v>
      </c>
      <c r="BY798">
        <v>11</v>
      </c>
      <c r="BZ798">
        <f t="shared" si="116"/>
        <v>0</v>
      </c>
      <c r="CA798">
        <f t="shared" si="117"/>
        <v>0</v>
      </c>
      <c r="CB798" t="b">
        <f t="shared" si="118"/>
        <v>1</v>
      </c>
    </row>
    <row r="799" spans="1:80" x14ac:dyDescent="0.3">
      <c r="A799" t="s">
        <v>6648</v>
      </c>
      <c r="B799" t="s">
        <v>2677</v>
      </c>
      <c r="C799" t="s">
        <v>6649</v>
      </c>
      <c r="D799">
        <v>39</v>
      </c>
      <c r="E799" t="s">
        <v>6650</v>
      </c>
      <c r="F799" t="s">
        <v>6651</v>
      </c>
      <c r="G799" t="s">
        <v>211</v>
      </c>
      <c r="H799" t="s">
        <v>2679</v>
      </c>
      <c r="I799" t="s">
        <v>212</v>
      </c>
      <c r="J799" t="s">
        <v>78</v>
      </c>
      <c r="K799" t="s">
        <v>3663</v>
      </c>
      <c r="L799" t="s">
        <v>180</v>
      </c>
      <c r="M799">
        <v>21</v>
      </c>
      <c r="N799" t="s">
        <v>6652</v>
      </c>
      <c r="O799">
        <v>2007</v>
      </c>
      <c r="P799" t="s">
        <v>6653</v>
      </c>
      <c r="Q799" t="s">
        <v>6654</v>
      </c>
      <c r="R799">
        <v>27992</v>
      </c>
      <c r="S799" t="s">
        <v>6648</v>
      </c>
      <c r="T799" s="1">
        <v>31299</v>
      </c>
      <c r="U799">
        <v>1985</v>
      </c>
      <c r="V799" t="s">
        <v>6655</v>
      </c>
      <c r="W799">
        <v>1.72</v>
      </c>
      <c r="X799" t="s">
        <v>2679</v>
      </c>
      <c r="Y799" t="s">
        <v>86</v>
      </c>
      <c r="Z799" t="s">
        <v>87</v>
      </c>
      <c r="AA799" t="s">
        <v>6656</v>
      </c>
      <c r="AB799" t="s">
        <v>5854</v>
      </c>
      <c r="AC799" t="s">
        <v>170</v>
      </c>
      <c r="AD799" t="s">
        <v>223</v>
      </c>
      <c r="AE799" t="s">
        <v>6657</v>
      </c>
      <c r="AF799">
        <v>18</v>
      </c>
      <c r="AG799" t="s">
        <v>2688</v>
      </c>
      <c r="AH799" t="s">
        <v>92</v>
      </c>
      <c r="AI799" t="s">
        <v>89</v>
      </c>
      <c r="AJ799" t="s">
        <v>92</v>
      </c>
      <c r="AK799">
        <v>18</v>
      </c>
      <c r="AL799">
        <v>30</v>
      </c>
      <c r="AM799">
        <v>545</v>
      </c>
      <c r="AN799">
        <v>116</v>
      </c>
      <c r="AO799">
        <v>13</v>
      </c>
      <c r="AP799" t="s">
        <v>93</v>
      </c>
      <c r="AQ799" t="s">
        <v>89</v>
      </c>
      <c r="AR799" t="s">
        <v>89</v>
      </c>
      <c r="AS799" t="s">
        <v>93</v>
      </c>
      <c r="AT799" t="s">
        <v>89</v>
      </c>
      <c r="AU799" t="s">
        <v>89</v>
      </c>
      <c r="AV799" t="s">
        <v>89</v>
      </c>
      <c r="AW799">
        <v>18</v>
      </c>
      <c r="AX799">
        <v>14</v>
      </c>
      <c r="AY799" t="s">
        <v>111</v>
      </c>
      <c r="AZ799">
        <v>31</v>
      </c>
      <c r="BA799">
        <v>165</v>
      </c>
      <c r="BB799">
        <v>13274</v>
      </c>
      <c r="BC799">
        <v>26</v>
      </c>
      <c r="BD799">
        <v>756</v>
      </c>
      <c r="BE799">
        <v>54595</v>
      </c>
      <c r="BF799">
        <v>73</v>
      </c>
      <c r="BG799" t="s">
        <v>89</v>
      </c>
      <c r="BH799">
        <v>921</v>
      </c>
      <c r="BI799">
        <v>67869</v>
      </c>
      <c r="BJ799">
        <v>99</v>
      </c>
      <c r="BK799">
        <f t="shared" si="110"/>
        <v>921</v>
      </c>
      <c r="BL799">
        <f t="shared" si="111"/>
        <v>67869</v>
      </c>
      <c r="BM799">
        <f t="shared" si="112"/>
        <v>99</v>
      </c>
      <c r="BN799">
        <f t="shared" si="113"/>
        <v>0</v>
      </c>
      <c r="BO799">
        <f t="shared" si="114"/>
        <v>0</v>
      </c>
      <c r="BP799">
        <f t="shared" si="115"/>
        <v>0</v>
      </c>
      <c r="BQ799" t="s">
        <v>86</v>
      </c>
      <c r="BR799" t="s">
        <v>94</v>
      </c>
      <c r="BS799" s="1">
        <v>31299</v>
      </c>
      <c r="BT799">
        <v>40</v>
      </c>
      <c r="BU799" t="s">
        <v>89</v>
      </c>
      <c r="BV799" t="s">
        <v>89</v>
      </c>
      <c r="BW799">
        <v>22</v>
      </c>
      <c r="BX799">
        <v>1985</v>
      </c>
      <c r="BY799">
        <v>21</v>
      </c>
      <c r="BZ799">
        <f t="shared" si="116"/>
        <v>-4</v>
      </c>
      <c r="CA799">
        <f t="shared" si="117"/>
        <v>1</v>
      </c>
      <c r="CB799" t="b">
        <f t="shared" si="118"/>
        <v>0</v>
      </c>
    </row>
    <row r="800" spans="1:80" x14ac:dyDescent="0.3">
      <c r="A800" t="s">
        <v>6658</v>
      </c>
      <c r="B800" t="s">
        <v>71</v>
      </c>
      <c r="C800" t="s">
        <v>6659</v>
      </c>
      <c r="D800">
        <v>40</v>
      </c>
      <c r="E800" s="1">
        <v>31020</v>
      </c>
      <c r="F800" t="s">
        <v>89</v>
      </c>
      <c r="G800" t="s">
        <v>321</v>
      </c>
      <c r="H800" t="s">
        <v>89</v>
      </c>
      <c r="I800" t="s">
        <v>2719</v>
      </c>
      <c r="J800" t="s">
        <v>78</v>
      </c>
      <c r="K800" t="s">
        <v>89</v>
      </c>
      <c r="L800" t="s">
        <v>228</v>
      </c>
      <c r="M800">
        <v>25</v>
      </c>
      <c r="N800" t="s">
        <v>323</v>
      </c>
      <c r="O800">
        <v>2010</v>
      </c>
      <c r="P800" t="s">
        <v>6660</v>
      </c>
      <c r="Q800" t="s">
        <v>6661</v>
      </c>
      <c r="R800">
        <v>95480</v>
      </c>
      <c r="S800" t="s">
        <v>6662</v>
      </c>
      <c r="T800" t="s">
        <v>6663</v>
      </c>
      <c r="U800">
        <v>1984</v>
      </c>
      <c r="V800" t="s">
        <v>508</v>
      </c>
      <c r="W800">
        <v>1.83</v>
      </c>
      <c r="X800" t="s">
        <v>76</v>
      </c>
      <c r="Y800" t="s">
        <v>86</v>
      </c>
      <c r="Z800" t="s">
        <v>87</v>
      </c>
      <c r="AA800" t="s">
        <v>6241</v>
      </c>
      <c r="AB800" s="1">
        <v>45298</v>
      </c>
      <c r="AC800" t="s">
        <v>108</v>
      </c>
      <c r="AD800" t="s">
        <v>89</v>
      </c>
      <c r="AE800" t="s">
        <v>6664</v>
      </c>
      <c r="AF800">
        <v>29</v>
      </c>
      <c r="AG800" t="s">
        <v>91</v>
      </c>
      <c r="AH800" t="s">
        <v>614</v>
      </c>
      <c r="AI800">
        <v>25</v>
      </c>
      <c r="AJ800" t="s">
        <v>110</v>
      </c>
      <c r="AK800">
        <v>25</v>
      </c>
      <c r="AL800">
        <v>3</v>
      </c>
      <c r="AM800">
        <v>139</v>
      </c>
      <c r="AN800">
        <v>16</v>
      </c>
      <c r="AO800">
        <v>2</v>
      </c>
      <c r="AP800" t="s">
        <v>93</v>
      </c>
      <c r="AQ800" t="s">
        <v>89</v>
      </c>
      <c r="AR800" t="s">
        <v>89</v>
      </c>
      <c r="AS800" t="s">
        <v>111</v>
      </c>
      <c r="AT800">
        <v>45298</v>
      </c>
      <c r="AU800">
        <v>2024</v>
      </c>
      <c r="AV800">
        <v>14</v>
      </c>
      <c r="AW800">
        <v>14</v>
      </c>
      <c r="AX800" t="s">
        <v>89</v>
      </c>
      <c r="AY800" t="s">
        <v>93</v>
      </c>
      <c r="AZ800">
        <v>0</v>
      </c>
      <c r="BA800">
        <v>0</v>
      </c>
      <c r="BB800">
        <v>0</v>
      </c>
      <c r="BC800">
        <v>0</v>
      </c>
      <c r="BD800">
        <v>249</v>
      </c>
      <c r="BE800">
        <v>17805</v>
      </c>
      <c r="BF800">
        <v>15</v>
      </c>
      <c r="BG800">
        <v>40</v>
      </c>
      <c r="BH800">
        <v>249</v>
      </c>
      <c r="BI800">
        <v>17805</v>
      </c>
      <c r="BJ800">
        <v>15</v>
      </c>
      <c r="BK800">
        <f t="shared" si="110"/>
        <v>249</v>
      </c>
      <c r="BL800">
        <f t="shared" si="111"/>
        <v>17805</v>
      </c>
      <c r="BM800">
        <f t="shared" si="112"/>
        <v>15</v>
      </c>
      <c r="BN800">
        <f t="shared" si="113"/>
        <v>0</v>
      </c>
      <c r="BO800">
        <f t="shared" si="114"/>
        <v>0</v>
      </c>
      <c r="BP800">
        <f t="shared" si="115"/>
        <v>0</v>
      </c>
      <c r="BQ800" t="s">
        <v>86</v>
      </c>
      <c r="BR800" t="s">
        <v>94</v>
      </c>
      <c r="BS800" t="s">
        <v>89</v>
      </c>
      <c r="BT800">
        <v>42</v>
      </c>
      <c r="BU800">
        <v>45298</v>
      </c>
      <c r="BV800" t="s">
        <v>89</v>
      </c>
      <c r="BW800">
        <v>15</v>
      </c>
      <c r="BX800">
        <v>1984</v>
      </c>
      <c r="BY800">
        <v>15</v>
      </c>
      <c r="BZ800">
        <f t="shared" si="116"/>
        <v>-1</v>
      </c>
      <c r="CA800">
        <f t="shared" si="117"/>
        <v>0</v>
      </c>
      <c r="CB800" t="b">
        <f t="shared" si="118"/>
        <v>0</v>
      </c>
    </row>
    <row r="801" spans="1:80" x14ac:dyDescent="0.3">
      <c r="A801" t="s">
        <v>6665</v>
      </c>
      <c r="B801" t="s">
        <v>71</v>
      </c>
      <c r="C801" t="s">
        <v>6666</v>
      </c>
      <c r="D801">
        <v>49</v>
      </c>
      <c r="E801" s="1">
        <v>27697</v>
      </c>
      <c r="F801" t="s">
        <v>89</v>
      </c>
      <c r="G801" t="s">
        <v>211</v>
      </c>
      <c r="H801" t="s">
        <v>76</v>
      </c>
      <c r="I801" t="s">
        <v>2537</v>
      </c>
      <c r="J801" t="s">
        <v>89</v>
      </c>
      <c r="K801" t="s">
        <v>89</v>
      </c>
      <c r="L801" t="s">
        <v>6667</v>
      </c>
      <c r="M801">
        <v>17</v>
      </c>
      <c r="N801" t="s">
        <v>162</v>
      </c>
      <c r="O801">
        <v>1993</v>
      </c>
      <c r="P801" t="s">
        <v>6668</v>
      </c>
      <c r="Q801" t="s">
        <v>6669</v>
      </c>
      <c r="R801">
        <v>8324</v>
      </c>
      <c r="S801" t="s">
        <v>6665</v>
      </c>
      <c r="T801" t="s">
        <v>6670</v>
      </c>
      <c r="U801">
        <v>1975</v>
      </c>
      <c r="V801" t="s">
        <v>122</v>
      </c>
      <c r="W801">
        <v>1.74</v>
      </c>
      <c r="X801" t="s">
        <v>76</v>
      </c>
      <c r="Y801" t="s">
        <v>106</v>
      </c>
      <c r="Z801" t="s">
        <v>87</v>
      </c>
      <c r="AA801" t="s">
        <v>162</v>
      </c>
      <c r="AB801" s="1">
        <v>40915</v>
      </c>
      <c r="AC801" t="s">
        <v>108</v>
      </c>
      <c r="AD801" t="s">
        <v>89</v>
      </c>
      <c r="AE801" t="s">
        <v>6671</v>
      </c>
      <c r="AF801">
        <v>18</v>
      </c>
      <c r="AG801" t="s">
        <v>91</v>
      </c>
      <c r="AH801">
        <v>34465</v>
      </c>
      <c r="AI801">
        <v>19</v>
      </c>
      <c r="AJ801" t="s">
        <v>110</v>
      </c>
      <c r="AK801">
        <v>18</v>
      </c>
      <c r="AL801">
        <v>3</v>
      </c>
      <c r="AM801">
        <v>112</v>
      </c>
      <c r="AN801">
        <v>19</v>
      </c>
      <c r="AO801">
        <v>2</v>
      </c>
      <c r="AP801" t="s">
        <v>93</v>
      </c>
      <c r="AQ801" t="s">
        <v>89</v>
      </c>
      <c r="AR801" t="s">
        <v>89</v>
      </c>
      <c r="AS801" t="s">
        <v>111</v>
      </c>
      <c r="AT801">
        <v>40915</v>
      </c>
      <c r="AU801">
        <v>2012</v>
      </c>
      <c r="AV801">
        <v>19</v>
      </c>
      <c r="AW801">
        <v>19</v>
      </c>
      <c r="AX801" t="s">
        <v>89</v>
      </c>
      <c r="AY801" t="s">
        <v>93</v>
      </c>
      <c r="AZ801">
        <v>0</v>
      </c>
      <c r="BA801">
        <v>0</v>
      </c>
      <c r="BB801">
        <v>0</v>
      </c>
      <c r="BC801">
        <v>0</v>
      </c>
      <c r="BD801">
        <v>387</v>
      </c>
      <c r="BE801">
        <v>24624</v>
      </c>
      <c r="BF801">
        <v>43</v>
      </c>
      <c r="BG801">
        <v>37</v>
      </c>
      <c r="BH801">
        <v>387</v>
      </c>
      <c r="BI801">
        <v>24624</v>
      </c>
      <c r="BJ801">
        <v>43</v>
      </c>
      <c r="BK801">
        <f t="shared" si="110"/>
        <v>387</v>
      </c>
      <c r="BL801">
        <f t="shared" si="111"/>
        <v>24624</v>
      </c>
      <c r="BM801">
        <f t="shared" si="112"/>
        <v>43</v>
      </c>
      <c r="BN801">
        <f t="shared" si="113"/>
        <v>0</v>
      </c>
      <c r="BO801">
        <f t="shared" si="114"/>
        <v>0</v>
      </c>
      <c r="BP801">
        <f t="shared" si="115"/>
        <v>0</v>
      </c>
      <c r="BQ801" t="s">
        <v>106</v>
      </c>
      <c r="BR801" t="s">
        <v>112</v>
      </c>
      <c r="BS801" t="s">
        <v>89</v>
      </c>
      <c r="BT801">
        <v>51</v>
      </c>
      <c r="BU801">
        <v>40915</v>
      </c>
      <c r="BV801" t="s">
        <v>89</v>
      </c>
      <c r="BW801">
        <v>19</v>
      </c>
      <c r="BX801">
        <v>1975</v>
      </c>
      <c r="BY801">
        <v>19</v>
      </c>
      <c r="BZ801">
        <f t="shared" si="116"/>
        <v>0</v>
      </c>
      <c r="CA801">
        <f t="shared" si="117"/>
        <v>0</v>
      </c>
      <c r="CB801" t="b">
        <f t="shared" si="118"/>
        <v>1</v>
      </c>
    </row>
    <row r="802" spans="1:80" x14ac:dyDescent="0.3">
      <c r="A802" t="s">
        <v>6665</v>
      </c>
      <c r="B802" t="s">
        <v>89</v>
      </c>
      <c r="C802" t="s">
        <v>6672</v>
      </c>
      <c r="D802">
        <v>37</v>
      </c>
      <c r="E802">
        <v>32353</v>
      </c>
      <c r="F802" t="s">
        <v>89</v>
      </c>
      <c r="G802" t="s">
        <v>400</v>
      </c>
      <c r="H802" t="s">
        <v>76</v>
      </c>
      <c r="I802" t="s">
        <v>722</v>
      </c>
      <c r="J802" t="s">
        <v>78</v>
      </c>
      <c r="K802" t="s">
        <v>89</v>
      </c>
      <c r="L802" t="s">
        <v>130</v>
      </c>
      <c r="M802">
        <v>20</v>
      </c>
      <c r="N802" t="s">
        <v>214</v>
      </c>
      <c r="O802">
        <v>2008</v>
      </c>
      <c r="P802" t="s">
        <v>6673</v>
      </c>
      <c r="Q802" t="s">
        <v>6674</v>
      </c>
      <c r="R802">
        <v>65331</v>
      </c>
      <c r="S802" t="s">
        <v>6675</v>
      </c>
      <c r="T802" t="s">
        <v>6676</v>
      </c>
      <c r="U802">
        <v>1988</v>
      </c>
      <c r="V802" t="s">
        <v>6677</v>
      </c>
      <c r="W802">
        <v>1.82</v>
      </c>
      <c r="X802" t="s">
        <v>76</v>
      </c>
      <c r="Y802" t="s">
        <v>86</v>
      </c>
      <c r="Z802" t="s">
        <v>87</v>
      </c>
      <c r="AA802" t="s">
        <v>6678</v>
      </c>
      <c r="AB802">
        <v>45664</v>
      </c>
      <c r="AC802" t="s">
        <v>108</v>
      </c>
      <c r="AD802" t="s">
        <v>89</v>
      </c>
      <c r="AE802">
        <v>39611</v>
      </c>
      <c r="AF802">
        <v>20</v>
      </c>
      <c r="AG802" t="s">
        <v>91</v>
      </c>
      <c r="AH802" t="s">
        <v>306</v>
      </c>
      <c r="AI802">
        <v>23</v>
      </c>
      <c r="AJ802" t="s">
        <v>110</v>
      </c>
      <c r="AK802">
        <v>20</v>
      </c>
      <c r="AL802">
        <v>3</v>
      </c>
      <c r="AM802">
        <v>162</v>
      </c>
      <c r="AN802">
        <v>28</v>
      </c>
      <c r="AO802">
        <v>3</v>
      </c>
      <c r="AP802" t="s">
        <v>93</v>
      </c>
      <c r="AQ802" t="s">
        <v>89</v>
      </c>
      <c r="AR802" t="s">
        <v>89</v>
      </c>
      <c r="AS802" t="s">
        <v>111</v>
      </c>
      <c r="AT802">
        <v>45664</v>
      </c>
      <c r="AU802">
        <v>2025</v>
      </c>
      <c r="AV802">
        <v>17</v>
      </c>
      <c r="AW802">
        <v>17</v>
      </c>
      <c r="AX802" t="s">
        <v>89</v>
      </c>
      <c r="AY802" t="s">
        <v>93</v>
      </c>
      <c r="AZ802">
        <v>0</v>
      </c>
      <c r="BA802">
        <v>0</v>
      </c>
      <c r="BB802">
        <v>0</v>
      </c>
      <c r="BC802">
        <v>0</v>
      </c>
      <c r="BD802">
        <v>387</v>
      </c>
      <c r="BE802">
        <v>24624</v>
      </c>
      <c r="BF802">
        <v>43</v>
      </c>
      <c r="BG802">
        <v>37</v>
      </c>
      <c r="BH802">
        <v>387</v>
      </c>
      <c r="BI802">
        <v>24624</v>
      </c>
      <c r="BJ802">
        <v>43</v>
      </c>
      <c r="BK802">
        <f t="shared" si="110"/>
        <v>387</v>
      </c>
      <c r="BL802">
        <f t="shared" si="111"/>
        <v>24624</v>
      </c>
      <c r="BM802">
        <f t="shared" si="112"/>
        <v>43</v>
      </c>
      <c r="BN802">
        <f t="shared" si="113"/>
        <v>0</v>
      </c>
      <c r="BO802">
        <f t="shared" si="114"/>
        <v>0</v>
      </c>
      <c r="BP802">
        <f t="shared" si="115"/>
        <v>0</v>
      </c>
      <c r="BQ802" t="s">
        <v>86</v>
      </c>
      <c r="BR802" t="s">
        <v>94</v>
      </c>
      <c r="BS802" t="s">
        <v>89</v>
      </c>
      <c r="BT802">
        <v>38</v>
      </c>
      <c r="BU802">
        <v>45664</v>
      </c>
      <c r="BV802" t="s">
        <v>89</v>
      </c>
      <c r="BW802">
        <v>17</v>
      </c>
      <c r="BX802">
        <v>1988</v>
      </c>
      <c r="BY802">
        <v>17</v>
      </c>
      <c r="BZ802">
        <f t="shared" si="116"/>
        <v>0</v>
      </c>
      <c r="CA802">
        <f t="shared" si="117"/>
        <v>0</v>
      </c>
      <c r="CB802" t="b">
        <f t="shared" si="118"/>
        <v>1</v>
      </c>
    </row>
    <row r="803" spans="1:80" x14ac:dyDescent="0.3">
      <c r="A803" t="s">
        <v>6665</v>
      </c>
      <c r="B803" t="s">
        <v>89</v>
      </c>
      <c r="C803" t="s">
        <v>6679</v>
      </c>
      <c r="D803">
        <v>39</v>
      </c>
      <c r="E803">
        <v>31359</v>
      </c>
      <c r="F803" t="s">
        <v>89</v>
      </c>
      <c r="G803" t="s">
        <v>413</v>
      </c>
      <c r="H803" t="s">
        <v>89</v>
      </c>
      <c r="I803" t="s">
        <v>750</v>
      </c>
      <c r="J803" t="s">
        <v>78</v>
      </c>
      <c r="K803" t="s">
        <v>89</v>
      </c>
      <c r="L803" t="s">
        <v>117</v>
      </c>
      <c r="M803">
        <v>19</v>
      </c>
      <c r="N803" t="s">
        <v>279</v>
      </c>
      <c r="O803">
        <v>2005</v>
      </c>
      <c r="P803" t="s">
        <v>6680</v>
      </c>
      <c r="Q803" t="s">
        <v>6681</v>
      </c>
      <c r="R803">
        <v>57818</v>
      </c>
      <c r="S803" t="s">
        <v>6682</v>
      </c>
      <c r="T803" t="s">
        <v>6683</v>
      </c>
      <c r="U803">
        <v>1985</v>
      </c>
      <c r="V803" t="s">
        <v>6684</v>
      </c>
      <c r="W803">
        <v>1.83</v>
      </c>
      <c r="X803" t="s">
        <v>76</v>
      </c>
      <c r="Y803" t="s">
        <v>86</v>
      </c>
      <c r="Z803" t="s">
        <v>87</v>
      </c>
      <c r="AA803" t="s">
        <v>909</v>
      </c>
      <c r="AB803" s="1">
        <v>44230</v>
      </c>
      <c r="AC803" t="s">
        <v>108</v>
      </c>
      <c r="AD803" t="s">
        <v>89</v>
      </c>
      <c r="AE803" t="s">
        <v>719</v>
      </c>
      <c r="AF803">
        <v>22</v>
      </c>
      <c r="AG803" t="s">
        <v>91</v>
      </c>
      <c r="AH803" t="s">
        <v>354</v>
      </c>
      <c r="AI803">
        <v>19</v>
      </c>
      <c r="AJ803" t="s">
        <v>110</v>
      </c>
      <c r="AK803">
        <v>19</v>
      </c>
      <c r="AL803" t="s">
        <v>89</v>
      </c>
      <c r="AM803" t="s">
        <v>89</v>
      </c>
      <c r="AN803" t="s">
        <v>89</v>
      </c>
      <c r="AO803">
        <v>0</v>
      </c>
      <c r="AP803" t="s">
        <v>93</v>
      </c>
      <c r="AQ803" t="s">
        <v>89</v>
      </c>
      <c r="AR803" t="s">
        <v>89</v>
      </c>
      <c r="AS803" t="s">
        <v>111</v>
      </c>
      <c r="AT803">
        <v>44230</v>
      </c>
      <c r="AU803">
        <v>2021</v>
      </c>
      <c r="AV803">
        <v>16</v>
      </c>
      <c r="AW803">
        <v>16</v>
      </c>
      <c r="AX803" t="s">
        <v>89</v>
      </c>
      <c r="AY803" t="s">
        <v>93</v>
      </c>
      <c r="AZ803">
        <v>0</v>
      </c>
      <c r="BA803">
        <v>0</v>
      </c>
      <c r="BB803">
        <v>0</v>
      </c>
      <c r="BC803">
        <v>0</v>
      </c>
      <c r="BD803">
        <v>387</v>
      </c>
      <c r="BE803">
        <v>24624</v>
      </c>
      <c r="BF803">
        <v>43</v>
      </c>
      <c r="BG803">
        <v>36</v>
      </c>
      <c r="BH803">
        <v>387</v>
      </c>
      <c r="BI803">
        <v>24624</v>
      </c>
      <c r="BJ803">
        <v>43</v>
      </c>
      <c r="BK803">
        <f t="shared" si="110"/>
        <v>387</v>
      </c>
      <c r="BL803">
        <f t="shared" si="111"/>
        <v>24624</v>
      </c>
      <c r="BM803">
        <f t="shared" si="112"/>
        <v>43</v>
      </c>
      <c r="BN803">
        <f t="shared" si="113"/>
        <v>0</v>
      </c>
      <c r="BO803">
        <f t="shared" si="114"/>
        <v>0</v>
      </c>
      <c r="BP803">
        <f t="shared" si="115"/>
        <v>0</v>
      </c>
      <c r="BQ803" t="s">
        <v>86</v>
      </c>
      <c r="BR803" t="s">
        <v>94</v>
      </c>
      <c r="BS803" t="s">
        <v>89</v>
      </c>
      <c r="BT803">
        <v>41</v>
      </c>
      <c r="BU803">
        <v>44230</v>
      </c>
      <c r="BV803" t="s">
        <v>89</v>
      </c>
      <c r="BW803">
        <v>17</v>
      </c>
      <c r="BX803">
        <v>1985</v>
      </c>
      <c r="BY803">
        <v>17</v>
      </c>
      <c r="BZ803">
        <f t="shared" si="116"/>
        <v>-1</v>
      </c>
      <c r="CA803">
        <f t="shared" si="117"/>
        <v>0</v>
      </c>
      <c r="CB803" t="b">
        <f t="shared" si="118"/>
        <v>0</v>
      </c>
    </row>
    <row r="804" spans="1:80" x14ac:dyDescent="0.3">
      <c r="A804" t="s">
        <v>6685</v>
      </c>
      <c r="B804" t="s">
        <v>3811</v>
      </c>
      <c r="C804" t="s">
        <v>6686</v>
      </c>
      <c r="D804">
        <v>44</v>
      </c>
      <c r="E804" s="1">
        <v>29724</v>
      </c>
      <c r="F804" t="s">
        <v>89</v>
      </c>
      <c r="G804" t="s">
        <v>413</v>
      </c>
      <c r="H804" t="s">
        <v>6687</v>
      </c>
      <c r="I804" t="s">
        <v>288</v>
      </c>
      <c r="J804" t="s">
        <v>89</v>
      </c>
      <c r="K804" t="s">
        <v>89</v>
      </c>
      <c r="L804" t="s">
        <v>196</v>
      </c>
      <c r="M804">
        <v>19</v>
      </c>
      <c r="N804" t="s">
        <v>6688</v>
      </c>
      <c r="O804">
        <v>2000</v>
      </c>
      <c r="P804" t="s">
        <v>6689</v>
      </c>
      <c r="Q804" t="s">
        <v>6690</v>
      </c>
      <c r="R804">
        <v>5352</v>
      </c>
      <c r="S804" t="s">
        <v>6685</v>
      </c>
      <c r="T804" t="s">
        <v>6691</v>
      </c>
      <c r="U804">
        <v>1981</v>
      </c>
      <c r="V804" t="s">
        <v>6692</v>
      </c>
      <c r="W804">
        <v>1.82</v>
      </c>
      <c r="X804" t="s">
        <v>6687</v>
      </c>
      <c r="Y804" t="s">
        <v>259</v>
      </c>
      <c r="Z804" t="s">
        <v>87</v>
      </c>
      <c r="AA804" t="s">
        <v>669</v>
      </c>
      <c r="AB804">
        <v>41646</v>
      </c>
      <c r="AC804" t="s">
        <v>108</v>
      </c>
      <c r="AD804" t="s">
        <v>89</v>
      </c>
      <c r="AE804" t="s">
        <v>6693</v>
      </c>
      <c r="AF804">
        <v>17</v>
      </c>
      <c r="AG804" t="s">
        <v>1078</v>
      </c>
      <c r="AH804" t="s">
        <v>92</v>
      </c>
      <c r="AI804" t="s">
        <v>89</v>
      </c>
      <c r="AJ804" t="s">
        <v>92</v>
      </c>
      <c r="AK804">
        <v>17</v>
      </c>
      <c r="AL804">
        <v>5</v>
      </c>
      <c r="AM804">
        <v>478</v>
      </c>
      <c r="AN804">
        <v>83</v>
      </c>
      <c r="AO804">
        <v>2</v>
      </c>
      <c r="AP804" t="s">
        <v>93</v>
      </c>
      <c r="AQ804" t="s">
        <v>89</v>
      </c>
      <c r="AR804" t="s">
        <v>89</v>
      </c>
      <c r="AS804" t="s">
        <v>111</v>
      </c>
      <c r="AT804">
        <v>41646</v>
      </c>
      <c r="AU804">
        <v>2014</v>
      </c>
      <c r="AV804">
        <v>14</v>
      </c>
      <c r="AW804">
        <v>14</v>
      </c>
      <c r="AX804" t="s">
        <v>89</v>
      </c>
      <c r="AY804" t="s">
        <v>111</v>
      </c>
      <c r="AZ804">
        <v>1</v>
      </c>
      <c r="BA804">
        <v>2</v>
      </c>
      <c r="BB804">
        <v>180</v>
      </c>
      <c r="BC804">
        <v>0</v>
      </c>
      <c r="BD804">
        <v>362</v>
      </c>
      <c r="BE804">
        <v>26970</v>
      </c>
      <c r="BF804">
        <v>23</v>
      </c>
      <c r="BG804">
        <v>33</v>
      </c>
      <c r="BH804">
        <v>364</v>
      </c>
      <c r="BI804">
        <v>27150</v>
      </c>
      <c r="BJ804">
        <v>23</v>
      </c>
      <c r="BK804">
        <f t="shared" si="110"/>
        <v>364</v>
      </c>
      <c r="BL804">
        <f t="shared" si="111"/>
        <v>27150</v>
      </c>
      <c r="BM804">
        <f t="shared" si="112"/>
        <v>23</v>
      </c>
      <c r="BN804">
        <f t="shared" si="113"/>
        <v>0</v>
      </c>
      <c r="BO804">
        <f t="shared" si="114"/>
        <v>0</v>
      </c>
      <c r="BP804">
        <f t="shared" si="115"/>
        <v>0</v>
      </c>
      <c r="BQ804" t="s">
        <v>259</v>
      </c>
      <c r="BR804" t="s">
        <v>94</v>
      </c>
      <c r="BS804" s="1">
        <v>29724</v>
      </c>
      <c r="BT804">
        <v>44</v>
      </c>
      <c r="BU804">
        <v>41646</v>
      </c>
      <c r="BV804" t="s">
        <v>89</v>
      </c>
      <c r="BW804">
        <v>16</v>
      </c>
      <c r="BX804">
        <v>1981</v>
      </c>
      <c r="BY804">
        <v>16</v>
      </c>
      <c r="BZ804">
        <f t="shared" si="116"/>
        <v>-2</v>
      </c>
      <c r="CA804">
        <f t="shared" si="117"/>
        <v>0</v>
      </c>
      <c r="CB804" t="b">
        <f t="shared" si="118"/>
        <v>0</v>
      </c>
    </row>
    <row r="805" spans="1:80" x14ac:dyDescent="0.3">
      <c r="A805" t="s">
        <v>6694</v>
      </c>
      <c r="B805" t="s">
        <v>71</v>
      </c>
      <c r="C805" t="s">
        <v>6695</v>
      </c>
      <c r="D805">
        <v>34</v>
      </c>
      <c r="E805" t="s">
        <v>6696</v>
      </c>
      <c r="F805" t="s">
        <v>517</v>
      </c>
      <c r="G805" t="s">
        <v>413</v>
      </c>
      <c r="H805" t="s">
        <v>89</v>
      </c>
      <c r="I805" t="s">
        <v>161</v>
      </c>
      <c r="J805" t="s">
        <v>89</v>
      </c>
      <c r="K805" t="s">
        <v>519</v>
      </c>
      <c r="L805" t="s">
        <v>80</v>
      </c>
      <c r="M805">
        <v>21</v>
      </c>
      <c r="N805" t="s">
        <v>820</v>
      </c>
      <c r="O805">
        <v>2012</v>
      </c>
      <c r="P805" t="s">
        <v>6697</v>
      </c>
      <c r="Q805" t="s">
        <v>6698</v>
      </c>
      <c r="R805">
        <v>197576</v>
      </c>
      <c r="S805" t="s">
        <v>6694</v>
      </c>
      <c r="T805">
        <v>33334</v>
      </c>
      <c r="U805">
        <v>1991</v>
      </c>
      <c r="V805" t="s">
        <v>523</v>
      </c>
      <c r="W805">
        <v>1.88</v>
      </c>
      <c r="X805" t="s">
        <v>76</v>
      </c>
      <c r="Y805" t="s">
        <v>106</v>
      </c>
      <c r="Z805" t="s">
        <v>87</v>
      </c>
      <c r="AA805" t="s">
        <v>420</v>
      </c>
      <c r="AB805" t="s">
        <v>6699</v>
      </c>
      <c r="AC805" t="s">
        <v>88</v>
      </c>
      <c r="AD805" t="s">
        <v>89</v>
      </c>
      <c r="AE805" s="1">
        <v>41280</v>
      </c>
      <c r="AF805">
        <v>21</v>
      </c>
      <c r="AG805" t="s">
        <v>91</v>
      </c>
      <c r="AH805" t="s">
        <v>6700</v>
      </c>
      <c r="AI805">
        <v>23</v>
      </c>
      <c r="AJ805" t="s">
        <v>110</v>
      </c>
      <c r="AK805">
        <v>21</v>
      </c>
      <c r="AL805">
        <v>4</v>
      </c>
      <c r="AM805">
        <v>142</v>
      </c>
      <c r="AN805">
        <v>19</v>
      </c>
      <c r="AO805">
        <v>4</v>
      </c>
      <c r="AP805" t="s">
        <v>93</v>
      </c>
      <c r="AQ805" t="s">
        <v>89</v>
      </c>
      <c r="AR805" t="s">
        <v>89</v>
      </c>
      <c r="AS805" t="s">
        <v>93</v>
      </c>
      <c r="AT805" t="s">
        <v>89</v>
      </c>
      <c r="AU805" t="s">
        <v>89</v>
      </c>
      <c r="AV805" t="s">
        <v>89</v>
      </c>
      <c r="AW805">
        <v>13</v>
      </c>
      <c r="AX805">
        <v>11</v>
      </c>
      <c r="AY805" t="s">
        <v>93</v>
      </c>
      <c r="AZ805">
        <v>0</v>
      </c>
      <c r="BA805">
        <v>0</v>
      </c>
      <c r="BB805">
        <v>0</v>
      </c>
      <c r="BC805">
        <v>0</v>
      </c>
      <c r="BD805">
        <v>302</v>
      </c>
      <c r="BE805">
        <v>17967</v>
      </c>
      <c r="BF805">
        <v>52</v>
      </c>
      <c r="BG805" t="s">
        <v>89</v>
      </c>
      <c r="BH805">
        <v>302</v>
      </c>
      <c r="BI805">
        <v>17967</v>
      </c>
      <c r="BJ805">
        <v>52</v>
      </c>
      <c r="BK805">
        <f t="shared" si="110"/>
        <v>302</v>
      </c>
      <c r="BL805">
        <f t="shared" si="111"/>
        <v>17967</v>
      </c>
      <c r="BM805">
        <f t="shared" si="112"/>
        <v>52</v>
      </c>
      <c r="BN805">
        <f t="shared" si="113"/>
        <v>0</v>
      </c>
      <c r="BO805">
        <f t="shared" si="114"/>
        <v>0</v>
      </c>
      <c r="BP805">
        <f t="shared" si="115"/>
        <v>0</v>
      </c>
      <c r="BQ805" t="s">
        <v>106</v>
      </c>
      <c r="BR805" t="s">
        <v>112</v>
      </c>
      <c r="BS805" t="s">
        <v>89</v>
      </c>
      <c r="BT805">
        <v>35</v>
      </c>
      <c r="BU805" t="s">
        <v>89</v>
      </c>
      <c r="BV805" t="s">
        <v>89</v>
      </c>
      <c r="BW805">
        <v>14</v>
      </c>
      <c r="BX805">
        <v>1991</v>
      </c>
      <c r="BY805">
        <v>13</v>
      </c>
      <c r="BZ805">
        <f t="shared" si="116"/>
        <v>-1</v>
      </c>
      <c r="CA805">
        <f t="shared" si="117"/>
        <v>1</v>
      </c>
      <c r="CB805" t="b">
        <f t="shared" si="118"/>
        <v>0</v>
      </c>
    </row>
    <row r="806" spans="1:80" x14ac:dyDescent="0.3">
      <c r="A806" t="s">
        <v>6701</v>
      </c>
      <c r="B806" t="s">
        <v>1508</v>
      </c>
      <c r="C806" t="s">
        <v>6702</v>
      </c>
      <c r="D806">
        <v>33</v>
      </c>
      <c r="E806" s="1">
        <v>33597</v>
      </c>
      <c r="F806" t="s">
        <v>89</v>
      </c>
      <c r="G806" t="s">
        <v>97</v>
      </c>
      <c r="H806" t="s">
        <v>89</v>
      </c>
      <c r="I806" t="s">
        <v>437</v>
      </c>
      <c r="J806" t="s">
        <v>78</v>
      </c>
      <c r="K806" t="s">
        <v>89</v>
      </c>
      <c r="L806" t="s">
        <v>278</v>
      </c>
      <c r="M806">
        <v>19</v>
      </c>
      <c r="N806" t="s">
        <v>416</v>
      </c>
      <c r="O806">
        <v>2011</v>
      </c>
      <c r="P806" t="s">
        <v>6703</v>
      </c>
      <c r="Q806" t="s">
        <v>6704</v>
      </c>
      <c r="R806">
        <v>171165</v>
      </c>
      <c r="S806" t="s">
        <v>6701</v>
      </c>
      <c r="T806" t="s">
        <v>6705</v>
      </c>
      <c r="U806">
        <v>1991</v>
      </c>
      <c r="V806" t="s">
        <v>3472</v>
      </c>
      <c r="W806">
        <v>1.76</v>
      </c>
      <c r="X806" t="s">
        <v>1515</v>
      </c>
      <c r="Y806" t="s">
        <v>123</v>
      </c>
      <c r="Z806" t="s">
        <v>87</v>
      </c>
      <c r="AA806" t="s">
        <v>476</v>
      </c>
      <c r="AB806" t="s">
        <v>6706</v>
      </c>
      <c r="AC806" t="s">
        <v>108</v>
      </c>
      <c r="AD806" t="s">
        <v>89</v>
      </c>
      <c r="AE806" t="s">
        <v>6707</v>
      </c>
      <c r="AF806">
        <v>19</v>
      </c>
      <c r="AG806" t="s">
        <v>91</v>
      </c>
      <c r="AH806">
        <v>40948</v>
      </c>
      <c r="AI806">
        <v>20</v>
      </c>
      <c r="AJ806" t="s">
        <v>110</v>
      </c>
      <c r="AK806">
        <v>19</v>
      </c>
      <c r="AL806">
        <v>3</v>
      </c>
      <c r="AM806">
        <v>451</v>
      </c>
      <c r="AN806">
        <v>54</v>
      </c>
      <c r="AO806">
        <v>3</v>
      </c>
      <c r="AP806" t="s">
        <v>93</v>
      </c>
      <c r="AQ806" t="s">
        <v>89</v>
      </c>
      <c r="AR806" t="s">
        <v>89</v>
      </c>
      <c r="AS806" t="s">
        <v>93</v>
      </c>
      <c r="AT806" t="s">
        <v>89</v>
      </c>
      <c r="AU806" t="s">
        <v>89</v>
      </c>
      <c r="AV806" t="s">
        <v>89</v>
      </c>
      <c r="AW806">
        <v>14</v>
      </c>
      <c r="AX806" t="s">
        <v>89</v>
      </c>
      <c r="AY806" t="s">
        <v>93</v>
      </c>
      <c r="AZ806">
        <v>0</v>
      </c>
      <c r="BA806">
        <v>0</v>
      </c>
      <c r="BB806">
        <v>0</v>
      </c>
      <c r="BC806">
        <v>0</v>
      </c>
      <c r="BD806">
        <v>181</v>
      </c>
      <c r="BE806">
        <v>10165</v>
      </c>
      <c r="BF806">
        <v>30</v>
      </c>
      <c r="BG806" t="s">
        <v>89</v>
      </c>
      <c r="BH806">
        <v>181</v>
      </c>
      <c r="BI806">
        <v>10165</v>
      </c>
      <c r="BJ806">
        <v>30</v>
      </c>
      <c r="BK806">
        <f t="shared" si="110"/>
        <v>181</v>
      </c>
      <c r="BL806">
        <f t="shared" si="111"/>
        <v>10165</v>
      </c>
      <c r="BM806">
        <f t="shared" si="112"/>
        <v>30</v>
      </c>
      <c r="BN806">
        <f t="shared" si="113"/>
        <v>0</v>
      </c>
      <c r="BO806">
        <f t="shared" si="114"/>
        <v>0</v>
      </c>
      <c r="BP806">
        <f t="shared" si="115"/>
        <v>0</v>
      </c>
      <c r="BQ806" t="s">
        <v>123</v>
      </c>
      <c r="BR806" t="s">
        <v>112</v>
      </c>
      <c r="BS806" s="1">
        <v>33597</v>
      </c>
      <c r="BT806">
        <v>34</v>
      </c>
      <c r="BU806" t="s">
        <v>89</v>
      </c>
      <c r="BV806" t="s">
        <v>89</v>
      </c>
      <c r="BW806">
        <v>15</v>
      </c>
      <c r="BX806">
        <v>1991</v>
      </c>
      <c r="BY806">
        <v>14</v>
      </c>
      <c r="BZ806">
        <f t="shared" si="116"/>
        <v>-1</v>
      </c>
      <c r="CA806">
        <f t="shared" si="117"/>
        <v>1</v>
      </c>
      <c r="CB806" t="b">
        <f t="shared" si="118"/>
        <v>0</v>
      </c>
    </row>
    <row r="807" spans="1:80" x14ac:dyDescent="0.3">
      <c r="A807" t="s">
        <v>6708</v>
      </c>
      <c r="B807" t="s">
        <v>71</v>
      </c>
      <c r="C807" t="s">
        <v>6709</v>
      </c>
      <c r="D807">
        <v>43</v>
      </c>
      <c r="E807">
        <v>29941</v>
      </c>
      <c r="F807" t="s">
        <v>89</v>
      </c>
      <c r="G807" t="s">
        <v>211</v>
      </c>
      <c r="H807" t="s">
        <v>89</v>
      </c>
      <c r="I807" t="s">
        <v>322</v>
      </c>
      <c r="J807" t="s">
        <v>300</v>
      </c>
      <c r="K807" t="s">
        <v>89</v>
      </c>
      <c r="L807" t="s">
        <v>117</v>
      </c>
      <c r="M807">
        <v>23</v>
      </c>
      <c r="N807" t="s">
        <v>2837</v>
      </c>
      <c r="O807">
        <v>2005</v>
      </c>
      <c r="P807" t="s">
        <v>6710</v>
      </c>
      <c r="Q807" t="s">
        <v>6711</v>
      </c>
      <c r="R807">
        <v>51547</v>
      </c>
      <c r="S807" t="s">
        <v>6708</v>
      </c>
      <c r="T807" t="s">
        <v>6712</v>
      </c>
      <c r="U807">
        <v>1981</v>
      </c>
      <c r="V807" t="s">
        <v>6713</v>
      </c>
      <c r="W807">
        <v>1.75</v>
      </c>
      <c r="X807" t="s">
        <v>76</v>
      </c>
      <c r="Y807" t="s">
        <v>203</v>
      </c>
      <c r="Z807" t="s">
        <v>152</v>
      </c>
      <c r="AA807" t="s">
        <v>888</v>
      </c>
      <c r="AB807">
        <v>43107</v>
      </c>
      <c r="AC807" t="s">
        <v>108</v>
      </c>
      <c r="AD807" t="s">
        <v>89</v>
      </c>
      <c r="AE807" t="s">
        <v>449</v>
      </c>
      <c r="AF807">
        <v>25</v>
      </c>
      <c r="AG807" t="s">
        <v>91</v>
      </c>
      <c r="AH807" t="s">
        <v>354</v>
      </c>
      <c r="AI807">
        <v>23</v>
      </c>
      <c r="AJ807" t="s">
        <v>110</v>
      </c>
      <c r="AK807">
        <v>23</v>
      </c>
      <c r="AL807">
        <v>5</v>
      </c>
      <c r="AM807">
        <v>138</v>
      </c>
      <c r="AN807">
        <v>24</v>
      </c>
      <c r="AO807">
        <v>3</v>
      </c>
      <c r="AP807" t="s">
        <v>93</v>
      </c>
      <c r="AQ807" t="s">
        <v>89</v>
      </c>
      <c r="AR807" t="s">
        <v>89</v>
      </c>
      <c r="AS807" t="s">
        <v>111</v>
      </c>
      <c r="AT807">
        <v>43107</v>
      </c>
      <c r="AU807">
        <v>2018</v>
      </c>
      <c r="AV807">
        <v>13</v>
      </c>
      <c r="AW807">
        <v>13</v>
      </c>
      <c r="AX807" t="s">
        <v>89</v>
      </c>
      <c r="AY807" t="s">
        <v>93</v>
      </c>
      <c r="AZ807">
        <v>0</v>
      </c>
      <c r="BA807">
        <v>0</v>
      </c>
      <c r="BB807">
        <v>0</v>
      </c>
      <c r="BC807">
        <v>0</v>
      </c>
      <c r="BD807">
        <v>266</v>
      </c>
      <c r="BE807">
        <v>22583</v>
      </c>
      <c r="BF807">
        <v>9</v>
      </c>
      <c r="BG807">
        <v>37</v>
      </c>
      <c r="BH807">
        <v>266</v>
      </c>
      <c r="BI807">
        <v>22583</v>
      </c>
      <c r="BJ807">
        <v>9</v>
      </c>
      <c r="BK807">
        <f t="shared" si="110"/>
        <v>266</v>
      </c>
      <c r="BL807">
        <f t="shared" si="111"/>
        <v>22583</v>
      </c>
      <c r="BM807">
        <f t="shared" si="112"/>
        <v>9</v>
      </c>
      <c r="BN807">
        <f t="shared" si="113"/>
        <v>0</v>
      </c>
      <c r="BO807">
        <f t="shared" si="114"/>
        <v>0</v>
      </c>
      <c r="BP807">
        <f t="shared" si="115"/>
        <v>0</v>
      </c>
      <c r="BQ807" t="s">
        <v>203</v>
      </c>
      <c r="BR807" t="s">
        <v>140</v>
      </c>
      <c r="BS807" t="s">
        <v>89</v>
      </c>
      <c r="BT807">
        <v>45</v>
      </c>
      <c r="BU807">
        <v>43107</v>
      </c>
      <c r="BV807" t="s">
        <v>89</v>
      </c>
      <c r="BW807">
        <v>14</v>
      </c>
      <c r="BX807">
        <v>1981</v>
      </c>
      <c r="BY807">
        <v>14</v>
      </c>
      <c r="BZ807">
        <f t="shared" si="116"/>
        <v>-1</v>
      </c>
      <c r="CA807">
        <f t="shared" si="117"/>
        <v>0</v>
      </c>
      <c r="CB807" t="b">
        <f t="shared" si="118"/>
        <v>0</v>
      </c>
    </row>
    <row r="808" spans="1:80" x14ac:dyDescent="0.3">
      <c r="A808" t="s">
        <v>6714</v>
      </c>
      <c r="B808" t="s">
        <v>71</v>
      </c>
      <c r="C808" t="s">
        <v>6715</v>
      </c>
      <c r="D808">
        <v>44</v>
      </c>
      <c r="E808" s="1">
        <v>29620</v>
      </c>
      <c r="F808" t="s">
        <v>89</v>
      </c>
      <c r="G808" t="s">
        <v>298</v>
      </c>
      <c r="H808" t="s">
        <v>89</v>
      </c>
      <c r="I808" t="s">
        <v>348</v>
      </c>
      <c r="J808" t="s">
        <v>89</v>
      </c>
      <c r="K808" t="s">
        <v>89</v>
      </c>
      <c r="L808" t="s">
        <v>145</v>
      </c>
      <c r="M808">
        <v>23</v>
      </c>
      <c r="N808" t="s">
        <v>527</v>
      </c>
      <c r="O808">
        <v>2004</v>
      </c>
      <c r="P808" t="s">
        <v>6716</v>
      </c>
      <c r="Q808" t="s">
        <v>6717</v>
      </c>
      <c r="R808">
        <v>44037</v>
      </c>
      <c r="S808" t="s">
        <v>6714</v>
      </c>
      <c r="T808" s="1">
        <v>29647</v>
      </c>
      <c r="U808">
        <v>1981</v>
      </c>
      <c r="V808" t="s">
        <v>1047</v>
      </c>
      <c r="W808">
        <v>1.73</v>
      </c>
      <c r="X808" t="s">
        <v>76</v>
      </c>
      <c r="Y808" t="s">
        <v>136</v>
      </c>
      <c r="Z808" t="s">
        <v>87</v>
      </c>
      <c r="AA808" t="s">
        <v>1930</v>
      </c>
      <c r="AB808" s="1">
        <v>42011</v>
      </c>
      <c r="AC808" t="s">
        <v>108</v>
      </c>
      <c r="AD808" t="s">
        <v>89</v>
      </c>
      <c r="AE808" t="s">
        <v>6718</v>
      </c>
      <c r="AF808">
        <v>25</v>
      </c>
      <c r="AG808" t="s">
        <v>91</v>
      </c>
      <c r="AH808" s="1">
        <v>37721</v>
      </c>
      <c r="AI808">
        <v>22</v>
      </c>
      <c r="AJ808" t="s">
        <v>110</v>
      </c>
      <c r="AK808">
        <v>22</v>
      </c>
      <c r="AL808">
        <v>2</v>
      </c>
      <c r="AM808">
        <v>87</v>
      </c>
      <c r="AN808">
        <v>14</v>
      </c>
      <c r="AO808">
        <v>2</v>
      </c>
      <c r="AP808" t="s">
        <v>93</v>
      </c>
      <c r="AQ808" t="s">
        <v>89</v>
      </c>
      <c r="AR808" t="s">
        <v>89</v>
      </c>
      <c r="AS808" t="s">
        <v>111</v>
      </c>
      <c r="AT808" s="1">
        <v>42011</v>
      </c>
      <c r="AU808">
        <v>2015</v>
      </c>
      <c r="AV808">
        <v>11</v>
      </c>
      <c r="AW808">
        <v>11</v>
      </c>
      <c r="AX808" t="s">
        <v>89</v>
      </c>
      <c r="AY808" t="s">
        <v>93</v>
      </c>
      <c r="AZ808">
        <v>0</v>
      </c>
      <c r="BA808">
        <v>0</v>
      </c>
      <c r="BB808">
        <v>0</v>
      </c>
      <c r="BC808">
        <v>0</v>
      </c>
      <c r="BD808">
        <v>148</v>
      </c>
      <c r="BE808">
        <v>11838</v>
      </c>
      <c r="BF808">
        <v>0</v>
      </c>
      <c r="BG808">
        <v>34</v>
      </c>
      <c r="BH808">
        <v>148</v>
      </c>
      <c r="BI808">
        <v>11838</v>
      </c>
      <c r="BJ808">
        <v>0</v>
      </c>
      <c r="BK808">
        <f t="shared" si="110"/>
        <v>148</v>
      </c>
      <c r="BL808">
        <f t="shared" si="111"/>
        <v>11838</v>
      </c>
      <c r="BM808">
        <f t="shared" si="112"/>
        <v>0</v>
      </c>
      <c r="BN808">
        <f t="shared" si="113"/>
        <v>0</v>
      </c>
      <c r="BO808">
        <f t="shared" si="114"/>
        <v>0</v>
      </c>
      <c r="BP808">
        <f t="shared" si="115"/>
        <v>0</v>
      </c>
      <c r="BQ808" t="s">
        <v>136</v>
      </c>
      <c r="BR808" t="s">
        <v>140</v>
      </c>
      <c r="BS808" s="1">
        <v>29620</v>
      </c>
      <c r="BT808">
        <v>45</v>
      </c>
      <c r="BU808" s="1">
        <v>42011</v>
      </c>
      <c r="BV808" s="1">
        <v>42186</v>
      </c>
      <c r="BW808">
        <v>12</v>
      </c>
      <c r="BX808">
        <v>1981</v>
      </c>
      <c r="BY808">
        <v>12</v>
      </c>
      <c r="BZ808">
        <f t="shared" si="116"/>
        <v>-1</v>
      </c>
      <c r="CA808">
        <f t="shared" si="117"/>
        <v>0</v>
      </c>
      <c r="CB808" t="b">
        <f t="shared" si="118"/>
        <v>0</v>
      </c>
    </row>
    <row r="809" spans="1:80" x14ac:dyDescent="0.3">
      <c r="A809" t="s">
        <v>6719</v>
      </c>
      <c r="B809" t="s">
        <v>71</v>
      </c>
      <c r="C809" t="s">
        <v>6720</v>
      </c>
      <c r="D809">
        <v>40</v>
      </c>
      <c r="E809" s="1">
        <v>31138</v>
      </c>
      <c r="F809" t="s">
        <v>89</v>
      </c>
      <c r="G809" t="s">
        <v>226</v>
      </c>
      <c r="H809" t="s">
        <v>89</v>
      </c>
      <c r="I809" t="s">
        <v>178</v>
      </c>
      <c r="J809" t="s">
        <v>78</v>
      </c>
      <c r="K809" t="s">
        <v>89</v>
      </c>
      <c r="L809" t="s">
        <v>145</v>
      </c>
      <c r="M809">
        <v>19</v>
      </c>
      <c r="N809" t="s">
        <v>629</v>
      </c>
      <c r="O809">
        <v>2004</v>
      </c>
      <c r="P809" t="s">
        <v>6721</v>
      </c>
      <c r="Q809" t="s">
        <v>6722</v>
      </c>
      <c r="R809">
        <v>29051</v>
      </c>
      <c r="S809" t="s">
        <v>6719</v>
      </c>
      <c r="T809" s="1">
        <v>31051</v>
      </c>
      <c r="U809">
        <v>1985</v>
      </c>
      <c r="V809" t="s">
        <v>6723</v>
      </c>
      <c r="W809">
        <v>1.86</v>
      </c>
      <c r="X809" t="s">
        <v>76</v>
      </c>
      <c r="Y809" t="s">
        <v>186</v>
      </c>
      <c r="Z809" t="s">
        <v>87</v>
      </c>
      <c r="AA809" t="s">
        <v>476</v>
      </c>
      <c r="AB809" t="s">
        <v>3564</v>
      </c>
      <c r="AC809" t="s">
        <v>108</v>
      </c>
      <c r="AD809" t="s">
        <v>89</v>
      </c>
      <c r="AE809" s="1">
        <v>38840</v>
      </c>
      <c r="AF809">
        <v>20</v>
      </c>
      <c r="AG809" t="s">
        <v>91</v>
      </c>
      <c r="AH809" t="s">
        <v>6724</v>
      </c>
      <c r="AI809">
        <v>20</v>
      </c>
      <c r="AJ809" t="s">
        <v>110</v>
      </c>
      <c r="AK809">
        <v>20</v>
      </c>
      <c r="AL809">
        <v>1</v>
      </c>
      <c r="AM809">
        <v>110</v>
      </c>
      <c r="AN809">
        <v>18</v>
      </c>
      <c r="AO809">
        <v>1</v>
      </c>
      <c r="AP809" t="s">
        <v>93</v>
      </c>
      <c r="AQ809" t="s">
        <v>89</v>
      </c>
      <c r="AR809" t="s">
        <v>89</v>
      </c>
      <c r="AS809" t="s">
        <v>93</v>
      </c>
      <c r="AT809" t="s">
        <v>89</v>
      </c>
      <c r="AU809" t="s">
        <v>89</v>
      </c>
      <c r="AV809" t="s">
        <v>89</v>
      </c>
      <c r="AW809">
        <v>21</v>
      </c>
      <c r="AX809" t="s">
        <v>89</v>
      </c>
      <c r="AY809" t="s">
        <v>93</v>
      </c>
      <c r="AZ809">
        <v>0</v>
      </c>
      <c r="BA809">
        <v>0</v>
      </c>
      <c r="BB809">
        <v>0</v>
      </c>
      <c r="BC809">
        <v>0</v>
      </c>
      <c r="BD809">
        <v>323</v>
      </c>
      <c r="BE809">
        <v>28997</v>
      </c>
      <c r="BF809">
        <v>0</v>
      </c>
      <c r="BG809" t="s">
        <v>89</v>
      </c>
      <c r="BH809">
        <v>323</v>
      </c>
      <c r="BI809">
        <v>28997</v>
      </c>
      <c r="BJ809">
        <v>0</v>
      </c>
      <c r="BK809">
        <f t="shared" si="110"/>
        <v>323</v>
      </c>
      <c r="BL809">
        <f t="shared" si="111"/>
        <v>28997</v>
      </c>
      <c r="BM809">
        <f t="shared" si="112"/>
        <v>0</v>
      </c>
      <c r="BN809">
        <f t="shared" si="113"/>
        <v>0</v>
      </c>
      <c r="BO809">
        <f t="shared" si="114"/>
        <v>0</v>
      </c>
      <c r="BP809">
        <f t="shared" si="115"/>
        <v>0</v>
      </c>
      <c r="BQ809" t="s">
        <v>186</v>
      </c>
      <c r="BR809" t="s">
        <v>186</v>
      </c>
      <c r="BS809" s="1">
        <v>31138</v>
      </c>
      <c r="BT809">
        <v>40</v>
      </c>
      <c r="BU809" t="s">
        <v>89</v>
      </c>
      <c r="BV809" t="s">
        <v>89</v>
      </c>
      <c r="BW809">
        <v>20</v>
      </c>
      <c r="BX809">
        <v>1985</v>
      </c>
      <c r="BY809">
        <v>20</v>
      </c>
      <c r="BZ809">
        <f t="shared" si="116"/>
        <v>1</v>
      </c>
      <c r="CA809">
        <f t="shared" si="117"/>
        <v>0</v>
      </c>
      <c r="CB809" t="b">
        <f t="shared" si="118"/>
        <v>0</v>
      </c>
    </row>
    <row r="810" spans="1:80" x14ac:dyDescent="0.3">
      <c r="A810" t="s">
        <v>6725</v>
      </c>
      <c r="B810" t="s">
        <v>71</v>
      </c>
      <c r="C810" t="s">
        <v>6726</v>
      </c>
      <c r="D810">
        <v>39</v>
      </c>
      <c r="E810" s="1">
        <v>31541</v>
      </c>
      <c r="F810" t="s">
        <v>89</v>
      </c>
      <c r="G810" t="s">
        <v>400</v>
      </c>
      <c r="H810" t="s">
        <v>76</v>
      </c>
      <c r="I810" t="s">
        <v>178</v>
      </c>
      <c r="J810" t="s">
        <v>89</v>
      </c>
      <c r="K810" t="s">
        <v>89</v>
      </c>
      <c r="L810" t="s">
        <v>117</v>
      </c>
      <c r="M810">
        <v>19</v>
      </c>
      <c r="N810" t="s">
        <v>279</v>
      </c>
      <c r="O810">
        <v>2005</v>
      </c>
      <c r="P810" t="s">
        <v>6727</v>
      </c>
      <c r="Q810" t="s">
        <v>6728</v>
      </c>
      <c r="R810">
        <v>53293</v>
      </c>
      <c r="S810" t="s">
        <v>6729</v>
      </c>
      <c r="T810" t="s">
        <v>6730</v>
      </c>
      <c r="U810">
        <v>1986</v>
      </c>
      <c r="V810" t="s">
        <v>315</v>
      </c>
      <c r="W810">
        <v>1.85</v>
      </c>
      <c r="X810" t="s">
        <v>76</v>
      </c>
      <c r="Y810" t="s">
        <v>186</v>
      </c>
      <c r="Z810" t="s">
        <v>89</v>
      </c>
      <c r="AA810" t="s">
        <v>305</v>
      </c>
      <c r="AB810" s="1">
        <v>42742</v>
      </c>
      <c r="AC810" t="s">
        <v>108</v>
      </c>
      <c r="AD810" t="s">
        <v>89</v>
      </c>
      <c r="AE810" t="s">
        <v>6731</v>
      </c>
      <c r="AF810">
        <v>23</v>
      </c>
      <c r="AG810" t="s">
        <v>91</v>
      </c>
      <c r="AH810" t="s">
        <v>6521</v>
      </c>
      <c r="AI810">
        <v>19</v>
      </c>
      <c r="AJ810" t="s">
        <v>110</v>
      </c>
      <c r="AK810">
        <v>19</v>
      </c>
      <c r="AL810">
        <v>1</v>
      </c>
      <c r="AM810">
        <v>22</v>
      </c>
      <c r="AN810">
        <v>2</v>
      </c>
      <c r="AO810">
        <v>1</v>
      </c>
      <c r="AP810" t="s">
        <v>93</v>
      </c>
      <c r="AQ810" t="s">
        <v>89</v>
      </c>
      <c r="AR810" t="s">
        <v>89</v>
      </c>
      <c r="AS810" t="s">
        <v>111</v>
      </c>
      <c r="AT810">
        <v>42742</v>
      </c>
      <c r="AU810">
        <v>2017</v>
      </c>
      <c r="AV810">
        <v>12</v>
      </c>
      <c r="AW810">
        <v>12</v>
      </c>
      <c r="AX810" t="s">
        <v>89</v>
      </c>
      <c r="AY810" t="s">
        <v>93</v>
      </c>
      <c r="AZ810">
        <v>0</v>
      </c>
      <c r="BA810">
        <v>0</v>
      </c>
      <c r="BB810">
        <v>0</v>
      </c>
      <c r="BC810">
        <v>0</v>
      </c>
      <c r="BD810">
        <v>144</v>
      </c>
      <c r="BE810">
        <v>12911</v>
      </c>
      <c r="BF810">
        <v>0</v>
      </c>
      <c r="BG810">
        <v>31</v>
      </c>
      <c r="BH810">
        <v>144</v>
      </c>
      <c r="BI810">
        <v>12911</v>
      </c>
      <c r="BJ810">
        <v>0</v>
      </c>
      <c r="BK810">
        <f t="shared" si="110"/>
        <v>144</v>
      </c>
      <c r="BL810">
        <f t="shared" si="111"/>
        <v>12911</v>
      </c>
      <c r="BM810">
        <f t="shared" si="112"/>
        <v>0</v>
      </c>
      <c r="BN810">
        <f t="shared" si="113"/>
        <v>0</v>
      </c>
      <c r="BO810">
        <f t="shared" si="114"/>
        <v>0</v>
      </c>
      <c r="BP810">
        <f t="shared" si="115"/>
        <v>0</v>
      </c>
      <c r="BQ810" t="s">
        <v>186</v>
      </c>
      <c r="BR810" t="s">
        <v>186</v>
      </c>
      <c r="BS810" t="s">
        <v>89</v>
      </c>
      <c r="BT810">
        <v>40</v>
      </c>
      <c r="BU810">
        <v>42742</v>
      </c>
      <c r="BV810" t="s">
        <v>89</v>
      </c>
      <c r="BW810">
        <v>12</v>
      </c>
      <c r="BX810">
        <v>1986</v>
      </c>
      <c r="BY810">
        <v>12</v>
      </c>
      <c r="BZ810">
        <f t="shared" si="116"/>
        <v>0</v>
      </c>
      <c r="CA810">
        <f t="shared" si="117"/>
        <v>0</v>
      </c>
      <c r="CB810" t="b">
        <f t="shared" si="118"/>
        <v>1</v>
      </c>
    </row>
    <row r="811" spans="1:80" x14ac:dyDescent="0.3">
      <c r="A811" t="s">
        <v>6732</v>
      </c>
      <c r="B811" t="s">
        <v>71</v>
      </c>
      <c r="C811" t="s">
        <v>6733</v>
      </c>
      <c r="D811">
        <v>41</v>
      </c>
      <c r="E811" s="1">
        <v>30737</v>
      </c>
      <c r="F811" t="s">
        <v>89</v>
      </c>
      <c r="G811" t="s">
        <v>193</v>
      </c>
      <c r="H811" t="s">
        <v>76</v>
      </c>
      <c r="I811" t="s">
        <v>437</v>
      </c>
      <c r="J811" t="s">
        <v>78</v>
      </c>
      <c r="K811" t="s">
        <v>89</v>
      </c>
      <c r="L811" t="s">
        <v>657</v>
      </c>
      <c r="M811">
        <v>19</v>
      </c>
      <c r="N811" t="s">
        <v>2278</v>
      </c>
      <c r="O811">
        <v>2003</v>
      </c>
      <c r="P811" t="s">
        <v>6734</v>
      </c>
      <c r="Q811" t="s">
        <v>6735</v>
      </c>
      <c r="R811">
        <v>37399</v>
      </c>
      <c r="S811" t="s">
        <v>6732</v>
      </c>
      <c r="T811" t="s">
        <v>6736</v>
      </c>
      <c r="U811">
        <v>1984</v>
      </c>
      <c r="V811" t="s">
        <v>3906</v>
      </c>
      <c r="W811">
        <v>1.85</v>
      </c>
      <c r="X811" t="s">
        <v>76</v>
      </c>
      <c r="Y811" t="s">
        <v>123</v>
      </c>
      <c r="Z811" t="s">
        <v>87</v>
      </c>
      <c r="AA811" t="s">
        <v>924</v>
      </c>
      <c r="AB811" s="1">
        <v>43472</v>
      </c>
      <c r="AC811" t="s">
        <v>108</v>
      </c>
      <c r="AD811" t="s">
        <v>89</v>
      </c>
      <c r="AE811" t="s">
        <v>485</v>
      </c>
      <c r="AF811">
        <v>21</v>
      </c>
      <c r="AG811" t="s">
        <v>91</v>
      </c>
      <c r="AH811">
        <v>38292</v>
      </c>
      <c r="AI811">
        <v>19</v>
      </c>
      <c r="AJ811" t="s">
        <v>110</v>
      </c>
      <c r="AK811">
        <v>19</v>
      </c>
      <c r="AL811">
        <v>8</v>
      </c>
      <c r="AM811">
        <v>193</v>
      </c>
      <c r="AN811">
        <v>26</v>
      </c>
      <c r="AO811">
        <v>5</v>
      </c>
      <c r="AP811" t="s">
        <v>93</v>
      </c>
      <c r="AQ811" t="s">
        <v>89</v>
      </c>
      <c r="AR811" t="s">
        <v>89</v>
      </c>
      <c r="AS811" t="s">
        <v>111</v>
      </c>
      <c r="AT811" s="1">
        <v>43472</v>
      </c>
      <c r="AU811">
        <v>2019</v>
      </c>
      <c r="AV811">
        <v>16</v>
      </c>
      <c r="AW811">
        <v>16</v>
      </c>
      <c r="AX811" t="s">
        <v>89</v>
      </c>
      <c r="AY811" t="s">
        <v>93</v>
      </c>
      <c r="AZ811">
        <v>0</v>
      </c>
      <c r="BA811">
        <v>0</v>
      </c>
      <c r="BB811">
        <v>0</v>
      </c>
      <c r="BC811">
        <v>0</v>
      </c>
      <c r="BD811">
        <v>423</v>
      </c>
      <c r="BE811">
        <v>25839</v>
      </c>
      <c r="BF811">
        <v>82</v>
      </c>
      <c r="BG811">
        <v>35</v>
      </c>
      <c r="BH811">
        <v>423</v>
      </c>
      <c r="BI811">
        <v>25839</v>
      </c>
      <c r="BJ811">
        <v>82</v>
      </c>
      <c r="BK811">
        <f t="shared" si="110"/>
        <v>423</v>
      </c>
      <c r="BL811">
        <f t="shared" si="111"/>
        <v>25839</v>
      </c>
      <c r="BM811">
        <f t="shared" si="112"/>
        <v>82</v>
      </c>
      <c r="BN811">
        <f t="shared" si="113"/>
        <v>0</v>
      </c>
      <c r="BO811">
        <f t="shared" si="114"/>
        <v>0</v>
      </c>
      <c r="BP811">
        <f t="shared" si="115"/>
        <v>0</v>
      </c>
      <c r="BQ811" t="s">
        <v>123</v>
      </c>
      <c r="BR811" t="s">
        <v>112</v>
      </c>
      <c r="BS811" s="1">
        <v>30737</v>
      </c>
      <c r="BT811">
        <v>41</v>
      </c>
      <c r="BU811" s="1">
        <v>43472</v>
      </c>
      <c r="BV811" s="1">
        <v>43647</v>
      </c>
      <c r="BW811">
        <v>16</v>
      </c>
      <c r="BX811">
        <v>1984</v>
      </c>
      <c r="BY811">
        <v>16</v>
      </c>
      <c r="BZ811">
        <f t="shared" si="116"/>
        <v>0</v>
      </c>
      <c r="CA811">
        <f t="shared" si="117"/>
        <v>0</v>
      </c>
      <c r="CB811" t="b">
        <f t="shared" si="118"/>
        <v>1</v>
      </c>
    </row>
    <row r="812" spans="1:80" x14ac:dyDescent="0.3">
      <c r="A812" t="s">
        <v>6737</v>
      </c>
      <c r="B812" t="s">
        <v>71</v>
      </c>
      <c r="C812" t="s">
        <v>6738</v>
      </c>
      <c r="D812">
        <v>43</v>
      </c>
      <c r="E812">
        <v>29858</v>
      </c>
      <c r="F812" t="s">
        <v>89</v>
      </c>
      <c r="G812" t="s">
        <v>400</v>
      </c>
      <c r="H812" t="s">
        <v>89</v>
      </c>
      <c r="I812" t="s">
        <v>178</v>
      </c>
      <c r="J812" t="s">
        <v>78</v>
      </c>
      <c r="K812" t="s">
        <v>89</v>
      </c>
      <c r="L812" t="s">
        <v>180</v>
      </c>
      <c r="M812">
        <v>25</v>
      </c>
      <c r="N812" t="s">
        <v>1181</v>
      </c>
      <c r="O812">
        <v>2007</v>
      </c>
      <c r="P812" t="s">
        <v>6739</v>
      </c>
      <c r="Q812" t="s">
        <v>6740</v>
      </c>
      <c r="R812">
        <v>59343</v>
      </c>
      <c r="S812" t="s">
        <v>6737</v>
      </c>
      <c r="T812" t="s">
        <v>6741</v>
      </c>
      <c r="U812">
        <v>1981</v>
      </c>
      <c r="V812" t="s">
        <v>122</v>
      </c>
      <c r="W812">
        <v>1.82</v>
      </c>
      <c r="X812" t="s">
        <v>76</v>
      </c>
      <c r="Y812" t="s">
        <v>186</v>
      </c>
      <c r="Z812" t="s">
        <v>87</v>
      </c>
      <c r="AA812" t="s">
        <v>476</v>
      </c>
      <c r="AB812" s="1">
        <v>45298</v>
      </c>
      <c r="AC812" t="s">
        <v>108</v>
      </c>
      <c r="AD812" t="s">
        <v>89</v>
      </c>
      <c r="AE812" t="s">
        <v>125</v>
      </c>
      <c r="AF812">
        <v>31</v>
      </c>
      <c r="AG812" t="s">
        <v>91</v>
      </c>
      <c r="AH812" t="s">
        <v>911</v>
      </c>
      <c r="AI812">
        <v>26</v>
      </c>
      <c r="AJ812" t="s">
        <v>110</v>
      </c>
      <c r="AK812">
        <v>26</v>
      </c>
      <c r="AL812">
        <v>3</v>
      </c>
      <c r="AM812">
        <v>161</v>
      </c>
      <c r="AN812">
        <v>22</v>
      </c>
      <c r="AO812">
        <v>3</v>
      </c>
      <c r="AP812" t="s">
        <v>93</v>
      </c>
      <c r="AQ812" t="s">
        <v>89</v>
      </c>
      <c r="AR812" t="s">
        <v>89</v>
      </c>
      <c r="AS812" t="s">
        <v>93</v>
      </c>
      <c r="AT812" t="s">
        <v>89</v>
      </c>
      <c r="AU812" t="s">
        <v>89</v>
      </c>
      <c r="AV812" t="s">
        <v>89</v>
      </c>
      <c r="AW812">
        <v>18</v>
      </c>
      <c r="AX812" t="s">
        <v>89</v>
      </c>
      <c r="AY812" t="s">
        <v>93</v>
      </c>
      <c r="AZ812">
        <v>0</v>
      </c>
      <c r="BA812">
        <v>0</v>
      </c>
      <c r="BB812">
        <v>0</v>
      </c>
      <c r="BC812">
        <v>0</v>
      </c>
      <c r="BD812">
        <v>212</v>
      </c>
      <c r="BE812">
        <v>18824</v>
      </c>
      <c r="BF812">
        <v>0</v>
      </c>
      <c r="BG812" t="s">
        <v>89</v>
      </c>
      <c r="BH812">
        <v>212</v>
      </c>
      <c r="BI812">
        <v>18824</v>
      </c>
      <c r="BJ812">
        <v>0</v>
      </c>
      <c r="BK812">
        <f t="shared" si="110"/>
        <v>212</v>
      </c>
      <c r="BL812">
        <f t="shared" si="111"/>
        <v>18824</v>
      </c>
      <c r="BM812">
        <f t="shared" si="112"/>
        <v>0</v>
      </c>
      <c r="BN812">
        <f t="shared" si="113"/>
        <v>0</v>
      </c>
      <c r="BO812">
        <f t="shared" si="114"/>
        <v>0</v>
      </c>
      <c r="BP812">
        <f t="shared" si="115"/>
        <v>0</v>
      </c>
      <c r="BQ812" t="s">
        <v>186</v>
      </c>
      <c r="BR812" t="s">
        <v>186</v>
      </c>
      <c r="BS812" s="1">
        <v>29858</v>
      </c>
      <c r="BT812">
        <v>44</v>
      </c>
      <c r="BU812" t="s">
        <v>89</v>
      </c>
      <c r="BV812" t="s">
        <v>89</v>
      </c>
      <c r="BW812">
        <v>18</v>
      </c>
      <c r="BX812">
        <v>1981</v>
      </c>
      <c r="BY812">
        <v>17</v>
      </c>
      <c r="BZ812">
        <f t="shared" si="116"/>
        <v>0</v>
      </c>
      <c r="CA812">
        <f t="shared" si="117"/>
        <v>1</v>
      </c>
      <c r="CB812" t="b">
        <f t="shared" si="118"/>
        <v>1</v>
      </c>
    </row>
    <row r="813" spans="1:80" x14ac:dyDescent="0.3">
      <c r="A813" t="s">
        <v>6742</v>
      </c>
      <c r="B813" t="s">
        <v>71</v>
      </c>
      <c r="C813" t="s">
        <v>6743</v>
      </c>
      <c r="D813">
        <v>33</v>
      </c>
      <c r="E813" s="1">
        <v>33562</v>
      </c>
      <c r="F813" t="s">
        <v>89</v>
      </c>
      <c r="G813" t="s">
        <v>143</v>
      </c>
      <c r="H813" t="s">
        <v>89</v>
      </c>
      <c r="I813" t="s">
        <v>791</v>
      </c>
      <c r="J813" t="s">
        <v>89</v>
      </c>
      <c r="K813" t="s">
        <v>89</v>
      </c>
      <c r="L813" t="s">
        <v>228</v>
      </c>
      <c r="M813">
        <v>18</v>
      </c>
      <c r="N813" t="s">
        <v>146</v>
      </c>
      <c r="O813">
        <v>2010</v>
      </c>
      <c r="P813" t="s">
        <v>6744</v>
      </c>
      <c r="Q813" t="s">
        <v>6745</v>
      </c>
      <c r="R813">
        <v>160671</v>
      </c>
      <c r="S813" t="s">
        <v>6742</v>
      </c>
      <c r="T813" t="s">
        <v>6746</v>
      </c>
      <c r="U813">
        <v>1991</v>
      </c>
      <c r="V813" t="s">
        <v>969</v>
      </c>
      <c r="W813">
        <v>1.77</v>
      </c>
      <c r="X813" t="s">
        <v>76</v>
      </c>
      <c r="Y813" t="s">
        <v>86</v>
      </c>
      <c r="Z813" t="s">
        <v>87</v>
      </c>
      <c r="AA813" t="s">
        <v>539</v>
      </c>
      <c r="AB813" t="s">
        <v>797</v>
      </c>
      <c r="AC813" t="s">
        <v>170</v>
      </c>
      <c r="AD813" t="s">
        <v>89</v>
      </c>
      <c r="AE813" t="s">
        <v>237</v>
      </c>
      <c r="AF813">
        <v>18</v>
      </c>
      <c r="AG813" t="s">
        <v>91</v>
      </c>
      <c r="AH813" t="s">
        <v>306</v>
      </c>
      <c r="AI813">
        <v>19</v>
      </c>
      <c r="AJ813" t="s">
        <v>110</v>
      </c>
      <c r="AK813">
        <v>18</v>
      </c>
      <c r="AL813">
        <v>1</v>
      </c>
      <c r="AM813">
        <v>62</v>
      </c>
      <c r="AN813">
        <v>4</v>
      </c>
      <c r="AO813">
        <v>1</v>
      </c>
      <c r="AP813" t="s">
        <v>93</v>
      </c>
      <c r="AQ813" t="s">
        <v>89</v>
      </c>
      <c r="AR813" t="s">
        <v>89</v>
      </c>
      <c r="AS813" t="s">
        <v>93</v>
      </c>
      <c r="AT813" t="s">
        <v>89</v>
      </c>
      <c r="AU813" t="s">
        <v>89</v>
      </c>
      <c r="AV813" t="s">
        <v>89</v>
      </c>
      <c r="AW813">
        <v>15</v>
      </c>
      <c r="AX813">
        <v>12</v>
      </c>
      <c r="AY813" t="s">
        <v>93</v>
      </c>
      <c r="AZ813">
        <v>0</v>
      </c>
      <c r="BA813">
        <v>0</v>
      </c>
      <c r="BB813">
        <v>0</v>
      </c>
      <c r="BC813">
        <v>0</v>
      </c>
      <c r="BD813">
        <v>170</v>
      </c>
      <c r="BE813">
        <v>10097</v>
      </c>
      <c r="BF813">
        <v>5</v>
      </c>
      <c r="BG813" t="s">
        <v>89</v>
      </c>
      <c r="BH813">
        <v>170</v>
      </c>
      <c r="BI813">
        <v>10097</v>
      </c>
      <c r="BJ813">
        <v>5</v>
      </c>
      <c r="BK813">
        <f t="shared" si="110"/>
        <v>170</v>
      </c>
      <c r="BL813">
        <f t="shared" si="111"/>
        <v>10097</v>
      </c>
      <c r="BM813">
        <f t="shared" si="112"/>
        <v>5</v>
      </c>
      <c r="BN813">
        <f t="shared" si="113"/>
        <v>0</v>
      </c>
      <c r="BO813">
        <f t="shared" si="114"/>
        <v>0</v>
      </c>
      <c r="BP813">
        <f t="shared" si="115"/>
        <v>0</v>
      </c>
      <c r="BQ813" t="s">
        <v>86</v>
      </c>
      <c r="BR813" t="s">
        <v>94</v>
      </c>
      <c r="BS813" s="1">
        <v>33562</v>
      </c>
      <c r="BT813">
        <v>34</v>
      </c>
      <c r="BU813" t="s">
        <v>89</v>
      </c>
      <c r="BV813" t="s">
        <v>89</v>
      </c>
      <c r="BW813">
        <v>16</v>
      </c>
      <c r="BX813">
        <v>1991</v>
      </c>
      <c r="BY813">
        <v>15</v>
      </c>
      <c r="BZ813">
        <f t="shared" si="116"/>
        <v>-1</v>
      </c>
      <c r="CA813">
        <f t="shared" si="117"/>
        <v>1</v>
      </c>
      <c r="CB813" t="b">
        <f t="shared" si="118"/>
        <v>0</v>
      </c>
    </row>
    <row r="814" spans="1:80" x14ac:dyDescent="0.3">
      <c r="A814" t="s">
        <v>6747</v>
      </c>
      <c r="B814" t="s">
        <v>71</v>
      </c>
      <c r="C814" t="s">
        <v>6748</v>
      </c>
      <c r="D814">
        <v>35</v>
      </c>
      <c r="E814" s="1">
        <v>32734</v>
      </c>
      <c r="F814" t="s">
        <v>89</v>
      </c>
      <c r="G814" t="s">
        <v>193</v>
      </c>
      <c r="H814" t="s">
        <v>89</v>
      </c>
      <c r="I814" t="s">
        <v>2732</v>
      </c>
      <c r="J814" t="s">
        <v>300</v>
      </c>
      <c r="K814" t="s">
        <v>89</v>
      </c>
      <c r="L814" t="s">
        <v>254</v>
      </c>
      <c r="M814">
        <v>19</v>
      </c>
      <c r="N814" t="s">
        <v>1047</v>
      </c>
      <c r="O814">
        <v>2009</v>
      </c>
      <c r="P814" t="s">
        <v>6749</v>
      </c>
      <c r="Q814" t="s">
        <v>6750</v>
      </c>
      <c r="R814">
        <v>99727</v>
      </c>
      <c r="S814" t="s">
        <v>6747</v>
      </c>
      <c r="T814" t="s">
        <v>1202</v>
      </c>
      <c r="U814">
        <v>1989</v>
      </c>
      <c r="V814" t="s">
        <v>6751</v>
      </c>
      <c r="W814">
        <v>1.86</v>
      </c>
      <c r="X814" t="s">
        <v>76</v>
      </c>
      <c r="Y814" t="s">
        <v>235</v>
      </c>
      <c r="Z814" t="s">
        <v>152</v>
      </c>
      <c r="AA814" t="s">
        <v>6752</v>
      </c>
      <c r="AB814" s="1">
        <v>43472</v>
      </c>
      <c r="AC814" t="s">
        <v>108</v>
      </c>
      <c r="AD814" t="s">
        <v>89</v>
      </c>
      <c r="AE814" t="s">
        <v>138</v>
      </c>
      <c r="AF814">
        <v>20</v>
      </c>
      <c r="AG814" t="s">
        <v>91</v>
      </c>
      <c r="AH814" t="s">
        <v>306</v>
      </c>
      <c r="AI814">
        <v>22</v>
      </c>
      <c r="AJ814" t="s">
        <v>110</v>
      </c>
      <c r="AK814">
        <v>20</v>
      </c>
      <c r="AL814">
        <v>1</v>
      </c>
      <c r="AM814">
        <v>182</v>
      </c>
      <c r="AN814">
        <v>22</v>
      </c>
      <c r="AO814">
        <v>1</v>
      </c>
      <c r="AP814" t="s">
        <v>93</v>
      </c>
      <c r="AQ814" t="s">
        <v>89</v>
      </c>
      <c r="AR814" t="s">
        <v>89</v>
      </c>
      <c r="AS814" t="s">
        <v>111</v>
      </c>
      <c r="AT814">
        <v>43472</v>
      </c>
      <c r="AU814">
        <v>2019</v>
      </c>
      <c r="AV814">
        <v>10</v>
      </c>
      <c r="AW814">
        <v>10</v>
      </c>
      <c r="AX814" t="s">
        <v>89</v>
      </c>
      <c r="AY814" t="s">
        <v>93</v>
      </c>
      <c r="AZ814">
        <v>0</v>
      </c>
      <c r="BA814">
        <v>0</v>
      </c>
      <c r="BB814">
        <v>0</v>
      </c>
      <c r="BC814">
        <v>0</v>
      </c>
      <c r="BD814">
        <v>63</v>
      </c>
      <c r="BE814">
        <v>4433</v>
      </c>
      <c r="BF814">
        <v>2</v>
      </c>
      <c r="BG814">
        <v>30</v>
      </c>
      <c r="BH814">
        <v>63</v>
      </c>
      <c r="BI814">
        <v>4433</v>
      </c>
      <c r="BJ814">
        <v>2</v>
      </c>
      <c r="BK814">
        <f t="shared" si="110"/>
        <v>63</v>
      </c>
      <c r="BL814">
        <f t="shared" si="111"/>
        <v>4433</v>
      </c>
      <c r="BM814">
        <f t="shared" si="112"/>
        <v>2</v>
      </c>
      <c r="BN814">
        <f t="shared" si="113"/>
        <v>0</v>
      </c>
      <c r="BO814">
        <f t="shared" si="114"/>
        <v>0</v>
      </c>
      <c r="BP814">
        <f t="shared" si="115"/>
        <v>0</v>
      </c>
      <c r="BQ814" t="s">
        <v>235</v>
      </c>
      <c r="BR814" t="s">
        <v>140</v>
      </c>
      <c r="BS814" s="1">
        <v>32734</v>
      </c>
      <c r="BT814">
        <v>36</v>
      </c>
      <c r="BU814">
        <v>43472</v>
      </c>
      <c r="BV814" t="s">
        <v>89</v>
      </c>
      <c r="BW814">
        <v>10</v>
      </c>
      <c r="BX814">
        <v>1989</v>
      </c>
      <c r="BY814">
        <v>10</v>
      </c>
      <c r="BZ814">
        <f t="shared" si="116"/>
        <v>0</v>
      </c>
      <c r="CA814">
        <f t="shared" si="117"/>
        <v>0</v>
      </c>
      <c r="CB814" t="b">
        <f t="shared" si="118"/>
        <v>1</v>
      </c>
    </row>
    <row r="815" spans="1:80" x14ac:dyDescent="0.3">
      <c r="A815" t="s">
        <v>6753</v>
      </c>
      <c r="B815" t="s">
        <v>71</v>
      </c>
      <c r="C815" t="s">
        <v>6754</v>
      </c>
      <c r="D815">
        <v>33</v>
      </c>
      <c r="E815" t="s">
        <v>6755</v>
      </c>
      <c r="F815" t="s">
        <v>5625</v>
      </c>
      <c r="G815" t="s">
        <v>75</v>
      </c>
      <c r="H815" t="s">
        <v>89</v>
      </c>
      <c r="I815" t="s">
        <v>2537</v>
      </c>
      <c r="J815" t="s">
        <v>78</v>
      </c>
      <c r="K815" t="s">
        <v>229</v>
      </c>
      <c r="L815" t="s">
        <v>228</v>
      </c>
      <c r="M815">
        <v>18</v>
      </c>
      <c r="N815" t="s">
        <v>2060</v>
      </c>
      <c r="O815">
        <v>2010</v>
      </c>
      <c r="P815" t="s">
        <v>6756</v>
      </c>
      <c r="Q815" t="s">
        <v>6757</v>
      </c>
      <c r="R815">
        <v>188854</v>
      </c>
      <c r="S815" t="s">
        <v>6753</v>
      </c>
      <c r="T815" t="s">
        <v>6758</v>
      </c>
      <c r="U815">
        <v>1991</v>
      </c>
      <c r="V815" t="s">
        <v>2342</v>
      </c>
      <c r="W815">
        <v>1.78</v>
      </c>
      <c r="X815" t="s">
        <v>76</v>
      </c>
      <c r="Y815" t="s">
        <v>86</v>
      </c>
      <c r="Z815" t="s">
        <v>87</v>
      </c>
      <c r="AA815" t="s">
        <v>3041</v>
      </c>
      <c r="AB815">
        <v>45512</v>
      </c>
      <c r="AC815" t="s">
        <v>170</v>
      </c>
      <c r="AD815" t="s">
        <v>89</v>
      </c>
      <c r="AE815" t="s">
        <v>125</v>
      </c>
      <c r="AF815">
        <v>21</v>
      </c>
      <c r="AG815" t="s">
        <v>91</v>
      </c>
      <c r="AH815" s="1">
        <v>40639</v>
      </c>
      <c r="AI815">
        <v>19</v>
      </c>
      <c r="AJ815" t="s">
        <v>110</v>
      </c>
      <c r="AK815">
        <v>19</v>
      </c>
      <c r="AL815">
        <v>6</v>
      </c>
      <c r="AM815">
        <v>160</v>
      </c>
      <c r="AN815">
        <v>15</v>
      </c>
      <c r="AO815">
        <v>3</v>
      </c>
      <c r="AP815" t="s">
        <v>93</v>
      </c>
      <c r="AQ815" t="s">
        <v>89</v>
      </c>
      <c r="AR815" t="s">
        <v>89</v>
      </c>
      <c r="AS815" t="s">
        <v>93</v>
      </c>
      <c r="AT815" t="s">
        <v>89</v>
      </c>
      <c r="AU815" t="s">
        <v>89</v>
      </c>
      <c r="AV815" t="s">
        <v>89</v>
      </c>
      <c r="AW815">
        <v>15</v>
      </c>
      <c r="AX815">
        <v>14</v>
      </c>
      <c r="AY815" t="s">
        <v>93</v>
      </c>
      <c r="AZ815">
        <v>0</v>
      </c>
      <c r="BA815">
        <v>0</v>
      </c>
      <c r="BB815">
        <v>0</v>
      </c>
      <c r="BC815">
        <v>0</v>
      </c>
      <c r="BD815">
        <v>539</v>
      </c>
      <c r="BE815">
        <v>34130</v>
      </c>
      <c r="BF815">
        <v>44</v>
      </c>
      <c r="BG815" t="s">
        <v>89</v>
      </c>
      <c r="BH815">
        <v>539</v>
      </c>
      <c r="BI815">
        <v>34130</v>
      </c>
      <c r="BJ815">
        <v>44</v>
      </c>
      <c r="BK815">
        <f t="shared" si="110"/>
        <v>539</v>
      </c>
      <c r="BL815">
        <f t="shared" si="111"/>
        <v>34130</v>
      </c>
      <c r="BM815">
        <f t="shared" si="112"/>
        <v>44</v>
      </c>
      <c r="BN815">
        <f t="shared" si="113"/>
        <v>0</v>
      </c>
      <c r="BO815">
        <f t="shared" si="114"/>
        <v>0</v>
      </c>
      <c r="BP815">
        <f t="shared" si="115"/>
        <v>0</v>
      </c>
      <c r="BQ815" t="s">
        <v>86</v>
      </c>
      <c r="BR815" t="s">
        <v>94</v>
      </c>
      <c r="BS815" s="1">
        <v>33528</v>
      </c>
      <c r="BT815">
        <v>34</v>
      </c>
      <c r="BU815" t="s">
        <v>89</v>
      </c>
      <c r="BV815" t="s">
        <v>89</v>
      </c>
      <c r="BW815">
        <v>15</v>
      </c>
      <c r="BX815">
        <v>1991</v>
      </c>
      <c r="BY815">
        <v>14</v>
      </c>
      <c r="BZ815">
        <f t="shared" si="116"/>
        <v>0</v>
      </c>
      <c r="CA815">
        <f t="shared" si="117"/>
        <v>1</v>
      </c>
      <c r="CB815" t="b">
        <f t="shared" si="118"/>
        <v>1</v>
      </c>
    </row>
    <row r="816" spans="1:80" x14ac:dyDescent="0.3">
      <c r="A816" t="s">
        <v>6759</v>
      </c>
      <c r="B816" t="s">
        <v>4320</v>
      </c>
      <c r="C816" t="s">
        <v>6760</v>
      </c>
      <c r="D816">
        <v>42</v>
      </c>
      <c r="E816">
        <v>30382</v>
      </c>
      <c r="F816" t="s">
        <v>89</v>
      </c>
      <c r="G816" t="s">
        <v>277</v>
      </c>
      <c r="H816" t="s">
        <v>6761</v>
      </c>
      <c r="I816" t="s">
        <v>437</v>
      </c>
      <c r="J816" t="s">
        <v>300</v>
      </c>
      <c r="K816" t="s">
        <v>89</v>
      </c>
      <c r="L816" t="s">
        <v>180</v>
      </c>
      <c r="M816">
        <v>24</v>
      </c>
      <c r="N816" t="s">
        <v>6762</v>
      </c>
      <c r="O816">
        <v>2007</v>
      </c>
      <c r="P816" t="s">
        <v>6763</v>
      </c>
      <c r="Q816" t="s">
        <v>6764</v>
      </c>
      <c r="R816">
        <v>64484</v>
      </c>
      <c r="S816" t="s">
        <v>6759</v>
      </c>
      <c r="T816">
        <v>30500</v>
      </c>
      <c r="U816">
        <v>1983</v>
      </c>
      <c r="V816" t="s">
        <v>4328</v>
      </c>
      <c r="W816">
        <v>1.9</v>
      </c>
      <c r="X816" t="s">
        <v>4329</v>
      </c>
      <c r="Y816" t="s">
        <v>123</v>
      </c>
      <c r="Z816" t="s">
        <v>152</v>
      </c>
      <c r="AA816" t="s">
        <v>6765</v>
      </c>
      <c r="AB816" s="1">
        <v>44933</v>
      </c>
      <c r="AC816" t="s">
        <v>108</v>
      </c>
      <c r="AD816" t="s">
        <v>89</v>
      </c>
      <c r="AE816">
        <v>39694</v>
      </c>
      <c r="AF816">
        <v>25</v>
      </c>
      <c r="AG816" t="s">
        <v>962</v>
      </c>
      <c r="AH816" t="s">
        <v>6707</v>
      </c>
      <c r="AI816">
        <v>28</v>
      </c>
      <c r="AJ816" t="s">
        <v>110</v>
      </c>
      <c r="AK816">
        <v>25</v>
      </c>
      <c r="AL816">
        <v>4</v>
      </c>
      <c r="AM816">
        <v>123</v>
      </c>
      <c r="AN816">
        <v>17</v>
      </c>
      <c r="AO816">
        <v>3</v>
      </c>
      <c r="AP816" t="s">
        <v>93</v>
      </c>
      <c r="AQ816" t="s">
        <v>89</v>
      </c>
      <c r="AR816" t="s">
        <v>89</v>
      </c>
      <c r="AS816" t="s">
        <v>111</v>
      </c>
      <c r="AT816">
        <v>44933</v>
      </c>
      <c r="AU816">
        <v>2023</v>
      </c>
      <c r="AV816">
        <v>16</v>
      </c>
      <c r="AW816">
        <v>16</v>
      </c>
      <c r="AX816" t="s">
        <v>89</v>
      </c>
      <c r="AY816" t="s">
        <v>111</v>
      </c>
      <c r="AZ816">
        <v>6</v>
      </c>
      <c r="BA816">
        <v>15</v>
      </c>
      <c r="BB816">
        <v>1338</v>
      </c>
      <c r="BC816">
        <v>5</v>
      </c>
      <c r="BD816">
        <v>255</v>
      </c>
      <c r="BE816">
        <v>12211</v>
      </c>
      <c r="BF816">
        <v>39</v>
      </c>
      <c r="BG816">
        <v>40</v>
      </c>
      <c r="BH816">
        <v>270</v>
      </c>
      <c r="BI816">
        <v>13549</v>
      </c>
      <c r="BJ816">
        <v>44</v>
      </c>
      <c r="BK816">
        <f t="shared" si="110"/>
        <v>270</v>
      </c>
      <c r="BL816">
        <f t="shared" si="111"/>
        <v>13549</v>
      </c>
      <c r="BM816">
        <f t="shared" si="112"/>
        <v>44</v>
      </c>
      <c r="BN816">
        <f t="shared" si="113"/>
        <v>0</v>
      </c>
      <c r="BO816">
        <f t="shared" si="114"/>
        <v>0</v>
      </c>
      <c r="BP816">
        <f t="shared" si="115"/>
        <v>0</v>
      </c>
      <c r="BQ816" t="s">
        <v>123</v>
      </c>
      <c r="BR816" t="s">
        <v>112</v>
      </c>
      <c r="BS816" t="s">
        <v>89</v>
      </c>
      <c r="BT816">
        <v>43</v>
      </c>
      <c r="BU816">
        <v>44933</v>
      </c>
      <c r="BV816" t="s">
        <v>89</v>
      </c>
      <c r="BW816">
        <v>15</v>
      </c>
      <c r="BX816">
        <v>1983</v>
      </c>
      <c r="BY816">
        <v>15</v>
      </c>
      <c r="BZ816">
        <f t="shared" si="116"/>
        <v>1</v>
      </c>
      <c r="CA816">
        <f t="shared" si="117"/>
        <v>0</v>
      </c>
      <c r="CB816" t="b">
        <f t="shared" si="118"/>
        <v>0</v>
      </c>
    </row>
    <row r="817" spans="1:80" x14ac:dyDescent="0.3">
      <c r="A817" t="s">
        <v>6766</v>
      </c>
      <c r="B817" t="s">
        <v>71</v>
      </c>
      <c r="C817" t="s">
        <v>6767</v>
      </c>
      <c r="D817">
        <v>40</v>
      </c>
      <c r="E817">
        <v>31019</v>
      </c>
      <c r="F817" t="s">
        <v>89</v>
      </c>
      <c r="G817" t="s">
        <v>143</v>
      </c>
      <c r="H817" t="s">
        <v>89</v>
      </c>
      <c r="I817" t="s">
        <v>3874</v>
      </c>
      <c r="J817" t="s">
        <v>78</v>
      </c>
      <c r="K817" t="s">
        <v>89</v>
      </c>
      <c r="L817" t="s">
        <v>180</v>
      </c>
      <c r="M817">
        <v>22</v>
      </c>
      <c r="N817" t="s">
        <v>480</v>
      </c>
      <c r="O817">
        <v>2007</v>
      </c>
      <c r="P817" t="s">
        <v>6768</v>
      </c>
      <c r="Q817" t="s">
        <v>6769</v>
      </c>
      <c r="R817">
        <v>51383</v>
      </c>
      <c r="S817" t="s">
        <v>6766</v>
      </c>
      <c r="T817" s="1">
        <v>30753</v>
      </c>
      <c r="U817">
        <v>1984</v>
      </c>
      <c r="V817" t="s">
        <v>304</v>
      </c>
      <c r="W817">
        <v>1.75</v>
      </c>
      <c r="X817" t="s">
        <v>76</v>
      </c>
      <c r="Y817" t="s">
        <v>494</v>
      </c>
      <c r="Z817" t="s">
        <v>87</v>
      </c>
      <c r="AA817" t="s">
        <v>390</v>
      </c>
      <c r="AB817">
        <v>43838</v>
      </c>
      <c r="AC817" t="s">
        <v>108</v>
      </c>
      <c r="AD817" t="s">
        <v>89</v>
      </c>
      <c r="AE817" t="s">
        <v>138</v>
      </c>
      <c r="AF817">
        <v>24</v>
      </c>
      <c r="AG817" t="s">
        <v>91</v>
      </c>
      <c r="AH817" t="s">
        <v>2520</v>
      </c>
      <c r="AI817">
        <v>22</v>
      </c>
      <c r="AJ817" t="s">
        <v>110</v>
      </c>
      <c r="AK817">
        <v>22</v>
      </c>
      <c r="AL817">
        <v>3</v>
      </c>
      <c r="AM817">
        <v>189</v>
      </c>
      <c r="AN817">
        <v>25</v>
      </c>
      <c r="AO817">
        <v>3</v>
      </c>
      <c r="AP817" t="s">
        <v>93</v>
      </c>
      <c r="AQ817" t="s">
        <v>89</v>
      </c>
      <c r="AR817" t="s">
        <v>89</v>
      </c>
      <c r="AS817" t="s">
        <v>111</v>
      </c>
      <c r="AT817">
        <v>43838</v>
      </c>
      <c r="AU817">
        <v>2020</v>
      </c>
      <c r="AV817">
        <v>13</v>
      </c>
      <c r="AW817">
        <v>13</v>
      </c>
      <c r="AX817" t="s">
        <v>89</v>
      </c>
      <c r="AY817" t="s">
        <v>93</v>
      </c>
      <c r="AZ817">
        <v>0</v>
      </c>
      <c r="BA817">
        <v>0</v>
      </c>
      <c r="BB817">
        <v>0</v>
      </c>
      <c r="BC817">
        <v>0</v>
      </c>
      <c r="BD817">
        <v>272</v>
      </c>
      <c r="BE817">
        <v>17031</v>
      </c>
      <c r="BF817">
        <v>44</v>
      </c>
      <c r="BG817">
        <v>36</v>
      </c>
      <c r="BH817">
        <v>272</v>
      </c>
      <c r="BI817">
        <v>17031</v>
      </c>
      <c r="BJ817">
        <v>44</v>
      </c>
      <c r="BK817">
        <f t="shared" si="110"/>
        <v>272</v>
      </c>
      <c r="BL817">
        <f t="shared" si="111"/>
        <v>17031</v>
      </c>
      <c r="BM817">
        <f t="shared" si="112"/>
        <v>44</v>
      </c>
      <c r="BN817">
        <f t="shared" si="113"/>
        <v>0</v>
      </c>
      <c r="BO817">
        <f t="shared" si="114"/>
        <v>0</v>
      </c>
      <c r="BP817">
        <f t="shared" si="115"/>
        <v>0</v>
      </c>
      <c r="BQ817" t="s">
        <v>494</v>
      </c>
      <c r="BR817" t="s">
        <v>112</v>
      </c>
      <c r="BS817" s="1">
        <v>31019</v>
      </c>
      <c r="BT817">
        <v>41</v>
      </c>
      <c r="BU817">
        <v>43838</v>
      </c>
      <c r="BV817" t="s">
        <v>89</v>
      </c>
      <c r="BW817">
        <v>14</v>
      </c>
      <c r="BX817">
        <v>1984</v>
      </c>
      <c r="BY817">
        <v>14</v>
      </c>
      <c r="BZ817">
        <f t="shared" si="116"/>
        <v>-1</v>
      </c>
      <c r="CA817">
        <f t="shared" si="117"/>
        <v>0</v>
      </c>
      <c r="CB817" t="b">
        <f t="shared" si="118"/>
        <v>0</v>
      </c>
    </row>
    <row r="818" spans="1:80" x14ac:dyDescent="0.3">
      <c r="A818" t="s">
        <v>6770</v>
      </c>
      <c r="B818" t="s">
        <v>1231</v>
      </c>
      <c r="C818" t="s">
        <v>6771</v>
      </c>
      <c r="D818">
        <v>39</v>
      </c>
      <c r="E818" s="1">
        <v>31448</v>
      </c>
      <c r="F818" t="s">
        <v>89</v>
      </c>
      <c r="G818" t="s">
        <v>298</v>
      </c>
      <c r="H818" t="s">
        <v>1234</v>
      </c>
      <c r="I818" t="s">
        <v>5866</v>
      </c>
      <c r="J818" t="s">
        <v>639</v>
      </c>
      <c r="K818" t="s">
        <v>89</v>
      </c>
      <c r="L818" t="s">
        <v>657</v>
      </c>
      <c r="M818">
        <v>17</v>
      </c>
      <c r="N818" t="s">
        <v>490</v>
      </c>
      <c r="O818">
        <v>2003</v>
      </c>
      <c r="P818" t="s">
        <v>6772</v>
      </c>
      <c r="Q818" t="s">
        <v>6773</v>
      </c>
      <c r="R818">
        <v>16791</v>
      </c>
      <c r="S818" t="s">
        <v>6770</v>
      </c>
      <c r="T818">
        <v>31534</v>
      </c>
      <c r="U818">
        <v>1986</v>
      </c>
      <c r="V818" t="s">
        <v>4339</v>
      </c>
      <c r="W818">
        <v>1.76</v>
      </c>
      <c r="X818" t="s">
        <v>3299</v>
      </c>
      <c r="Y818" t="s">
        <v>106</v>
      </c>
      <c r="Z818" t="s">
        <v>87</v>
      </c>
      <c r="AA818" t="s">
        <v>6774</v>
      </c>
      <c r="AB818" s="1">
        <v>44933</v>
      </c>
      <c r="AC818" t="s">
        <v>108</v>
      </c>
      <c r="AD818" t="s">
        <v>223</v>
      </c>
      <c r="AE818">
        <v>38201</v>
      </c>
      <c r="AF818">
        <v>18</v>
      </c>
      <c r="AG818" t="s">
        <v>613</v>
      </c>
      <c r="AH818" t="s">
        <v>92</v>
      </c>
      <c r="AI818" t="s">
        <v>89</v>
      </c>
      <c r="AJ818" t="s">
        <v>92</v>
      </c>
      <c r="AK818">
        <v>18</v>
      </c>
      <c r="AL818">
        <v>15</v>
      </c>
      <c r="AM818">
        <v>568</v>
      </c>
      <c r="AN818">
        <v>77</v>
      </c>
      <c r="AO818">
        <v>10</v>
      </c>
      <c r="AP818" t="s">
        <v>93</v>
      </c>
      <c r="AQ818" t="s">
        <v>89</v>
      </c>
      <c r="AR818" t="s">
        <v>89</v>
      </c>
      <c r="AS818" t="s">
        <v>111</v>
      </c>
      <c r="AT818" s="1">
        <v>44933</v>
      </c>
      <c r="AU818">
        <v>2023</v>
      </c>
      <c r="AV818">
        <v>20</v>
      </c>
      <c r="AW818">
        <v>20</v>
      </c>
      <c r="AX818" t="s">
        <v>89</v>
      </c>
      <c r="AY818" t="s">
        <v>111</v>
      </c>
      <c r="AZ818">
        <v>7</v>
      </c>
      <c r="BA818">
        <v>10</v>
      </c>
      <c r="BB818">
        <v>577</v>
      </c>
      <c r="BC818">
        <v>2</v>
      </c>
      <c r="BD818">
        <v>464</v>
      </c>
      <c r="BE818">
        <v>32347</v>
      </c>
      <c r="BF818">
        <v>60</v>
      </c>
      <c r="BG818">
        <v>37</v>
      </c>
      <c r="BH818">
        <v>474</v>
      </c>
      <c r="BI818">
        <v>32924</v>
      </c>
      <c r="BJ818">
        <v>62</v>
      </c>
      <c r="BK818">
        <f t="shared" si="110"/>
        <v>474</v>
      </c>
      <c r="BL818">
        <f t="shared" si="111"/>
        <v>32924</v>
      </c>
      <c r="BM818">
        <f t="shared" si="112"/>
        <v>62</v>
      </c>
      <c r="BN818">
        <f t="shared" si="113"/>
        <v>0</v>
      </c>
      <c r="BO818">
        <f t="shared" si="114"/>
        <v>0</v>
      </c>
      <c r="BP818">
        <f t="shared" si="115"/>
        <v>0</v>
      </c>
      <c r="BQ818" t="s">
        <v>106</v>
      </c>
      <c r="BR818" t="s">
        <v>112</v>
      </c>
      <c r="BS818" t="s">
        <v>89</v>
      </c>
      <c r="BT818">
        <v>40</v>
      </c>
      <c r="BU818" s="1">
        <v>44933</v>
      </c>
      <c r="BV818" s="1">
        <v>45108</v>
      </c>
      <c r="BW818">
        <v>19</v>
      </c>
      <c r="BX818">
        <v>1986</v>
      </c>
      <c r="BY818">
        <v>19</v>
      </c>
      <c r="BZ818">
        <f t="shared" si="116"/>
        <v>1</v>
      </c>
      <c r="CA818">
        <f t="shared" si="117"/>
        <v>0</v>
      </c>
      <c r="CB818" t="b">
        <f t="shared" si="118"/>
        <v>0</v>
      </c>
    </row>
    <row r="819" spans="1:80" x14ac:dyDescent="0.3">
      <c r="A819" t="s">
        <v>6775</v>
      </c>
      <c r="B819" t="s">
        <v>1089</v>
      </c>
      <c r="C819" t="s">
        <v>6776</v>
      </c>
      <c r="D819">
        <v>41</v>
      </c>
      <c r="E819">
        <v>30856</v>
      </c>
      <c r="F819" t="s">
        <v>89</v>
      </c>
      <c r="G819" t="s">
        <v>211</v>
      </c>
      <c r="H819" t="s">
        <v>1093</v>
      </c>
      <c r="I819" t="s">
        <v>288</v>
      </c>
      <c r="J819" t="s">
        <v>78</v>
      </c>
      <c r="K819" t="s">
        <v>89</v>
      </c>
      <c r="L819" t="s">
        <v>228</v>
      </c>
      <c r="M819">
        <v>26</v>
      </c>
      <c r="N819" t="s">
        <v>1257</v>
      </c>
      <c r="O819">
        <v>2010</v>
      </c>
      <c r="P819" t="s">
        <v>6777</v>
      </c>
      <c r="Q819" t="s">
        <v>6778</v>
      </c>
      <c r="R819">
        <v>40428</v>
      </c>
      <c r="S819" t="s">
        <v>6775</v>
      </c>
      <c r="T819" t="s">
        <v>6779</v>
      </c>
      <c r="U819">
        <v>1984</v>
      </c>
      <c r="V819" t="s">
        <v>2956</v>
      </c>
      <c r="W819">
        <v>1.74</v>
      </c>
      <c r="X819" t="s">
        <v>6780</v>
      </c>
      <c r="Y819" t="s">
        <v>259</v>
      </c>
      <c r="Z819" t="s">
        <v>87</v>
      </c>
      <c r="AA819" t="s">
        <v>6781</v>
      </c>
      <c r="AB819">
        <v>44140</v>
      </c>
      <c r="AC819" t="s">
        <v>108</v>
      </c>
      <c r="AD819" t="s">
        <v>89</v>
      </c>
      <c r="AE819" t="s">
        <v>6782</v>
      </c>
      <c r="AF819">
        <v>19</v>
      </c>
      <c r="AG819" t="s">
        <v>1099</v>
      </c>
      <c r="AH819">
        <v>40611</v>
      </c>
      <c r="AI819">
        <v>27</v>
      </c>
      <c r="AJ819" t="s">
        <v>110</v>
      </c>
      <c r="AK819">
        <v>19</v>
      </c>
      <c r="AL819">
        <v>7</v>
      </c>
      <c r="AM819">
        <v>245</v>
      </c>
      <c r="AN819">
        <v>43</v>
      </c>
      <c r="AO819">
        <v>6</v>
      </c>
      <c r="AP819" t="s">
        <v>93</v>
      </c>
      <c r="AQ819" t="s">
        <v>89</v>
      </c>
      <c r="AR819" t="s">
        <v>89</v>
      </c>
      <c r="AS819" t="s">
        <v>111</v>
      </c>
      <c r="AT819">
        <v>44140</v>
      </c>
      <c r="AU819">
        <v>2020</v>
      </c>
      <c r="AV819">
        <v>10</v>
      </c>
      <c r="AW819">
        <v>10</v>
      </c>
      <c r="AX819" t="s">
        <v>89</v>
      </c>
      <c r="AY819" t="s">
        <v>93</v>
      </c>
      <c r="AZ819">
        <v>0</v>
      </c>
      <c r="BA819">
        <v>0</v>
      </c>
      <c r="BB819">
        <v>0</v>
      </c>
      <c r="BC819">
        <v>0</v>
      </c>
      <c r="BD819">
        <v>248</v>
      </c>
      <c r="BE819">
        <v>19054</v>
      </c>
      <c r="BF819">
        <v>2</v>
      </c>
      <c r="BG819">
        <v>36</v>
      </c>
      <c r="BH819">
        <v>248</v>
      </c>
      <c r="BI819">
        <v>19054</v>
      </c>
      <c r="BJ819">
        <v>2</v>
      </c>
      <c r="BK819">
        <f t="shared" si="110"/>
        <v>248</v>
      </c>
      <c r="BL819">
        <f t="shared" si="111"/>
        <v>19054</v>
      </c>
      <c r="BM819">
        <f t="shared" si="112"/>
        <v>2</v>
      </c>
      <c r="BN819">
        <f t="shared" si="113"/>
        <v>0</v>
      </c>
      <c r="BO819">
        <f t="shared" si="114"/>
        <v>0</v>
      </c>
      <c r="BP819">
        <f t="shared" si="115"/>
        <v>0</v>
      </c>
      <c r="BQ819" t="s">
        <v>259</v>
      </c>
      <c r="BR819" t="s">
        <v>94</v>
      </c>
      <c r="BS819" s="1">
        <v>30856</v>
      </c>
      <c r="BT819">
        <v>41</v>
      </c>
      <c r="BU819">
        <v>44140</v>
      </c>
      <c r="BV819" t="s">
        <v>89</v>
      </c>
      <c r="BW819">
        <v>17</v>
      </c>
      <c r="BX819">
        <v>1984</v>
      </c>
      <c r="BY819">
        <v>17</v>
      </c>
      <c r="BZ819">
        <f t="shared" si="116"/>
        <v>-7</v>
      </c>
      <c r="CA819">
        <f t="shared" si="117"/>
        <v>0</v>
      </c>
      <c r="CB819" t="b">
        <f t="shared" si="118"/>
        <v>0</v>
      </c>
    </row>
    <row r="820" spans="1:80" x14ac:dyDescent="0.3">
      <c r="A820" t="s">
        <v>6783</v>
      </c>
      <c r="B820" t="s">
        <v>71</v>
      </c>
      <c r="C820" t="s">
        <v>6784</v>
      </c>
      <c r="D820">
        <v>41</v>
      </c>
      <c r="E820" s="1">
        <v>30701</v>
      </c>
      <c r="F820" t="s">
        <v>89</v>
      </c>
      <c r="G820" t="s">
        <v>75</v>
      </c>
      <c r="H820" t="s">
        <v>89</v>
      </c>
      <c r="I820" t="s">
        <v>98</v>
      </c>
      <c r="J820" t="s">
        <v>89</v>
      </c>
      <c r="K820" t="s">
        <v>89</v>
      </c>
      <c r="L820" t="s">
        <v>117</v>
      </c>
      <c r="M820">
        <v>21</v>
      </c>
      <c r="N820" t="s">
        <v>2191</v>
      </c>
      <c r="O820">
        <v>2005</v>
      </c>
      <c r="P820" t="s">
        <v>6785</v>
      </c>
      <c r="Q820" t="s">
        <v>6786</v>
      </c>
      <c r="R820">
        <v>8730</v>
      </c>
      <c r="S820" t="s">
        <v>6787</v>
      </c>
      <c r="T820" t="s">
        <v>6788</v>
      </c>
      <c r="U820">
        <v>1984</v>
      </c>
      <c r="V820" t="s">
        <v>644</v>
      </c>
      <c r="W820">
        <v>1.78</v>
      </c>
      <c r="X820" t="s">
        <v>76</v>
      </c>
      <c r="Y820" t="s">
        <v>494</v>
      </c>
      <c r="Z820" t="s">
        <v>152</v>
      </c>
      <c r="AA820" t="s">
        <v>4471</v>
      </c>
      <c r="AB820" s="1">
        <v>44203</v>
      </c>
      <c r="AC820" t="s">
        <v>108</v>
      </c>
      <c r="AD820" t="s">
        <v>89</v>
      </c>
      <c r="AE820" t="s">
        <v>2396</v>
      </c>
      <c r="AF820">
        <v>29</v>
      </c>
      <c r="AG820" t="s">
        <v>91</v>
      </c>
      <c r="AH820" s="1">
        <v>38483</v>
      </c>
      <c r="AI820">
        <v>21</v>
      </c>
      <c r="AJ820" t="s">
        <v>110</v>
      </c>
      <c r="AK820">
        <v>21</v>
      </c>
      <c r="AL820">
        <v>6</v>
      </c>
      <c r="AM820">
        <v>136</v>
      </c>
      <c r="AN820">
        <v>14</v>
      </c>
      <c r="AO820">
        <v>6</v>
      </c>
      <c r="AP820" t="s">
        <v>93</v>
      </c>
      <c r="AQ820" t="s">
        <v>89</v>
      </c>
      <c r="AR820" t="s">
        <v>89</v>
      </c>
      <c r="AS820" t="s">
        <v>111</v>
      </c>
      <c r="AT820">
        <v>44203</v>
      </c>
      <c r="AU820">
        <v>2021</v>
      </c>
      <c r="AV820">
        <v>16</v>
      </c>
      <c r="AW820">
        <v>16</v>
      </c>
      <c r="AX820" t="s">
        <v>89</v>
      </c>
      <c r="AY820" t="s">
        <v>93</v>
      </c>
      <c r="AZ820">
        <v>0</v>
      </c>
      <c r="BA820">
        <v>0</v>
      </c>
      <c r="BB820">
        <v>0</v>
      </c>
      <c r="BC820">
        <v>0</v>
      </c>
      <c r="BD820">
        <v>221</v>
      </c>
      <c r="BE820">
        <v>16130</v>
      </c>
      <c r="BF820">
        <v>56</v>
      </c>
      <c r="BG820">
        <v>37</v>
      </c>
      <c r="BH820">
        <v>221</v>
      </c>
      <c r="BI820">
        <v>16130</v>
      </c>
      <c r="BJ820">
        <v>56</v>
      </c>
      <c r="BK820">
        <f t="shared" si="110"/>
        <v>221</v>
      </c>
      <c r="BL820">
        <f t="shared" si="111"/>
        <v>16130</v>
      </c>
      <c r="BM820">
        <f t="shared" si="112"/>
        <v>56</v>
      </c>
      <c r="BN820">
        <f t="shared" si="113"/>
        <v>0</v>
      </c>
      <c r="BO820">
        <f t="shared" si="114"/>
        <v>0</v>
      </c>
      <c r="BP820">
        <f t="shared" si="115"/>
        <v>0</v>
      </c>
      <c r="BQ820" t="s">
        <v>494</v>
      </c>
      <c r="BR820" t="s">
        <v>112</v>
      </c>
      <c r="BS820" s="1">
        <v>30701</v>
      </c>
      <c r="BT820">
        <v>42</v>
      </c>
      <c r="BU820">
        <v>44203</v>
      </c>
      <c r="BV820" t="s">
        <v>89</v>
      </c>
      <c r="BW820">
        <v>16</v>
      </c>
      <c r="BX820">
        <v>1984</v>
      </c>
      <c r="BY820">
        <v>16</v>
      </c>
      <c r="BZ820">
        <f t="shared" si="116"/>
        <v>0</v>
      </c>
      <c r="CA820">
        <f t="shared" si="117"/>
        <v>0</v>
      </c>
      <c r="CB820" t="b">
        <f t="shared" si="118"/>
        <v>1</v>
      </c>
    </row>
    <row r="821" spans="1:80" x14ac:dyDescent="0.3">
      <c r="A821" t="s">
        <v>6789</v>
      </c>
      <c r="B821" t="s">
        <v>71</v>
      </c>
      <c r="C821" t="s">
        <v>6790</v>
      </c>
      <c r="D821">
        <v>42</v>
      </c>
      <c r="E821" s="1">
        <v>30273</v>
      </c>
      <c r="F821" t="s">
        <v>89</v>
      </c>
      <c r="G821" t="s">
        <v>193</v>
      </c>
      <c r="H821" t="s">
        <v>89</v>
      </c>
      <c r="I821" t="s">
        <v>227</v>
      </c>
      <c r="J821" t="s">
        <v>89</v>
      </c>
      <c r="K821" t="s">
        <v>89</v>
      </c>
      <c r="L821" t="s">
        <v>228</v>
      </c>
      <c r="M821">
        <v>27</v>
      </c>
      <c r="N821" t="s">
        <v>229</v>
      </c>
      <c r="O821">
        <v>2010</v>
      </c>
      <c r="P821" t="s">
        <v>6791</v>
      </c>
      <c r="Q821" t="s">
        <v>6792</v>
      </c>
      <c r="R821">
        <v>72415</v>
      </c>
      <c r="S821" t="s">
        <v>6789</v>
      </c>
      <c r="T821" t="s">
        <v>6793</v>
      </c>
      <c r="U821">
        <v>1982</v>
      </c>
      <c r="V821" t="s">
        <v>229</v>
      </c>
      <c r="W821">
        <v>1.86</v>
      </c>
      <c r="X821" t="s">
        <v>76</v>
      </c>
      <c r="Y821" t="s">
        <v>235</v>
      </c>
      <c r="Z821" t="s">
        <v>89</v>
      </c>
      <c r="AA821" t="s">
        <v>1983</v>
      </c>
      <c r="AB821" s="1">
        <v>41646</v>
      </c>
      <c r="AC821" t="s">
        <v>108</v>
      </c>
      <c r="AD821" t="s">
        <v>89</v>
      </c>
      <c r="AE821" t="s">
        <v>306</v>
      </c>
      <c r="AF821">
        <v>28</v>
      </c>
      <c r="AG821" t="s">
        <v>91</v>
      </c>
      <c r="AH821" t="s">
        <v>6794</v>
      </c>
      <c r="AI821">
        <v>22</v>
      </c>
      <c r="AJ821" t="s">
        <v>110</v>
      </c>
      <c r="AK821">
        <v>22</v>
      </c>
      <c r="AL821">
        <v>1</v>
      </c>
      <c r="AM821">
        <v>22</v>
      </c>
      <c r="AN821">
        <v>2</v>
      </c>
      <c r="AO821">
        <v>1</v>
      </c>
      <c r="AP821" t="s">
        <v>93</v>
      </c>
      <c r="AQ821" t="s">
        <v>89</v>
      </c>
      <c r="AR821" t="s">
        <v>89</v>
      </c>
      <c r="AS821" t="s">
        <v>111</v>
      </c>
      <c r="AT821" s="1">
        <v>41646</v>
      </c>
      <c r="AU821">
        <v>2014</v>
      </c>
      <c r="AV821">
        <v>4</v>
      </c>
      <c r="AW821">
        <v>4</v>
      </c>
      <c r="AX821" t="s">
        <v>89</v>
      </c>
      <c r="AY821" t="s">
        <v>93</v>
      </c>
      <c r="AZ821">
        <v>0</v>
      </c>
      <c r="BA821">
        <v>0</v>
      </c>
      <c r="BB821">
        <v>0</v>
      </c>
      <c r="BC821">
        <v>0</v>
      </c>
      <c r="BD821">
        <v>41</v>
      </c>
      <c r="BE821">
        <v>2701</v>
      </c>
      <c r="BF821">
        <v>1</v>
      </c>
      <c r="BG821">
        <v>32</v>
      </c>
      <c r="BH821">
        <v>41</v>
      </c>
      <c r="BI821">
        <v>2701</v>
      </c>
      <c r="BJ821">
        <v>1</v>
      </c>
      <c r="BK821">
        <f t="shared" si="110"/>
        <v>41</v>
      </c>
      <c r="BL821">
        <f t="shared" si="111"/>
        <v>2701</v>
      </c>
      <c r="BM821">
        <f t="shared" si="112"/>
        <v>1</v>
      </c>
      <c r="BN821">
        <f t="shared" si="113"/>
        <v>0</v>
      </c>
      <c r="BO821">
        <f t="shared" si="114"/>
        <v>0</v>
      </c>
      <c r="BP821">
        <f t="shared" si="115"/>
        <v>0</v>
      </c>
      <c r="BQ821" t="s">
        <v>235</v>
      </c>
      <c r="BR821" t="s">
        <v>140</v>
      </c>
      <c r="BS821" s="1">
        <v>30273</v>
      </c>
      <c r="BT821">
        <v>43</v>
      </c>
      <c r="BU821" s="1">
        <v>41646</v>
      </c>
      <c r="BV821" s="1">
        <v>41821</v>
      </c>
      <c r="BW821">
        <v>10</v>
      </c>
      <c r="BX821">
        <v>1982</v>
      </c>
      <c r="BY821">
        <v>10</v>
      </c>
      <c r="BZ821">
        <f t="shared" si="116"/>
        <v>-6</v>
      </c>
      <c r="CA821">
        <f t="shared" si="117"/>
        <v>0</v>
      </c>
      <c r="CB821" t="b">
        <f t="shared" si="118"/>
        <v>0</v>
      </c>
    </row>
    <row r="822" spans="1:80" x14ac:dyDescent="0.3">
      <c r="A822" t="s">
        <v>6795</v>
      </c>
      <c r="B822" t="s">
        <v>71</v>
      </c>
      <c r="C822" t="s">
        <v>6796</v>
      </c>
      <c r="D822">
        <v>37</v>
      </c>
      <c r="E822" s="1">
        <v>32153</v>
      </c>
      <c r="F822" t="s">
        <v>89</v>
      </c>
      <c r="G822" t="s">
        <v>226</v>
      </c>
      <c r="H822" t="s">
        <v>89</v>
      </c>
      <c r="I822" t="s">
        <v>437</v>
      </c>
      <c r="J822" t="s">
        <v>78</v>
      </c>
      <c r="K822" t="s">
        <v>89</v>
      </c>
      <c r="L822" t="s">
        <v>278</v>
      </c>
      <c r="M822">
        <v>23</v>
      </c>
      <c r="N822" t="s">
        <v>820</v>
      </c>
      <c r="O822">
        <v>2011</v>
      </c>
      <c r="P822" t="s">
        <v>6797</v>
      </c>
      <c r="Q822" t="s">
        <v>6798</v>
      </c>
      <c r="R822">
        <v>94570</v>
      </c>
      <c r="S822" t="s">
        <v>6799</v>
      </c>
      <c r="T822">
        <v>32448</v>
      </c>
      <c r="U822">
        <v>1988</v>
      </c>
      <c r="V822" t="s">
        <v>5170</v>
      </c>
      <c r="W822">
        <v>1.87</v>
      </c>
      <c r="X822" t="s">
        <v>76</v>
      </c>
      <c r="Y822" t="s">
        <v>123</v>
      </c>
      <c r="Z822" t="s">
        <v>87</v>
      </c>
      <c r="AA822" t="s">
        <v>465</v>
      </c>
      <c r="AB822" t="s">
        <v>6800</v>
      </c>
      <c r="AC822" t="s">
        <v>108</v>
      </c>
      <c r="AD822" t="s">
        <v>89</v>
      </c>
      <c r="AE822">
        <v>41216</v>
      </c>
      <c r="AF822">
        <v>24</v>
      </c>
      <c r="AG822" t="s">
        <v>91</v>
      </c>
      <c r="AH822" t="s">
        <v>561</v>
      </c>
      <c r="AI822">
        <v>26</v>
      </c>
      <c r="AJ822" t="s">
        <v>110</v>
      </c>
      <c r="AK822">
        <v>24</v>
      </c>
      <c r="AL822">
        <v>4</v>
      </c>
      <c r="AM822">
        <v>281</v>
      </c>
      <c r="AN822">
        <v>34</v>
      </c>
      <c r="AO822">
        <v>3</v>
      </c>
      <c r="AP822" t="s">
        <v>93</v>
      </c>
      <c r="AQ822" t="s">
        <v>89</v>
      </c>
      <c r="AR822" t="s">
        <v>89</v>
      </c>
      <c r="AS822" t="s">
        <v>111</v>
      </c>
      <c r="AT822" t="s">
        <v>6800</v>
      </c>
      <c r="AU822">
        <v>2022</v>
      </c>
      <c r="AV822">
        <v>11</v>
      </c>
      <c r="AW822">
        <v>11</v>
      </c>
      <c r="AX822" t="s">
        <v>89</v>
      </c>
      <c r="AY822" t="s">
        <v>93</v>
      </c>
      <c r="AZ822">
        <v>0</v>
      </c>
      <c r="BA822">
        <v>0</v>
      </c>
      <c r="BB822">
        <v>0</v>
      </c>
      <c r="BC822">
        <v>0</v>
      </c>
      <c r="BD822">
        <v>81</v>
      </c>
      <c r="BE822">
        <v>3790</v>
      </c>
      <c r="BF822">
        <v>12</v>
      </c>
      <c r="BG822">
        <v>34</v>
      </c>
      <c r="BH822">
        <v>81</v>
      </c>
      <c r="BI822">
        <v>3790</v>
      </c>
      <c r="BJ822">
        <v>12</v>
      </c>
      <c r="BK822">
        <f t="shared" si="110"/>
        <v>81</v>
      </c>
      <c r="BL822">
        <f t="shared" si="111"/>
        <v>3790</v>
      </c>
      <c r="BM822">
        <f t="shared" si="112"/>
        <v>12</v>
      </c>
      <c r="BN822">
        <f t="shared" si="113"/>
        <v>0</v>
      </c>
      <c r="BO822">
        <f t="shared" si="114"/>
        <v>0</v>
      </c>
      <c r="BP822">
        <f t="shared" si="115"/>
        <v>0</v>
      </c>
      <c r="BQ822" t="s">
        <v>123</v>
      </c>
      <c r="BR822" t="s">
        <v>112</v>
      </c>
      <c r="BS822" t="s">
        <v>89</v>
      </c>
      <c r="BT822">
        <v>38</v>
      </c>
      <c r="BU822" t="s">
        <v>6800</v>
      </c>
      <c r="BV822" s="1">
        <v>44589</v>
      </c>
      <c r="BW822">
        <v>10</v>
      </c>
      <c r="BX822">
        <v>1988</v>
      </c>
      <c r="BY822">
        <v>10</v>
      </c>
      <c r="BZ822">
        <f t="shared" si="116"/>
        <v>1</v>
      </c>
      <c r="CA822">
        <f t="shared" si="117"/>
        <v>0</v>
      </c>
      <c r="CB822" t="b">
        <f t="shared" si="118"/>
        <v>0</v>
      </c>
    </row>
    <row r="823" spans="1:80" x14ac:dyDescent="0.3">
      <c r="A823" t="s">
        <v>6801</v>
      </c>
      <c r="B823" t="s">
        <v>71</v>
      </c>
      <c r="C823" t="s">
        <v>6802</v>
      </c>
      <c r="D823">
        <v>49</v>
      </c>
      <c r="E823" s="1">
        <v>27784</v>
      </c>
      <c r="F823" t="s">
        <v>89</v>
      </c>
      <c r="G823" t="s">
        <v>298</v>
      </c>
      <c r="H823" t="s">
        <v>76</v>
      </c>
      <c r="I823" t="s">
        <v>348</v>
      </c>
      <c r="J823" t="s">
        <v>78</v>
      </c>
      <c r="K823" t="s">
        <v>89</v>
      </c>
      <c r="L823" t="s">
        <v>866</v>
      </c>
      <c r="M823">
        <v>22</v>
      </c>
      <c r="N823" t="s">
        <v>6803</v>
      </c>
      <c r="O823">
        <v>1998</v>
      </c>
      <c r="P823" t="s">
        <v>6804</v>
      </c>
      <c r="Q823" t="s">
        <v>6805</v>
      </c>
      <c r="R823">
        <v>7492</v>
      </c>
      <c r="S823" t="s">
        <v>6801</v>
      </c>
      <c r="T823" t="s">
        <v>6806</v>
      </c>
      <c r="U823">
        <v>1976</v>
      </c>
      <c r="V823" t="s">
        <v>6807</v>
      </c>
      <c r="W823">
        <v>1.77</v>
      </c>
      <c r="X823" t="s">
        <v>76</v>
      </c>
      <c r="Y823" t="s">
        <v>136</v>
      </c>
      <c r="Z823" t="s">
        <v>87</v>
      </c>
      <c r="AA823" t="s">
        <v>260</v>
      </c>
      <c r="AB823" s="1">
        <v>42376</v>
      </c>
      <c r="AC823" t="s">
        <v>108</v>
      </c>
      <c r="AD823" t="s">
        <v>89</v>
      </c>
      <c r="AE823" t="s">
        <v>6808</v>
      </c>
      <c r="AF823">
        <v>22</v>
      </c>
      <c r="AG823" t="s">
        <v>91</v>
      </c>
      <c r="AH823" t="s">
        <v>6809</v>
      </c>
      <c r="AI823">
        <v>20</v>
      </c>
      <c r="AJ823" t="s">
        <v>110</v>
      </c>
      <c r="AK823">
        <v>20</v>
      </c>
      <c r="AL823">
        <v>6</v>
      </c>
      <c r="AM823">
        <v>523</v>
      </c>
      <c r="AN823">
        <v>85</v>
      </c>
      <c r="AO823">
        <v>5</v>
      </c>
      <c r="AP823" t="s">
        <v>93</v>
      </c>
      <c r="AQ823" t="s">
        <v>89</v>
      </c>
      <c r="AR823" t="s">
        <v>89</v>
      </c>
      <c r="AS823" t="s">
        <v>111</v>
      </c>
      <c r="AT823">
        <v>42376</v>
      </c>
      <c r="AU823">
        <v>2016</v>
      </c>
      <c r="AV823">
        <v>18</v>
      </c>
      <c r="AW823">
        <v>18</v>
      </c>
      <c r="AX823" t="s">
        <v>89</v>
      </c>
      <c r="AY823" t="s">
        <v>93</v>
      </c>
      <c r="AZ823">
        <v>0</v>
      </c>
      <c r="BA823">
        <v>0</v>
      </c>
      <c r="BB823">
        <v>0</v>
      </c>
      <c r="BC823">
        <v>0</v>
      </c>
      <c r="BD823">
        <v>426</v>
      </c>
      <c r="BE823">
        <v>35232</v>
      </c>
      <c r="BF823">
        <v>1</v>
      </c>
      <c r="BG823">
        <v>40</v>
      </c>
      <c r="BH823">
        <v>426</v>
      </c>
      <c r="BI823">
        <v>35232</v>
      </c>
      <c r="BJ823">
        <v>1</v>
      </c>
      <c r="BK823">
        <f t="shared" si="110"/>
        <v>426</v>
      </c>
      <c r="BL823">
        <f t="shared" si="111"/>
        <v>35232</v>
      </c>
      <c r="BM823">
        <f t="shared" si="112"/>
        <v>1</v>
      </c>
      <c r="BN823">
        <f t="shared" si="113"/>
        <v>0</v>
      </c>
      <c r="BO823">
        <f t="shared" si="114"/>
        <v>0</v>
      </c>
      <c r="BP823">
        <f t="shared" si="115"/>
        <v>0</v>
      </c>
      <c r="BQ823" t="s">
        <v>136</v>
      </c>
      <c r="BR823" t="s">
        <v>140</v>
      </c>
      <c r="BS823" s="1">
        <v>27784</v>
      </c>
      <c r="BT823">
        <v>50</v>
      </c>
      <c r="BU823">
        <v>42376</v>
      </c>
      <c r="BV823" t="s">
        <v>89</v>
      </c>
      <c r="BW823">
        <v>20</v>
      </c>
      <c r="BX823">
        <v>1976</v>
      </c>
      <c r="BY823">
        <v>20</v>
      </c>
      <c r="BZ823">
        <f t="shared" si="116"/>
        <v>-2</v>
      </c>
      <c r="CA823">
        <f t="shared" si="117"/>
        <v>0</v>
      </c>
      <c r="CB823" t="b">
        <f t="shared" si="118"/>
        <v>0</v>
      </c>
    </row>
    <row r="824" spans="1:80" x14ac:dyDescent="0.3">
      <c r="A824" t="s">
        <v>6810</v>
      </c>
      <c r="B824" t="s">
        <v>71</v>
      </c>
      <c r="C824" t="s">
        <v>6811</v>
      </c>
      <c r="D824">
        <v>34</v>
      </c>
      <c r="E824" t="s">
        <v>6812</v>
      </c>
      <c r="F824" t="s">
        <v>6813</v>
      </c>
      <c r="G824" t="s">
        <v>413</v>
      </c>
      <c r="H824" t="s">
        <v>76</v>
      </c>
      <c r="I824" t="s">
        <v>357</v>
      </c>
      <c r="J824" t="s">
        <v>78</v>
      </c>
      <c r="K824" t="s">
        <v>706</v>
      </c>
      <c r="L824" t="s">
        <v>254</v>
      </c>
      <c r="M824">
        <v>18</v>
      </c>
      <c r="N824" t="s">
        <v>644</v>
      </c>
      <c r="O824">
        <v>2009</v>
      </c>
      <c r="P824" t="s">
        <v>6814</v>
      </c>
      <c r="Q824" t="s">
        <v>6815</v>
      </c>
      <c r="R824">
        <v>99922</v>
      </c>
      <c r="S824" t="s">
        <v>6810</v>
      </c>
      <c r="T824" t="s">
        <v>6816</v>
      </c>
      <c r="U824">
        <v>1991</v>
      </c>
      <c r="V824" t="s">
        <v>6817</v>
      </c>
      <c r="W824">
        <v>1.84</v>
      </c>
      <c r="X824" t="s">
        <v>76</v>
      </c>
      <c r="Y824" t="s">
        <v>235</v>
      </c>
      <c r="Z824" t="s">
        <v>87</v>
      </c>
      <c r="AA824" t="s">
        <v>706</v>
      </c>
      <c r="AB824" t="s">
        <v>6818</v>
      </c>
      <c r="AC824" t="s">
        <v>88</v>
      </c>
      <c r="AD824" t="s">
        <v>395</v>
      </c>
      <c r="AE824" t="s">
        <v>1862</v>
      </c>
      <c r="AF824">
        <v>19</v>
      </c>
      <c r="AG824" t="s">
        <v>91</v>
      </c>
      <c r="AH824" t="s">
        <v>614</v>
      </c>
      <c r="AI824">
        <v>19</v>
      </c>
      <c r="AJ824" t="s">
        <v>110</v>
      </c>
      <c r="AK824">
        <v>19</v>
      </c>
      <c r="AL824">
        <v>17</v>
      </c>
      <c r="AM824">
        <v>436</v>
      </c>
      <c r="AN824">
        <v>86</v>
      </c>
      <c r="AO824">
        <v>10</v>
      </c>
      <c r="AP824" t="s">
        <v>93</v>
      </c>
      <c r="AQ824" t="s">
        <v>89</v>
      </c>
      <c r="AR824" t="s">
        <v>89</v>
      </c>
      <c r="AS824" t="s">
        <v>93</v>
      </c>
      <c r="AT824" t="s">
        <v>89</v>
      </c>
      <c r="AU824" t="s">
        <v>89</v>
      </c>
      <c r="AV824" t="s">
        <v>89</v>
      </c>
      <c r="AW824">
        <v>16</v>
      </c>
      <c r="AX824">
        <v>5</v>
      </c>
      <c r="AY824" t="s">
        <v>111</v>
      </c>
      <c r="AZ824">
        <v>9</v>
      </c>
      <c r="BA824">
        <v>13</v>
      </c>
      <c r="BB824">
        <v>901</v>
      </c>
      <c r="BC824">
        <v>1</v>
      </c>
      <c r="BD824">
        <v>423</v>
      </c>
      <c r="BE824">
        <v>34007</v>
      </c>
      <c r="BF824">
        <v>26</v>
      </c>
      <c r="BG824" t="s">
        <v>89</v>
      </c>
      <c r="BH824">
        <v>436</v>
      </c>
      <c r="BI824">
        <v>34908</v>
      </c>
      <c r="BJ824">
        <v>27</v>
      </c>
      <c r="BK824">
        <f t="shared" si="110"/>
        <v>436</v>
      </c>
      <c r="BL824">
        <f t="shared" si="111"/>
        <v>34908</v>
      </c>
      <c r="BM824">
        <f t="shared" si="112"/>
        <v>27</v>
      </c>
      <c r="BN824">
        <f t="shared" si="113"/>
        <v>0</v>
      </c>
      <c r="BO824">
        <f t="shared" si="114"/>
        <v>0</v>
      </c>
      <c r="BP824">
        <f t="shared" si="115"/>
        <v>0</v>
      </c>
      <c r="BQ824" t="s">
        <v>235</v>
      </c>
      <c r="BR824" t="s">
        <v>140</v>
      </c>
      <c r="BS824" s="1">
        <v>33253</v>
      </c>
      <c r="BT824">
        <v>35</v>
      </c>
      <c r="BU824" t="s">
        <v>89</v>
      </c>
      <c r="BV824" t="s">
        <v>89</v>
      </c>
      <c r="BW824">
        <v>16</v>
      </c>
      <c r="BX824">
        <v>1991</v>
      </c>
      <c r="BY824">
        <v>15</v>
      </c>
      <c r="BZ824">
        <f t="shared" si="116"/>
        <v>0</v>
      </c>
      <c r="CA824">
        <f t="shared" si="117"/>
        <v>1</v>
      </c>
      <c r="CB824" t="b">
        <f t="shared" si="118"/>
        <v>1</v>
      </c>
    </row>
    <row r="825" spans="1:80" x14ac:dyDescent="0.3">
      <c r="A825" t="s">
        <v>6819</v>
      </c>
      <c r="B825" t="s">
        <v>71</v>
      </c>
      <c r="C825" t="s">
        <v>6820</v>
      </c>
      <c r="D825">
        <v>43</v>
      </c>
      <c r="E825" s="1">
        <v>30093</v>
      </c>
      <c r="F825" t="s">
        <v>89</v>
      </c>
      <c r="G825" t="s">
        <v>97</v>
      </c>
      <c r="H825" t="s">
        <v>76</v>
      </c>
      <c r="I825" t="s">
        <v>348</v>
      </c>
      <c r="J825" t="s">
        <v>89</v>
      </c>
      <c r="K825" t="s">
        <v>89</v>
      </c>
      <c r="L825" t="s">
        <v>99</v>
      </c>
      <c r="M825">
        <v>19</v>
      </c>
      <c r="N825" t="s">
        <v>146</v>
      </c>
      <c r="O825">
        <v>2001</v>
      </c>
      <c r="P825" t="s">
        <v>6821</v>
      </c>
      <c r="Q825" t="s">
        <v>6822</v>
      </c>
      <c r="R825">
        <v>15761</v>
      </c>
      <c r="S825" t="s">
        <v>6819</v>
      </c>
      <c r="T825" t="s">
        <v>6823</v>
      </c>
      <c r="U825">
        <v>1982</v>
      </c>
      <c r="V825" t="s">
        <v>1923</v>
      </c>
      <c r="W825">
        <v>1.81</v>
      </c>
      <c r="X825" t="s">
        <v>76</v>
      </c>
      <c r="Y825" t="s">
        <v>136</v>
      </c>
      <c r="Z825" t="s">
        <v>87</v>
      </c>
      <c r="AA825" t="s">
        <v>1900</v>
      </c>
      <c r="AB825" s="1">
        <v>42376</v>
      </c>
      <c r="AC825" t="s">
        <v>108</v>
      </c>
      <c r="AD825" t="s">
        <v>89</v>
      </c>
      <c r="AE825">
        <v>36992</v>
      </c>
      <c r="AF825">
        <v>19</v>
      </c>
      <c r="AG825" t="s">
        <v>91</v>
      </c>
      <c r="AH825" t="s">
        <v>6824</v>
      </c>
      <c r="AI825">
        <v>22</v>
      </c>
      <c r="AJ825" t="s">
        <v>110</v>
      </c>
      <c r="AK825">
        <v>19</v>
      </c>
      <c r="AL825">
        <v>2</v>
      </c>
      <c r="AM825">
        <v>121</v>
      </c>
      <c r="AN825">
        <v>16</v>
      </c>
      <c r="AO825">
        <v>1</v>
      </c>
      <c r="AP825" t="s">
        <v>93</v>
      </c>
      <c r="AQ825" t="s">
        <v>89</v>
      </c>
      <c r="AR825" t="s">
        <v>89</v>
      </c>
      <c r="AS825" t="s">
        <v>111</v>
      </c>
      <c r="AT825">
        <v>42376</v>
      </c>
      <c r="AU825">
        <v>2016</v>
      </c>
      <c r="AV825">
        <v>15</v>
      </c>
      <c r="AW825">
        <v>15</v>
      </c>
      <c r="AX825" t="s">
        <v>89</v>
      </c>
      <c r="AY825" t="s">
        <v>93</v>
      </c>
      <c r="AZ825">
        <v>0</v>
      </c>
      <c r="BA825">
        <v>0</v>
      </c>
      <c r="BB825">
        <v>0</v>
      </c>
      <c r="BC825">
        <v>0</v>
      </c>
      <c r="BD825">
        <v>321</v>
      </c>
      <c r="BE825">
        <v>27236</v>
      </c>
      <c r="BF825">
        <v>6</v>
      </c>
      <c r="BG825">
        <v>34</v>
      </c>
      <c r="BH825">
        <v>321</v>
      </c>
      <c r="BI825">
        <v>27236</v>
      </c>
      <c r="BJ825">
        <v>6</v>
      </c>
      <c r="BK825">
        <f t="shared" si="110"/>
        <v>321</v>
      </c>
      <c r="BL825">
        <f t="shared" si="111"/>
        <v>27236</v>
      </c>
      <c r="BM825">
        <f t="shared" si="112"/>
        <v>6</v>
      </c>
      <c r="BN825">
        <f t="shared" si="113"/>
        <v>0</v>
      </c>
      <c r="BO825">
        <f t="shared" si="114"/>
        <v>0</v>
      </c>
      <c r="BP825">
        <f t="shared" si="115"/>
        <v>0</v>
      </c>
      <c r="BQ825" t="s">
        <v>136</v>
      </c>
      <c r="BR825" t="s">
        <v>140</v>
      </c>
      <c r="BS825" s="1">
        <v>30093</v>
      </c>
      <c r="BT825">
        <v>43</v>
      </c>
      <c r="BU825">
        <v>42376</v>
      </c>
      <c r="BV825" t="s">
        <v>89</v>
      </c>
      <c r="BW825">
        <v>15</v>
      </c>
      <c r="BX825">
        <v>1982</v>
      </c>
      <c r="BY825">
        <v>15</v>
      </c>
      <c r="BZ825">
        <f t="shared" si="116"/>
        <v>0</v>
      </c>
      <c r="CA825">
        <f t="shared" si="117"/>
        <v>0</v>
      </c>
      <c r="CB825" t="b">
        <f t="shared" si="118"/>
        <v>1</v>
      </c>
    </row>
    <row r="826" spans="1:80" x14ac:dyDescent="0.3">
      <c r="A826" t="s">
        <v>6825</v>
      </c>
      <c r="B826" t="s">
        <v>71</v>
      </c>
      <c r="C826" t="s">
        <v>6826</v>
      </c>
      <c r="D826">
        <v>35</v>
      </c>
      <c r="E826" t="s">
        <v>6827</v>
      </c>
      <c r="F826" t="s">
        <v>6828</v>
      </c>
      <c r="G826" t="s">
        <v>321</v>
      </c>
      <c r="H826" t="s">
        <v>89</v>
      </c>
      <c r="I826" t="s">
        <v>401</v>
      </c>
      <c r="J826" t="s">
        <v>89</v>
      </c>
      <c r="K826" t="s">
        <v>1831</v>
      </c>
      <c r="L826" t="s">
        <v>278</v>
      </c>
      <c r="M826">
        <v>21</v>
      </c>
      <c r="N826" t="s">
        <v>1137</v>
      </c>
      <c r="O826">
        <v>2011</v>
      </c>
      <c r="P826" t="s">
        <v>6829</v>
      </c>
      <c r="Q826" t="s">
        <v>6830</v>
      </c>
      <c r="R826">
        <v>176298</v>
      </c>
      <c r="S826" t="s">
        <v>6825</v>
      </c>
      <c r="T826" t="s">
        <v>6831</v>
      </c>
      <c r="U826">
        <v>1990</v>
      </c>
      <c r="V826" t="s">
        <v>6832</v>
      </c>
      <c r="W826">
        <v>1.79</v>
      </c>
      <c r="X826" t="s">
        <v>76</v>
      </c>
      <c r="Y826" t="s">
        <v>391</v>
      </c>
      <c r="Z826" t="s">
        <v>87</v>
      </c>
      <c r="AA826" t="s">
        <v>6752</v>
      </c>
      <c r="AB826" s="1">
        <v>45755</v>
      </c>
      <c r="AC826" t="s">
        <v>170</v>
      </c>
      <c r="AD826" t="s">
        <v>89</v>
      </c>
      <c r="AE826" t="s">
        <v>294</v>
      </c>
      <c r="AF826">
        <v>22</v>
      </c>
      <c r="AG826" t="s">
        <v>91</v>
      </c>
      <c r="AH826">
        <v>40642</v>
      </c>
      <c r="AI826">
        <v>21</v>
      </c>
      <c r="AJ826" t="s">
        <v>110</v>
      </c>
      <c r="AK826">
        <v>21</v>
      </c>
      <c r="AL826" t="s">
        <v>89</v>
      </c>
      <c r="AM826" t="s">
        <v>89</v>
      </c>
      <c r="AN826" t="s">
        <v>89</v>
      </c>
      <c r="AO826">
        <v>0</v>
      </c>
      <c r="AP826" t="s">
        <v>93</v>
      </c>
      <c r="AQ826" t="s">
        <v>89</v>
      </c>
      <c r="AR826" t="s">
        <v>89</v>
      </c>
      <c r="AS826" t="s">
        <v>93</v>
      </c>
      <c r="AT826" t="s">
        <v>89</v>
      </c>
      <c r="AU826" t="s">
        <v>89</v>
      </c>
      <c r="AV826" t="s">
        <v>89</v>
      </c>
      <c r="AW826">
        <v>14</v>
      </c>
      <c r="AX826">
        <v>11</v>
      </c>
      <c r="AY826" t="s">
        <v>93</v>
      </c>
      <c r="AZ826">
        <v>0</v>
      </c>
      <c r="BA826">
        <v>0</v>
      </c>
      <c r="BB826">
        <v>0</v>
      </c>
      <c r="BC826">
        <v>0</v>
      </c>
      <c r="BD826">
        <v>123</v>
      </c>
      <c r="BE826">
        <v>6422</v>
      </c>
      <c r="BF826">
        <v>18</v>
      </c>
      <c r="BG826" t="s">
        <v>89</v>
      </c>
      <c r="BH826">
        <v>123</v>
      </c>
      <c r="BI826">
        <v>6422</v>
      </c>
      <c r="BJ826">
        <v>18</v>
      </c>
      <c r="BK826">
        <f t="shared" si="110"/>
        <v>123</v>
      </c>
      <c r="BL826">
        <f t="shared" si="111"/>
        <v>6422</v>
      </c>
      <c r="BM826">
        <f t="shared" si="112"/>
        <v>18</v>
      </c>
      <c r="BN826">
        <f t="shared" si="113"/>
        <v>0</v>
      </c>
      <c r="BO826">
        <f t="shared" si="114"/>
        <v>0</v>
      </c>
      <c r="BP826">
        <f t="shared" si="115"/>
        <v>0</v>
      </c>
      <c r="BQ826" t="s">
        <v>391</v>
      </c>
      <c r="BR826" t="s">
        <v>112</v>
      </c>
      <c r="BS826" s="1">
        <v>32992</v>
      </c>
      <c r="BT826">
        <v>35</v>
      </c>
      <c r="BU826" t="s">
        <v>89</v>
      </c>
      <c r="BV826" t="s">
        <v>89</v>
      </c>
      <c r="BW826">
        <v>14</v>
      </c>
      <c r="BX826">
        <v>1990</v>
      </c>
      <c r="BY826">
        <v>14</v>
      </c>
      <c r="BZ826">
        <f t="shared" si="116"/>
        <v>0</v>
      </c>
      <c r="CA826">
        <f t="shared" si="117"/>
        <v>0</v>
      </c>
      <c r="CB826" t="b">
        <f t="shared" si="118"/>
        <v>1</v>
      </c>
    </row>
    <row r="827" spans="1:80" x14ac:dyDescent="0.3">
      <c r="A827" t="s">
        <v>6833</v>
      </c>
      <c r="B827" t="s">
        <v>71</v>
      </c>
      <c r="C827" t="s">
        <v>6834</v>
      </c>
      <c r="D827">
        <v>33</v>
      </c>
      <c r="E827" t="s">
        <v>6835</v>
      </c>
      <c r="F827" t="s">
        <v>6836</v>
      </c>
      <c r="G827" t="s">
        <v>97</v>
      </c>
      <c r="H827" t="s">
        <v>76</v>
      </c>
      <c r="I827" t="s">
        <v>6837</v>
      </c>
      <c r="J827" t="s">
        <v>300</v>
      </c>
      <c r="K827" t="s">
        <v>6838</v>
      </c>
      <c r="L827" t="s">
        <v>130</v>
      </c>
      <c r="M827">
        <v>16</v>
      </c>
      <c r="N827" t="s">
        <v>644</v>
      </c>
      <c r="O827">
        <v>2008</v>
      </c>
      <c r="P827" t="s">
        <v>6839</v>
      </c>
      <c r="Q827" t="s">
        <v>6840</v>
      </c>
      <c r="R827">
        <v>74228</v>
      </c>
      <c r="S827" t="s">
        <v>6833</v>
      </c>
      <c r="T827" t="s">
        <v>6157</v>
      </c>
      <c r="U827">
        <v>1992</v>
      </c>
      <c r="V827" t="s">
        <v>6841</v>
      </c>
      <c r="W827">
        <v>1.8</v>
      </c>
      <c r="X827" t="s">
        <v>76</v>
      </c>
      <c r="Y827" t="s">
        <v>235</v>
      </c>
      <c r="Z827" t="s">
        <v>152</v>
      </c>
      <c r="AA827" t="s">
        <v>6842</v>
      </c>
      <c r="AB827" t="s">
        <v>6843</v>
      </c>
      <c r="AC827" t="s">
        <v>170</v>
      </c>
      <c r="AD827" t="s">
        <v>89</v>
      </c>
      <c r="AE827" t="s">
        <v>5171</v>
      </c>
      <c r="AF827">
        <v>17</v>
      </c>
      <c r="AG827" t="s">
        <v>91</v>
      </c>
      <c r="AH827">
        <v>40307</v>
      </c>
      <c r="AI827">
        <v>18</v>
      </c>
      <c r="AJ827" t="s">
        <v>110</v>
      </c>
      <c r="AK827">
        <v>17</v>
      </c>
      <c r="AL827">
        <v>11</v>
      </c>
      <c r="AM827">
        <v>922</v>
      </c>
      <c r="AN827">
        <v>111</v>
      </c>
      <c r="AO827">
        <v>8</v>
      </c>
      <c r="AP827" t="s">
        <v>93</v>
      </c>
      <c r="AQ827" t="s">
        <v>89</v>
      </c>
      <c r="AR827" t="s">
        <v>89</v>
      </c>
      <c r="AS827" t="s">
        <v>93</v>
      </c>
      <c r="AT827" t="s">
        <v>89</v>
      </c>
      <c r="AU827" t="s">
        <v>89</v>
      </c>
      <c r="AV827" t="s">
        <v>89</v>
      </c>
      <c r="AW827">
        <v>17</v>
      </c>
      <c r="AX827">
        <v>5</v>
      </c>
      <c r="AY827" t="s">
        <v>93</v>
      </c>
      <c r="AZ827">
        <v>0</v>
      </c>
      <c r="BA827">
        <v>0</v>
      </c>
      <c r="BB827">
        <v>0</v>
      </c>
      <c r="BC827">
        <v>0</v>
      </c>
      <c r="BD827">
        <v>173</v>
      </c>
      <c r="BE827">
        <v>13395</v>
      </c>
      <c r="BF827">
        <v>5</v>
      </c>
      <c r="BG827" t="s">
        <v>89</v>
      </c>
      <c r="BH827">
        <v>173</v>
      </c>
      <c r="BI827">
        <v>13395</v>
      </c>
      <c r="BJ827">
        <v>5</v>
      </c>
      <c r="BK827">
        <f t="shared" si="110"/>
        <v>173</v>
      </c>
      <c r="BL827">
        <f t="shared" si="111"/>
        <v>13395</v>
      </c>
      <c r="BM827">
        <f t="shared" si="112"/>
        <v>5</v>
      </c>
      <c r="BN827">
        <f t="shared" si="113"/>
        <v>0</v>
      </c>
      <c r="BO827">
        <f t="shared" si="114"/>
        <v>0</v>
      </c>
      <c r="BP827">
        <f t="shared" si="115"/>
        <v>0</v>
      </c>
      <c r="BQ827" t="s">
        <v>235</v>
      </c>
      <c r="BR827" t="s">
        <v>140</v>
      </c>
      <c r="BS827" s="1">
        <v>33690</v>
      </c>
      <c r="BT827">
        <v>33</v>
      </c>
      <c r="BU827" t="s">
        <v>89</v>
      </c>
      <c r="BV827" t="s">
        <v>89</v>
      </c>
      <c r="BW827">
        <v>16</v>
      </c>
      <c r="BX827">
        <v>1992</v>
      </c>
      <c r="BY827">
        <v>16</v>
      </c>
      <c r="BZ827">
        <f t="shared" si="116"/>
        <v>1</v>
      </c>
      <c r="CA827">
        <f t="shared" si="117"/>
        <v>0</v>
      </c>
      <c r="CB827" t="b">
        <f t="shared" si="118"/>
        <v>0</v>
      </c>
    </row>
    <row r="828" spans="1:80" x14ac:dyDescent="0.3">
      <c r="A828" t="s">
        <v>6844</v>
      </c>
      <c r="B828" t="s">
        <v>71</v>
      </c>
      <c r="C828" t="s">
        <v>6845</v>
      </c>
      <c r="D828">
        <v>39</v>
      </c>
      <c r="E828">
        <v>31461</v>
      </c>
      <c r="F828" t="s">
        <v>89</v>
      </c>
      <c r="G828" t="s">
        <v>819</v>
      </c>
      <c r="H828" t="s">
        <v>76</v>
      </c>
      <c r="I828" t="s">
        <v>227</v>
      </c>
      <c r="J828" t="s">
        <v>78</v>
      </c>
      <c r="K828" t="s">
        <v>89</v>
      </c>
      <c r="L828" t="s">
        <v>117</v>
      </c>
      <c r="M828">
        <v>19</v>
      </c>
      <c r="N828" t="s">
        <v>629</v>
      </c>
      <c r="O828">
        <v>2005</v>
      </c>
      <c r="P828" t="s">
        <v>6846</v>
      </c>
      <c r="Q828" t="s">
        <v>6847</v>
      </c>
      <c r="R828">
        <v>38266</v>
      </c>
      <c r="S828" t="s">
        <v>6844</v>
      </c>
      <c r="T828" t="s">
        <v>6848</v>
      </c>
      <c r="U828">
        <v>1986</v>
      </c>
      <c r="V828" t="s">
        <v>644</v>
      </c>
      <c r="W828" t="s">
        <v>89</v>
      </c>
      <c r="X828" t="s">
        <v>76</v>
      </c>
      <c r="Y828" t="s">
        <v>235</v>
      </c>
      <c r="Z828" t="s">
        <v>89</v>
      </c>
      <c r="AA828" t="s">
        <v>6849</v>
      </c>
      <c r="AB828">
        <v>43472</v>
      </c>
      <c r="AC828" t="s">
        <v>108</v>
      </c>
      <c r="AD828" t="s">
        <v>89</v>
      </c>
      <c r="AE828" t="s">
        <v>6850</v>
      </c>
      <c r="AF828">
        <v>20</v>
      </c>
      <c r="AG828" t="s">
        <v>91</v>
      </c>
      <c r="AH828" t="s">
        <v>6521</v>
      </c>
      <c r="AI828">
        <v>19</v>
      </c>
      <c r="AJ828" t="s">
        <v>110</v>
      </c>
      <c r="AK828">
        <v>19</v>
      </c>
      <c r="AL828">
        <v>15</v>
      </c>
      <c r="AM828">
        <v>704</v>
      </c>
      <c r="AN828">
        <v>111</v>
      </c>
      <c r="AO828">
        <v>8</v>
      </c>
      <c r="AP828" t="s">
        <v>93</v>
      </c>
      <c r="AQ828" t="s">
        <v>89</v>
      </c>
      <c r="AR828" t="s">
        <v>89</v>
      </c>
      <c r="AS828" t="s">
        <v>111</v>
      </c>
      <c r="AT828">
        <v>43472</v>
      </c>
      <c r="AU828">
        <v>2019</v>
      </c>
      <c r="AV828">
        <v>14</v>
      </c>
      <c r="AW828">
        <v>14</v>
      </c>
      <c r="AX828" t="s">
        <v>89</v>
      </c>
      <c r="AY828" t="s">
        <v>93</v>
      </c>
      <c r="AZ828">
        <v>0</v>
      </c>
      <c r="BA828">
        <v>0</v>
      </c>
      <c r="BB828">
        <v>0</v>
      </c>
      <c r="BC828">
        <v>0</v>
      </c>
      <c r="BD828">
        <v>343</v>
      </c>
      <c r="BE828">
        <v>29491</v>
      </c>
      <c r="BF828">
        <v>5</v>
      </c>
      <c r="BG828">
        <v>33</v>
      </c>
      <c r="BH828">
        <v>343</v>
      </c>
      <c r="BI828">
        <v>29491</v>
      </c>
      <c r="BJ828">
        <v>5</v>
      </c>
      <c r="BK828">
        <f t="shared" si="110"/>
        <v>343</v>
      </c>
      <c r="BL828">
        <f t="shared" si="111"/>
        <v>29491</v>
      </c>
      <c r="BM828">
        <f t="shared" si="112"/>
        <v>5</v>
      </c>
      <c r="BN828">
        <f t="shared" si="113"/>
        <v>0</v>
      </c>
      <c r="BO828">
        <f t="shared" si="114"/>
        <v>0</v>
      </c>
      <c r="BP828">
        <f t="shared" si="115"/>
        <v>0</v>
      </c>
      <c r="BQ828" t="s">
        <v>235</v>
      </c>
      <c r="BR828" t="s">
        <v>140</v>
      </c>
      <c r="BS828" s="1">
        <v>31461</v>
      </c>
      <c r="BT828">
        <v>39</v>
      </c>
      <c r="BU828">
        <v>43472</v>
      </c>
      <c r="BV828" t="s">
        <v>89</v>
      </c>
      <c r="BW828">
        <v>14</v>
      </c>
      <c r="BX828">
        <v>1986</v>
      </c>
      <c r="BY828">
        <v>14</v>
      </c>
      <c r="BZ828">
        <f t="shared" si="116"/>
        <v>0</v>
      </c>
      <c r="CA828">
        <f t="shared" si="117"/>
        <v>0</v>
      </c>
      <c r="CB828" t="b">
        <f t="shared" si="118"/>
        <v>1</v>
      </c>
    </row>
    <row r="829" spans="1:80" x14ac:dyDescent="0.3">
      <c r="A829" t="s">
        <v>6851</v>
      </c>
      <c r="B829" t="s">
        <v>71</v>
      </c>
      <c r="C829" t="s">
        <v>6852</v>
      </c>
      <c r="D829">
        <v>38</v>
      </c>
      <c r="E829">
        <v>31865</v>
      </c>
      <c r="F829" t="s">
        <v>89</v>
      </c>
      <c r="G829" t="s">
        <v>413</v>
      </c>
      <c r="H829" t="s">
        <v>76</v>
      </c>
      <c r="I829" t="s">
        <v>227</v>
      </c>
      <c r="J829" t="s">
        <v>89</v>
      </c>
      <c r="K829" t="s">
        <v>89</v>
      </c>
      <c r="L829" t="s">
        <v>130</v>
      </c>
      <c r="M829">
        <v>21</v>
      </c>
      <c r="N829" t="s">
        <v>892</v>
      </c>
      <c r="O829">
        <v>2008</v>
      </c>
      <c r="P829" t="s">
        <v>6853</v>
      </c>
      <c r="Q829" t="s">
        <v>6854</v>
      </c>
      <c r="R829">
        <v>53301</v>
      </c>
      <c r="S829" t="s">
        <v>6851</v>
      </c>
      <c r="T829" t="s">
        <v>6855</v>
      </c>
      <c r="U829">
        <v>1987</v>
      </c>
      <c r="V829" t="s">
        <v>653</v>
      </c>
      <c r="W829">
        <v>1.84</v>
      </c>
      <c r="X829" t="s">
        <v>76</v>
      </c>
      <c r="Y829" t="s">
        <v>235</v>
      </c>
      <c r="Z829" t="s">
        <v>87</v>
      </c>
      <c r="AA829" t="s">
        <v>717</v>
      </c>
      <c r="AB829" t="s">
        <v>6856</v>
      </c>
      <c r="AC829" t="s">
        <v>108</v>
      </c>
      <c r="AD829" t="s">
        <v>89</v>
      </c>
      <c r="AE829" t="s">
        <v>963</v>
      </c>
      <c r="AF829">
        <v>22</v>
      </c>
      <c r="AG829" t="s">
        <v>91</v>
      </c>
      <c r="AH829">
        <v>39638</v>
      </c>
      <c r="AI829">
        <v>21</v>
      </c>
      <c r="AJ829" t="s">
        <v>110</v>
      </c>
      <c r="AK829">
        <v>21</v>
      </c>
      <c r="AL829">
        <v>3</v>
      </c>
      <c r="AM829">
        <v>62</v>
      </c>
      <c r="AN829">
        <v>10</v>
      </c>
      <c r="AO829">
        <v>3</v>
      </c>
      <c r="AP829" t="s">
        <v>93</v>
      </c>
      <c r="AQ829" t="s">
        <v>89</v>
      </c>
      <c r="AR829" t="s">
        <v>89</v>
      </c>
      <c r="AS829" t="s">
        <v>111</v>
      </c>
      <c r="AT829" t="s">
        <v>6856</v>
      </c>
      <c r="AU829">
        <v>2023</v>
      </c>
      <c r="AV829">
        <v>15</v>
      </c>
      <c r="AW829">
        <v>15</v>
      </c>
      <c r="AX829" t="s">
        <v>89</v>
      </c>
      <c r="AY829" t="s">
        <v>93</v>
      </c>
      <c r="AZ829">
        <v>0</v>
      </c>
      <c r="BA829">
        <v>0</v>
      </c>
      <c r="BB829">
        <v>0</v>
      </c>
      <c r="BC829">
        <v>0</v>
      </c>
      <c r="BD829">
        <v>312</v>
      </c>
      <c r="BE829">
        <v>25560</v>
      </c>
      <c r="BF829">
        <v>8</v>
      </c>
      <c r="BG829">
        <v>36</v>
      </c>
      <c r="BH829">
        <v>312</v>
      </c>
      <c r="BI829">
        <v>25560</v>
      </c>
      <c r="BJ829">
        <v>8</v>
      </c>
      <c r="BK829">
        <f t="shared" si="110"/>
        <v>312</v>
      </c>
      <c r="BL829">
        <f t="shared" si="111"/>
        <v>25560</v>
      </c>
      <c r="BM829">
        <f t="shared" si="112"/>
        <v>8</v>
      </c>
      <c r="BN829">
        <f t="shared" si="113"/>
        <v>0</v>
      </c>
      <c r="BO829">
        <f t="shared" si="114"/>
        <v>0</v>
      </c>
      <c r="BP829">
        <f t="shared" si="115"/>
        <v>0</v>
      </c>
      <c r="BQ829" t="s">
        <v>235</v>
      </c>
      <c r="BR829" t="s">
        <v>140</v>
      </c>
      <c r="BS829" s="1">
        <v>31865</v>
      </c>
      <c r="BT829">
        <v>38</v>
      </c>
      <c r="BU829" t="s">
        <v>6856</v>
      </c>
      <c r="BV829" s="1">
        <v>45044</v>
      </c>
      <c r="BW829">
        <v>15</v>
      </c>
      <c r="BX829">
        <v>1987</v>
      </c>
      <c r="BY829">
        <v>15</v>
      </c>
      <c r="BZ829">
        <f t="shared" si="116"/>
        <v>0</v>
      </c>
      <c r="CA829">
        <f t="shared" si="117"/>
        <v>0</v>
      </c>
      <c r="CB829" t="b">
        <f t="shared" si="118"/>
        <v>1</v>
      </c>
    </row>
    <row r="830" spans="1:80" x14ac:dyDescent="0.3">
      <c r="A830" t="s">
        <v>6857</v>
      </c>
      <c r="B830" t="s">
        <v>776</v>
      </c>
      <c r="C830" t="s">
        <v>6858</v>
      </c>
      <c r="D830">
        <v>37</v>
      </c>
      <c r="E830" s="1">
        <v>32275</v>
      </c>
      <c r="F830" t="s">
        <v>89</v>
      </c>
      <c r="G830" t="s">
        <v>143</v>
      </c>
      <c r="H830" t="s">
        <v>778</v>
      </c>
      <c r="I830" t="s">
        <v>322</v>
      </c>
      <c r="J830" t="s">
        <v>300</v>
      </c>
      <c r="K830" t="s">
        <v>89</v>
      </c>
      <c r="L830" t="s">
        <v>163</v>
      </c>
      <c r="M830">
        <v>18</v>
      </c>
      <c r="N830" t="s">
        <v>268</v>
      </c>
      <c r="O830">
        <v>2006</v>
      </c>
      <c r="P830" t="s">
        <v>6859</v>
      </c>
      <c r="Q830" t="s">
        <v>6860</v>
      </c>
      <c r="R830">
        <v>44501</v>
      </c>
      <c r="S830" t="s">
        <v>6857</v>
      </c>
      <c r="T830">
        <v>32482</v>
      </c>
      <c r="U830">
        <v>1988</v>
      </c>
      <c r="V830" t="s">
        <v>2938</v>
      </c>
      <c r="W830">
        <v>1.74</v>
      </c>
      <c r="X830" t="s">
        <v>783</v>
      </c>
      <c r="Y830" t="s">
        <v>203</v>
      </c>
      <c r="Z830" t="s">
        <v>152</v>
      </c>
      <c r="AA830" t="s">
        <v>6861</v>
      </c>
      <c r="AB830" s="1">
        <v>45810</v>
      </c>
      <c r="AC830" t="s">
        <v>108</v>
      </c>
      <c r="AD830" t="s">
        <v>442</v>
      </c>
      <c r="AE830" t="s">
        <v>6862</v>
      </c>
      <c r="AF830">
        <v>17</v>
      </c>
      <c r="AG830" t="s">
        <v>786</v>
      </c>
      <c r="AH830" t="s">
        <v>92</v>
      </c>
      <c r="AI830" t="s">
        <v>89</v>
      </c>
      <c r="AJ830" t="s">
        <v>92</v>
      </c>
      <c r="AK830">
        <v>17</v>
      </c>
      <c r="AL830">
        <v>41</v>
      </c>
      <c r="AM830">
        <v>712</v>
      </c>
      <c r="AN830">
        <v>146</v>
      </c>
      <c r="AO830">
        <v>15</v>
      </c>
      <c r="AP830" t="s">
        <v>93</v>
      </c>
      <c r="AQ830" t="s">
        <v>89</v>
      </c>
      <c r="AR830" t="s">
        <v>89</v>
      </c>
      <c r="AS830" t="s">
        <v>111</v>
      </c>
      <c r="AT830" s="1">
        <v>45810</v>
      </c>
      <c r="AU830">
        <v>2025</v>
      </c>
      <c r="AV830">
        <v>19</v>
      </c>
      <c r="AW830">
        <v>19</v>
      </c>
      <c r="AX830" t="s">
        <v>89</v>
      </c>
      <c r="AY830" t="s">
        <v>111</v>
      </c>
      <c r="AZ830">
        <v>8</v>
      </c>
      <c r="BA830">
        <v>35</v>
      </c>
      <c r="BB830">
        <v>2815</v>
      </c>
      <c r="BC830">
        <v>2</v>
      </c>
      <c r="BD830">
        <v>574</v>
      </c>
      <c r="BE830">
        <v>44603</v>
      </c>
      <c r="BF830">
        <v>42</v>
      </c>
      <c r="BG830">
        <v>37</v>
      </c>
      <c r="BH830">
        <v>609</v>
      </c>
      <c r="BI830">
        <v>47418</v>
      </c>
      <c r="BJ830">
        <v>44</v>
      </c>
      <c r="BK830">
        <f t="shared" si="110"/>
        <v>609</v>
      </c>
      <c r="BL830">
        <f t="shared" si="111"/>
        <v>47418</v>
      </c>
      <c r="BM830">
        <f t="shared" si="112"/>
        <v>44</v>
      </c>
      <c r="BN830">
        <f t="shared" si="113"/>
        <v>0</v>
      </c>
      <c r="BO830">
        <f t="shared" si="114"/>
        <v>0</v>
      </c>
      <c r="BP830">
        <f t="shared" si="115"/>
        <v>0</v>
      </c>
      <c r="BQ830" t="s">
        <v>203</v>
      </c>
      <c r="BR830" t="s">
        <v>140</v>
      </c>
      <c r="BS830" t="s">
        <v>89</v>
      </c>
      <c r="BT830">
        <v>38</v>
      </c>
      <c r="BU830" s="1">
        <v>45810</v>
      </c>
      <c r="BV830" s="1">
        <v>45694</v>
      </c>
      <c r="BW830">
        <v>20</v>
      </c>
      <c r="BX830">
        <v>1988</v>
      </c>
      <c r="BY830">
        <v>20</v>
      </c>
      <c r="BZ830">
        <f t="shared" si="116"/>
        <v>-1</v>
      </c>
      <c r="CA830">
        <f t="shared" si="117"/>
        <v>0</v>
      </c>
      <c r="CB830" t="b">
        <f t="shared" si="118"/>
        <v>0</v>
      </c>
    </row>
    <row r="831" spans="1:80" x14ac:dyDescent="0.3">
      <c r="A831" t="s">
        <v>6863</v>
      </c>
      <c r="B831" t="s">
        <v>729</v>
      </c>
      <c r="C831" t="s">
        <v>6864</v>
      </c>
      <c r="D831">
        <v>36</v>
      </c>
      <c r="E831" s="1">
        <v>32588</v>
      </c>
      <c r="F831" t="s">
        <v>89</v>
      </c>
      <c r="G831" t="s">
        <v>226</v>
      </c>
      <c r="H831" t="s">
        <v>732</v>
      </c>
      <c r="I831" t="s">
        <v>227</v>
      </c>
      <c r="J831" t="s">
        <v>78</v>
      </c>
      <c r="K831" t="s">
        <v>89</v>
      </c>
      <c r="L831" t="s">
        <v>228</v>
      </c>
      <c r="M831">
        <v>21</v>
      </c>
      <c r="N831" t="s">
        <v>527</v>
      </c>
      <c r="O831">
        <v>2010</v>
      </c>
      <c r="P831" t="s">
        <v>6865</v>
      </c>
      <c r="Q831" t="s">
        <v>6866</v>
      </c>
      <c r="R831">
        <v>76743</v>
      </c>
      <c r="S831" t="s">
        <v>6863</v>
      </c>
      <c r="T831" t="s">
        <v>6867</v>
      </c>
      <c r="U831">
        <v>1989</v>
      </c>
      <c r="V831" t="s">
        <v>6868</v>
      </c>
      <c r="W831">
        <v>1.85</v>
      </c>
      <c r="X831" t="s">
        <v>732</v>
      </c>
      <c r="Y831" t="s">
        <v>235</v>
      </c>
      <c r="Z831" t="s">
        <v>87</v>
      </c>
      <c r="AA831" t="s">
        <v>476</v>
      </c>
      <c r="AB831" s="1">
        <v>45658</v>
      </c>
      <c r="AC831" t="s">
        <v>108</v>
      </c>
      <c r="AD831" t="s">
        <v>89</v>
      </c>
      <c r="AE831" t="s">
        <v>6869</v>
      </c>
      <c r="AF831">
        <v>19</v>
      </c>
      <c r="AG831" t="s">
        <v>738</v>
      </c>
      <c r="AH831" t="s">
        <v>306</v>
      </c>
      <c r="AI831">
        <v>22</v>
      </c>
      <c r="AJ831" t="s">
        <v>110</v>
      </c>
      <c r="AK831">
        <v>19</v>
      </c>
      <c r="AL831">
        <v>14</v>
      </c>
      <c r="AM831">
        <v>479</v>
      </c>
      <c r="AN831">
        <v>66</v>
      </c>
      <c r="AO831">
        <v>7</v>
      </c>
      <c r="AP831" t="s">
        <v>93</v>
      </c>
      <c r="AQ831" t="s">
        <v>89</v>
      </c>
      <c r="AR831" t="s">
        <v>89</v>
      </c>
      <c r="AS831" t="s">
        <v>93</v>
      </c>
      <c r="AT831" t="s">
        <v>89</v>
      </c>
      <c r="AU831" t="s">
        <v>89</v>
      </c>
      <c r="AV831" t="s">
        <v>89</v>
      </c>
      <c r="AW831">
        <v>15</v>
      </c>
      <c r="AX831" t="s">
        <v>89</v>
      </c>
      <c r="AY831" t="s">
        <v>93</v>
      </c>
      <c r="AZ831">
        <v>0</v>
      </c>
      <c r="BA831">
        <v>0</v>
      </c>
      <c r="BB831">
        <v>0</v>
      </c>
      <c r="BC831">
        <v>0</v>
      </c>
      <c r="BD831">
        <v>278</v>
      </c>
      <c r="BE831">
        <v>23189</v>
      </c>
      <c r="BF831">
        <v>12</v>
      </c>
      <c r="BG831" t="s">
        <v>89</v>
      </c>
      <c r="BH831">
        <v>278</v>
      </c>
      <c r="BI831">
        <v>23189</v>
      </c>
      <c r="BJ831">
        <v>12</v>
      </c>
      <c r="BK831">
        <f t="shared" si="110"/>
        <v>278</v>
      </c>
      <c r="BL831">
        <f t="shared" si="111"/>
        <v>23189</v>
      </c>
      <c r="BM831">
        <f t="shared" si="112"/>
        <v>12</v>
      </c>
      <c r="BN831">
        <f t="shared" si="113"/>
        <v>0</v>
      </c>
      <c r="BO831">
        <f t="shared" si="114"/>
        <v>0</v>
      </c>
      <c r="BP831">
        <f t="shared" si="115"/>
        <v>0</v>
      </c>
      <c r="BQ831" t="s">
        <v>235</v>
      </c>
      <c r="BR831" t="s">
        <v>140</v>
      </c>
      <c r="BS831" t="s">
        <v>89</v>
      </c>
      <c r="BT831">
        <v>37</v>
      </c>
      <c r="BU831" t="s">
        <v>89</v>
      </c>
      <c r="BV831" t="s">
        <v>89</v>
      </c>
      <c r="BW831">
        <v>18</v>
      </c>
      <c r="BX831">
        <v>1989</v>
      </c>
      <c r="BY831">
        <v>17</v>
      </c>
      <c r="BZ831">
        <f t="shared" si="116"/>
        <v>-3</v>
      </c>
      <c r="CA831">
        <f t="shared" si="117"/>
        <v>1</v>
      </c>
      <c r="CB831" t="b">
        <f t="shared" si="118"/>
        <v>0</v>
      </c>
    </row>
    <row r="832" spans="1:80" x14ac:dyDescent="0.3">
      <c r="A832" t="s">
        <v>6870</v>
      </c>
      <c r="B832" t="s">
        <v>617</v>
      </c>
      <c r="C832" t="s">
        <v>6871</v>
      </c>
      <c r="D832">
        <v>34</v>
      </c>
      <c r="E832" t="s">
        <v>6872</v>
      </c>
      <c r="F832" t="s">
        <v>6873</v>
      </c>
      <c r="G832" t="s">
        <v>226</v>
      </c>
      <c r="H832" t="s">
        <v>619</v>
      </c>
      <c r="I832" t="s">
        <v>401</v>
      </c>
      <c r="J832" t="s">
        <v>78</v>
      </c>
      <c r="K832" t="s">
        <v>6874</v>
      </c>
      <c r="L832" t="s">
        <v>228</v>
      </c>
      <c r="M832">
        <v>19</v>
      </c>
      <c r="N832" t="s">
        <v>508</v>
      </c>
      <c r="O832">
        <v>2010</v>
      </c>
      <c r="P832" t="s">
        <v>6875</v>
      </c>
      <c r="Q832" t="s">
        <v>6876</v>
      </c>
      <c r="R832">
        <v>76648</v>
      </c>
      <c r="S832" t="s">
        <v>6870</v>
      </c>
      <c r="T832" t="s">
        <v>6877</v>
      </c>
      <c r="U832">
        <v>1990</v>
      </c>
      <c r="V832" t="s">
        <v>2049</v>
      </c>
      <c r="W832">
        <v>1.82</v>
      </c>
      <c r="X832" t="s">
        <v>619</v>
      </c>
      <c r="Y832" t="s">
        <v>123</v>
      </c>
      <c r="Z832" t="s">
        <v>87</v>
      </c>
      <c r="AA832" t="s">
        <v>6878</v>
      </c>
      <c r="AB832" s="1">
        <v>45876</v>
      </c>
      <c r="AC832" t="s">
        <v>170</v>
      </c>
      <c r="AD832" t="s">
        <v>89</v>
      </c>
      <c r="AE832" s="1">
        <v>40154</v>
      </c>
      <c r="AF832">
        <v>18</v>
      </c>
      <c r="AG832" t="s">
        <v>1943</v>
      </c>
      <c r="AH832" t="s">
        <v>92</v>
      </c>
      <c r="AI832" t="s">
        <v>89</v>
      </c>
      <c r="AJ832" t="s">
        <v>92</v>
      </c>
      <c r="AK832">
        <v>18</v>
      </c>
      <c r="AL832" t="s">
        <v>89</v>
      </c>
      <c r="AM832" t="s">
        <v>89</v>
      </c>
      <c r="AN832" t="s">
        <v>89</v>
      </c>
      <c r="AO832">
        <v>0</v>
      </c>
      <c r="AP832" t="s">
        <v>93</v>
      </c>
      <c r="AQ832" t="s">
        <v>89</v>
      </c>
      <c r="AR832" t="s">
        <v>89</v>
      </c>
      <c r="AS832" t="s">
        <v>93</v>
      </c>
      <c r="AT832" t="s">
        <v>89</v>
      </c>
      <c r="AU832" t="s">
        <v>89</v>
      </c>
      <c r="AV832" t="s">
        <v>89</v>
      </c>
      <c r="AW832">
        <v>15</v>
      </c>
      <c r="AX832">
        <v>18</v>
      </c>
      <c r="AY832" t="s">
        <v>93</v>
      </c>
      <c r="AZ832">
        <v>0</v>
      </c>
      <c r="BA832">
        <v>0</v>
      </c>
      <c r="BB832">
        <v>0</v>
      </c>
      <c r="BC832">
        <v>0</v>
      </c>
      <c r="BD832">
        <v>349</v>
      </c>
      <c r="BE832">
        <v>22529</v>
      </c>
      <c r="BF832">
        <v>109</v>
      </c>
      <c r="BG832" t="s">
        <v>89</v>
      </c>
      <c r="BH832">
        <v>349</v>
      </c>
      <c r="BI832">
        <v>22529</v>
      </c>
      <c r="BJ832">
        <v>109</v>
      </c>
      <c r="BK832">
        <f t="shared" si="110"/>
        <v>349</v>
      </c>
      <c r="BL832">
        <f t="shared" si="111"/>
        <v>22529</v>
      </c>
      <c r="BM832">
        <f t="shared" si="112"/>
        <v>109</v>
      </c>
      <c r="BN832">
        <f t="shared" si="113"/>
        <v>0</v>
      </c>
      <c r="BO832">
        <f t="shared" si="114"/>
        <v>0</v>
      </c>
      <c r="BP832">
        <f t="shared" si="115"/>
        <v>0</v>
      </c>
      <c r="BQ832" t="s">
        <v>123</v>
      </c>
      <c r="BR832" t="s">
        <v>112</v>
      </c>
      <c r="BS832" t="s">
        <v>89</v>
      </c>
      <c r="BT832">
        <v>36</v>
      </c>
      <c r="BU832" t="s">
        <v>89</v>
      </c>
      <c r="BV832" t="s">
        <v>89</v>
      </c>
      <c r="BW832">
        <v>18</v>
      </c>
      <c r="BX832">
        <v>1990</v>
      </c>
      <c r="BY832">
        <v>16</v>
      </c>
      <c r="BZ832">
        <f t="shared" si="116"/>
        <v>-3</v>
      </c>
      <c r="CA832">
        <f t="shared" si="117"/>
        <v>2</v>
      </c>
      <c r="CB832" t="b">
        <f t="shared" si="118"/>
        <v>0</v>
      </c>
    </row>
    <row r="833" spans="1:80" x14ac:dyDescent="0.3">
      <c r="A833" t="s">
        <v>6879</v>
      </c>
      <c r="B833" t="s">
        <v>156</v>
      </c>
      <c r="C833" t="s">
        <v>6880</v>
      </c>
      <c r="D833">
        <v>38</v>
      </c>
      <c r="E833" s="1">
        <v>31711</v>
      </c>
      <c r="F833" t="s">
        <v>89</v>
      </c>
      <c r="G833" t="s">
        <v>321</v>
      </c>
      <c r="H833" t="s">
        <v>177</v>
      </c>
      <c r="I833" t="s">
        <v>437</v>
      </c>
      <c r="J833" t="s">
        <v>89</v>
      </c>
      <c r="K833" t="s">
        <v>89</v>
      </c>
      <c r="L833" t="s">
        <v>180</v>
      </c>
      <c r="M833">
        <v>20</v>
      </c>
      <c r="N833" t="s">
        <v>2278</v>
      </c>
      <c r="O833">
        <v>2007</v>
      </c>
      <c r="P833" t="s">
        <v>6881</v>
      </c>
      <c r="Q833" t="s">
        <v>6882</v>
      </c>
      <c r="R833">
        <v>30825</v>
      </c>
      <c r="S833" t="s">
        <v>6879</v>
      </c>
      <c r="T833" t="s">
        <v>6883</v>
      </c>
      <c r="U833">
        <v>1986</v>
      </c>
      <c r="V833" t="s">
        <v>6884</v>
      </c>
      <c r="W833">
        <v>1.79</v>
      </c>
      <c r="X833" t="s">
        <v>219</v>
      </c>
      <c r="Y833" t="s">
        <v>123</v>
      </c>
      <c r="Z833" t="s">
        <v>87</v>
      </c>
      <c r="AA833" t="s">
        <v>489</v>
      </c>
      <c r="AB833" s="1">
        <v>45658</v>
      </c>
      <c r="AC833" t="s">
        <v>108</v>
      </c>
      <c r="AD833" t="s">
        <v>89</v>
      </c>
      <c r="AE833" t="s">
        <v>4378</v>
      </c>
      <c r="AF833">
        <v>18</v>
      </c>
      <c r="AG833" t="s">
        <v>171</v>
      </c>
      <c r="AH833" t="s">
        <v>371</v>
      </c>
      <c r="AI833">
        <v>22</v>
      </c>
      <c r="AJ833" t="s">
        <v>110</v>
      </c>
      <c r="AK833">
        <v>18</v>
      </c>
      <c r="AL833">
        <v>4</v>
      </c>
      <c r="AM833">
        <v>79</v>
      </c>
      <c r="AN833">
        <v>15</v>
      </c>
      <c r="AO833">
        <v>3</v>
      </c>
      <c r="AP833" t="s">
        <v>93</v>
      </c>
      <c r="AQ833" t="s">
        <v>89</v>
      </c>
      <c r="AR833" t="s">
        <v>89</v>
      </c>
      <c r="AS833" t="s">
        <v>111</v>
      </c>
      <c r="AT833" s="1">
        <v>45658</v>
      </c>
      <c r="AU833">
        <v>2025</v>
      </c>
      <c r="AV833">
        <v>18</v>
      </c>
      <c r="AW833">
        <v>18</v>
      </c>
      <c r="AX833" t="s">
        <v>89</v>
      </c>
      <c r="AY833" t="s">
        <v>93</v>
      </c>
      <c r="AZ833">
        <v>0</v>
      </c>
      <c r="BA833">
        <v>0</v>
      </c>
      <c r="BB833">
        <v>0</v>
      </c>
      <c r="BC833">
        <v>0</v>
      </c>
      <c r="BD833">
        <v>421</v>
      </c>
      <c r="BE833">
        <v>28703</v>
      </c>
      <c r="BF833">
        <v>131</v>
      </c>
      <c r="BG833">
        <v>39</v>
      </c>
      <c r="BH833">
        <v>421</v>
      </c>
      <c r="BI833">
        <v>28703</v>
      </c>
      <c r="BJ833">
        <v>131</v>
      </c>
      <c r="BK833">
        <f t="shared" si="110"/>
        <v>421</v>
      </c>
      <c r="BL833">
        <f t="shared" si="111"/>
        <v>28703</v>
      </c>
      <c r="BM833">
        <f t="shared" si="112"/>
        <v>131</v>
      </c>
      <c r="BN833">
        <f t="shared" si="113"/>
        <v>0</v>
      </c>
      <c r="BO833">
        <f t="shared" si="114"/>
        <v>0</v>
      </c>
      <c r="BP833">
        <f t="shared" si="115"/>
        <v>0</v>
      </c>
      <c r="BQ833" t="s">
        <v>123</v>
      </c>
      <c r="BR833" t="s">
        <v>112</v>
      </c>
      <c r="BS833" s="1">
        <v>31711</v>
      </c>
      <c r="BT833">
        <v>39</v>
      </c>
      <c r="BU833" s="1">
        <v>45658</v>
      </c>
      <c r="BV833" s="1">
        <v>45658</v>
      </c>
      <c r="BW833">
        <v>21</v>
      </c>
      <c r="BX833">
        <v>1986</v>
      </c>
      <c r="BY833">
        <v>21</v>
      </c>
      <c r="BZ833">
        <f t="shared" si="116"/>
        <v>-3</v>
      </c>
      <c r="CA833">
        <f t="shared" si="117"/>
        <v>0</v>
      </c>
      <c r="CB833" t="b">
        <f t="shared" si="118"/>
        <v>0</v>
      </c>
    </row>
    <row r="834" spans="1:80" x14ac:dyDescent="0.3">
      <c r="A834" t="s">
        <v>6885</v>
      </c>
      <c r="B834" t="s">
        <v>71</v>
      </c>
      <c r="C834" t="s">
        <v>6886</v>
      </c>
      <c r="D834">
        <v>33</v>
      </c>
      <c r="E834" t="s">
        <v>6887</v>
      </c>
      <c r="F834" t="s">
        <v>1494</v>
      </c>
      <c r="G834" t="s">
        <v>321</v>
      </c>
      <c r="H834" t="s">
        <v>89</v>
      </c>
      <c r="I834" t="s">
        <v>6888</v>
      </c>
      <c r="J834" t="s">
        <v>89</v>
      </c>
      <c r="K834" t="s">
        <v>6889</v>
      </c>
      <c r="L834" t="s">
        <v>324</v>
      </c>
      <c r="M834">
        <v>21</v>
      </c>
      <c r="N834" t="s">
        <v>1365</v>
      </c>
      <c r="O834">
        <v>2013</v>
      </c>
      <c r="P834" t="s">
        <v>6890</v>
      </c>
      <c r="Q834" t="s">
        <v>6891</v>
      </c>
      <c r="R834">
        <v>197131</v>
      </c>
      <c r="S834" t="s">
        <v>6885</v>
      </c>
      <c r="T834">
        <v>33787</v>
      </c>
      <c r="U834">
        <v>1992</v>
      </c>
      <c r="V834" t="s">
        <v>1488</v>
      </c>
      <c r="W834" t="s">
        <v>89</v>
      </c>
      <c r="X834" t="s">
        <v>6892</v>
      </c>
      <c r="Y834" t="s">
        <v>391</v>
      </c>
      <c r="Z834" t="s">
        <v>87</v>
      </c>
      <c r="AA834" t="s">
        <v>370</v>
      </c>
      <c r="AB834" t="s">
        <v>6893</v>
      </c>
      <c r="AC834" t="s">
        <v>170</v>
      </c>
      <c r="AD834" t="s">
        <v>89</v>
      </c>
      <c r="AE834" t="s">
        <v>2396</v>
      </c>
      <c r="AF834">
        <v>21</v>
      </c>
      <c r="AG834" t="s">
        <v>91</v>
      </c>
      <c r="AH834" t="s">
        <v>1729</v>
      </c>
      <c r="AI834">
        <v>22</v>
      </c>
      <c r="AJ834" t="s">
        <v>110</v>
      </c>
      <c r="AK834">
        <v>21</v>
      </c>
      <c r="AL834">
        <v>1</v>
      </c>
      <c r="AM834">
        <v>19</v>
      </c>
      <c r="AN834">
        <v>2</v>
      </c>
      <c r="AO834">
        <v>1</v>
      </c>
      <c r="AP834" t="s">
        <v>93</v>
      </c>
      <c r="AQ834" t="s">
        <v>89</v>
      </c>
      <c r="AR834" t="s">
        <v>89</v>
      </c>
      <c r="AS834" t="s">
        <v>93</v>
      </c>
      <c r="AT834" t="s">
        <v>89</v>
      </c>
      <c r="AU834" t="s">
        <v>89</v>
      </c>
      <c r="AV834" t="s">
        <v>89</v>
      </c>
      <c r="AW834">
        <v>12</v>
      </c>
      <c r="AX834">
        <v>15</v>
      </c>
      <c r="AY834" t="s">
        <v>93</v>
      </c>
      <c r="AZ834">
        <v>0</v>
      </c>
      <c r="BA834">
        <v>0</v>
      </c>
      <c r="BB834">
        <v>0</v>
      </c>
      <c r="BC834">
        <v>0</v>
      </c>
      <c r="BD834">
        <v>410</v>
      </c>
      <c r="BE834">
        <v>25288</v>
      </c>
      <c r="BF834">
        <v>32</v>
      </c>
      <c r="BG834" t="s">
        <v>89</v>
      </c>
      <c r="BH834">
        <v>410</v>
      </c>
      <c r="BI834">
        <v>25288</v>
      </c>
      <c r="BJ834">
        <v>32</v>
      </c>
      <c r="BK834">
        <f t="shared" si="110"/>
        <v>410</v>
      </c>
      <c r="BL834">
        <f t="shared" si="111"/>
        <v>25288</v>
      </c>
      <c r="BM834">
        <f t="shared" si="112"/>
        <v>32</v>
      </c>
      <c r="BN834">
        <f t="shared" si="113"/>
        <v>0</v>
      </c>
      <c r="BO834">
        <f t="shared" si="114"/>
        <v>0</v>
      </c>
      <c r="BP834">
        <f t="shared" si="115"/>
        <v>0</v>
      </c>
      <c r="BQ834" t="s">
        <v>391</v>
      </c>
      <c r="BR834" t="s">
        <v>112</v>
      </c>
      <c r="BS834" t="s">
        <v>89</v>
      </c>
      <c r="BT834">
        <v>34</v>
      </c>
      <c r="BU834" t="s">
        <v>89</v>
      </c>
      <c r="BV834" t="s">
        <v>89</v>
      </c>
      <c r="BW834">
        <v>13</v>
      </c>
      <c r="BX834">
        <v>1992</v>
      </c>
      <c r="BY834">
        <v>12</v>
      </c>
      <c r="BZ834">
        <f t="shared" si="116"/>
        <v>-1</v>
      </c>
      <c r="CA834">
        <f t="shared" si="117"/>
        <v>1</v>
      </c>
      <c r="CB834" t="b">
        <f t="shared" si="118"/>
        <v>0</v>
      </c>
    </row>
    <row r="835" spans="1:80" x14ac:dyDescent="0.3">
      <c r="A835" t="s">
        <v>6894</v>
      </c>
      <c r="B835" t="s">
        <v>156</v>
      </c>
      <c r="C835" t="s">
        <v>6895</v>
      </c>
      <c r="D835">
        <v>37</v>
      </c>
      <c r="E835">
        <v>32154</v>
      </c>
      <c r="F835" t="s">
        <v>89</v>
      </c>
      <c r="G835" t="s">
        <v>374</v>
      </c>
      <c r="H835" t="s">
        <v>89</v>
      </c>
      <c r="I835" t="s">
        <v>6896</v>
      </c>
      <c r="J835" t="s">
        <v>89</v>
      </c>
      <c r="K835" t="s">
        <v>89</v>
      </c>
      <c r="L835" t="s">
        <v>228</v>
      </c>
      <c r="M835">
        <v>22</v>
      </c>
      <c r="N835" t="s">
        <v>2031</v>
      </c>
      <c r="O835">
        <v>2010</v>
      </c>
      <c r="P835" t="s">
        <v>6897</v>
      </c>
      <c r="Q835" t="s">
        <v>6898</v>
      </c>
      <c r="R835">
        <v>53523</v>
      </c>
      <c r="S835" t="s">
        <v>6894</v>
      </c>
      <c r="T835" s="1">
        <v>32478</v>
      </c>
      <c r="U835">
        <v>1988</v>
      </c>
      <c r="V835" t="s">
        <v>6899</v>
      </c>
      <c r="W835">
        <v>1.91</v>
      </c>
      <c r="X835" t="s">
        <v>169</v>
      </c>
      <c r="Y835" t="s">
        <v>235</v>
      </c>
      <c r="Z835" t="s">
        <v>152</v>
      </c>
      <c r="AA835" t="s">
        <v>1476</v>
      </c>
      <c r="AB835">
        <v>44197</v>
      </c>
      <c r="AC835" t="s">
        <v>108</v>
      </c>
      <c r="AD835" t="s">
        <v>89</v>
      </c>
      <c r="AE835" s="1">
        <v>2006</v>
      </c>
      <c r="AF835">
        <v>18</v>
      </c>
      <c r="AG835" t="s">
        <v>6900</v>
      </c>
      <c r="AH835" t="s">
        <v>89</v>
      </c>
      <c r="AI835" t="s">
        <v>89</v>
      </c>
      <c r="AJ835" t="s">
        <v>89</v>
      </c>
      <c r="AK835">
        <v>18</v>
      </c>
      <c r="AL835" t="s">
        <v>89</v>
      </c>
      <c r="AM835" t="s">
        <v>89</v>
      </c>
      <c r="AN835" t="s">
        <v>89</v>
      </c>
      <c r="AO835">
        <v>0</v>
      </c>
      <c r="AP835" t="s">
        <v>93</v>
      </c>
      <c r="AQ835" t="s">
        <v>89</v>
      </c>
      <c r="AR835" t="s">
        <v>89</v>
      </c>
      <c r="AS835" t="s">
        <v>111</v>
      </c>
      <c r="AT835">
        <v>44197</v>
      </c>
      <c r="AU835">
        <v>2021</v>
      </c>
      <c r="AV835">
        <v>11</v>
      </c>
      <c r="AW835">
        <v>11</v>
      </c>
      <c r="AX835" t="s">
        <v>89</v>
      </c>
      <c r="AY835" t="s">
        <v>93</v>
      </c>
      <c r="AZ835">
        <v>0</v>
      </c>
      <c r="BA835">
        <v>0</v>
      </c>
      <c r="BB835">
        <v>0</v>
      </c>
      <c r="BC835">
        <v>0</v>
      </c>
      <c r="BD835">
        <v>199</v>
      </c>
      <c r="BE835">
        <v>17039</v>
      </c>
      <c r="BF835">
        <v>3</v>
      </c>
      <c r="BG835">
        <v>33</v>
      </c>
      <c r="BH835">
        <v>199</v>
      </c>
      <c r="BI835">
        <v>17039</v>
      </c>
      <c r="BJ835">
        <v>3</v>
      </c>
      <c r="BK835">
        <f t="shared" ref="BK835:BK898" si="119">+BA835+BD835</f>
        <v>199</v>
      </c>
      <c r="BL835">
        <f t="shared" ref="BL835:BL898" si="120">+BB835+BE835</f>
        <v>17039</v>
      </c>
      <c r="BM835">
        <f t="shared" ref="BM835:BM898" si="121">+BC835+BF835</f>
        <v>3</v>
      </c>
      <c r="BN835">
        <f t="shared" ref="BN835:BN898" si="122">+BK835-BH835</f>
        <v>0</v>
      </c>
      <c r="BO835">
        <f t="shared" ref="BO835:BO898" si="123">+BL835-BI835</f>
        <v>0</v>
      </c>
      <c r="BP835">
        <f t="shared" ref="BP835:BP898" si="124">+BM835-BJ835</f>
        <v>0</v>
      </c>
      <c r="BQ835" t="s">
        <v>235</v>
      </c>
      <c r="BR835" t="s">
        <v>140</v>
      </c>
      <c r="BS835" s="1">
        <v>32154</v>
      </c>
      <c r="BT835">
        <v>38</v>
      </c>
      <c r="BU835">
        <v>44197</v>
      </c>
      <c r="BV835" t="s">
        <v>89</v>
      </c>
      <c r="BW835">
        <v>15</v>
      </c>
      <c r="BX835">
        <v>1988</v>
      </c>
      <c r="BY835">
        <v>15</v>
      </c>
      <c r="BZ835">
        <f t="shared" ref="BZ835:BZ898" si="125">+AW835-BW835</f>
        <v>-4</v>
      </c>
      <c r="CA835">
        <f t="shared" ref="CA835:CA898" si="126">+BW835-BY835</f>
        <v>0</v>
      </c>
      <c r="CB835" t="b">
        <f t="shared" ref="CB835:CB898" si="127">+BW835=AW835</f>
        <v>0</v>
      </c>
    </row>
    <row r="836" spans="1:80" x14ac:dyDescent="0.3">
      <c r="A836" t="s">
        <v>6901</v>
      </c>
      <c r="B836" t="s">
        <v>71</v>
      </c>
      <c r="C836" t="s">
        <v>6902</v>
      </c>
      <c r="D836">
        <v>35</v>
      </c>
      <c r="E836" s="1">
        <v>32781</v>
      </c>
      <c r="F836" t="s">
        <v>89</v>
      </c>
      <c r="G836" t="s">
        <v>211</v>
      </c>
      <c r="H836" t="s">
        <v>89</v>
      </c>
      <c r="I836" t="s">
        <v>1747</v>
      </c>
      <c r="J836" t="s">
        <v>78</v>
      </c>
      <c r="K836" t="s">
        <v>89</v>
      </c>
      <c r="L836" t="s">
        <v>278</v>
      </c>
      <c r="M836">
        <v>21</v>
      </c>
      <c r="N836" t="s">
        <v>820</v>
      </c>
      <c r="O836">
        <v>2011</v>
      </c>
      <c r="P836" t="s">
        <v>6903</v>
      </c>
      <c r="Q836" t="s">
        <v>6904</v>
      </c>
      <c r="R836">
        <v>58110</v>
      </c>
      <c r="S836" t="s">
        <v>6905</v>
      </c>
      <c r="T836" t="s">
        <v>6906</v>
      </c>
      <c r="U836">
        <v>1989</v>
      </c>
      <c r="V836" t="s">
        <v>6907</v>
      </c>
      <c r="W836">
        <v>1.74</v>
      </c>
      <c r="X836" t="s">
        <v>76</v>
      </c>
      <c r="Y836" t="s">
        <v>136</v>
      </c>
      <c r="Z836" t="s">
        <v>87</v>
      </c>
      <c r="AA836" t="s">
        <v>6908</v>
      </c>
      <c r="AB836">
        <v>45298</v>
      </c>
      <c r="AC836" t="s">
        <v>170</v>
      </c>
      <c r="AD836" t="s">
        <v>89</v>
      </c>
      <c r="AE836">
        <v>40705</v>
      </c>
      <c r="AF836">
        <v>22</v>
      </c>
      <c r="AG836" t="s">
        <v>91</v>
      </c>
      <c r="AH836" t="s">
        <v>92</v>
      </c>
      <c r="AI836" t="s">
        <v>89</v>
      </c>
      <c r="AJ836" t="s">
        <v>92</v>
      </c>
      <c r="AK836">
        <v>22</v>
      </c>
      <c r="AL836" t="s">
        <v>89</v>
      </c>
      <c r="AM836" t="s">
        <v>89</v>
      </c>
      <c r="AN836" t="s">
        <v>89</v>
      </c>
      <c r="AO836">
        <v>0</v>
      </c>
      <c r="AP836" t="s">
        <v>93</v>
      </c>
      <c r="AQ836" t="s">
        <v>89</v>
      </c>
      <c r="AR836" t="s">
        <v>89</v>
      </c>
      <c r="AS836" t="s">
        <v>93</v>
      </c>
      <c r="AT836" t="s">
        <v>89</v>
      </c>
      <c r="AU836" t="s">
        <v>89</v>
      </c>
      <c r="AV836" t="s">
        <v>89</v>
      </c>
      <c r="AW836">
        <v>14</v>
      </c>
      <c r="AX836">
        <v>17</v>
      </c>
      <c r="AY836" t="s">
        <v>93</v>
      </c>
      <c r="AZ836">
        <v>0</v>
      </c>
      <c r="BA836">
        <v>0</v>
      </c>
      <c r="BB836">
        <v>0</v>
      </c>
      <c r="BC836">
        <v>0</v>
      </c>
      <c r="BD836">
        <v>4</v>
      </c>
      <c r="BE836">
        <v>144</v>
      </c>
      <c r="BF836">
        <v>0</v>
      </c>
      <c r="BG836" t="s">
        <v>89</v>
      </c>
      <c r="BH836">
        <v>4</v>
      </c>
      <c r="BI836">
        <v>144</v>
      </c>
      <c r="BJ836">
        <v>0</v>
      </c>
      <c r="BK836">
        <f t="shared" si="119"/>
        <v>4</v>
      </c>
      <c r="BL836">
        <f t="shared" si="120"/>
        <v>144</v>
      </c>
      <c r="BM836">
        <f t="shared" si="121"/>
        <v>0</v>
      </c>
      <c r="BN836">
        <f t="shared" si="122"/>
        <v>0</v>
      </c>
      <c r="BO836">
        <f t="shared" si="123"/>
        <v>0</v>
      </c>
      <c r="BP836">
        <f t="shared" si="124"/>
        <v>0</v>
      </c>
      <c r="BQ836" t="s">
        <v>136</v>
      </c>
      <c r="BR836" t="s">
        <v>140</v>
      </c>
      <c r="BS836" t="s">
        <v>89</v>
      </c>
      <c r="BT836">
        <v>37</v>
      </c>
      <c r="BU836" t="s">
        <v>89</v>
      </c>
      <c r="BV836" t="s">
        <v>89</v>
      </c>
      <c r="BW836">
        <v>15</v>
      </c>
      <c r="BX836">
        <v>1989</v>
      </c>
      <c r="BY836">
        <v>13</v>
      </c>
      <c r="BZ836">
        <f t="shared" si="125"/>
        <v>-1</v>
      </c>
      <c r="CA836">
        <f t="shared" si="126"/>
        <v>2</v>
      </c>
      <c r="CB836" t="b">
        <f t="shared" si="127"/>
        <v>0</v>
      </c>
    </row>
    <row r="837" spans="1:80" x14ac:dyDescent="0.3">
      <c r="A837" t="s">
        <v>6909</v>
      </c>
      <c r="B837" t="s">
        <v>156</v>
      </c>
      <c r="C837" t="s">
        <v>6910</v>
      </c>
      <c r="D837">
        <v>42</v>
      </c>
      <c r="E837" s="1">
        <v>30413</v>
      </c>
      <c r="F837" t="s">
        <v>89</v>
      </c>
      <c r="G837" t="s">
        <v>400</v>
      </c>
      <c r="H837" t="s">
        <v>177</v>
      </c>
      <c r="I837" t="s">
        <v>1438</v>
      </c>
      <c r="J837" t="s">
        <v>78</v>
      </c>
      <c r="K837" t="s">
        <v>89</v>
      </c>
      <c r="L837" t="s">
        <v>228</v>
      </c>
      <c r="M837">
        <v>27</v>
      </c>
      <c r="N837" t="s">
        <v>4141</v>
      </c>
      <c r="O837">
        <v>2010</v>
      </c>
      <c r="P837" t="s">
        <v>6911</v>
      </c>
      <c r="Q837" t="s">
        <v>6912</v>
      </c>
      <c r="R837">
        <v>27448</v>
      </c>
      <c r="S837" t="s">
        <v>6909</v>
      </c>
      <c r="T837">
        <v>30501</v>
      </c>
      <c r="U837">
        <v>1983</v>
      </c>
      <c r="V837" t="s">
        <v>6913</v>
      </c>
      <c r="W837">
        <v>1.83</v>
      </c>
      <c r="X837" t="s">
        <v>169</v>
      </c>
      <c r="Y837" t="s">
        <v>136</v>
      </c>
      <c r="Z837" t="s">
        <v>87</v>
      </c>
      <c r="AA837" t="s">
        <v>6914</v>
      </c>
      <c r="AB837" s="1">
        <v>43837</v>
      </c>
      <c r="AC837" t="s">
        <v>108</v>
      </c>
      <c r="AD837" t="s">
        <v>223</v>
      </c>
      <c r="AE837" t="s">
        <v>6915</v>
      </c>
      <c r="AF837">
        <v>19</v>
      </c>
      <c r="AG837" t="s">
        <v>171</v>
      </c>
      <c r="AH837" t="s">
        <v>92</v>
      </c>
      <c r="AI837" t="s">
        <v>89</v>
      </c>
      <c r="AJ837" t="s">
        <v>92</v>
      </c>
      <c r="AK837">
        <v>19</v>
      </c>
      <c r="AL837">
        <v>7</v>
      </c>
      <c r="AM837">
        <v>543</v>
      </c>
      <c r="AN837">
        <v>90</v>
      </c>
      <c r="AO837">
        <v>5</v>
      </c>
      <c r="AP837" t="s">
        <v>93</v>
      </c>
      <c r="AQ837" t="s">
        <v>89</v>
      </c>
      <c r="AR837" t="s">
        <v>89</v>
      </c>
      <c r="AS837" t="s">
        <v>111</v>
      </c>
      <c r="AT837" s="1">
        <v>43837</v>
      </c>
      <c r="AU837">
        <v>2020</v>
      </c>
      <c r="AV837">
        <v>10</v>
      </c>
      <c r="AW837">
        <v>10</v>
      </c>
      <c r="AX837" t="s">
        <v>89</v>
      </c>
      <c r="AY837" t="s">
        <v>93</v>
      </c>
      <c r="AZ837">
        <v>0</v>
      </c>
      <c r="BA837">
        <v>0</v>
      </c>
      <c r="BB837">
        <v>0</v>
      </c>
      <c r="BC837">
        <v>0</v>
      </c>
      <c r="BD837">
        <v>160</v>
      </c>
      <c r="BE837">
        <v>13156</v>
      </c>
      <c r="BF837">
        <v>2</v>
      </c>
      <c r="BG837">
        <v>37</v>
      </c>
      <c r="BH837">
        <v>160</v>
      </c>
      <c r="BI837">
        <v>13156</v>
      </c>
      <c r="BJ837">
        <v>2</v>
      </c>
      <c r="BK837">
        <f t="shared" si="119"/>
        <v>160</v>
      </c>
      <c r="BL837">
        <f t="shared" si="120"/>
        <v>13156</v>
      </c>
      <c r="BM837">
        <f t="shared" si="121"/>
        <v>2</v>
      </c>
      <c r="BN837">
        <f t="shared" si="122"/>
        <v>0</v>
      </c>
      <c r="BO837">
        <f t="shared" si="123"/>
        <v>0</v>
      </c>
      <c r="BP837">
        <f t="shared" si="124"/>
        <v>0</v>
      </c>
      <c r="BQ837" t="s">
        <v>136</v>
      </c>
      <c r="BR837" t="s">
        <v>140</v>
      </c>
      <c r="BS837" t="s">
        <v>89</v>
      </c>
      <c r="BT837">
        <v>43</v>
      </c>
      <c r="BU837" s="1">
        <v>43837</v>
      </c>
      <c r="BV837" s="1">
        <v>44013</v>
      </c>
      <c r="BW837">
        <v>18</v>
      </c>
      <c r="BX837">
        <v>1983</v>
      </c>
      <c r="BY837">
        <v>18</v>
      </c>
      <c r="BZ837">
        <f t="shared" si="125"/>
        <v>-8</v>
      </c>
      <c r="CA837">
        <f t="shared" si="126"/>
        <v>0</v>
      </c>
      <c r="CB837" t="b">
        <f t="shared" si="127"/>
        <v>0</v>
      </c>
    </row>
    <row r="838" spans="1:80" x14ac:dyDescent="0.3">
      <c r="A838" t="s">
        <v>6916</v>
      </c>
      <c r="B838" t="s">
        <v>71</v>
      </c>
      <c r="C838" t="s">
        <v>6917</v>
      </c>
      <c r="D838">
        <v>36</v>
      </c>
      <c r="E838" s="1">
        <v>32559</v>
      </c>
      <c r="F838" t="s">
        <v>89</v>
      </c>
      <c r="G838" t="s">
        <v>819</v>
      </c>
      <c r="H838" t="s">
        <v>76</v>
      </c>
      <c r="I838" t="s">
        <v>750</v>
      </c>
      <c r="J838" t="s">
        <v>78</v>
      </c>
      <c r="K838" t="s">
        <v>89</v>
      </c>
      <c r="L838" t="s">
        <v>254</v>
      </c>
      <c r="M838">
        <v>20</v>
      </c>
      <c r="N838" t="s">
        <v>763</v>
      </c>
      <c r="O838">
        <v>2009</v>
      </c>
      <c r="P838" t="s">
        <v>6918</v>
      </c>
      <c r="Q838" t="s">
        <v>6919</v>
      </c>
      <c r="R838">
        <v>73254</v>
      </c>
      <c r="S838" t="s">
        <v>6916</v>
      </c>
      <c r="T838" t="s">
        <v>6920</v>
      </c>
      <c r="U838">
        <v>1989</v>
      </c>
      <c r="V838" t="s">
        <v>122</v>
      </c>
      <c r="W838">
        <v>1.87</v>
      </c>
      <c r="X838" t="s">
        <v>76</v>
      </c>
      <c r="Y838" t="s">
        <v>86</v>
      </c>
      <c r="Z838" t="s">
        <v>87</v>
      </c>
      <c r="AA838" t="s">
        <v>6921</v>
      </c>
      <c r="AB838" s="1">
        <v>44203</v>
      </c>
      <c r="AC838" t="s">
        <v>108</v>
      </c>
      <c r="AD838" t="s">
        <v>89</v>
      </c>
      <c r="AE838">
        <v>40036</v>
      </c>
      <c r="AF838">
        <v>20</v>
      </c>
      <c r="AG838" t="s">
        <v>91</v>
      </c>
      <c r="AH838" t="s">
        <v>371</v>
      </c>
      <c r="AI838">
        <v>20</v>
      </c>
      <c r="AJ838" t="s">
        <v>110</v>
      </c>
      <c r="AK838">
        <v>20</v>
      </c>
      <c r="AL838">
        <v>1</v>
      </c>
      <c r="AM838">
        <v>185</v>
      </c>
      <c r="AN838">
        <v>12</v>
      </c>
      <c r="AO838">
        <v>1</v>
      </c>
      <c r="AP838" t="s">
        <v>93</v>
      </c>
      <c r="AQ838" t="s">
        <v>89</v>
      </c>
      <c r="AR838" t="s">
        <v>89</v>
      </c>
      <c r="AS838" t="s">
        <v>111</v>
      </c>
      <c r="AT838" s="1">
        <v>44203</v>
      </c>
      <c r="AU838">
        <v>2021</v>
      </c>
      <c r="AV838">
        <v>12</v>
      </c>
      <c r="AW838">
        <v>12</v>
      </c>
      <c r="AX838" t="s">
        <v>89</v>
      </c>
      <c r="AY838" t="s">
        <v>93</v>
      </c>
      <c r="AZ838">
        <v>0</v>
      </c>
      <c r="BA838">
        <v>0</v>
      </c>
      <c r="BB838">
        <v>0</v>
      </c>
      <c r="BC838">
        <v>0</v>
      </c>
      <c r="BD838">
        <v>171</v>
      </c>
      <c r="BE838">
        <v>13467</v>
      </c>
      <c r="BF838">
        <v>13</v>
      </c>
      <c r="BG838">
        <v>32</v>
      </c>
      <c r="BH838">
        <v>171</v>
      </c>
      <c r="BI838">
        <v>13467</v>
      </c>
      <c r="BJ838">
        <v>13</v>
      </c>
      <c r="BK838">
        <f t="shared" si="119"/>
        <v>171</v>
      </c>
      <c r="BL838">
        <f t="shared" si="120"/>
        <v>13467</v>
      </c>
      <c r="BM838">
        <f t="shared" si="121"/>
        <v>13</v>
      </c>
      <c r="BN838">
        <f t="shared" si="122"/>
        <v>0</v>
      </c>
      <c r="BO838">
        <f t="shared" si="123"/>
        <v>0</v>
      </c>
      <c r="BP838">
        <f t="shared" si="124"/>
        <v>0</v>
      </c>
      <c r="BQ838" t="s">
        <v>86</v>
      </c>
      <c r="BR838" t="s">
        <v>94</v>
      </c>
      <c r="BS838" s="1">
        <v>32559</v>
      </c>
      <c r="BT838">
        <v>36</v>
      </c>
      <c r="BU838" s="1">
        <v>44203</v>
      </c>
      <c r="BV838" s="1">
        <v>44378</v>
      </c>
      <c r="BW838">
        <v>12</v>
      </c>
      <c r="BX838">
        <v>1989</v>
      </c>
      <c r="BY838">
        <v>12</v>
      </c>
      <c r="BZ838">
        <f t="shared" si="125"/>
        <v>0</v>
      </c>
      <c r="CA838">
        <f t="shared" si="126"/>
        <v>0</v>
      </c>
      <c r="CB838" t="b">
        <f t="shared" si="127"/>
        <v>1</v>
      </c>
    </row>
    <row r="839" spans="1:80" x14ac:dyDescent="0.3">
      <c r="A839" t="s">
        <v>6922</v>
      </c>
      <c r="B839" t="s">
        <v>71</v>
      </c>
      <c r="C839" t="s">
        <v>6923</v>
      </c>
      <c r="D839">
        <v>38</v>
      </c>
      <c r="E839" s="1">
        <v>31899</v>
      </c>
      <c r="F839" t="s">
        <v>89</v>
      </c>
      <c r="G839" t="s">
        <v>176</v>
      </c>
      <c r="H839" t="s">
        <v>89</v>
      </c>
      <c r="I839" t="s">
        <v>750</v>
      </c>
      <c r="J839" t="s">
        <v>89</v>
      </c>
      <c r="K839" t="s">
        <v>89</v>
      </c>
      <c r="L839" t="s">
        <v>117</v>
      </c>
      <c r="M839">
        <v>18</v>
      </c>
      <c r="N839" t="s">
        <v>279</v>
      </c>
      <c r="O839">
        <v>2005</v>
      </c>
      <c r="P839" t="s">
        <v>6924</v>
      </c>
      <c r="Q839" t="s">
        <v>6925</v>
      </c>
      <c r="R839">
        <v>57812</v>
      </c>
      <c r="S839" t="s">
        <v>6922</v>
      </c>
      <c r="T839" s="1">
        <v>32116</v>
      </c>
      <c r="U839">
        <v>1987</v>
      </c>
      <c r="V839" t="s">
        <v>315</v>
      </c>
      <c r="W839">
        <v>1.86</v>
      </c>
      <c r="X839" t="s">
        <v>76</v>
      </c>
      <c r="Y839" t="s">
        <v>86</v>
      </c>
      <c r="Z839" t="s">
        <v>152</v>
      </c>
      <c r="AA839" t="s">
        <v>6926</v>
      </c>
      <c r="AB839" t="s">
        <v>6927</v>
      </c>
      <c r="AC839" t="s">
        <v>108</v>
      </c>
      <c r="AD839" t="s">
        <v>89</v>
      </c>
      <c r="AE839" t="s">
        <v>6928</v>
      </c>
      <c r="AF839">
        <v>22</v>
      </c>
      <c r="AG839" t="s">
        <v>91</v>
      </c>
      <c r="AH839" t="s">
        <v>6270</v>
      </c>
      <c r="AI839">
        <v>19</v>
      </c>
      <c r="AJ839" t="s">
        <v>110</v>
      </c>
      <c r="AK839">
        <v>19</v>
      </c>
      <c r="AL839" t="s">
        <v>89</v>
      </c>
      <c r="AM839" t="s">
        <v>89</v>
      </c>
      <c r="AN839" t="s">
        <v>89</v>
      </c>
      <c r="AO839">
        <v>0</v>
      </c>
      <c r="AP839" t="s">
        <v>93</v>
      </c>
      <c r="AQ839" t="s">
        <v>89</v>
      </c>
      <c r="AR839" t="s">
        <v>89</v>
      </c>
      <c r="AS839" t="s">
        <v>111</v>
      </c>
      <c r="AT839" t="s">
        <v>6927</v>
      </c>
      <c r="AU839">
        <v>2014</v>
      </c>
      <c r="AV839">
        <v>9</v>
      </c>
      <c r="AW839">
        <v>9</v>
      </c>
      <c r="AX839" t="s">
        <v>89</v>
      </c>
      <c r="AY839" t="s">
        <v>93</v>
      </c>
      <c r="AZ839">
        <v>0</v>
      </c>
      <c r="BA839">
        <v>0</v>
      </c>
      <c r="BB839">
        <v>0</v>
      </c>
      <c r="BC839">
        <v>0</v>
      </c>
      <c r="BD839">
        <v>24</v>
      </c>
      <c r="BE839">
        <v>1523</v>
      </c>
      <c r="BF839">
        <v>0</v>
      </c>
      <c r="BG839">
        <v>27</v>
      </c>
      <c r="BH839">
        <v>24</v>
      </c>
      <c r="BI839">
        <v>1523</v>
      </c>
      <c r="BJ839">
        <v>0</v>
      </c>
      <c r="BK839">
        <f t="shared" si="119"/>
        <v>24</v>
      </c>
      <c r="BL839">
        <f t="shared" si="120"/>
        <v>1523</v>
      </c>
      <c r="BM839">
        <f t="shared" si="121"/>
        <v>0</v>
      </c>
      <c r="BN839">
        <f t="shared" si="122"/>
        <v>0</v>
      </c>
      <c r="BO839">
        <f t="shared" si="123"/>
        <v>0</v>
      </c>
      <c r="BP839">
        <f t="shared" si="124"/>
        <v>0</v>
      </c>
      <c r="BQ839" t="s">
        <v>86</v>
      </c>
      <c r="BR839" t="s">
        <v>94</v>
      </c>
      <c r="BS839" s="1">
        <v>31909</v>
      </c>
      <c r="BT839">
        <v>38</v>
      </c>
      <c r="BU839" t="s">
        <v>6927</v>
      </c>
      <c r="BV839" s="1">
        <v>41940</v>
      </c>
      <c r="BW839">
        <v>8</v>
      </c>
      <c r="BX839">
        <v>1987</v>
      </c>
      <c r="BY839">
        <v>8</v>
      </c>
      <c r="BZ839">
        <f t="shared" si="125"/>
        <v>1</v>
      </c>
      <c r="CA839">
        <f t="shared" si="126"/>
        <v>0</v>
      </c>
      <c r="CB839" t="b">
        <f t="shared" si="127"/>
        <v>0</v>
      </c>
    </row>
    <row r="840" spans="1:80" x14ac:dyDescent="0.3">
      <c r="A840" t="s">
        <v>6929</v>
      </c>
      <c r="B840" t="s">
        <v>71</v>
      </c>
      <c r="C840" t="s">
        <v>6930</v>
      </c>
      <c r="D840">
        <v>49</v>
      </c>
      <c r="E840" s="1">
        <v>27958</v>
      </c>
      <c r="F840" t="s">
        <v>89</v>
      </c>
      <c r="G840" t="s">
        <v>160</v>
      </c>
      <c r="H840" t="s">
        <v>2990</v>
      </c>
      <c r="I840" t="s">
        <v>288</v>
      </c>
      <c r="J840" t="s">
        <v>89</v>
      </c>
      <c r="K840" t="s">
        <v>89</v>
      </c>
      <c r="L840" t="s">
        <v>845</v>
      </c>
      <c r="M840">
        <v>26</v>
      </c>
      <c r="N840" t="s">
        <v>763</v>
      </c>
      <c r="O840">
        <v>2002</v>
      </c>
      <c r="P840" t="s">
        <v>6931</v>
      </c>
      <c r="Q840" t="s">
        <v>6932</v>
      </c>
      <c r="R840">
        <v>7840</v>
      </c>
      <c r="S840" t="s">
        <v>6929</v>
      </c>
      <c r="T840" t="s">
        <v>6933</v>
      </c>
      <c r="U840">
        <v>1976</v>
      </c>
      <c r="V840" t="s">
        <v>3033</v>
      </c>
      <c r="W840">
        <v>1.76</v>
      </c>
      <c r="X840" t="s">
        <v>2994</v>
      </c>
      <c r="Y840" t="s">
        <v>259</v>
      </c>
      <c r="Z840" t="s">
        <v>87</v>
      </c>
      <c r="AA840" t="s">
        <v>6934</v>
      </c>
      <c r="AB840" t="s">
        <v>6935</v>
      </c>
      <c r="AC840" t="s">
        <v>108</v>
      </c>
      <c r="AD840" t="s">
        <v>89</v>
      </c>
      <c r="AE840" t="s">
        <v>6936</v>
      </c>
      <c r="AF840">
        <v>23</v>
      </c>
      <c r="AG840" t="s">
        <v>786</v>
      </c>
      <c r="AH840">
        <v>41586</v>
      </c>
      <c r="AI840">
        <v>37</v>
      </c>
      <c r="AJ840" t="s">
        <v>6937</v>
      </c>
      <c r="AK840">
        <v>23</v>
      </c>
      <c r="AL840">
        <v>1</v>
      </c>
      <c r="AM840">
        <v>69</v>
      </c>
      <c r="AN840">
        <v>16</v>
      </c>
      <c r="AO840">
        <v>1</v>
      </c>
      <c r="AP840" t="s">
        <v>93</v>
      </c>
      <c r="AQ840" t="s">
        <v>89</v>
      </c>
      <c r="AR840" t="s">
        <v>89</v>
      </c>
      <c r="AS840" t="s">
        <v>111</v>
      </c>
      <c r="AT840" t="s">
        <v>6935</v>
      </c>
      <c r="AU840">
        <v>2015</v>
      </c>
      <c r="AV840">
        <v>13</v>
      </c>
      <c r="AW840">
        <v>13</v>
      </c>
      <c r="AX840" t="s">
        <v>89</v>
      </c>
      <c r="AY840" t="s">
        <v>111</v>
      </c>
      <c r="AZ840">
        <v>4</v>
      </c>
      <c r="BA840">
        <v>17</v>
      </c>
      <c r="BB840">
        <v>1354</v>
      </c>
      <c r="BC840">
        <v>1</v>
      </c>
      <c r="BD840">
        <v>388</v>
      </c>
      <c r="BE840">
        <v>29811</v>
      </c>
      <c r="BF840">
        <v>43</v>
      </c>
      <c r="BG840">
        <v>39</v>
      </c>
      <c r="BH840">
        <v>405</v>
      </c>
      <c r="BI840">
        <v>31165</v>
      </c>
      <c r="BJ840">
        <v>44</v>
      </c>
      <c r="BK840">
        <f t="shared" si="119"/>
        <v>405</v>
      </c>
      <c r="BL840">
        <f t="shared" si="120"/>
        <v>31165</v>
      </c>
      <c r="BM840">
        <f t="shared" si="121"/>
        <v>44</v>
      </c>
      <c r="BN840">
        <f t="shared" si="122"/>
        <v>0</v>
      </c>
      <c r="BO840">
        <f t="shared" si="123"/>
        <v>0</v>
      </c>
      <c r="BP840">
        <f t="shared" si="124"/>
        <v>0</v>
      </c>
      <c r="BQ840" t="s">
        <v>259</v>
      </c>
      <c r="BR840" t="s">
        <v>94</v>
      </c>
      <c r="BS840" s="1">
        <v>27958</v>
      </c>
      <c r="BT840">
        <v>49</v>
      </c>
      <c r="BU840" t="s">
        <v>6935</v>
      </c>
      <c r="BV840" s="1">
        <v>42324</v>
      </c>
      <c r="BW840">
        <v>16</v>
      </c>
      <c r="BX840">
        <v>1976</v>
      </c>
      <c r="BY840">
        <v>16</v>
      </c>
      <c r="BZ840">
        <f t="shared" si="125"/>
        <v>-3</v>
      </c>
      <c r="CA840">
        <f t="shared" si="126"/>
        <v>0</v>
      </c>
      <c r="CB840" t="b">
        <f t="shared" si="127"/>
        <v>0</v>
      </c>
    </row>
    <row r="841" spans="1:80" x14ac:dyDescent="0.3">
      <c r="A841" t="s">
        <v>6938</v>
      </c>
      <c r="B841" t="s">
        <v>71</v>
      </c>
      <c r="C841" t="s">
        <v>6939</v>
      </c>
      <c r="D841">
        <v>39</v>
      </c>
      <c r="E841" s="1">
        <v>31450</v>
      </c>
      <c r="F841" t="s">
        <v>89</v>
      </c>
      <c r="G841" t="s">
        <v>226</v>
      </c>
      <c r="H841" t="s">
        <v>76</v>
      </c>
      <c r="I841" t="s">
        <v>498</v>
      </c>
      <c r="J841" t="s">
        <v>78</v>
      </c>
      <c r="K841" t="s">
        <v>89</v>
      </c>
      <c r="L841" t="s">
        <v>163</v>
      </c>
      <c r="M841">
        <v>20</v>
      </c>
      <c r="N841" t="s">
        <v>118</v>
      </c>
      <c r="O841">
        <v>2006</v>
      </c>
      <c r="P841" t="s">
        <v>6940</v>
      </c>
      <c r="Q841" t="s">
        <v>6941</v>
      </c>
      <c r="R841">
        <v>44072</v>
      </c>
      <c r="S841" t="s">
        <v>6938</v>
      </c>
      <c r="T841">
        <v>31595</v>
      </c>
      <c r="U841">
        <v>1986</v>
      </c>
      <c r="V841" t="s">
        <v>122</v>
      </c>
      <c r="W841">
        <v>1.85</v>
      </c>
      <c r="X841" t="s">
        <v>76</v>
      </c>
      <c r="Y841" t="s">
        <v>259</v>
      </c>
      <c r="Z841" t="s">
        <v>87</v>
      </c>
      <c r="AA841" t="s">
        <v>6942</v>
      </c>
      <c r="AB841" t="s">
        <v>4631</v>
      </c>
      <c r="AC841" t="s">
        <v>108</v>
      </c>
      <c r="AD841" t="s">
        <v>89</v>
      </c>
      <c r="AE841" t="s">
        <v>6943</v>
      </c>
      <c r="AF841">
        <v>23</v>
      </c>
      <c r="AG841" t="s">
        <v>91</v>
      </c>
      <c r="AH841" t="s">
        <v>524</v>
      </c>
      <c r="AI841">
        <v>19</v>
      </c>
      <c r="AJ841" t="s">
        <v>110</v>
      </c>
      <c r="AK841">
        <v>19</v>
      </c>
      <c r="AL841">
        <v>3</v>
      </c>
      <c r="AM841">
        <v>89</v>
      </c>
      <c r="AN841">
        <v>11</v>
      </c>
      <c r="AO841">
        <v>3</v>
      </c>
      <c r="AP841" t="s">
        <v>93</v>
      </c>
      <c r="AQ841" t="s">
        <v>89</v>
      </c>
      <c r="AR841" t="s">
        <v>89</v>
      </c>
      <c r="AS841" t="s">
        <v>111</v>
      </c>
      <c r="AT841" t="s">
        <v>4631</v>
      </c>
      <c r="AU841">
        <v>2020</v>
      </c>
      <c r="AV841">
        <v>14</v>
      </c>
      <c r="AW841">
        <v>14</v>
      </c>
      <c r="AX841" t="s">
        <v>89</v>
      </c>
      <c r="AY841" t="s">
        <v>93</v>
      </c>
      <c r="AZ841">
        <v>0</v>
      </c>
      <c r="BA841">
        <v>0</v>
      </c>
      <c r="BB841">
        <v>0</v>
      </c>
      <c r="BC841">
        <v>0</v>
      </c>
      <c r="BD841">
        <v>261</v>
      </c>
      <c r="BE841">
        <v>19782</v>
      </c>
      <c r="BF841">
        <v>7</v>
      </c>
      <c r="BG841">
        <v>34</v>
      </c>
      <c r="BH841">
        <v>261</v>
      </c>
      <c r="BI841">
        <v>19782</v>
      </c>
      <c r="BJ841">
        <v>7</v>
      </c>
      <c r="BK841">
        <f t="shared" si="119"/>
        <v>261</v>
      </c>
      <c r="BL841">
        <f t="shared" si="120"/>
        <v>19782</v>
      </c>
      <c r="BM841">
        <f t="shared" si="121"/>
        <v>7</v>
      </c>
      <c r="BN841">
        <f t="shared" si="122"/>
        <v>0</v>
      </c>
      <c r="BO841">
        <f t="shared" si="123"/>
        <v>0</v>
      </c>
      <c r="BP841">
        <f t="shared" si="124"/>
        <v>0</v>
      </c>
      <c r="BQ841" t="s">
        <v>259</v>
      </c>
      <c r="BR841" t="s">
        <v>94</v>
      </c>
      <c r="BS841" t="s">
        <v>89</v>
      </c>
      <c r="BT841">
        <v>40</v>
      </c>
      <c r="BU841" t="s">
        <v>4631</v>
      </c>
      <c r="BV841" s="1">
        <v>44088</v>
      </c>
      <c r="BW841">
        <v>15</v>
      </c>
      <c r="BX841">
        <v>1986</v>
      </c>
      <c r="BY841">
        <v>15</v>
      </c>
      <c r="BZ841">
        <f t="shared" si="125"/>
        <v>-1</v>
      </c>
      <c r="CA841">
        <f t="shared" si="126"/>
        <v>0</v>
      </c>
      <c r="CB841" t="b">
        <f t="shared" si="127"/>
        <v>0</v>
      </c>
    </row>
    <row r="842" spans="1:80" x14ac:dyDescent="0.3">
      <c r="A842" t="s">
        <v>6944</v>
      </c>
      <c r="B842" t="s">
        <v>156</v>
      </c>
      <c r="C842" t="s">
        <v>6945</v>
      </c>
      <c r="D842">
        <v>41</v>
      </c>
      <c r="E842" s="1">
        <v>30890</v>
      </c>
      <c r="F842" t="s">
        <v>89</v>
      </c>
      <c r="G842" t="s">
        <v>819</v>
      </c>
      <c r="H842" t="s">
        <v>177</v>
      </c>
      <c r="I842" t="s">
        <v>178</v>
      </c>
      <c r="J842" t="s">
        <v>78</v>
      </c>
      <c r="K842" t="s">
        <v>89</v>
      </c>
      <c r="L842" t="s">
        <v>117</v>
      </c>
      <c r="M842">
        <v>21</v>
      </c>
      <c r="N842" t="s">
        <v>763</v>
      </c>
      <c r="O842">
        <v>2005</v>
      </c>
      <c r="P842" t="s">
        <v>6946</v>
      </c>
      <c r="Q842" t="s">
        <v>6947</v>
      </c>
      <c r="R842">
        <v>30749</v>
      </c>
      <c r="S842" t="s">
        <v>6944</v>
      </c>
      <c r="T842" t="s">
        <v>6948</v>
      </c>
      <c r="U842">
        <v>1984</v>
      </c>
      <c r="V842" t="s">
        <v>2208</v>
      </c>
      <c r="W842">
        <v>1.88</v>
      </c>
      <c r="X842" t="s">
        <v>169</v>
      </c>
      <c r="Y842" t="s">
        <v>186</v>
      </c>
      <c r="Z842" t="s">
        <v>87</v>
      </c>
      <c r="AA842" t="s">
        <v>763</v>
      </c>
      <c r="AB842" t="s">
        <v>1209</v>
      </c>
      <c r="AC842" t="s">
        <v>108</v>
      </c>
      <c r="AD842" t="s">
        <v>89</v>
      </c>
      <c r="AE842" t="s">
        <v>6949</v>
      </c>
      <c r="AF842">
        <v>18</v>
      </c>
      <c r="AG842" t="s">
        <v>189</v>
      </c>
      <c r="AH842" t="s">
        <v>614</v>
      </c>
      <c r="AI842">
        <v>26</v>
      </c>
      <c r="AJ842" t="s">
        <v>110</v>
      </c>
      <c r="AK842">
        <v>18</v>
      </c>
      <c r="AL842">
        <v>3</v>
      </c>
      <c r="AM842">
        <v>125</v>
      </c>
      <c r="AN842">
        <v>25</v>
      </c>
      <c r="AO842">
        <v>2</v>
      </c>
      <c r="AP842" t="s">
        <v>93</v>
      </c>
      <c r="AQ842" t="s">
        <v>89</v>
      </c>
      <c r="AR842" t="s">
        <v>89</v>
      </c>
      <c r="AS842" t="s">
        <v>111</v>
      </c>
      <c r="AT842" t="s">
        <v>1209</v>
      </c>
      <c r="AU842">
        <v>2020</v>
      </c>
      <c r="AV842">
        <v>15</v>
      </c>
      <c r="AW842">
        <v>15</v>
      </c>
      <c r="AX842" t="s">
        <v>89</v>
      </c>
      <c r="AY842" t="s">
        <v>93</v>
      </c>
      <c r="AZ842">
        <v>0</v>
      </c>
      <c r="BA842">
        <v>0</v>
      </c>
      <c r="BB842">
        <v>0</v>
      </c>
      <c r="BC842">
        <v>0</v>
      </c>
      <c r="BD842">
        <v>246</v>
      </c>
      <c r="BE842">
        <v>21817</v>
      </c>
      <c r="BF842">
        <v>0</v>
      </c>
      <c r="BG842">
        <v>36</v>
      </c>
      <c r="BH842">
        <v>246</v>
      </c>
      <c r="BI842">
        <v>21817</v>
      </c>
      <c r="BJ842">
        <v>0</v>
      </c>
      <c r="BK842">
        <f t="shared" si="119"/>
        <v>246</v>
      </c>
      <c r="BL842">
        <f t="shared" si="120"/>
        <v>21817</v>
      </c>
      <c r="BM842">
        <f t="shared" si="121"/>
        <v>0</v>
      </c>
      <c r="BN842">
        <f t="shared" si="122"/>
        <v>0</v>
      </c>
      <c r="BO842">
        <f t="shared" si="123"/>
        <v>0</v>
      </c>
      <c r="BP842">
        <f t="shared" si="124"/>
        <v>0</v>
      </c>
      <c r="BQ842" t="s">
        <v>186</v>
      </c>
      <c r="BR842" t="s">
        <v>186</v>
      </c>
      <c r="BS842" s="1">
        <v>30890</v>
      </c>
      <c r="BT842">
        <v>41</v>
      </c>
      <c r="BU842" t="s">
        <v>1209</v>
      </c>
      <c r="BV842" s="1">
        <v>44032</v>
      </c>
      <c r="BW842">
        <v>18</v>
      </c>
      <c r="BX842">
        <v>1984</v>
      </c>
      <c r="BY842">
        <v>18</v>
      </c>
      <c r="BZ842">
        <f t="shared" si="125"/>
        <v>-3</v>
      </c>
      <c r="CA842">
        <f t="shared" si="126"/>
        <v>0</v>
      </c>
      <c r="CB842" t="b">
        <f t="shared" si="127"/>
        <v>0</v>
      </c>
    </row>
    <row r="843" spans="1:80" x14ac:dyDescent="0.3">
      <c r="A843" t="s">
        <v>6950</v>
      </c>
      <c r="B843" t="s">
        <v>71</v>
      </c>
      <c r="C843" t="s">
        <v>6951</v>
      </c>
      <c r="D843">
        <v>43</v>
      </c>
      <c r="E843" s="1">
        <v>29984</v>
      </c>
      <c r="F843" t="s">
        <v>89</v>
      </c>
      <c r="G843" t="s">
        <v>75</v>
      </c>
      <c r="H843" t="s">
        <v>76</v>
      </c>
      <c r="I843" t="s">
        <v>227</v>
      </c>
      <c r="J843" t="s">
        <v>78</v>
      </c>
      <c r="K843" t="s">
        <v>89</v>
      </c>
      <c r="L843" t="s">
        <v>99</v>
      </c>
      <c r="M843">
        <v>19</v>
      </c>
      <c r="N843" t="s">
        <v>100</v>
      </c>
      <c r="O843">
        <v>2001</v>
      </c>
      <c r="P843" t="s">
        <v>6952</v>
      </c>
      <c r="Q843" t="s">
        <v>6953</v>
      </c>
      <c r="R843">
        <v>7803</v>
      </c>
      <c r="S843" t="s">
        <v>6954</v>
      </c>
      <c r="T843" t="s">
        <v>6955</v>
      </c>
      <c r="U843">
        <v>1982</v>
      </c>
      <c r="V843" t="s">
        <v>519</v>
      </c>
      <c r="W843">
        <v>1.78</v>
      </c>
      <c r="X843" t="s">
        <v>76</v>
      </c>
      <c r="Y843" t="s">
        <v>235</v>
      </c>
      <c r="Z843" t="s">
        <v>87</v>
      </c>
      <c r="AA843" t="s">
        <v>6956</v>
      </c>
      <c r="AB843" t="s">
        <v>5783</v>
      </c>
      <c r="AC843" t="s">
        <v>108</v>
      </c>
      <c r="AD843" t="s">
        <v>89</v>
      </c>
      <c r="AE843">
        <v>36992</v>
      </c>
      <c r="AF843">
        <v>19</v>
      </c>
      <c r="AG843" t="s">
        <v>91</v>
      </c>
      <c r="AH843" t="s">
        <v>1999</v>
      </c>
      <c r="AI843">
        <v>22</v>
      </c>
      <c r="AJ843" t="s">
        <v>110</v>
      </c>
      <c r="AK843">
        <v>19</v>
      </c>
      <c r="AL843">
        <v>5</v>
      </c>
      <c r="AM843">
        <v>343</v>
      </c>
      <c r="AN843">
        <v>62</v>
      </c>
      <c r="AO843">
        <v>4</v>
      </c>
      <c r="AP843" t="s">
        <v>93</v>
      </c>
      <c r="AQ843" t="s">
        <v>89</v>
      </c>
      <c r="AR843" t="s">
        <v>89</v>
      </c>
      <c r="AS843" t="s">
        <v>111</v>
      </c>
      <c r="AT843" t="s">
        <v>5783</v>
      </c>
      <c r="AU843">
        <v>2020</v>
      </c>
      <c r="AV843">
        <v>19</v>
      </c>
      <c r="AW843">
        <v>19</v>
      </c>
      <c r="AX843" t="s">
        <v>89</v>
      </c>
      <c r="AY843" t="s">
        <v>93</v>
      </c>
      <c r="AZ843">
        <v>0</v>
      </c>
      <c r="BA843">
        <v>0</v>
      </c>
      <c r="BB843">
        <v>0</v>
      </c>
      <c r="BC843">
        <v>0</v>
      </c>
      <c r="BD843">
        <v>255</v>
      </c>
      <c r="BE843">
        <v>20467</v>
      </c>
      <c r="BF843">
        <v>5</v>
      </c>
      <c r="BG843">
        <v>38</v>
      </c>
      <c r="BH843">
        <v>255</v>
      </c>
      <c r="BI843">
        <v>20467</v>
      </c>
      <c r="BJ843">
        <v>5</v>
      </c>
      <c r="BK843">
        <f t="shared" si="119"/>
        <v>255</v>
      </c>
      <c r="BL843">
        <f t="shared" si="120"/>
        <v>20467</v>
      </c>
      <c r="BM843">
        <f t="shared" si="121"/>
        <v>5</v>
      </c>
      <c r="BN843">
        <f t="shared" si="122"/>
        <v>0</v>
      </c>
      <c r="BO843">
        <f t="shared" si="123"/>
        <v>0</v>
      </c>
      <c r="BP843">
        <f t="shared" si="124"/>
        <v>0</v>
      </c>
      <c r="BQ843" t="s">
        <v>235</v>
      </c>
      <c r="BR843" t="s">
        <v>140</v>
      </c>
      <c r="BS843" t="s">
        <v>89</v>
      </c>
      <c r="BT843">
        <v>44</v>
      </c>
      <c r="BU843" t="s">
        <v>5783</v>
      </c>
      <c r="BV843" s="1">
        <v>44012</v>
      </c>
      <c r="BW843">
        <v>19</v>
      </c>
      <c r="BX843">
        <v>1982</v>
      </c>
      <c r="BY843">
        <v>19</v>
      </c>
      <c r="BZ843">
        <f t="shared" si="125"/>
        <v>0</v>
      </c>
      <c r="CA843">
        <f t="shared" si="126"/>
        <v>0</v>
      </c>
      <c r="CB843" t="b">
        <f t="shared" si="127"/>
        <v>1</v>
      </c>
    </row>
    <row r="844" spans="1:80" x14ac:dyDescent="0.3">
      <c r="A844" t="s">
        <v>6957</v>
      </c>
      <c r="B844" t="s">
        <v>71</v>
      </c>
      <c r="C844" t="s">
        <v>6958</v>
      </c>
      <c r="D844">
        <v>33</v>
      </c>
      <c r="E844" s="1">
        <v>33622</v>
      </c>
      <c r="F844" t="s">
        <v>89</v>
      </c>
      <c r="G844" t="s">
        <v>75</v>
      </c>
      <c r="H844" t="s">
        <v>89</v>
      </c>
      <c r="I844" t="s">
        <v>750</v>
      </c>
      <c r="J844" t="s">
        <v>89</v>
      </c>
      <c r="K844" t="s">
        <v>89</v>
      </c>
      <c r="L844" t="s">
        <v>762</v>
      </c>
      <c r="M844">
        <v>22</v>
      </c>
      <c r="N844" t="s">
        <v>402</v>
      </c>
      <c r="O844">
        <v>2014</v>
      </c>
      <c r="P844" t="s">
        <v>6959</v>
      </c>
      <c r="Q844" t="s">
        <v>6960</v>
      </c>
      <c r="R844">
        <v>223779</v>
      </c>
      <c r="S844" t="s">
        <v>6957</v>
      </c>
      <c r="T844" t="s">
        <v>6961</v>
      </c>
      <c r="U844">
        <v>1992</v>
      </c>
      <c r="V844" t="s">
        <v>2389</v>
      </c>
      <c r="W844">
        <v>1.85</v>
      </c>
      <c r="X844" t="s">
        <v>76</v>
      </c>
      <c r="Y844" t="s">
        <v>86</v>
      </c>
      <c r="Z844" t="s">
        <v>87</v>
      </c>
      <c r="AA844" t="s">
        <v>476</v>
      </c>
      <c r="AB844" s="1">
        <v>45292</v>
      </c>
      <c r="AC844" t="s">
        <v>108</v>
      </c>
      <c r="AD844" t="s">
        <v>89</v>
      </c>
      <c r="AE844" t="s">
        <v>3845</v>
      </c>
      <c r="AF844">
        <v>23</v>
      </c>
      <c r="AG844" t="s">
        <v>91</v>
      </c>
      <c r="AH844" t="s">
        <v>92</v>
      </c>
      <c r="AI844" t="s">
        <v>89</v>
      </c>
      <c r="AJ844" t="s">
        <v>92</v>
      </c>
      <c r="AK844">
        <v>23</v>
      </c>
      <c r="AL844">
        <v>1</v>
      </c>
      <c r="AM844">
        <v>53</v>
      </c>
      <c r="AN844">
        <v>6</v>
      </c>
      <c r="AO844">
        <v>1</v>
      </c>
      <c r="AP844" t="s">
        <v>93</v>
      </c>
      <c r="AQ844" t="s">
        <v>89</v>
      </c>
      <c r="AR844" t="s">
        <v>89</v>
      </c>
      <c r="AS844" t="s">
        <v>93</v>
      </c>
      <c r="AT844" t="s">
        <v>89</v>
      </c>
      <c r="AU844" t="s">
        <v>89</v>
      </c>
      <c r="AV844" t="s">
        <v>89</v>
      </c>
      <c r="AW844">
        <v>11</v>
      </c>
      <c r="AX844" t="s">
        <v>89</v>
      </c>
      <c r="AY844" t="s">
        <v>93</v>
      </c>
      <c r="AZ844">
        <v>0</v>
      </c>
      <c r="BA844">
        <v>0</v>
      </c>
      <c r="BB844">
        <v>0</v>
      </c>
      <c r="BC844">
        <v>0</v>
      </c>
      <c r="BD844">
        <v>45</v>
      </c>
      <c r="BE844">
        <v>3102</v>
      </c>
      <c r="BF844">
        <v>3</v>
      </c>
      <c r="BG844" t="s">
        <v>89</v>
      </c>
      <c r="BH844">
        <v>45</v>
      </c>
      <c r="BI844">
        <v>3102</v>
      </c>
      <c r="BJ844">
        <v>3</v>
      </c>
      <c r="BK844">
        <f t="shared" si="119"/>
        <v>45</v>
      </c>
      <c r="BL844">
        <f t="shared" si="120"/>
        <v>3102</v>
      </c>
      <c r="BM844">
        <f t="shared" si="121"/>
        <v>3</v>
      </c>
      <c r="BN844">
        <f t="shared" si="122"/>
        <v>0</v>
      </c>
      <c r="BO844">
        <f t="shared" si="123"/>
        <v>0</v>
      </c>
      <c r="BP844">
        <f t="shared" si="124"/>
        <v>0</v>
      </c>
      <c r="BQ844" t="s">
        <v>86</v>
      </c>
      <c r="BR844" t="s">
        <v>94</v>
      </c>
      <c r="BS844" s="1">
        <v>33617</v>
      </c>
      <c r="BT844">
        <v>34</v>
      </c>
      <c r="BU844" t="s">
        <v>89</v>
      </c>
      <c r="BV844" t="s">
        <v>89</v>
      </c>
      <c r="BW844">
        <v>11</v>
      </c>
      <c r="BX844">
        <v>1992</v>
      </c>
      <c r="BY844">
        <v>10</v>
      </c>
      <c r="BZ844">
        <f t="shared" si="125"/>
        <v>0</v>
      </c>
      <c r="CA844">
        <f t="shared" si="126"/>
        <v>1</v>
      </c>
      <c r="CB844" t="b">
        <f t="shared" si="127"/>
        <v>1</v>
      </c>
    </row>
    <row r="845" spans="1:80" x14ac:dyDescent="0.3">
      <c r="A845" t="s">
        <v>6962</v>
      </c>
      <c r="B845" t="s">
        <v>71</v>
      </c>
      <c r="C845" t="s">
        <v>6963</v>
      </c>
      <c r="D845">
        <v>46</v>
      </c>
      <c r="E845">
        <v>28770</v>
      </c>
      <c r="F845" t="s">
        <v>89</v>
      </c>
      <c r="G845" t="s">
        <v>298</v>
      </c>
      <c r="H845" t="s">
        <v>76</v>
      </c>
      <c r="I845" t="s">
        <v>437</v>
      </c>
      <c r="J845" t="s">
        <v>89</v>
      </c>
      <c r="K845" t="s">
        <v>89</v>
      </c>
      <c r="L845" t="s">
        <v>2852</v>
      </c>
      <c r="M845">
        <v>16</v>
      </c>
      <c r="N845" t="s">
        <v>416</v>
      </c>
      <c r="O845">
        <v>1995</v>
      </c>
      <c r="P845" t="s">
        <v>6964</v>
      </c>
      <c r="Q845" t="s">
        <v>6965</v>
      </c>
      <c r="R845">
        <v>51545</v>
      </c>
      <c r="S845" t="s">
        <v>6962</v>
      </c>
      <c r="T845">
        <v>28681</v>
      </c>
      <c r="U845">
        <v>1978</v>
      </c>
      <c r="V845" t="s">
        <v>2226</v>
      </c>
      <c r="W845">
        <v>1.8</v>
      </c>
      <c r="X845" t="s">
        <v>76</v>
      </c>
      <c r="Y845" t="s">
        <v>369</v>
      </c>
      <c r="Z845" t="s">
        <v>392</v>
      </c>
      <c r="AA845" t="s">
        <v>1768</v>
      </c>
      <c r="AB845" t="s">
        <v>6966</v>
      </c>
      <c r="AC845" t="s">
        <v>108</v>
      </c>
      <c r="AD845" t="s">
        <v>89</v>
      </c>
      <c r="AE845" t="s">
        <v>6967</v>
      </c>
      <c r="AF845">
        <v>16</v>
      </c>
      <c r="AG845" t="s">
        <v>91</v>
      </c>
      <c r="AH845" s="1">
        <v>36679</v>
      </c>
      <c r="AI845">
        <v>21</v>
      </c>
      <c r="AJ845" t="s">
        <v>459</v>
      </c>
      <c r="AK845">
        <v>16</v>
      </c>
      <c r="AL845">
        <v>4</v>
      </c>
      <c r="AM845">
        <v>271</v>
      </c>
      <c r="AN845">
        <v>29</v>
      </c>
      <c r="AO845">
        <v>4</v>
      </c>
      <c r="AP845" t="s">
        <v>93</v>
      </c>
      <c r="AQ845" t="s">
        <v>89</v>
      </c>
      <c r="AR845" t="s">
        <v>89</v>
      </c>
      <c r="AS845" t="s">
        <v>111</v>
      </c>
      <c r="AT845" t="s">
        <v>6966</v>
      </c>
      <c r="AU845">
        <v>2014</v>
      </c>
      <c r="AV845">
        <v>19</v>
      </c>
      <c r="AW845">
        <v>19</v>
      </c>
      <c r="AX845" t="s">
        <v>89</v>
      </c>
      <c r="AY845" t="s">
        <v>93</v>
      </c>
      <c r="AZ845">
        <v>0</v>
      </c>
      <c r="BA845">
        <v>0</v>
      </c>
      <c r="BB845">
        <v>0</v>
      </c>
      <c r="BC845">
        <v>0</v>
      </c>
      <c r="BD845">
        <v>363</v>
      </c>
      <c r="BE845">
        <v>22367</v>
      </c>
      <c r="BF845">
        <v>90</v>
      </c>
      <c r="BG845">
        <v>36</v>
      </c>
      <c r="BH845">
        <v>363</v>
      </c>
      <c r="BI845">
        <v>22367</v>
      </c>
      <c r="BJ845">
        <v>90</v>
      </c>
      <c r="BK845">
        <f t="shared" si="119"/>
        <v>363</v>
      </c>
      <c r="BL845">
        <f t="shared" si="120"/>
        <v>22367</v>
      </c>
      <c r="BM845">
        <f t="shared" si="121"/>
        <v>90</v>
      </c>
      <c r="BN845">
        <f t="shared" si="122"/>
        <v>0</v>
      </c>
      <c r="BO845">
        <f t="shared" si="123"/>
        <v>0</v>
      </c>
      <c r="BP845">
        <f t="shared" si="124"/>
        <v>0</v>
      </c>
      <c r="BQ845" t="s">
        <v>369</v>
      </c>
      <c r="BR845" t="s">
        <v>112</v>
      </c>
      <c r="BS845" t="s">
        <v>89</v>
      </c>
      <c r="BT845">
        <v>48</v>
      </c>
      <c r="BU845" t="s">
        <v>6966</v>
      </c>
      <c r="BV845" s="1">
        <v>41820</v>
      </c>
      <c r="BW845">
        <v>20</v>
      </c>
      <c r="BX845">
        <v>1978</v>
      </c>
      <c r="BY845">
        <v>20</v>
      </c>
      <c r="BZ845">
        <f t="shared" si="125"/>
        <v>-1</v>
      </c>
      <c r="CA845">
        <f t="shared" si="126"/>
        <v>0</v>
      </c>
      <c r="CB845" t="b">
        <f t="shared" si="127"/>
        <v>0</v>
      </c>
    </row>
    <row r="846" spans="1:80" x14ac:dyDescent="0.3">
      <c r="A846" t="s">
        <v>6968</v>
      </c>
      <c r="B846" t="s">
        <v>71</v>
      </c>
      <c r="C846" t="s">
        <v>6969</v>
      </c>
      <c r="D846">
        <v>37</v>
      </c>
      <c r="E846" s="1">
        <v>32263</v>
      </c>
      <c r="F846" t="s">
        <v>89</v>
      </c>
      <c r="G846" t="s">
        <v>176</v>
      </c>
      <c r="H846" t="s">
        <v>76</v>
      </c>
      <c r="I846" t="s">
        <v>178</v>
      </c>
      <c r="J846" t="s">
        <v>78</v>
      </c>
      <c r="K846" t="s">
        <v>89</v>
      </c>
      <c r="L846" t="s">
        <v>228</v>
      </c>
      <c r="M846">
        <v>22</v>
      </c>
      <c r="N846" t="s">
        <v>416</v>
      </c>
      <c r="O846">
        <v>2010</v>
      </c>
      <c r="P846" t="s">
        <v>6970</v>
      </c>
      <c r="Q846" t="s">
        <v>6971</v>
      </c>
      <c r="R846">
        <v>57693</v>
      </c>
      <c r="S846" t="s">
        <v>6968</v>
      </c>
      <c r="T846" t="s">
        <v>6972</v>
      </c>
      <c r="U846">
        <v>1988</v>
      </c>
      <c r="V846" t="s">
        <v>2226</v>
      </c>
      <c r="W846">
        <v>1.85</v>
      </c>
      <c r="X846" t="s">
        <v>76</v>
      </c>
      <c r="Y846" t="s">
        <v>186</v>
      </c>
      <c r="Z846" t="s">
        <v>87</v>
      </c>
      <c r="AA846" t="s">
        <v>6973</v>
      </c>
      <c r="AB846" s="1">
        <v>45298</v>
      </c>
      <c r="AC846" t="s">
        <v>1615</v>
      </c>
      <c r="AD846" t="s">
        <v>89</v>
      </c>
      <c r="AE846" t="s">
        <v>5628</v>
      </c>
      <c r="AF846">
        <v>23</v>
      </c>
      <c r="AG846" t="s">
        <v>91</v>
      </c>
      <c r="AH846" t="s">
        <v>90</v>
      </c>
      <c r="AI846">
        <v>24</v>
      </c>
      <c r="AJ846" t="s">
        <v>110</v>
      </c>
      <c r="AK846">
        <v>23</v>
      </c>
      <c r="AL846">
        <v>3</v>
      </c>
      <c r="AM846">
        <v>66</v>
      </c>
      <c r="AN846">
        <v>8</v>
      </c>
      <c r="AO846">
        <v>2</v>
      </c>
      <c r="AP846" t="s">
        <v>93</v>
      </c>
      <c r="AQ846" t="s">
        <v>89</v>
      </c>
      <c r="AR846" t="s">
        <v>89</v>
      </c>
      <c r="AS846" t="s">
        <v>93</v>
      </c>
      <c r="AT846" t="s">
        <v>89</v>
      </c>
      <c r="AU846" t="s">
        <v>89</v>
      </c>
      <c r="AV846" t="s">
        <v>89</v>
      </c>
      <c r="AW846">
        <v>15</v>
      </c>
      <c r="AX846" t="s">
        <v>89</v>
      </c>
      <c r="AY846" t="s">
        <v>93</v>
      </c>
      <c r="AZ846">
        <v>0</v>
      </c>
      <c r="BA846">
        <v>0</v>
      </c>
      <c r="BB846">
        <v>0</v>
      </c>
      <c r="BC846">
        <v>0</v>
      </c>
      <c r="BD846">
        <v>89</v>
      </c>
      <c r="BE846">
        <v>7825</v>
      </c>
      <c r="BF846">
        <v>0</v>
      </c>
      <c r="BG846" t="s">
        <v>89</v>
      </c>
      <c r="BH846">
        <v>89</v>
      </c>
      <c r="BI846">
        <v>7825</v>
      </c>
      <c r="BJ846">
        <v>0</v>
      </c>
      <c r="BK846">
        <f t="shared" si="119"/>
        <v>89</v>
      </c>
      <c r="BL846">
        <f t="shared" si="120"/>
        <v>7825</v>
      </c>
      <c r="BM846">
        <f t="shared" si="121"/>
        <v>0</v>
      </c>
      <c r="BN846">
        <f t="shared" si="122"/>
        <v>0</v>
      </c>
      <c r="BO846">
        <f t="shared" si="123"/>
        <v>0</v>
      </c>
      <c r="BP846">
        <f t="shared" si="124"/>
        <v>0</v>
      </c>
      <c r="BQ846" t="s">
        <v>186</v>
      </c>
      <c r="BR846" t="s">
        <v>186</v>
      </c>
      <c r="BS846" s="1">
        <v>32263</v>
      </c>
      <c r="BT846">
        <v>37</v>
      </c>
      <c r="BU846" t="s">
        <v>89</v>
      </c>
      <c r="BV846" t="s">
        <v>89</v>
      </c>
      <c r="BW846">
        <v>14</v>
      </c>
      <c r="BX846">
        <v>1988</v>
      </c>
      <c r="BY846">
        <v>14</v>
      </c>
      <c r="BZ846">
        <f t="shared" si="125"/>
        <v>1</v>
      </c>
      <c r="CA846">
        <f t="shared" si="126"/>
        <v>0</v>
      </c>
      <c r="CB846" t="b">
        <f t="shared" si="127"/>
        <v>0</v>
      </c>
    </row>
    <row r="847" spans="1:80" x14ac:dyDescent="0.3">
      <c r="A847" t="s">
        <v>6974</v>
      </c>
      <c r="B847" t="s">
        <v>71</v>
      </c>
      <c r="C847" t="s">
        <v>6975</v>
      </c>
      <c r="D847">
        <v>34</v>
      </c>
      <c r="E847" s="1">
        <v>33201</v>
      </c>
      <c r="F847" t="s">
        <v>89</v>
      </c>
      <c r="G847" t="s">
        <v>75</v>
      </c>
      <c r="H847" t="s">
        <v>76</v>
      </c>
      <c r="I847" t="s">
        <v>596</v>
      </c>
      <c r="J847" t="s">
        <v>78</v>
      </c>
      <c r="K847" t="s">
        <v>89</v>
      </c>
      <c r="L847" t="s">
        <v>130</v>
      </c>
      <c r="M847">
        <v>17</v>
      </c>
      <c r="N847" t="s">
        <v>763</v>
      </c>
      <c r="O847">
        <v>2008</v>
      </c>
      <c r="P847" t="s">
        <v>6976</v>
      </c>
      <c r="Q847" t="s">
        <v>6977</v>
      </c>
      <c r="R847">
        <v>73250</v>
      </c>
      <c r="S847" t="s">
        <v>6974</v>
      </c>
      <c r="T847" t="s">
        <v>6978</v>
      </c>
      <c r="U847">
        <v>1990</v>
      </c>
      <c r="V847" t="s">
        <v>6979</v>
      </c>
      <c r="W847">
        <v>1.8</v>
      </c>
      <c r="X847" t="s">
        <v>76</v>
      </c>
      <c r="Y847" t="s">
        <v>235</v>
      </c>
      <c r="Z847" t="s">
        <v>87</v>
      </c>
      <c r="AA847" t="s">
        <v>476</v>
      </c>
      <c r="AB847" s="1">
        <v>45664</v>
      </c>
      <c r="AC847" t="s">
        <v>108</v>
      </c>
      <c r="AD847" t="s">
        <v>89</v>
      </c>
      <c r="AE847" t="s">
        <v>6980</v>
      </c>
      <c r="AF847">
        <v>18</v>
      </c>
      <c r="AG847" t="s">
        <v>91</v>
      </c>
      <c r="AH847" t="s">
        <v>371</v>
      </c>
      <c r="AI847">
        <v>18</v>
      </c>
      <c r="AJ847" t="s">
        <v>110</v>
      </c>
      <c r="AK847">
        <v>18</v>
      </c>
      <c r="AL847">
        <v>6</v>
      </c>
      <c r="AM847">
        <v>178</v>
      </c>
      <c r="AN847">
        <v>34</v>
      </c>
      <c r="AO847">
        <v>6</v>
      </c>
      <c r="AP847" t="s">
        <v>93</v>
      </c>
      <c r="AQ847" t="s">
        <v>89</v>
      </c>
      <c r="AR847" t="s">
        <v>89</v>
      </c>
      <c r="AS847" t="s">
        <v>93</v>
      </c>
      <c r="AT847" t="s">
        <v>89</v>
      </c>
      <c r="AU847" t="s">
        <v>89</v>
      </c>
      <c r="AV847" t="s">
        <v>89</v>
      </c>
      <c r="AW847">
        <v>17</v>
      </c>
      <c r="AX847" t="s">
        <v>89</v>
      </c>
      <c r="AY847" t="s">
        <v>111</v>
      </c>
      <c r="AZ847">
        <v>3</v>
      </c>
      <c r="BA847">
        <v>3</v>
      </c>
      <c r="BB847">
        <v>270</v>
      </c>
      <c r="BC847">
        <v>2</v>
      </c>
      <c r="BD847">
        <v>535</v>
      </c>
      <c r="BE847">
        <v>42600</v>
      </c>
      <c r="BF847">
        <v>15</v>
      </c>
      <c r="BG847" t="s">
        <v>89</v>
      </c>
      <c r="BH847">
        <v>538</v>
      </c>
      <c r="BI847">
        <v>42870</v>
      </c>
      <c r="BJ847">
        <v>17</v>
      </c>
      <c r="BK847">
        <f t="shared" si="119"/>
        <v>538</v>
      </c>
      <c r="BL847">
        <f t="shared" si="120"/>
        <v>42870</v>
      </c>
      <c r="BM847">
        <f t="shared" si="121"/>
        <v>17</v>
      </c>
      <c r="BN847">
        <f t="shared" si="122"/>
        <v>0</v>
      </c>
      <c r="BO847">
        <f t="shared" si="123"/>
        <v>0</v>
      </c>
      <c r="BP847">
        <f t="shared" si="124"/>
        <v>0</v>
      </c>
      <c r="BQ847" t="s">
        <v>235</v>
      </c>
      <c r="BR847" t="s">
        <v>140</v>
      </c>
      <c r="BS847" s="1">
        <v>33201</v>
      </c>
      <c r="BT847">
        <v>35</v>
      </c>
      <c r="BU847" t="s">
        <v>89</v>
      </c>
      <c r="BV847" t="s">
        <v>89</v>
      </c>
      <c r="BW847">
        <v>17</v>
      </c>
      <c r="BX847">
        <v>1990</v>
      </c>
      <c r="BY847">
        <v>16</v>
      </c>
      <c r="BZ847">
        <f t="shared" si="125"/>
        <v>0</v>
      </c>
      <c r="CA847">
        <f t="shared" si="126"/>
        <v>1</v>
      </c>
      <c r="CB847" t="b">
        <f t="shared" si="127"/>
        <v>1</v>
      </c>
    </row>
    <row r="848" spans="1:80" x14ac:dyDescent="0.3">
      <c r="A848" t="s">
        <v>6981</v>
      </c>
      <c r="B848" t="s">
        <v>2677</v>
      </c>
      <c r="C848" t="s">
        <v>6982</v>
      </c>
      <c r="D848">
        <v>39</v>
      </c>
      <c r="E848" s="1">
        <v>31553</v>
      </c>
      <c r="F848" t="s">
        <v>89</v>
      </c>
      <c r="G848" t="s">
        <v>241</v>
      </c>
      <c r="H848" t="s">
        <v>2679</v>
      </c>
      <c r="I848" t="s">
        <v>401</v>
      </c>
      <c r="J848" t="s">
        <v>78</v>
      </c>
      <c r="K848" t="s">
        <v>89</v>
      </c>
      <c r="L848" t="s">
        <v>180</v>
      </c>
      <c r="M848">
        <v>21</v>
      </c>
      <c r="N848" t="s">
        <v>6652</v>
      </c>
      <c r="O848">
        <v>2007</v>
      </c>
      <c r="P848" t="s">
        <v>6983</v>
      </c>
      <c r="Q848" t="s">
        <v>6984</v>
      </c>
      <c r="R848">
        <v>34572</v>
      </c>
      <c r="S848" t="s">
        <v>6981</v>
      </c>
      <c r="T848" t="s">
        <v>3193</v>
      </c>
      <c r="U848">
        <v>1986</v>
      </c>
      <c r="V848" t="s">
        <v>6985</v>
      </c>
      <c r="W848" t="s">
        <v>89</v>
      </c>
      <c r="X848" t="s">
        <v>2679</v>
      </c>
      <c r="Y848" t="s">
        <v>123</v>
      </c>
      <c r="Z848" t="s">
        <v>89</v>
      </c>
      <c r="AA848" t="s">
        <v>6656</v>
      </c>
      <c r="AB848" s="1">
        <v>44264</v>
      </c>
      <c r="AC848" t="s">
        <v>108</v>
      </c>
      <c r="AD848" t="s">
        <v>223</v>
      </c>
      <c r="AE848" t="s">
        <v>6986</v>
      </c>
      <c r="AF848">
        <v>19</v>
      </c>
      <c r="AG848" t="s">
        <v>2688</v>
      </c>
      <c r="AH848" t="s">
        <v>92</v>
      </c>
      <c r="AI848" t="s">
        <v>89</v>
      </c>
      <c r="AJ848" t="s">
        <v>92</v>
      </c>
      <c r="AK848">
        <v>19</v>
      </c>
      <c r="AL848">
        <v>34</v>
      </c>
      <c r="AM848">
        <v>332</v>
      </c>
      <c r="AN848">
        <v>70</v>
      </c>
      <c r="AO848">
        <v>9</v>
      </c>
      <c r="AP848" t="s">
        <v>93</v>
      </c>
      <c r="AQ848" t="s">
        <v>89</v>
      </c>
      <c r="AR848" t="s">
        <v>89</v>
      </c>
      <c r="AS848" t="s">
        <v>111</v>
      </c>
      <c r="AT848" s="1">
        <v>44264</v>
      </c>
      <c r="AU848">
        <v>2021</v>
      </c>
      <c r="AV848">
        <v>14</v>
      </c>
      <c r="AW848">
        <v>14</v>
      </c>
      <c r="AX848" t="s">
        <v>89</v>
      </c>
      <c r="AY848" t="s">
        <v>111</v>
      </c>
      <c r="AZ848">
        <v>14</v>
      </c>
      <c r="BA848">
        <v>76</v>
      </c>
      <c r="BB848">
        <v>5695</v>
      </c>
      <c r="BC848">
        <v>31</v>
      </c>
      <c r="BD848">
        <v>440</v>
      </c>
      <c r="BE848">
        <v>32897</v>
      </c>
      <c r="BF848">
        <v>167</v>
      </c>
      <c r="BG848">
        <v>35</v>
      </c>
      <c r="BH848">
        <v>516</v>
      </c>
      <c r="BI848">
        <v>38592</v>
      </c>
      <c r="BJ848">
        <v>198</v>
      </c>
      <c r="BK848">
        <f t="shared" si="119"/>
        <v>516</v>
      </c>
      <c r="BL848">
        <f t="shared" si="120"/>
        <v>38592</v>
      </c>
      <c r="BM848">
        <f t="shared" si="121"/>
        <v>198</v>
      </c>
      <c r="BN848">
        <f t="shared" si="122"/>
        <v>0</v>
      </c>
      <c r="BO848">
        <f t="shared" si="123"/>
        <v>0</v>
      </c>
      <c r="BP848">
        <f t="shared" si="124"/>
        <v>0</v>
      </c>
      <c r="BQ848" t="s">
        <v>123</v>
      </c>
      <c r="BR848" t="s">
        <v>112</v>
      </c>
      <c r="BS848" s="1">
        <v>31553</v>
      </c>
      <c r="BT848">
        <v>39</v>
      </c>
      <c r="BU848" s="1">
        <v>44264</v>
      </c>
      <c r="BV848" s="1">
        <v>44442</v>
      </c>
      <c r="BW848">
        <v>16</v>
      </c>
      <c r="BX848">
        <v>1986</v>
      </c>
      <c r="BY848">
        <v>16</v>
      </c>
      <c r="BZ848">
        <f t="shared" si="125"/>
        <v>-2</v>
      </c>
      <c r="CA848">
        <f t="shared" si="126"/>
        <v>0</v>
      </c>
      <c r="CB848" t="b">
        <f t="shared" si="127"/>
        <v>0</v>
      </c>
    </row>
    <row r="849" spans="1:80" x14ac:dyDescent="0.3">
      <c r="A849" t="s">
        <v>6987</v>
      </c>
      <c r="B849" t="s">
        <v>2677</v>
      </c>
      <c r="C849" t="s">
        <v>6988</v>
      </c>
      <c r="D849">
        <v>30</v>
      </c>
      <c r="E849" t="s">
        <v>6989</v>
      </c>
      <c r="F849" t="s">
        <v>6990</v>
      </c>
      <c r="G849" t="s">
        <v>277</v>
      </c>
      <c r="H849" t="s">
        <v>6991</v>
      </c>
      <c r="I849" t="s">
        <v>2136</v>
      </c>
      <c r="J849" t="s">
        <v>78</v>
      </c>
      <c r="K849" t="s">
        <v>601</v>
      </c>
      <c r="L849" t="s">
        <v>80</v>
      </c>
      <c r="M849">
        <v>17</v>
      </c>
      <c r="N849" t="s">
        <v>4846</v>
      </c>
      <c r="O849">
        <v>2012</v>
      </c>
      <c r="P849" t="s">
        <v>6992</v>
      </c>
      <c r="Q849" t="s">
        <v>6993</v>
      </c>
      <c r="R849">
        <v>205938</v>
      </c>
      <c r="S849" t="s">
        <v>6994</v>
      </c>
      <c r="T849">
        <v>34944</v>
      </c>
      <c r="U849">
        <v>1995</v>
      </c>
      <c r="V849" t="s">
        <v>6995</v>
      </c>
      <c r="W849">
        <v>1.88</v>
      </c>
      <c r="X849" t="s">
        <v>2679</v>
      </c>
      <c r="Y849" t="s">
        <v>86</v>
      </c>
      <c r="Z849" t="s">
        <v>87</v>
      </c>
      <c r="AA849" t="s">
        <v>601</v>
      </c>
      <c r="AB849" s="1">
        <v>43839</v>
      </c>
      <c r="AC849" t="s">
        <v>394</v>
      </c>
      <c r="AD849" t="s">
        <v>89</v>
      </c>
      <c r="AE849" t="s">
        <v>6996</v>
      </c>
      <c r="AF849">
        <v>18</v>
      </c>
      <c r="AG849" t="s">
        <v>6997</v>
      </c>
      <c r="AH849" t="s">
        <v>92</v>
      </c>
      <c r="AI849" t="s">
        <v>89</v>
      </c>
      <c r="AJ849" t="s">
        <v>92</v>
      </c>
      <c r="AK849">
        <v>18</v>
      </c>
      <c r="AL849">
        <v>5</v>
      </c>
      <c r="AM849">
        <v>278</v>
      </c>
      <c r="AN849">
        <v>33</v>
      </c>
      <c r="AO849">
        <v>4</v>
      </c>
      <c r="AP849" t="s">
        <v>93</v>
      </c>
      <c r="AQ849" t="s">
        <v>89</v>
      </c>
      <c r="AR849" t="s">
        <v>89</v>
      </c>
      <c r="AS849" t="s">
        <v>93</v>
      </c>
      <c r="AT849" t="s">
        <v>89</v>
      </c>
      <c r="AU849" t="s">
        <v>89</v>
      </c>
      <c r="AV849" t="s">
        <v>89</v>
      </c>
      <c r="AW849">
        <v>13</v>
      </c>
      <c r="AX849">
        <v>8</v>
      </c>
      <c r="AY849" t="s">
        <v>111</v>
      </c>
      <c r="AZ849">
        <v>21</v>
      </c>
      <c r="BA849">
        <v>77</v>
      </c>
      <c r="BB849">
        <v>3537</v>
      </c>
      <c r="BC849">
        <v>11</v>
      </c>
      <c r="BD849">
        <v>449</v>
      </c>
      <c r="BE849">
        <v>26688</v>
      </c>
      <c r="BF849">
        <v>86</v>
      </c>
      <c r="BG849" t="s">
        <v>89</v>
      </c>
      <c r="BH849">
        <v>526</v>
      </c>
      <c r="BI849">
        <v>30225</v>
      </c>
      <c r="BJ849">
        <v>97</v>
      </c>
      <c r="BK849">
        <f t="shared" si="119"/>
        <v>526</v>
      </c>
      <c r="BL849">
        <f t="shared" si="120"/>
        <v>30225</v>
      </c>
      <c r="BM849">
        <f t="shared" si="121"/>
        <v>97</v>
      </c>
      <c r="BN849">
        <f t="shared" si="122"/>
        <v>0</v>
      </c>
      <c r="BO849">
        <f t="shared" si="123"/>
        <v>0</v>
      </c>
      <c r="BP849">
        <f t="shared" si="124"/>
        <v>0</v>
      </c>
      <c r="BQ849" t="s">
        <v>86</v>
      </c>
      <c r="BR849" t="s">
        <v>94</v>
      </c>
      <c r="BS849" t="s">
        <v>89</v>
      </c>
      <c r="BT849">
        <v>31</v>
      </c>
      <c r="BU849" t="s">
        <v>89</v>
      </c>
      <c r="BV849" t="s">
        <v>89</v>
      </c>
      <c r="BW849">
        <v>13</v>
      </c>
      <c r="BX849">
        <v>1995</v>
      </c>
      <c r="BY849">
        <v>12</v>
      </c>
      <c r="BZ849">
        <f t="shared" si="125"/>
        <v>0</v>
      </c>
      <c r="CA849">
        <f t="shared" si="126"/>
        <v>1</v>
      </c>
      <c r="CB849" t="b">
        <f t="shared" si="127"/>
        <v>1</v>
      </c>
    </row>
    <row r="850" spans="1:80" x14ac:dyDescent="0.3">
      <c r="A850" t="s">
        <v>6998</v>
      </c>
      <c r="B850" t="s">
        <v>71</v>
      </c>
      <c r="C850" t="s">
        <v>6999</v>
      </c>
      <c r="D850">
        <v>38</v>
      </c>
      <c r="E850" s="1">
        <v>31832</v>
      </c>
      <c r="F850" t="s">
        <v>89</v>
      </c>
      <c r="G850" t="s">
        <v>277</v>
      </c>
      <c r="H850" t="s">
        <v>76</v>
      </c>
      <c r="I850" t="s">
        <v>253</v>
      </c>
      <c r="J850" t="s">
        <v>78</v>
      </c>
      <c r="K850" t="s">
        <v>89</v>
      </c>
      <c r="L850" t="s">
        <v>117</v>
      </c>
      <c r="M850">
        <v>18</v>
      </c>
      <c r="N850" t="s">
        <v>81</v>
      </c>
      <c r="O850">
        <v>2005</v>
      </c>
      <c r="P850" t="s">
        <v>7000</v>
      </c>
      <c r="Q850" t="s">
        <v>7001</v>
      </c>
      <c r="R850">
        <v>37337</v>
      </c>
      <c r="S850" t="s">
        <v>6998</v>
      </c>
      <c r="T850" t="s">
        <v>4676</v>
      </c>
      <c r="U850">
        <v>1987</v>
      </c>
      <c r="V850" t="s">
        <v>7002</v>
      </c>
      <c r="W850">
        <v>1.89</v>
      </c>
      <c r="X850" t="s">
        <v>76</v>
      </c>
      <c r="Y850" t="s">
        <v>259</v>
      </c>
      <c r="Z850" t="s">
        <v>87</v>
      </c>
      <c r="AA850" t="s">
        <v>162</v>
      </c>
      <c r="AB850" s="1">
        <v>44936</v>
      </c>
      <c r="AC850" t="s">
        <v>108</v>
      </c>
      <c r="AD850" t="s">
        <v>89</v>
      </c>
      <c r="AE850">
        <v>38514</v>
      </c>
      <c r="AF850">
        <v>18</v>
      </c>
      <c r="AG850" t="s">
        <v>91</v>
      </c>
      <c r="AH850" t="s">
        <v>7003</v>
      </c>
      <c r="AI850">
        <v>19</v>
      </c>
      <c r="AJ850" t="s">
        <v>110</v>
      </c>
      <c r="AK850">
        <v>18</v>
      </c>
      <c r="AL850">
        <v>4</v>
      </c>
      <c r="AM850">
        <v>146</v>
      </c>
      <c r="AN850">
        <v>38</v>
      </c>
      <c r="AO850">
        <v>3</v>
      </c>
      <c r="AP850" t="s">
        <v>93</v>
      </c>
      <c r="AQ850" t="s">
        <v>89</v>
      </c>
      <c r="AR850" t="s">
        <v>89</v>
      </c>
      <c r="AS850" t="s">
        <v>111</v>
      </c>
      <c r="AT850" s="1">
        <v>44936</v>
      </c>
      <c r="AU850">
        <v>2023</v>
      </c>
      <c r="AV850">
        <v>18</v>
      </c>
      <c r="AW850">
        <v>18</v>
      </c>
      <c r="AX850" t="s">
        <v>89</v>
      </c>
      <c r="AY850" t="s">
        <v>111</v>
      </c>
      <c r="AZ850">
        <v>3</v>
      </c>
      <c r="BA850">
        <v>2</v>
      </c>
      <c r="BB850">
        <v>158</v>
      </c>
      <c r="BC850">
        <v>0</v>
      </c>
      <c r="BD850">
        <v>462</v>
      </c>
      <c r="BE850">
        <v>30246</v>
      </c>
      <c r="BF850">
        <v>33</v>
      </c>
      <c r="BG850">
        <v>36</v>
      </c>
      <c r="BH850">
        <v>464</v>
      </c>
      <c r="BI850">
        <v>30404</v>
      </c>
      <c r="BJ850">
        <v>33</v>
      </c>
      <c r="BK850">
        <f t="shared" si="119"/>
        <v>464</v>
      </c>
      <c r="BL850">
        <f t="shared" si="120"/>
        <v>30404</v>
      </c>
      <c r="BM850">
        <f t="shared" si="121"/>
        <v>33</v>
      </c>
      <c r="BN850">
        <f t="shared" si="122"/>
        <v>0</v>
      </c>
      <c r="BO850">
        <f t="shared" si="123"/>
        <v>0</v>
      </c>
      <c r="BP850">
        <f t="shared" si="124"/>
        <v>0</v>
      </c>
      <c r="BQ850" t="s">
        <v>259</v>
      </c>
      <c r="BR850" t="s">
        <v>94</v>
      </c>
      <c r="BS850" s="1">
        <v>31832</v>
      </c>
      <c r="BT850">
        <v>38</v>
      </c>
      <c r="BU850" s="1">
        <v>44936</v>
      </c>
      <c r="BV850" s="1">
        <v>45200</v>
      </c>
      <c r="BW850">
        <v>18</v>
      </c>
      <c r="BX850">
        <v>1987</v>
      </c>
      <c r="BY850">
        <v>18</v>
      </c>
      <c r="BZ850">
        <f t="shared" si="125"/>
        <v>0</v>
      </c>
      <c r="CA850">
        <f t="shared" si="126"/>
        <v>0</v>
      </c>
      <c r="CB850" t="b">
        <f t="shared" si="127"/>
        <v>1</v>
      </c>
    </row>
    <row r="851" spans="1:80" x14ac:dyDescent="0.3">
      <c r="A851" t="s">
        <v>7004</v>
      </c>
      <c r="B851" t="s">
        <v>7005</v>
      </c>
      <c r="C851" t="s">
        <v>7006</v>
      </c>
      <c r="D851">
        <v>44</v>
      </c>
      <c r="E851" s="1">
        <v>29782</v>
      </c>
      <c r="F851" t="s">
        <v>89</v>
      </c>
      <c r="G851" t="s">
        <v>241</v>
      </c>
      <c r="H851" t="s">
        <v>7007</v>
      </c>
      <c r="I851" t="s">
        <v>5304</v>
      </c>
      <c r="J851" t="s">
        <v>78</v>
      </c>
      <c r="K851" t="s">
        <v>89</v>
      </c>
      <c r="L851" t="s">
        <v>99</v>
      </c>
      <c r="M851">
        <v>20</v>
      </c>
      <c r="N851" t="s">
        <v>7008</v>
      </c>
      <c r="O851">
        <v>2001</v>
      </c>
      <c r="P851" t="s">
        <v>7009</v>
      </c>
      <c r="Q851" t="s">
        <v>7010</v>
      </c>
      <c r="R851">
        <v>5966</v>
      </c>
      <c r="S851" t="s">
        <v>7011</v>
      </c>
      <c r="T851" t="s">
        <v>7012</v>
      </c>
      <c r="U851">
        <v>1981</v>
      </c>
      <c r="V851" t="s">
        <v>7013</v>
      </c>
      <c r="W851" t="s">
        <v>89</v>
      </c>
      <c r="X851" t="s">
        <v>7007</v>
      </c>
      <c r="Y851" t="s">
        <v>235</v>
      </c>
      <c r="Z851" t="s">
        <v>89</v>
      </c>
      <c r="AA851" t="s">
        <v>7014</v>
      </c>
      <c r="AB851" s="1">
        <v>44050</v>
      </c>
      <c r="AC851" t="s">
        <v>108</v>
      </c>
      <c r="AD851" t="s">
        <v>442</v>
      </c>
      <c r="AE851">
        <v>37317</v>
      </c>
      <c r="AF851">
        <v>20</v>
      </c>
      <c r="AG851" t="s">
        <v>573</v>
      </c>
      <c r="AH851" t="s">
        <v>7015</v>
      </c>
      <c r="AI851">
        <v>21</v>
      </c>
      <c r="AJ851" t="s">
        <v>575</v>
      </c>
      <c r="AK851">
        <v>20</v>
      </c>
      <c r="AL851">
        <v>9</v>
      </c>
      <c r="AM851">
        <v>389</v>
      </c>
      <c r="AN851">
        <v>54</v>
      </c>
      <c r="AO851">
        <v>4</v>
      </c>
      <c r="AP851" t="s">
        <v>93</v>
      </c>
      <c r="AQ851" t="s">
        <v>89</v>
      </c>
      <c r="AR851" t="s">
        <v>89</v>
      </c>
      <c r="AS851" t="s">
        <v>111</v>
      </c>
      <c r="AT851" s="1">
        <v>44050</v>
      </c>
      <c r="AU851">
        <v>2020</v>
      </c>
      <c r="AV851">
        <v>19</v>
      </c>
      <c r="AW851">
        <v>19</v>
      </c>
      <c r="AX851" t="s">
        <v>89</v>
      </c>
      <c r="AY851" t="s">
        <v>111</v>
      </c>
      <c r="AZ851">
        <v>5</v>
      </c>
      <c r="BA851">
        <v>36</v>
      </c>
      <c r="BB851">
        <v>3071</v>
      </c>
      <c r="BC851">
        <v>5</v>
      </c>
      <c r="BD851">
        <v>339</v>
      </c>
      <c r="BE851">
        <v>25936</v>
      </c>
      <c r="BF851">
        <v>16</v>
      </c>
      <c r="BG851">
        <v>39</v>
      </c>
      <c r="BH851">
        <v>375</v>
      </c>
      <c r="BI851">
        <v>29007</v>
      </c>
      <c r="BJ851">
        <v>21</v>
      </c>
      <c r="BK851">
        <f t="shared" si="119"/>
        <v>375</v>
      </c>
      <c r="BL851">
        <f t="shared" si="120"/>
        <v>29007</v>
      </c>
      <c r="BM851">
        <f t="shared" si="121"/>
        <v>21</v>
      </c>
      <c r="BN851">
        <f t="shared" si="122"/>
        <v>0</v>
      </c>
      <c r="BO851">
        <f t="shared" si="123"/>
        <v>0</v>
      </c>
      <c r="BP851">
        <f t="shared" si="124"/>
        <v>0</v>
      </c>
      <c r="BQ851" t="s">
        <v>235</v>
      </c>
      <c r="BR851" t="s">
        <v>140</v>
      </c>
      <c r="BS851" s="1">
        <v>29782</v>
      </c>
      <c r="BT851">
        <v>44</v>
      </c>
      <c r="BU851" s="1">
        <v>44050</v>
      </c>
      <c r="BV851" s="1">
        <v>44020</v>
      </c>
      <c r="BW851">
        <v>19</v>
      </c>
      <c r="BX851">
        <v>1981</v>
      </c>
      <c r="BY851">
        <v>19</v>
      </c>
      <c r="BZ851">
        <f t="shared" si="125"/>
        <v>0</v>
      </c>
      <c r="CA851">
        <f t="shared" si="126"/>
        <v>0</v>
      </c>
      <c r="CB851" t="b">
        <f t="shared" si="127"/>
        <v>1</v>
      </c>
    </row>
    <row r="852" spans="1:80" x14ac:dyDescent="0.3">
      <c r="A852" t="s">
        <v>7016</v>
      </c>
      <c r="B852" t="s">
        <v>71</v>
      </c>
      <c r="C852" t="s">
        <v>7017</v>
      </c>
      <c r="D852">
        <v>39</v>
      </c>
      <c r="E852" s="1">
        <v>31537</v>
      </c>
      <c r="F852" t="s">
        <v>89</v>
      </c>
      <c r="G852" t="s">
        <v>115</v>
      </c>
      <c r="H852" t="s">
        <v>76</v>
      </c>
      <c r="I852" t="s">
        <v>253</v>
      </c>
      <c r="J852" t="s">
        <v>78</v>
      </c>
      <c r="K852" t="s">
        <v>89</v>
      </c>
      <c r="L852" t="s">
        <v>117</v>
      </c>
      <c r="M852">
        <v>19</v>
      </c>
      <c r="N852" t="s">
        <v>1181</v>
      </c>
      <c r="O852">
        <v>2005</v>
      </c>
      <c r="P852" t="s">
        <v>7018</v>
      </c>
      <c r="Q852" t="s">
        <v>7019</v>
      </c>
      <c r="R852">
        <v>51426</v>
      </c>
      <c r="S852" t="s">
        <v>7016</v>
      </c>
      <c r="T852" s="1">
        <v>31537</v>
      </c>
      <c r="U852">
        <v>1986</v>
      </c>
      <c r="V852" t="s">
        <v>7020</v>
      </c>
      <c r="W852">
        <v>1.81</v>
      </c>
      <c r="X852" t="s">
        <v>76</v>
      </c>
      <c r="Y852" t="s">
        <v>259</v>
      </c>
      <c r="Z852" t="s">
        <v>87</v>
      </c>
      <c r="AA852" t="s">
        <v>181</v>
      </c>
      <c r="AB852" t="s">
        <v>7021</v>
      </c>
      <c r="AC852" t="s">
        <v>108</v>
      </c>
      <c r="AD852" t="s">
        <v>89</v>
      </c>
      <c r="AE852" t="s">
        <v>7022</v>
      </c>
      <c r="AF852">
        <v>24</v>
      </c>
      <c r="AG852" t="s">
        <v>91</v>
      </c>
      <c r="AH852">
        <v>38451</v>
      </c>
      <c r="AI852">
        <v>19</v>
      </c>
      <c r="AJ852" t="s">
        <v>110</v>
      </c>
      <c r="AK852">
        <v>19</v>
      </c>
      <c r="AL852">
        <v>9</v>
      </c>
      <c r="AM852">
        <v>669</v>
      </c>
      <c r="AN852">
        <v>99</v>
      </c>
      <c r="AO852">
        <v>5</v>
      </c>
      <c r="AP852" t="s">
        <v>93</v>
      </c>
      <c r="AQ852" t="s">
        <v>89</v>
      </c>
      <c r="AR852" t="s">
        <v>89</v>
      </c>
      <c r="AS852" t="s">
        <v>111</v>
      </c>
      <c r="AT852" t="s">
        <v>7021</v>
      </c>
      <c r="AU852">
        <v>2020</v>
      </c>
      <c r="AV852">
        <v>15</v>
      </c>
      <c r="AW852">
        <v>15</v>
      </c>
      <c r="AX852" t="s">
        <v>89</v>
      </c>
      <c r="AY852" t="s">
        <v>93</v>
      </c>
      <c r="AZ852">
        <v>0</v>
      </c>
      <c r="BA852">
        <v>0</v>
      </c>
      <c r="BB852">
        <v>0</v>
      </c>
      <c r="BC852">
        <v>0</v>
      </c>
      <c r="BD852">
        <v>266</v>
      </c>
      <c r="BE852">
        <v>18426</v>
      </c>
      <c r="BF852">
        <v>7</v>
      </c>
      <c r="BG852">
        <v>34</v>
      </c>
      <c r="BH852">
        <v>266</v>
      </c>
      <c r="BI852">
        <v>18426</v>
      </c>
      <c r="BJ852">
        <v>7</v>
      </c>
      <c r="BK852">
        <f t="shared" si="119"/>
        <v>266</v>
      </c>
      <c r="BL852">
        <f t="shared" si="120"/>
        <v>18426</v>
      </c>
      <c r="BM852">
        <f t="shared" si="121"/>
        <v>7</v>
      </c>
      <c r="BN852">
        <f t="shared" si="122"/>
        <v>0</v>
      </c>
      <c r="BO852">
        <f t="shared" si="123"/>
        <v>0</v>
      </c>
      <c r="BP852">
        <f t="shared" si="124"/>
        <v>0</v>
      </c>
      <c r="BQ852" t="s">
        <v>259</v>
      </c>
      <c r="BR852" t="s">
        <v>94</v>
      </c>
      <c r="BS852" s="1">
        <v>31537</v>
      </c>
      <c r="BT852">
        <v>39</v>
      </c>
      <c r="BU852" t="s">
        <v>7021</v>
      </c>
      <c r="BV852" s="1">
        <v>43852</v>
      </c>
      <c r="BW852">
        <v>15</v>
      </c>
      <c r="BX852">
        <v>1986</v>
      </c>
      <c r="BY852">
        <v>15</v>
      </c>
      <c r="BZ852">
        <f t="shared" si="125"/>
        <v>0</v>
      </c>
      <c r="CA852">
        <f t="shared" si="126"/>
        <v>0</v>
      </c>
      <c r="CB852" t="b">
        <f t="shared" si="127"/>
        <v>1</v>
      </c>
    </row>
    <row r="853" spans="1:80" x14ac:dyDescent="0.3">
      <c r="A853" t="s">
        <v>7023</v>
      </c>
      <c r="B853" t="s">
        <v>71</v>
      </c>
      <c r="C853" t="s">
        <v>7024</v>
      </c>
      <c r="D853">
        <v>37</v>
      </c>
      <c r="E853" s="1">
        <v>32125</v>
      </c>
      <c r="F853" t="s">
        <v>89</v>
      </c>
      <c r="G853" t="s">
        <v>321</v>
      </c>
      <c r="H853" t="s">
        <v>76</v>
      </c>
      <c r="I853" t="s">
        <v>668</v>
      </c>
      <c r="J853" t="s">
        <v>78</v>
      </c>
      <c r="K853" t="s">
        <v>89</v>
      </c>
      <c r="L853" t="s">
        <v>180</v>
      </c>
      <c r="M853">
        <v>19</v>
      </c>
      <c r="N853" t="s">
        <v>137</v>
      </c>
      <c r="O853">
        <v>2007</v>
      </c>
      <c r="P853" t="s">
        <v>7025</v>
      </c>
      <c r="Q853" t="s">
        <v>7026</v>
      </c>
      <c r="R853">
        <v>54245</v>
      </c>
      <c r="S853" t="s">
        <v>7023</v>
      </c>
      <c r="T853" t="s">
        <v>7027</v>
      </c>
      <c r="U853">
        <v>1987</v>
      </c>
      <c r="V853" t="s">
        <v>1181</v>
      </c>
      <c r="W853">
        <v>1.79</v>
      </c>
      <c r="X853" t="s">
        <v>76</v>
      </c>
      <c r="Y853" t="s">
        <v>494</v>
      </c>
      <c r="Z853" t="s">
        <v>87</v>
      </c>
      <c r="AA853" t="s">
        <v>1638</v>
      </c>
      <c r="AB853" s="1">
        <v>44203</v>
      </c>
      <c r="AC853" t="s">
        <v>108</v>
      </c>
      <c r="AD853" t="s">
        <v>89</v>
      </c>
      <c r="AE853">
        <v>39122</v>
      </c>
      <c r="AF853">
        <v>19</v>
      </c>
      <c r="AG853" t="s">
        <v>91</v>
      </c>
      <c r="AH853" t="s">
        <v>92</v>
      </c>
      <c r="AI853" t="s">
        <v>89</v>
      </c>
      <c r="AJ853" t="s">
        <v>92</v>
      </c>
      <c r="AK853">
        <v>19</v>
      </c>
      <c r="AL853">
        <v>7</v>
      </c>
      <c r="AM853">
        <v>561</v>
      </c>
      <c r="AN853">
        <v>13</v>
      </c>
      <c r="AO853">
        <v>4</v>
      </c>
      <c r="AP853" t="s">
        <v>93</v>
      </c>
      <c r="AQ853" t="s">
        <v>89</v>
      </c>
      <c r="AR853" t="s">
        <v>89</v>
      </c>
      <c r="AS853" t="s">
        <v>111</v>
      </c>
      <c r="AT853" s="1">
        <v>44203</v>
      </c>
      <c r="AU853">
        <v>2021</v>
      </c>
      <c r="AV853">
        <v>14</v>
      </c>
      <c r="AW853">
        <v>14</v>
      </c>
      <c r="AX853" t="s">
        <v>89</v>
      </c>
      <c r="AY853" t="s">
        <v>93</v>
      </c>
      <c r="AZ853">
        <v>0</v>
      </c>
      <c r="BA853">
        <v>0</v>
      </c>
      <c r="BB853">
        <v>0</v>
      </c>
      <c r="BC853">
        <v>0</v>
      </c>
      <c r="BD853">
        <v>493</v>
      </c>
      <c r="BE853">
        <v>33117</v>
      </c>
      <c r="BF853">
        <v>55</v>
      </c>
      <c r="BG853">
        <v>34</v>
      </c>
      <c r="BH853">
        <v>493</v>
      </c>
      <c r="BI853">
        <v>33117</v>
      </c>
      <c r="BJ853">
        <v>55</v>
      </c>
      <c r="BK853">
        <f t="shared" si="119"/>
        <v>493</v>
      </c>
      <c r="BL853">
        <f t="shared" si="120"/>
        <v>33117</v>
      </c>
      <c r="BM853">
        <f t="shared" si="121"/>
        <v>55</v>
      </c>
      <c r="BN853">
        <f t="shared" si="122"/>
        <v>0</v>
      </c>
      <c r="BO853">
        <f t="shared" si="123"/>
        <v>0</v>
      </c>
      <c r="BP853">
        <f t="shared" si="124"/>
        <v>0</v>
      </c>
      <c r="BQ853" t="s">
        <v>494</v>
      </c>
      <c r="BR853" t="s">
        <v>112</v>
      </c>
      <c r="BS853" s="1">
        <v>32125</v>
      </c>
      <c r="BT853">
        <v>38</v>
      </c>
      <c r="BU853" s="1">
        <v>44203</v>
      </c>
      <c r="BV853" s="1">
        <v>44378</v>
      </c>
      <c r="BW853">
        <v>15</v>
      </c>
      <c r="BX853">
        <v>1987</v>
      </c>
      <c r="BY853">
        <v>15</v>
      </c>
      <c r="BZ853">
        <f t="shared" si="125"/>
        <v>-1</v>
      </c>
      <c r="CA853">
        <f t="shared" si="126"/>
        <v>0</v>
      </c>
      <c r="CB853" t="b">
        <f t="shared" si="127"/>
        <v>0</v>
      </c>
    </row>
    <row r="854" spans="1:80" x14ac:dyDescent="0.3">
      <c r="A854" t="s">
        <v>7028</v>
      </c>
      <c r="B854" t="s">
        <v>2262</v>
      </c>
      <c r="C854" t="s">
        <v>7029</v>
      </c>
      <c r="D854">
        <v>36</v>
      </c>
      <c r="E854">
        <v>32580</v>
      </c>
      <c r="F854" t="s">
        <v>89</v>
      </c>
      <c r="G854" t="s">
        <v>535</v>
      </c>
      <c r="H854" t="s">
        <v>7030</v>
      </c>
      <c r="I854" t="s">
        <v>116</v>
      </c>
      <c r="J854" t="s">
        <v>78</v>
      </c>
      <c r="K854" t="s">
        <v>89</v>
      </c>
      <c r="L854" t="s">
        <v>163</v>
      </c>
      <c r="M854">
        <v>17</v>
      </c>
      <c r="N854" t="s">
        <v>7031</v>
      </c>
      <c r="O854">
        <v>2006</v>
      </c>
      <c r="P854" t="s">
        <v>7032</v>
      </c>
      <c r="Q854" t="s">
        <v>7033</v>
      </c>
      <c r="R854">
        <v>35251</v>
      </c>
      <c r="S854" t="s">
        <v>7028</v>
      </c>
      <c r="T854" t="s">
        <v>7034</v>
      </c>
      <c r="U854">
        <v>1989</v>
      </c>
      <c r="V854" t="s">
        <v>7035</v>
      </c>
      <c r="W854">
        <v>1.7</v>
      </c>
      <c r="X854" t="s">
        <v>7036</v>
      </c>
      <c r="Y854" t="s">
        <v>106</v>
      </c>
      <c r="Z854" t="s">
        <v>87</v>
      </c>
      <c r="AA854" t="s">
        <v>7037</v>
      </c>
      <c r="AB854">
        <v>44568</v>
      </c>
      <c r="AC854" t="s">
        <v>108</v>
      </c>
      <c r="AD854" t="s">
        <v>89</v>
      </c>
      <c r="AE854" t="s">
        <v>7038</v>
      </c>
      <c r="AF854">
        <v>18</v>
      </c>
      <c r="AG854" t="s">
        <v>2272</v>
      </c>
      <c r="AH854" t="s">
        <v>7039</v>
      </c>
      <c r="AI854">
        <v>18</v>
      </c>
      <c r="AJ854" t="s">
        <v>250</v>
      </c>
      <c r="AK854">
        <v>18</v>
      </c>
      <c r="AL854">
        <v>13</v>
      </c>
      <c r="AM854">
        <v>354</v>
      </c>
      <c r="AN854">
        <v>45</v>
      </c>
      <c r="AO854">
        <v>5</v>
      </c>
      <c r="AP854" t="s">
        <v>93</v>
      </c>
      <c r="AQ854" t="s">
        <v>89</v>
      </c>
      <c r="AR854" t="s">
        <v>89</v>
      </c>
      <c r="AS854" t="s">
        <v>111</v>
      </c>
      <c r="AT854">
        <v>44568</v>
      </c>
      <c r="AU854">
        <v>2022</v>
      </c>
      <c r="AV854">
        <v>16</v>
      </c>
      <c r="AW854">
        <v>16</v>
      </c>
      <c r="AX854" t="s">
        <v>89</v>
      </c>
      <c r="AY854" t="s">
        <v>111</v>
      </c>
      <c r="AZ854">
        <v>3</v>
      </c>
      <c r="BA854">
        <v>7</v>
      </c>
      <c r="BB854">
        <v>119</v>
      </c>
      <c r="BC854">
        <v>0</v>
      </c>
      <c r="BD854">
        <v>376</v>
      </c>
      <c r="BE854">
        <v>24605</v>
      </c>
      <c r="BF854">
        <v>48</v>
      </c>
      <c r="BG854">
        <v>33</v>
      </c>
      <c r="BH854">
        <v>383</v>
      </c>
      <c r="BI854">
        <v>24724</v>
      </c>
      <c r="BJ854">
        <v>48</v>
      </c>
      <c r="BK854">
        <f t="shared" si="119"/>
        <v>383</v>
      </c>
      <c r="BL854">
        <f t="shared" si="120"/>
        <v>24724</v>
      </c>
      <c r="BM854">
        <f t="shared" si="121"/>
        <v>48</v>
      </c>
      <c r="BN854">
        <f t="shared" si="122"/>
        <v>0</v>
      </c>
      <c r="BO854">
        <f t="shared" si="123"/>
        <v>0</v>
      </c>
      <c r="BP854">
        <f t="shared" si="124"/>
        <v>0</v>
      </c>
      <c r="BQ854" t="s">
        <v>106</v>
      </c>
      <c r="BR854" t="s">
        <v>112</v>
      </c>
      <c r="BS854" s="1">
        <v>32580</v>
      </c>
      <c r="BT854">
        <v>36</v>
      </c>
      <c r="BU854">
        <v>44568</v>
      </c>
      <c r="BV854" t="s">
        <v>89</v>
      </c>
      <c r="BW854">
        <v>15</v>
      </c>
      <c r="BX854">
        <v>1989</v>
      </c>
      <c r="BY854">
        <v>15</v>
      </c>
      <c r="BZ854">
        <f t="shared" si="125"/>
        <v>1</v>
      </c>
      <c r="CA854">
        <f t="shared" si="126"/>
        <v>0</v>
      </c>
      <c r="CB854" t="b">
        <f t="shared" si="127"/>
        <v>0</v>
      </c>
    </row>
    <row r="855" spans="1:80" x14ac:dyDescent="0.3">
      <c r="A855" t="s">
        <v>7040</v>
      </c>
      <c r="B855" t="s">
        <v>2630</v>
      </c>
      <c r="C855" t="s">
        <v>7041</v>
      </c>
      <c r="D855">
        <v>42</v>
      </c>
      <c r="E855" s="1">
        <v>30221</v>
      </c>
      <c r="F855" t="s">
        <v>89</v>
      </c>
      <c r="G855" t="s">
        <v>176</v>
      </c>
      <c r="H855" t="s">
        <v>2632</v>
      </c>
      <c r="I855" t="s">
        <v>437</v>
      </c>
      <c r="J855" t="s">
        <v>78</v>
      </c>
      <c r="K855" t="s">
        <v>89</v>
      </c>
      <c r="L855">
        <v>2001</v>
      </c>
      <c r="M855">
        <v>18</v>
      </c>
      <c r="N855" t="s">
        <v>4232</v>
      </c>
      <c r="O855">
        <v>2001</v>
      </c>
      <c r="P855" t="s">
        <v>7042</v>
      </c>
      <c r="Q855" t="s">
        <v>7043</v>
      </c>
      <c r="R855">
        <v>27505</v>
      </c>
      <c r="S855" t="s">
        <v>7040</v>
      </c>
      <c r="T855" t="s">
        <v>7044</v>
      </c>
      <c r="U855">
        <v>1982</v>
      </c>
      <c r="V855" t="s">
        <v>4232</v>
      </c>
      <c r="W855" t="s">
        <v>89</v>
      </c>
      <c r="X855" t="s">
        <v>2632</v>
      </c>
      <c r="Y855" t="s">
        <v>123</v>
      </c>
      <c r="Z855" t="s">
        <v>89</v>
      </c>
      <c r="AA855" t="s">
        <v>4232</v>
      </c>
      <c r="AB855" s="1">
        <v>43831</v>
      </c>
      <c r="AC855" t="s">
        <v>108</v>
      </c>
      <c r="AD855" t="s">
        <v>89</v>
      </c>
      <c r="AE855" s="1">
        <v>2001</v>
      </c>
      <c r="AF855">
        <v>18</v>
      </c>
      <c r="AG855">
        <v>0</v>
      </c>
      <c r="AH855" t="s">
        <v>89</v>
      </c>
      <c r="AI855" t="s">
        <v>89</v>
      </c>
      <c r="AJ855" t="s">
        <v>89</v>
      </c>
      <c r="AK855">
        <v>18</v>
      </c>
      <c r="AL855">
        <v>4</v>
      </c>
      <c r="AM855">
        <v>128</v>
      </c>
      <c r="AN855">
        <v>18</v>
      </c>
      <c r="AO855">
        <v>1</v>
      </c>
      <c r="AP855" t="s">
        <v>93</v>
      </c>
      <c r="AQ855" t="s">
        <v>89</v>
      </c>
      <c r="AR855" t="s">
        <v>89</v>
      </c>
      <c r="AS855" t="s">
        <v>111</v>
      </c>
      <c r="AT855" s="1">
        <v>43831</v>
      </c>
      <c r="AU855">
        <v>2020</v>
      </c>
      <c r="AV855">
        <v>19</v>
      </c>
      <c r="AW855">
        <v>24</v>
      </c>
      <c r="AX855" t="s">
        <v>89</v>
      </c>
      <c r="AY855" t="s">
        <v>111</v>
      </c>
      <c r="AZ855">
        <v>7</v>
      </c>
      <c r="BA855">
        <v>12</v>
      </c>
      <c r="BB855">
        <v>368</v>
      </c>
      <c r="BC855">
        <v>2</v>
      </c>
      <c r="BD855">
        <v>522</v>
      </c>
      <c r="BE855">
        <v>34331</v>
      </c>
      <c r="BF855">
        <v>167</v>
      </c>
      <c r="BG855">
        <v>38</v>
      </c>
      <c r="BH855">
        <v>534</v>
      </c>
      <c r="BI855">
        <v>34699</v>
      </c>
      <c r="BJ855">
        <v>169</v>
      </c>
      <c r="BK855">
        <f t="shared" si="119"/>
        <v>534</v>
      </c>
      <c r="BL855">
        <f t="shared" si="120"/>
        <v>34699</v>
      </c>
      <c r="BM855">
        <f t="shared" si="121"/>
        <v>169</v>
      </c>
      <c r="BN855">
        <f t="shared" si="122"/>
        <v>0</v>
      </c>
      <c r="BO855">
        <f t="shared" si="123"/>
        <v>0</v>
      </c>
      <c r="BP855">
        <f t="shared" si="124"/>
        <v>0</v>
      </c>
      <c r="BQ855" t="s">
        <v>123</v>
      </c>
      <c r="BR855" t="s">
        <v>112</v>
      </c>
      <c r="BS855" s="1">
        <v>30221</v>
      </c>
      <c r="BT855">
        <v>43</v>
      </c>
      <c r="BU855" s="1">
        <v>43831</v>
      </c>
      <c r="BV855" s="1">
        <v>43831</v>
      </c>
      <c r="BW855">
        <v>20</v>
      </c>
      <c r="BX855">
        <v>1982</v>
      </c>
      <c r="BY855">
        <v>20</v>
      </c>
      <c r="BZ855">
        <f t="shared" si="125"/>
        <v>4</v>
      </c>
      <c r="CA855">
        <f t="shared" si="126"/>
        <v>0</v>
      </c>
      <c r="CB855" t="b">
        <f t="shared" si="127"/>
        <v>0</v>
      </c>
    </row>
    <row r="856" spans="1:80" x14ac:dyDescent="0.3">
      <c r="A856" t="s">
        <v>7045</v>
      </c>
      <c r="B856" t="s">
        <v>2262</v>
      </c>
      <c r="C856" t="s">
        <v>7046</v>
      </c>
      <c r="D856">
        <v>39</v>
      </c>
      <c r="E856">
        <v>31478</v>
      </c>
      <c r="F856" t="s">
        <v>89</v>
      </c>
      <c r="G856" t="s">
        <v>298</v>
      </c>
      <c r="H856" t="s">
        <v>2264</v>
      </c>
      <c r="I856" t="s">
        <v>596</v>
      </c>
      <c r="J856" t="s">
        <v>78</v>
      </c>
      <c r="K856" t="s">
        <v>89</v>
      </c>
      <c r="L856" t="s">
        <v>163</v>
      </c>
      <c r="M856">
        <v>20</v>
      </c>
      <c r="N856" t="s">
        <v>7047</v>
      </c>
      <c r="O856">
        <v>2006</v>
      </c>
      <c r="P856" t="s">
        <v>7048</v>
      </c>
      <c r="Q856" t="s">
        <v>7049</v>
      </c>
      <c r="R856">
        <v>16726</v>
      </c>
      <c r="S856" t="s">
        <v>7045</v>
      </c>
      <c r="T856">
        <v>31596</v>
      </c>
      <c r="U856">
        <v>1986</v>
      </c>
      <c r="V856" t="s">
        <v>7050</v>
      </c>
      <c r="W856" t="s">
        <v>89</v>
      </c>
      <c r="X856" t="s">
        <v>2264</v>
      </c>
      <c r="Y856" t="s">
        <v>136</v>
      </c>
      <c r="Z856" t="s">
        <v>89</v>
      </c>
      <c r="AA856" t="s">
        <v>7051</v>
      </c>
      <c r="AB856" s="1">
        <v>43472</v>
      </c>
      <c r="AC856" t="s">
        <v>108</v>
      </c>
      <c r="AD856" t="s">
        <v>89</v>
      </c>
      <c r="AE856" t="s">
        <v>7052</v>
      </c>
      <c r="AF856">
        <v>20</v>
      </c>
      <c r="AG856" t="s">
        <v>1328</v>
      </c>
      <c r="AH856" t="s">
        <v>1316</v>
      </c>
      <c r="AI856">
        <v>23</v>
      </c>
      <c r="AJ856" t="s">
        <v>250</v>
      </c>
      <c r="AK856">
        <v>20</v>
      </c>
      <c r="AL856" t="s">
        <v>89</v>
      </c>
      <c r="AM856" t="s">
        <v>89</v>
      </c>
      <c r="AN856" t="s">
        <v>89</v>
      </c>
      <c r="AO856">
        <v>0</v>
      </c>
      <c r="AP856" t="s">
        <v>93</v>
      </c>
      <c r="AQ856" t="s">
        <v>89</v>
      </c>
      <c r="AR856" t="s">
        <v>89</v>
      </c>
      <c r="AS856" t="s">
        <v>111</v>
      </c>
      <c r="AT856">
        <v>43472</v>
      </c>
      <c r="AU856">
        <v>2019</v>
      </c>
      <c r="AV856">
        <v>13</v>
      </c>
      <c r="AW856">
        <v>13</v>
      </c>
      <c r="AX856" t="s">
        <v>89</v>
      </c>
      <c r="AY856" t="s">
        <v>93</v>
      </c>
      <c r="AZ856">
        <v>0</v>
      </c>
      <c r="BA856">
        <v>0</v>
      </c>
      <c r="BB856">
        <v>0</v>
      </c>
      <c r="BC856">
        <v>0</v>
      </c>
      <c r="BD856">
        <v>270</v>
      </c>
      <c r="BE856">
        <v>19169</v>
      </c>
      <c r="BF856">
        <v>11</v>
      </c>
      <c r="BG856">
        <v>33</v>
      </c>
      <c r="BH856">
        <v>270</v>
      </c>
      <c r="BI856">
        <v>19169</v>
      </c>
      <c r="BJ856">
        <v>11</v>
      </c>
      <c r="BK856">
        <f t="shared" si="119"/>
        <v>270</v>
      </c>
      <c r="BL856">
        <f t="shared" si="120"/>
        <v>19169</v>
      </c>
      <c r="BM856">
        <f t="shared" si="121"/>
        <v>11</v>
      </c>
      <c r="BN856">
        <f t="shared" si="122"/>
        <v>0</v>
      </c>
      <c r="BO856">
        <f t="shared" si="123"/>
        <v>0</v>
      </c>
      <c r="BP856">
        <f t="shared" si="124"/>
        <v>0</v>
      </c>
      <c r="BQ856" t="s">
        <v>136</v>
      </c>
      <c r="BR856" t="s">
        <v>140</v>
      </c>
      <c r="BS856" t="s">
        <v>89</v>
      </c>
      <c r="BT856">
        <v>40</v>
      </c>
      <c r="BU856">
        <v>43472</v>
      </c>
      <c r="BV856" t="s">
        <v>89</v>
      </c>
      <c r="BW856">
        <v>13</v>
      </c>
      <c r="BX856">
        <v>1986</v>
      </c>
      <c r="BY856">
        <v>13</v>
      </c>
      <c r="BZ856">
        <f t="shared" si="125"/>
        <v>0</v>
      </c>
      <c r="CA856">
        <f t="shared" si="126"/>
        <v>0</v>
      </c>
      <c r="CB856" t="b">
        <f t="shared" si="127"/>
        <v>1</v>
      </c>
    </row>
    <row r="857" spans="1:80" x14ac:dyDescent="0.3">
      <c r="A857" t="s">
        <v>7053</v>
      </c>
      <c r="B857" t="s">
        <v>71</v>
      </c>
      <c r="C857" t="s">
        <v>7054</v>
      </c>
      <c r="D857">
        <v>38</v>
      </c>
      <c r="E857">
        <v>31943</v>
      </c>
      <c r="F857" t="s">
        <v>89</v>
      </c>
      <c r="G857" t="s">
        <v>97</v>
      </c>
      <c r="H857" t="s">
        <v>76</v>
      </c>
      <c r="I857" t="s">
        <v>227</v>
      </c>
      <c r="J857" t="s">
        <v>89</v>
      </c>
      <c r="K857" t="s">
        <v>89</v>
      </c>
      <c r="L857" t="s">
        <v>180</v>
      </c>
      <c r="M857">
        <v>20</v>
      </c>
      <c r="N857" t="s">
        <v>7055</v>
      </c>
      <c r="O857">
        <v>2007</v>
      </c>
      <c r="P857" t="s">
        <v>7056</v>
      </c>
      <c r="Q857" t="s">
        <v>7057</v>
      </c>
      <c r="R857">
        <v>58532</v>
      </c>
      <c r="S857" t="s">
        <v>7053</v>
      </c>
      <c r="T857" t="s">
        <v>7058</v>
      </c>
      <c r="U857">
        <v>1987</v>
      </c>
      <c r="V857" t="s">
        <v>4818</v>
      </c>
      <c r="W857">
        <v>1.85</v>
      </c>
      <c r="X857" t="s">
        <v>76</v>
      </c>
      <c r="Y857" t="s">
        <v>235</v>
      </c>
      <c r="Z857" t="s">
        <v>87</v>
      </c>
      <c r="AA857" t="s">
        <v>2586</v>
      </c>
      <c r="AB857">
        <v>45298</v>
      </c>
      <c r="AC857" t="s">
        <v>108</v>
      </c>
      <c r="AD857" t="s">
        <v>89</v>
      </c>
      <c r="AE857">
        <v>40247</v>
      </c>
      <c r="AF857">
        <v>23</v>
      </c>
      <c r="AG857" t="s">
        <v>91</v>
      </c>
      <c r="AH857" s="1">
        <v>39303</v>
      </c>
      <c r="AI857">
        <v>20</v>
      </c>
      <c r="AJ857" t="s">
        <v>110</v>
      </c>
      <c r="AK857">
        <v>20</v>
      </c>
      <c r="AL857" t="s">
        <v>89</v>
      </c>
      <c r="AM857" t="s">
        <v>89</v>
      </c>
      <c r="AN857" t="s">
        <v>89</v>
      </c>
      <c r="AO857">
        <v>0</v>
      </c>
      <c r="AP857" t="s">
        <v>93</v>
      </c>
      <c r="AQ857" t="s">
        <v>89</v>
      </c>
      <c r="AR857" t="s">
        <v>89</v>
      </c>
      <c r="AS857" t="s">
        <v>111</v>
      </c>
      <c r="AT857">
        <v>45298</v>
      </c>
      <c r="AU857">
        <v>2024</v>
      </c>
      <c r="AV857">
        <v>17</v>
      </c>
      <c r="AW857">
        <v>17</v>
      </c>
      <c r="AX857" t="s">
        <v>89</v>
      </c>
      <c r="AY857" t="s">
        <v>93</v>
      </c>
      <c r="AZ857">
        <v>0</v>
      </c>
      <c r="BA857">
        <v>0</v>
      </c>
      <c r="BB857">
        <v>0</v>
      </c>
      <c r="BC857">
        <v>0</v>
      </c>
      <c r="BD857">
        <v>208</v>
      </c>
      <c r="BE857">
        <v>16935</v>
      </c>
      <c r="BF857">
        <v>10</v>
      </c>
      <c r="BG857">
        <v>37</v>
      </c>
      <c r="BH857">
        <v>208</v>
      </c>
      <c r="BI857">
        <v>16935</v>
      </c>
      <c r="BJ857">
        <v>10</v>
      </c>
      <c r="BK857">
        <f t="shared" si="119"/>
        <v>208</v>
      </c>
      <c r="BL857">
        <f t="shared" si="120"/>
        <v>16935</v>
      </c>
      <c r="BM857">
        <f t="shared" si="121"/>
        <v>10</v>
      </c>
      <c r="BN857">
        <f t="shared" si="122"/>
        <v>0</v>
      </c>
      <c r="BO857">
        <f t="shared" si="123"/>
        <v>0</v>
      </c>
      <c r="BP857">
        <f t="shared" si="124"/>
        <v>0</v>
      </c>
      <c r="BQ857" t="s">
        <v>235</v>
      </c>
      <c r="BR857" t="s">
        <v>140</v>
      </c>
      <c r="BS857" s="1">
        <v>31943</v>
      </c>
      <c r="BT857">
        <v>38</v>
      </c>
      <c r="BU857">
        <v>45298</v>
      </c>
      <c r="BV857" t="s">
        <v>89</v>
      </c>
      <c r="BW857">
        <v>17</v>
      </c>
      <c r="BX857">
        <v>1987</v>
      </c>
      <c r="BY857">
        <v>17</v>
      </c>
      <c r="BZ857">
        <f t="shared" si="125"/>
        <v>0</v>
      </c>
      <c r="CA857">
        <f t="shared" si="126"/>
        <v>0</v>
      </c>
      <c r="CB857" t="b">
        <f t="shared" si="127"/>
        <v>1</v>
      </c>
    </row>
    <row r="858" spans="1:80" x14ac:dyDescent="0.3">
      <c r="A858" t="s">
        <v>7059</v>
      </c>
      <c r="B858" t="s">
        <v>729</v>
      </c>
      <c r="C858" t="s">
        <v>7060</v>
      </c>
      <c r="D858">
        <v>38</v>
      </c>
      <c r="E858" t="s">
        <v>7061</v>
      </c>
      <c r="F858" t="s">
        <v>2487</v>
      </c>
      <c r="G858" t="s">
        <v>115</v>
      </c>
      <c r="H858" t="s">
        <v>732</v>
      </c>
      <c r="I858" t="s">
        <v>357</v>
      </c>
      <c r="J858" t="s">
        <v>78</v>
      </c>
      <c r="K858" t="s">
        <v>7062</v>
      </c>
      <c r="L858" t="s">
        <v>180</v>
      </c>
      <c r="M858">
        <v>20</v>
      </c>
      <c r="N858" t="s">
        <v>2278</v>
      </c>
      <c r="O858">
        <v>2007</v>
      </c>
      <c r="P858" t="s">
        <v>7063</v>
      </c>
      <c r="Q858" t="s">
        <v>7064</v>
      </c>
      <c r="R858">
        <v>54935</v>
      </c>
      <c r="S858" t="s">
        <v>7059</v>
      </c>
      <c r="T858">
        <v>31962</v>
      </c>
      <c r="U858">
        <v>1987</v>
      </c>
      <c r="V858" t="s">
        <v>736</v>
      </c>
      <c r="W858">
        <v>1.8</v>
      </c>
      <c r="X858" t="s">
        <v>732</v>
      </c>
      <c r="Y858" t="s">
        <v>235</v>
      </c>
      <c r="Z858" t="s">
        <v>87</v>
      </c>
      <c r="AA858" t="s">
        <v>476</v>
      </c>
      <c r="AB858" s="1">
        <v>45664</v>
      </c>
      <c r="AC858" t="s">
        <v>108</v>
      </c>
      <c r="AD858" t="s">
        <v>223</v>
      </c>
      <c r="AE858">
        <v>38755</v>
      </c>
      <c r="AF858">
        <v>19</v>
      </c>
      <c r="AG858">
        <v>0</v>
      </c>
      <c r="AH858" t="s">
        <v>92</v>
      </c>
      <c r="AI858" t="s">
        <v>89</v>
      </c>
      <c r="AJ858" t="s">
        <v>92</v>
      </c>
      <c r="AK858">
        <v>19</v>
      </c>
      <c r="AL858">
        <v>28</v>
      </c>
      <c r="AM858">
        <v>1091</v>
      </c>
      <c r="AN858">
        <v>165</v>
      </c>
      <c r="AO858">
        <v>13</v>
      </c>
      <c r="AP858" t="s">
        <v>93</v>
      </c>
      <c r="AQ858" t="s">
        <v>89</v>
      </c>
      <c r="AR858" t="s">
        <v>89</v>
      </c>
      <c r="AS858" t="s">
        <v>93</v>
      </c>
      <c r="AT858" t="s">
        <v>89</v>
      </c>
      <c r="AU858" t="s">
        <v>89</v>
      </c>
      <c r="AV858" t="s">
        <v>89</v>
      </c>
      <c r="AW858">
        <v>18</v>
      </c>
      <c r="AX858" t="s">
        <v>89</v>
      </c>
      <c r="AY858" t="s">
        <v>111</v>
      </c>
      <c r="AZ858">
        <v>14</v>
      </c>
      <c r="BA858">
        <v>60</v>
      </c>
      <c r="BB858">
        <v>5014</v>
      </c>
      <c r="BC858">
        <v>3</v>
      </c>
      <c r="BD858">
        <v>374</v>
      </c>
      <c r="BE858">
        <v>28889</v>
      </c>
      <c r="BF858">
        <v>19</v>
      </c>
      <c r="BG858" t="s">
        <v>89</v>
      </c>
      <c r="BH858">
        <v>434</v>
      </c>
      <c r="BI858">
        <v>33903</v>
      </c>
      <c r="BJ858">
        <v>22</v>
      </c>
      <c r="BK858">
        <f t="shared" si="119"/>
        <v>434</v>
      </c>
      <c r="BL858">
        <f t="shared" si="120"/>
        <v>33903</v>
      </c>
      <c r="BM858">
        <f t="shared" si="121"/>
        <v>22</v>
      </c>
      <c r="BN858">
        <f t="shared" si="122"/>
        <v>0</v>
      </c>
      <c r="BO858">
        <f t="shared" si="123"/>
        <v>0</v>
      </c>
      <c r="BP858">
        <f t="shared" si="124"/>
        <v>0</v>
      </c>
      <c r="BQ858" t="s">
        <v>235</v>
      </c>
      <c r="BR858" t="s">
        <v>140</v>
      </c>
      <c r="BS858" t="s">
        <v>89</v>
      </c>
      <c r="BT858">
        <v>39</v>
      </c>
      <c r="BU858" t="s">
        <v>89</v>
      </c>
      <c r="BV858" t="s">
        <v>89</v>
      </c>
      <c r="BW858">
        <v>20</v>
      </c>
      <c r="BX858">
        <v>1987</v>
      </c>
      <c r="BY858">
        <v>19</v>
      </c>
      <c r="BZ858">
        <f t="shared" si="125"/>
        <v>-2</v>
      </c>
      <c r="CA858">
        <f t="shared" si="126"/>
        <v>1</v>
      </c>
      <c r="CB858" t="b">
        <f t="shared" si="127"/>
        <v>0</v>
      </c>
    </row>
    <row r="859" spans="1:80" x14ac:dyDescent="0.3">
      <c r="A859" t="s">
        <v>7065</v>
      </c>
      <c r="B859" t="s">
        <v>156</v>
      </c>
      <c r="C859" t="s">
        <v>7066</v>
      </c>
      <c r="D859">
        <v>44</v>
      </c>
      <c r="E859" s="1">
        <v>29575</v>
      </c>
      <c r="F859" t="s">
        <v>89</v>
      </c>
      <c r="G859" t="s">
        <v>176</v>
      </c>
      <c r="H859" t="s">
        <v>177</v>
      </c>
      <c r="I859" t="s">
        <v>243</v>
      </c>
      <c r="J859" t="s">
        <v>78</v>
      </c>
      <c r="K859" t="s">
        <v>89</v>
      </c>
      <c r="L859" t="s">
        <v>657</v>
      </c>
      <c r="M859">
        <v>22</v>
      </c>
      <c r="N859" t="s">
        <v>2265</v>
      </c>
      <c r="O859">
        <v>2003</v>
      </c>
      <c r="P859" t="s">
        <v>7067</v>
      </c>
      <c r="Q859" t="s">
        <v>7068</v>
      </c>
      <c r="R859">
        <v>2963</v>
      </c>
      <c r="S859" t="s">
        <v>7065</v>
      </c>
      <c r="T859" t="s">
        <v>7069</v>
      </c>
      <c r="U859">
        <v>1980</v>
      </c>
      <c r="V859" t="s">
        <v>7070</v>
      </c>
      <c r="W859">
        <v>1.84</v>
      </c>
      <c r="X859" t="s">
        <v>169</v>
      </c>
      <c r="Y859" t="s">
        <v>235</v>
      </c>
      <c r="Z859" t="s">
        <v>87</v>
      </c>
      <c r="AA859" t="s">
        <v>745</v>
      </c>
      <c r="AB859">
        <v>42742</v>
      </c>
      <c r="AC859" t="s">
        <v>108</v>
      </c>
      <c r="AD859" t="s">
        <v>89</v>
      </c>
      <c r="AE859">
        <v>37531</v>
      </c>
      <c r="AF859">
        <v>21</v>
      </c>
      <c r="AG859" t="s">
        <v>171</v>
      </c>
      <c r="AH859" t="s">
        <v>92</v>
      </c>
      <c r="AI859" t="s">
        <v>89</v>
      </c>
      <c r="AJ859" t="s">
        <v>92</v>
      </c>
      <c r="AK859">
        <v>21</v>
      </c>
      <c r="AL859">
        <v>7</v>
      </c>
      <c r="AM859">
        <v>175</v>
      </c>
      <c r="AN859">
        <v>42</v>
      </c>
      <c r="AO859">
        <v>5</v>
      </c>
      <c r="AP859" t="s">
        <v>93</v>
      </c>
      <c r="AQ859" t="s">
        <v>89</v>
      </c>
      <c r="AR859" t="s">
        <v>89</v>
      </c>
      <c r="AS859" t="s">
        <v>111</v>
      </c>
      <c r="AT859">
        <v>42742</v>
      </c>
      <c r="AU859">
        <v>2017</v>
      </c>
      <c r="AV859">
        <v>14</v>
      </c>
      <c r="AW859">
        <v>14</v>
      </c>
      <c r="AX859" t="s">
        <v>89</v>
      </c>
      <c r="AY859" t="s">
        <v>111</v>
      </c>
      <c r="AZ859">
        <v>7</v>
      </c>
      <c r="BA859">
        <v>17</v>
      </c>
      <c r="BB859">
        <v>1471</v>
      </c>
      <c r="BC859">
        <v>1</v>
      </c>
      <c r="BD859">
        <v>434</v>
      </c>
      <c r="BE859">
        <v>34157</v>
      </c>
      <c r="BF859">
        <v>25</v>
      </c>
      <c r="BG859">
        <v>37</v>
      </c>
      <c r="BH859">
        <v>451</v>
      </c>
      <c r="BI859">
        <v>35628</v>
      </c>
      <c r="BJ859">
        <v>26</v>
      </c>
      <c r="BK859">
        <f t="shared" si="119"/>
        <v>451</v>
      </c>
      <c r="BL859">
        <f t="shared" si="120"/>
        <v>35628</v>
      </c>
      <c r="BM859">
        <f t="shared" si="121"/>
        <v>26</v>
      </c>
      <c r="BN859">
        <f t="shared" si="122"/>
        <v>0</v>
      </c>
      <c r="BO859">
        <f t="shared" si="123"/>
        <v>0</v>
      </c>
      <c r="BP859">
        <f t="shared" si="124"/>
        <v>0</v>
      </c>
      <c r="BQ859" t="s">
        <v>235</v>
      </c>
      <c r="BR859" t="s">
        <v>140</v>
      </c>
      <c r="BS859" s="1">
        <v>29575</v>
      </c>
      <c r="BT859">
        <v>45</v>
      </c>
      <c r="BU859">
        <v>42742</v>
      </c>
      <c r="BV859" t="s">
        <v>89</v>
      </c>
      <c r="BW859">
        <v>16</v>
      </c>
      <c r="BX859">
        <v>1980</v>
      </c>
      <c r="BY859">
        <v>16</v>
      </c>
      <c r="BZ859">
        <f t="shared" si="125"/>
        <v>-2</v>
      </c>
      <c r="CA859">
        <f t="shared" si="126"/>
        <v>0</v>
      </c>
      <c r="CB859" t="b">
        <f t="shared" si="127"/>
        <v>0</v>
      </c>
    </row>
    <row r="860" spans="1:80" x14ac:dyDescent="0.3">
      <c r="A860" t="s">
        <v>7071</v>
      </c>
      <c r="B860" t="s">
        <v>71</v>
      </c>
      <c r="C860" t="s">
        <v>7072</v>
      </c>
      <c r="D860">
        <v>34</v>
      </c>
      <c r="E860">
        <v>33342</v>
      </c>
      <c r="F860" t="s">
        <v>89</v>
      </c>
      <c r="G860" t="s">
        <v>211</v>
      </c>
      <c r="H860" t="s">
        <v>76</v>
      </c>
      <c r="I860" t="s">
        <v>348</v>
      </c>
      <c r="J860" t="s">
        <v>78</v>
      </c>
      <c r="K860" t="s">
        <v>89</v>
      </c>
      <c r="L860" t="s">
        <v>228</v>
      </c>
      <c r="M860">
        <v>19</v>
      </c>
      <c r="N860" t="s">
        <v>649</v>
      </c>
      <c r="O860">
        <v>2010</v>
      </c>
      <c r="P860" t="s">
        <v>7073</v>
      </c>
      <c r="Q860" t="s">
        <v>7074</v>
      </c>
      <c r="R860">
        <v>68645</v>
      </c>
      <c r="S860" t="s">
        <v>7071</v>
      </c>
      <c r="T860" t="s">
        <v>7075</v>
      </c>
      <c r="U860">
        <v>1991</v>
      </c>
      <c r="V860" t="s">
        <v>7076</v>
      </c>
      <c r="W860">
        <v>1.75</v>
      </c>
      <c r="X860" t="s">
        <v>76</v>
      </c>
      <c r="Y860" t="s">
        <v>136</v>
      </c>
      <c r="Z860" t="s">
        <v>87</v>
      </c>
      <c r="AA860" t="s">
        <v>476</v>
      </c>
      <c r="AB860" s="1">
        <v>45664</v>
      </c>
      <c r="AC860" t="s">
        <v>108</v>
      </c>
      <c r="AD860" t="s">
        <v>89</v>
      </c>
      <c r="AE860" t="s">
        <v>5110</v>
      </c>
      <c r="AF860">
        <v>19</v>
      </c>
      <c r="AG860" t="s">
        <v>91</v>
      </c>
      <c r="AH860" t="s">
        <v>614</v>
      </c>
      <c r="AI860">
        <v>19</v>
      </c>
      <c r="AJ860" t="s">
        <v>110</v>
      </c>
      <c r="AK860">
        <v>19</v>
      </c>
      <c r="AL860">
        <v>11</v>
      </c>
      <c r="AM860">
        <v>380</v>
      </c>
      <c r="AN860">
        <v>58</v>
      </c>
      <c r="AO860">
        <v>7</v>
      </c>
      <c r="AP860" t="s">
        <v>93</v>
      </c>
      <c r="AQ860" t="s">
        <v>89</v>
      </c>
      <c r="AR860" t="s">
        <v>89</v>
      </c>
      <c r="AS860" t="s">
        <v>93</v>
      </c>
      <c r="AT860" t="s">
        <v>89</v>
      </c>
      <c r="AU860" t="s">
        <v>89</v>
      </c>
      <c r="AV860" t="s">
        <v>89</v>
      </c>
      <c r="AW860">
        <v>15</v>
      </c>
      <c r="AX860" t="s">
        <v>89</v>
      </c>
      <c r="AY860" t="s">
        <v>93</v>
      </c>
      <c r="AZ860">
        <v>0</v>
      </c>
      <c r="BA860">
        <v>0</v>
      </c>
      <c r="BB860">
        <v>0</v>
      </c>
      <c r="BC860">
        <v>0</v>
      </c>
      <c r="BD860">
        <v>318</v>
      </c>
      <c r="BE860">
        <v>25098</v>
      </c>
      <c r="BF860">
        <v>5</v>
      </c>
      <c r="BG860" t="s">
        <v>89</v>
      </c>
      <c r="BH860">
        <v>318</v>
      </c>
      <c r="BI860">
        <v>25098</v>
      </c>
      <c r="BJ860">
        <v>5</v>
      </c>
      <c r="BK860">
        <f t="shared" si="119"/>
        <v>318</v>
      </c>
      <c r="BL860">
        <f t="shared" si="120"/>
        <v>25098</v>
      </c>
      <c r="BM860">
        <f t="shared" si="121"/>
        <v>5</v>
      </c>
      <c r="BN860">
        <f t="shared" si="122"/>
        <v>0</v>
      </c>
      <c r="BO860">
        <f t="shared" si="123"/>
        <v>0</v>
      </c>
      <c r="BP860">
        <f t="shared" si="124"/>
        <v>0</v>
      </c>
      <c r="BQ860" t="s">
        <v>136</v>
      </c>
      <c r="BR860" t="s">
        <v>140</v>
      </c>
      <c r="BS860" s="1">
        <v>33342</v>
      </c>
      <c r="BT860">
        <v>34</v>
      </c>
      <c r="BU860" t="s">
        <v>89</v>
      </c>
      <c r="BV860" t="s">
        <v>89</v>
      </c>
      <c r="BW860">
        <v>15</v>
      </c>
      <c r="BX860">
        <v>1991</v>
      </c>
      <c r="BY860">
        <v>15</v>
      </c>
      <c r="BZ860">
        <f t="shared" si="125"/>
        <v>0</v>
      </c>
      <c r="CA860">
        <f t="shared" si="126"/>
        <v>0</v>
      </c>
      <c r="CB860" t="b">
        <f t="shared" si="127"/>
        <v>1</v>
      </c>
    </row>
    <row r="861" spans="1:80" x14ac:dyDescent="0.3">
      <c r="A861" t="s">
        <v>7077</v>
      </c>
      <c r="B861" t="s">
        <v>6296</v>
      </c>
      <c r="C861" t="s">
        <v>7078</v>
      </c>
      <c r="D861">
        <v>26</v>
      </c>
      <c r="E861" t="s">
        <v>7079</v>
      </c>
      <c r="F861" t="s">
        <v>7080</v>
      </c>
      <c r="G861" t="s">
        <v>321</v>
      </c>
      <c r="H861" t="s">
        <v>6298</v>
      </c>
      <c r="I861" t="s">
        <v>77</v>
      </c>
      <c r="J861" t="s">
        <v>300</v>
      </c>
      <c r="K861" t="s">
        <v>2151</v>
      </c>
      <c r="L861">
        <v>2014</v>
      </c>
      <c r="M861">
        <v>15</v>
      </c>
      <c r="N861" t="s">
        <v>7081</v>
      </c>
      <c r="O861">
        <v>2014</v>
      </c>
      <c r="P861" t="s">
        <v>7082</v>
      </c>
      <c r="Q861" t="s">
        <v>7083</v>
      </c>
      <c r="R861">
        <v>316264</v>
      </c>
      <c r="S861" t="s">
        <v>7077</v>
      </c>
      <c r="T861" t="s">
        <v>7084</v>
      </c>
      <c r="U861">
        <v>1998</v>
      </c>
      <c r="V861" t="s">
        <v>7085</v>
      </c>
      <c r="W861">
        <v>1.78</v>
      </c>
      <c r="X861" t="s">
        <v>6298</v>
      </c>
      <c r="Y861" t="s">
        <v>106</v>
      </c>
      <c r="Z861" t="s">
        <v>152</v>
      </c>
      <c r="AA861" t="s">
        <v>2151</v>
      </c>
      <c r="AB861" t="s">
        <v>7086</v>
      </c>
      <c r="AC861" t="s">
        <v>394</v>
      </c>
      <c r="AD861" t="s">
        <v>223</v>
      </c>
      <c r="AE861" t="s">
        <v>7087</v>
      </c>
      <c r="AF861">
        <v>15</v>
      </c>
      <c r="AG861" t="s">
        <v>1360</v>
      </c>
      <c r="AH861" t="s">
        <v>92</v>
      </c>
      <c r="AI861" t="s">
        <v>89</v>
      </c>
      <c r="AJ861" t="s">
        <v>92</v>
      </c>
      <c r="AK861">
        <v>15</v>
      </c>
      <c r="AL861">
        <v>16</v>
      </c>
      <c r="AM861">
        <v>401</v>
      </c>
      <c r="AN861">
        <v>70</v>
      </c>
      <c r="AO861">
        <v>8</v>
      </c>
      <c r="AP861" t="s">
        <v>93</v>
      </c>
      <c r="AQ861" t="s">
        <v>89</v>
      </c>
      <c r="AR861" t="s">
        <v>89</v>
      </c>
      <c r="AS861" t="s">
        <v>93</v>
      </c>
      <c r="AT861" t="s">
        <v>89</v>
      </c>
      <c r="AU861" t="s">
        <v>89</v>
      </c>
      <c r="AV861" t="s">
        <v>89</v>
      </c>
      <c r="AW861">
        <v>11</v>
      </c>
      <c r="AX861">
        <v>8</v>
      </c>
      <c r="AY861" t="s">
        <v>111</v>
      </c>
      <c r="AZ861">
        <v>19</v>
      </c>
      <c r="BA861">
        <v>66</v>
      </c>
      <c r="BB861">
        <v>5171</v>
      </c>
      <c r="BC861">
        <v>4</v>
      </c>
      <c r="BD861">
        <v>344</v>
      </c>
      <c r="BE861">
        <v>25775</v>
      </c>
      <c r="BF861">
        <v>63</v>
      </c>
      <c r="BG861" t="s">
        <v>89</v>
      </c>
      <c r="BH861">
        <v>410</v>
      </c>
      <c r="BI861">
        <v>30946</v>
      </c>
      <c r="BJ861">
        <v>67</v>
      </c>
      <c r="BK861">
        <f t="shared" si="119"/>
        <v>410</v>
      </c>
      <c r="BL861">
        <f t="shared" si="120"/>
        <v>30946</v>
      </c>
      <c r="BM861">
        <f t="shared" si="121"/>
        <v>67</v>
      </c>
      <c r="BN861">
        <f t="shared" si="122"/>
        <v>0</v>
      </c>
      <c r="BO861">
        <f t="shared" si="123"/>
        <v>0</v>
      </c>
      <c r="BP861">
        <f t="shared" si="124"/>
        <v>0</v>
      </c>
      <c r="BQ861" t="s">
        <v>106</v>
      </c>
      <c r="BR861" t="s">
        <v>112</v>
      </c>
      <c r="BS861" s="1">
        <v>36146</v>
      </c>
      <c r="BT861">
        <v>27</v>
      </c>
      <c r="BU861" t="s">
        <v>89</v>
      </c>
      <c r="BV861" t="s">
        <v>89</v>
      </c>
      <c r="BW861">
        <v>12</v>
      </c>
      <c r="BX861">
        <v>1998</v>
      </c>
      <c r="BY861">
        <v>11</v>
      </c>
      <c r="BZ861">
        <f t="shared" si="125"/>
        <v>-1</v>
      </c>
      <c r="CA861">
        <f t="shared" si="126"/>
        <v>1</v>
      </c>
      <c r="CB861" t="b">
        <f t="shared" si="127"/>
        <v>0</v>
      </c>
    </row>
    <row r="862" spans="1:80" x14ac:dyDescent="0.3">
      <c r="A862" t="s">
        <v>7088</v>
      </c>
      <c r="B862" t="s">
        <v>7089</v>
      </c>
      <c r="C862" t="s">
        <v>7090</v>
      </c>
      <c r="D862">
        <v>46</v>
      </c>
      <c r="E862">
        <v>28870</v>
      </c>
      <c r="F862" t="s">
        <v>89</v>
      </c>
      <c r="G862" t="s">
        <v>321</v>
      </c>
      <c r="H862" t="s">
        <v>7091</v>
      </c>
      <c r="I862" t="s">
        <v>865</v>
      </c>
      <c r="J862" t="s">
        <v>89</v>
      </c>
      <c r="K862" t="s">
        <v>89</v>
      </c>
      <c r="L862" t="s">
        <v>99</v>
      </c>
      <c r="M862">
        <v>22</v>
      </c>
      <c r="N862" t="s">
        <v>4630</v>
      </c>
      <c r="O862">
        <v>2001</v>
      </c>
      <c r="P862" t="s">
        <v>7092</v>
      </c>
      <c r="Q862" t="s">
        <v>7093</v>
      </c>
      <c r="R862">
        <v>670</v>
      </c>
      <c r="S862" t="s">
        <v>7088</v>
      </c>
      <c r="T862" t="s">
        <v>7094</v>
      </c>
      <c r="U862">
        <v>1979</v>
      </c>
      <c r="V862" t="s">
        <v>7095</v>
      </c>
      <c r="W862" t="s">
        <v>89</v>
      </c>
      <c r="X862" t="s">
        <v>7091</v>
      </c>
      <c r="Y862" t="s">
        <v>391</v>
      </c>
      <c r="Z862" t="s">
        <v>89</v>
      </c>
      <c r="AA862" t="s">
        <v>7096</v>
      </c>
      <c r="AB862" s="1">
        <v>41646</v>
      </c>
      <c r="AC862" t="s">
        <v>108</v>
      </c>
      <c r="AD862" t="s">
        <v>89</v>
      </c>
      <c r="AE862" t="s">
        <v>5635</v>
      </c>
      <c r="AF862">
        <v>20</v>
      </c>
      <c r="AG862" t="s">
        <v>1054</v>
      </c>
      <c r="AH862" t="s">
        <v>294</v>
      </c>
      <c r="AI862">
        <v>33</v>
      </c>
      <c r="AJ862" t="s">
        <v>855</v>
      </c>
      <c r="AK862">
        <v>20</v>
      </c>
      <c r="AL862">
        <v>4</v>
      </c>
      <c r="AM862">
        <v>194</v>
      </c>
      <c r="AN862">
        <v>39</v>
      </c>
      <c r="AO862">
        <v>2</v>
      </c>
      <c r="AP862" t="s">
        <v>93</v>
      </c>
      <c r="AQ862" t="s">
        <v>89</v>
      </c>
      <c r="AR862" t="s">
        <v>89</v>
      </c>
      <c r="AS862" t="s">
        <v>111</v>
      </c>
      <c r="AT862">
        <v>41646</v>
      </c>
      <c r="AU862">
        <v>2014</v>
      </c>
      <c r="AV862">
        <v>13</v>
      </c>
      <c r="AW862">
        <v>13</v>
      </c>
      <c r="AX862" t="s">
        <v>89</v>
      </c>
      <c r="AY862" t="s">
        <v>111</v>
      </c>
      <c r="AZ862">
        <v>5</v>
      </c>
      <c r="BA862">
        <v>34</v>
      </c>
      <c r="BB862">
        <v>2760</v>
      </c>
      <c r="BC862">
        <v>12</v>
      </c>
      <c r="BD862">
        <v>327</v>
      </c>
      <c r="BE862">
        <v>22200</v>
      </c>
      <c r="BF862">
        <v>54</v>
      </c>
      <c r="BG862">
        <v>35</v>
      </c>
      <c r="BH862">
        <v>361</v>
      </c>
      <c r="BI862">
        <v>24960</v>
      </c>
      <c r="BJ862">
        <v>66</v>
      </c>
      <c r="BK862">
        <f t="shared" si="119"/>
        <v>361</v>
      </c>
      <c r="BL862">
        <f t="shared" si="120"/>
        <v>24960</v>
      </c>
      <c r="BM862">
        <f t="shared" si="121"/>
        <v>66</v>
      </c>
      <c r="BN862">
        <f t="shared" si="122"/>
        <v>0</v>
      </c>
      <c r="BO862">
        <f t="shared" si="123"/>
        <v>0</v>
      </c>
      <c r="BP862">
        <f t="shared" si="124"/>
        <v>0</v>
      </c>
      <c r="BQ862" t="s">
        <v>391</v>
      </c>
      <c r="BR862" t="s">
        <v>112</v>
      </c>
      <c r="BS862" s="1">
        <v>28870</v>
      </c>
      <c r="BT862">
        <v>47</v>
      </c>
      <c r="BU862">
        <v>41646</v>
      </c>
      <c r="BV862" t="s">
        <v>89</v>
      </c>
      <c r="BW862">
        <v>15</v>
      </c>
      <c r="BX862">
        <v>1979</v>
      </c>
      <c r="BY862">
        <v>15</v>
      </c>
      <c r="BZ862">
        <f t="shared" si="125"/>
        <v>-2</v>
      </c>
      <c r="CA862">
        <f t="shared" si="126"/>
        <v>0</v>
      </c>
      <c r="CB862" t="b">
        <f t="shared" si="127"/>
        <v>0</v>
      </c>
    </row>
    <row r="863" spans="1:80" x14ac:dyDescent="0.3">
      <c r="A863" t="s">
        <v>7097</v>
      </c>
      <c r="B863" t="s">
        <v>7098</v>
      </c>
      <c r="C863" t="s">
        <v>7099</v>
      </c>
      <c r="D863">
        <v>37</v>
      </c>
      <c r="E863" s="1">
        <v>32062</v>
      </c>
      <c r="F863" t="s">
        <v>89</v>
      </c>
      <c r="G863" t="s">
        <v>226</v>
      </c>
      <c r="H863" t="s">
        <v>7100</v>
      </c>
      <c r="I863" t="s">
        <v>437</v>
      </c>
      <c r="J863" t="s">
        <v>300</v>
      </c>
      <c r="K863" t="s">
        <v>89</v>
      </c>
      <c r="L863" t="s">
        <v>117</v>
      </c>
      <c r="M863">
        <v>17</v>
      </c>
      <c r="N863" t="s">
        <v>2921</v>
      </c>
      <c r="O863">
        <v>2005</v>
      </c>
      <c r="P863" t="s">
        <v>7101</v>
      </c>
      <c r="Q863" t="s">
        <v>7102</v>
      </c>
      <c r="R863">
        <v>33870</v>
      </c>
      <c r="S863" t="s">
        <v>7097</v>
      </c>
      <c r="T863">
        <v>32121</v>
      </c>
      <c r="U863">
        <v>1987</v>
      </c>
      <c r="V863" t="s">
        <v>7103</v>
      </c>
      <c r="W863">
        <v>1.85</v>
      </c>
      <c r="X863" t="s">
        <v>7104</v>
      </c>
      <c r="Y863" t="s">
        <v>123</v>
      </c>
      <c r="Z863" t="s">
        <v>152</v>
      </c>
      <c r="AA863" t="s">
        <v>7105</v>
      </c>
      <c r="AB863" s="1">
        <v>44568</v>
      </c>
      <c r="AC863" t="s">
        <v>108</v>
      </c>
      <c r="AD863" t="s">
        <v>89</v>
      </c>
      <c r="AE863">
        <v>38393</v>
      </c>
      <c r="AF863">
        <v>17</v>
      </c>
      <c r="AG863" t="s">
        <v>1161</v>
      </c>
      <c r="AH863">
        <v>39363</v>
      </c>
      <c r="AI863">
        <v>19</v>
      </c>
      <c r="AJ863" t="s">
        <v>4025</v>
      </c>
      <c r="AK863">
        <v>17</v>
      </c>
      <c r="AL863">
        <v>1</v>
      </c>
      <c r="AM863">
        <v>175</v>
      </c>
      <c r="AN863">
        <v>19</v>
      </c>
      <c r="AO863">
        <v>1</v>
      </c>
      <c r="AP863" t="s">
        <v>93</v>
      </c>
      <c r="AQ863" t="s">
        <v>89</v>
      </c>
      <c r="AR863" t="s">
        <v>89</v>
      </c>
      <c r="AS863" t="s">
        <v>111</v>
      </c>
      <c r="AT863">
        <v>44568</v>
      </c>
      <c r="AU863">
        <v>2022</v>
      </c>
      <c r="AV863">
        <v>17</v>
      </c>
      <c r="AW863">
        <v>17</v>
      </c>
      <c r="AX863" t="s">
        <v>89</v>
      </c>
      <c r="AY863" t="s">
        <v>111</v>
      </c>
      <c r="AZ863">
        <v>1</v>
      </c>
      <c r="BA863">
        <v>6</v>
      </c>
      <c r="BB863">
        <v>367</v>
      </c>
      <c r="BC863">
        <v>5</v>
      </c>
      <c r="BD863">
        <v>201</v>
      </c>
      <c r="BE863">
        <v>12938</v>
      </c>
      <c r="BF863">
        <v>52</v>
      </c>
      <c r="BG863">
        <v>35</v>
      </c>
      <c r="BH863">
        <v>207</v>
      </c>
      <c r="BI863">
        <v>13305</v>
      </c>
      <c r="BJ863">
        <v>57</v>
      </c>
      <c r="BK863">
        <f t="shared" si="119"/>
        <v>207</v>
      </c>
      <c r="BL863">
        <f t="shared" si="120"/>
        <v>13305</v>
      </c>
      <c r="BM863">
        <f t="shared" si="121"/>
        <v>57</v>
      </c>
      <c r="BN863">
        <f t="shared" si="122"/>
        <v>0</v>
      </c>
      <c r="BO863">
        <f t="shared" si="123"/>
        <v>0</v>
      </c>
      <c r="BP863">
        <f t="shared" si="124"/>
        <v>0</v>
      </c>
      <c r="BQ863" t="s">
        <v>123</v>
      </c>
      <c r="BR863" t="s">
        <v>112</v>
      </c>
      <c r="BS863" t="s">
        <v>89</v>
      </c>
      <c r="BT863">
        <v>39</v>
      </c>
      <c r="BU863">
        <v>44568</v>
      </c>
      <c r="BV863" t="s">
        <v>89</v>
      </c>
      <c r="BW863">
        <v>18</v>
      </c>
      <c r="BX863">
        <v>1987</v>
      </c>
      <c r="BY863">
        <v>18</v>
      </c>
      <c r="BZ863">
        <f t="shared" si="125"/>
        <v>-1</v>
      </c>
      <c r="CA863">
        <f t="shared" si="126"/>
        <v>0</v>
      </c>
      <c r="CB863" t="b">
        <f t="shared" si="127"/>
        <v>0</v>
      </c>
    </row>
    <row r="864" spans="1:80" x14ac:dyDescent="0.3">
      <c r="A864" t="s">
        <v>7106</v>
      </c>
      <c r="B864" t="s">
        <v>4971</v>
      </c>
      <c r="C864" t="s">
        <v>7107</v>
      </c>
      <c r="D864">
        <v>41</v>
      </c>
      <c r="E864">
        <v>30842</v>
      </c>
      <c r="F864" t="s">
        <v>89</v>
      </c>
      <c r="G864" t="s">
        <v>176</v>
      </c>
      <c r="H864" t="s">
        <v>4973</v>
      </c>
      <c r="I864" t="s">
        <v>791</v>
      </c>
      <c r="J864" t="s">
        <v>78</v>
      </c>
      <c r="K864" t="s">
        <v>89</v>
      </c>
      <c r="L864" t="s">
        <v>130</v>
      </c>
      <c r="M864">
        <v>24</v>
      </c>
      <c r="N864" t="s">
        <v>820</v>
      </c>
      <c r="O864">
        <v>2008</v>
      </c>
      <c r="P864" t="s">
        <v>7108</v>
      </c>
      <c r="Q864" t="s">
        <v>7109</v>
      </c>
      <c r="R864">
        <v>26574</v>
      </c>
      <c r="S864" t="s">
        <v>7106</v>
      </c>
      <c r="T864">
        <v>30931</v>
      </c>
      <c r="U864">
        <v>1984</v>
      </c>
      <c r="V864" t="s">
        <v>7110</v>
      </c>
      <c r="W864">
        <v>1.87</v>
      </c>
      <c r="X864" t="s">
        <v>4973</v>
      </c>
      <c r="Y864" t="s">
        <v>106</v>
      </c>
      <c r="Z864" t="s">
        <v>87</v>
      </c>
      <c r="AA864" t="s">
        <v>7111</v>
      </c>
      <c r="AB864" s="1">
        <v>44933</v>
      </c>
      <c r="AC864" t="s">
        <v>108</v>
      </c>
      <c r="AD864" t="s">
        <v>89</v>
      </c>
      <c r="AE864" t="s">
        <v>7112</v>
      </c>
      <c r="AF864">
        <v>18</v>
      </c>
      <c r="AG864" t="s">
        <v>7113</v>
      </c>
      <c r="AH864" t="s">
        <v>7114</v>
      </c>
      <c r="AI864">
        <v>29</v>
      </c>
      <c r="AJ864" t="s">
        <v>110</v>
      </c>
      <c r="AK864">
        <v>18</v>
      </c>
      <c r="AL864">
        <v>1</v>
      </c>
      <c r="AM864">
        <v>475</v>
      </c>
      <c r="AN864">
        <v>67</v>
      </c>
      <c r="AO864">
        <v>1</v>
      </c>
      <c r="AP864" t="s">
        <v>93</v>
      </c>
      <c r="AQ864" t="s">
        <v>89</v>
      </c>
      <c r="AR864" t="s">
        <v>89</v>
      </c>
      <c r="AS864" t="s">
        <v>111</v>
      </c>
      <c r="AT864">
        <v>44933</v>
      </c>
      <c r="AU864">
        <v>2023</v>
      </c>
      <c r="AV864">
        <v>15</v>
      </c>
      <c r="AW864">
        <v>15</v>
      </c>
      <c r="AX864" t="s">
        <v>89</v>
      </c>
      <c r="AY864" t="s">
        <v>111</v>
      </c>
      <c r="AZ864">
        <v>19</v>
      </c>
      <c r="BA864">
        <v>68</v>
      </c>
      <c r="BB864">
        <v>4149</v>
      </c>
      <c r="BC864">
        <v>6</v>
      </c>
      <c r="BD864">
        <v>279</v>
      </c>
      <c r="BE864">
        <v>18492</v>
      </c>
      <c r="BF864">
        <v>29</v>
      </c>
      <c r="BG864">
        <v>39</v>
      </c>
      <c r="BH864">
        <v>347</v>
      </c>
      <c r="BI864">
        <v>22641</v>
      </c>
      <c r="BJ864">
        <v>35</v>
      </c>
      <c r="BK864">
        <f t="shared" si="119"/>
        <v>347</v>
      </c>
      <c r="BL864">
        <f t="shared" si="120"/>
        <v>22641</v>
      </c>
      <c r="BM864">
        <f t="shared" si="121"/>
        <v>35</v>
      </c>
      <c r="BN864">
        <f t="shared" si="122"/>
        <v>0</v>
      </c>
      <c r="BO864">
        <f t="shared" si="123"/>
        <v>0</v>
      </c>
      <c r="BP864">
        <f t="shared" si="124"/>
        <v>0</v>
      </c>
      <c r="BQ864" t="s">
        <v>106</v>
      </c>
      <c r="BR864" t="s">
        <v>112</v>
      </c>
      <c r="BS864" t="s">
        <v>89</v>
      </c>
      <c r="BT864">
        <v>42</v>
      </c>
      <c r="BU864">
        <v>44933</v>
      </c>
      <c r="BV864" t="s">
        <v>89</v>
      </c>
      <c r="BW864">
        <v>21</v>
      </c>
      <c r="BX864">
        <v>1984</v>
      </c>
      <c r="BY864">
        <v>21</v>
      </c>
      <c r="BZ864">
        <f t="shared" si="125"/>
        <v>-6</v>
      </c>
      <c r="CA864">
        <f t="shared" si="126"/>
        <v>0</v>
      </c>
      <c r="CB864" t="b">
        <f t="shared" si="127"/>
        <v>0</v>
      </c>
    </row>
    <row r="865" spans="1:80" x14ac:dyDescent="0.3">
      <c r="A865" t="s">
        <v>7115</v>
      </c>
      <c r="B865" t="s">
        <v>156</v>
      </c>
      <c r="C865" t="s">
        <v>7116</v>
      </c>
      <c r="D865">
        <v>38</v>
      </c>
      <c r="E865" s="1">
        <v>31647</v>
      </c>
      <c r="F865" t="s">
        <v>89</v>
      </c>
      <c r="G865" t="s">
        <v>277</v>
      </c>
      <c r="H865" t="s">
        <v>89</v>
      </c>
      <c r="I865" t="s">
        <v>288</v>
      </c>
      <c r="J865" t="s">
        <v>89</v>
      </c>
      <c r="K865" t="s">
        <v>89</v>
      </c>
      <c r="L865" t="s">
        <v>228</v>
      </c>
      <c r="M865">
        <v>23</v>
      </c>
      <c r="N865" t="s">
        <v>3221</v>
      </c>
      <c r="O865">
        <v>2010</v>
      </c>
      <c r="P865" t="s">
        <v>7117</v>
      </c>
      <c r="Q865" t="s">
        <v>7118</v>
      </c>
      <c r="R865">
        <v>54557</v>
      </c>
      <c r="S865" t="s">
        <v>7115</v>
      </c>
      <c r="T865" t="s">
        <v>7119</v>
      </c>
      <c r="U865">
        <v>1986</v>
      </c>
      <c r="V865" t="s">
        <v>7120</v>
      </c>
      <c r="W865">
        <v>1.79</v>
      </c>
      <c r="X865" t="s">
        <v>7121</v>
      </c>
      <c r="Y865" t="s">
        <v>259</v>
      </c>
      <c r="Z865" t="s">
        <v>87</v>
      </c>
      <c r="AA865" t="s">
        <v>7122</v>
      </c>
      <c r="AB865" s="1">
        <v>44927</v>
      </c>
      <c r="AC865" t="s">
        <v>108</v>
      </c>
      <c r="AD865" t="s">
        <v>89</v>
      </c>
      <c r="AE865" t="s">
        <v>4166</v>
      </c>
      <c r="AF865">
        <v>18</v>
      </c>
      <c r="AG865" t="s">
        <v>171</v>
      </c>
      <c r="AH865">
        <v>44233</v>
      </c>
      <c r="AI865">
        <v>34</v>
      </c>
      <c r="AJ865">
        <v>0</v>
      </c>
      <c r="AK865">
        <v>18</v>
      </c>
      <c r="AL865">
        <v>2</v>
      </c>
      <c r="AM865">
        <v>239</v>
      </c>
      <c r="AN865">
        <v>30</v>
      </c>
      <c r="AO865">
        <v>2</v>
      </c>
      <c r="AP865" t="s">
        <v>93</v>
      </c>
      <c r="AQ865" t="s">
        <v>89</v>
      </c>
      <c r="AR865" t="s">
        <v>89</v>
      </c>
      <c r="AS865" t="s">
        <v>111</v>
      </c>
      <c r="AT865" s="1">
        <v>44927</v>
      </c>
      <c r="AU865">
        <v>2023</v>
      </c>
      <c r="AV865">
        <v>13</v>
      </c>
      <c r="AW865">
        <v>13</v>
      </c>
      <c r="AX865" t="s">
        <v>89</v>
      </c>
      <c r="AY865" t="s">
        <v>93</v>
      </c>
      <c r="AZ865">
        <v>0</v>
      </c>
      <c r="BA865">
        <v>0</v>
      </c>
      <c r="BB865">
        <v>0</v>
      </c>
      <c r="BC865">
        <v>0</v>
      </c>
      <c r="BD865">
        <v>198</v>
      </c>
      <c r="BE865">
        <v>16031</v>
      </c>
      <c r="BF865">
        <v>5</v>
      </c>
      <c r="BG865">
        <v>37</v>
      </c>
      <c r="BH865">
        <v>198</v>
      </c>
      <c r="BI865">
        <v>16031</v>
      </c>
      <c r="BJ865">
        <v>5</v>
      </c>
      <c r="BK865">
        <f t="shared" si="119"/>
        <v>198</v>
      </c>
      <c r="BL865">
        <f t="shared" si="120"/>
        <v>16031</v>
      </c>
      <c r="BM865">
        <f t="shared" si="121"/>
        <v>5</v>
      </c>
      <c r="BN865">
        <f t="shared" si="122"/>
        <v>0</v>
      </c>
      <c r="BO865">
        <f t="shared" si="123"/>
        <v>0</v>
      </c>
      <c r="BP865">
        <f t="shared" si="124"/>
        <v>0</v>
      </c>
      <c r="BQ865" t="s">
        <v>259</v>
      </c>
      <c r="BR865" t="s">
        <v>94</v>
      </c>
      <c r="BS865" s="1">
        <v>31647</v>
      </c>
      <c r="BT865">
        <v>39</v>
      </c>
      <c r="BU865" s="1">
        <v>44927</v>
      </c>
      <c r="BV865" s="1">
        <v>44927</v>
      </c>
      <c r="BW865">
        <v>19</v>
      </c>
      <c r="BX865">
        <v>1986</v>
      </c>
      <c r="BY865">
        <v>19</v>
      </c>
      <c r="BZ865">
        <f t="shared" si="125"/>
        <v>-6</v>
      </c>
      <c r="CA865">
        <f t="shared" si="126"/>
        <v>0</v>
      </c>
      <c r="CB865" t="b">
        <f t="shared" si="127"/>
        <v>0</v>
      </c>
    </row>
    <row r="866" spans="1:80" x14ac:dyDescent="0.3">
      <c r="A866" t="s">
        <v>7123</v>
      </c>
      <c r="B866" t="s">
        <v>71</v>
      </c>
      <c r="C866" t="s">
        <v>7124</v>
      </c>
      <c r="D866">
        <v>28</v>
      </c>
      <c r="E866">
        <v>35391</v>
      </c>
      <c r="F866" t="s">
        <v>210</v>
      </c>
      <c r="G866" t="s">
        <v>143</v>
      </c>
      <c r="H866" t="s">
        <v>177</v>
      </c>
      <c r="I866" t="s">
        <v>116</v>
      </c>
      <c r="J866" t="s">
        <v>78</v>
      </c>
      <c r="K866" t="s">
        <v>7125</v>
      </c>
      <c r="L866" t="s">
        <v>324</v>
      </c>
      <c r="M866">
        <v>16</v>
      </c>
      <c r="N866" t="s">
        <v>763</v>
      </c>
      <c r="O866">
        <v>2013</v>
      </c>
      <c r="P866" t="s">
        <v>7126</v>
      </c>
      <c r="Q866" t="s">
        <v>7127</v>
      </c>
      <c r="R866">
        <v>263843</v>
      </c>
      <c r="S866" t="s">
        <v>7123</v>
      </c>
      <c r="T866" t="s">
        <v>7128</v>
      </c>
      <c r="U866">
        <v>1996</v>
      </c>
      <c r="V866" t="s">
        <v>218</v>
      </c>
      <c r="W866">
        <v>1.72</v>
      </c>
      <c r="X866" t="s">
        <v>2519</v>
      </c>
      <c r="Y866" t="s">
        <v>391</v>
      </c>
      <c r="Z866" t="s">
        <v>87</v>
      </c>
      <c r="AA866" t="s">
        <v>7129</v>
      </c>
      <c r="AB866" t="s">
        <v>7130</v>
      </c>
      <c r="AC866" t="s">
        <v>108</v>
      </c>
      <c r="AD866" t="s">
        <v>223</v>
      </c>
      <c r="AE866" t="s">
        <v>7131</v>
      </c>
      <c r="AF866">
        <v>17</v>
      </c>
      <c r="AG866" t="s">
        <v>91</v>
      </c>
      <c r="AH866">
        <v>43192</v>
      </c>
      <c r="AI866">
        <v>21</v>
      </c>
      <c r="AJ866" t="s">
        <v>110</v>
      </c>
      <c r="AK866">
        <v>17</v>
      </c>
      <c r="AL866">
        <v>3</v>
      </c>
      <c r="AM866">
        <v>532</v>
      </c>
      <c r="AN866">
        <v>63</v>
      </c>
      <c r="AO866">
        <v>2</v>
      </c>
      <c r="AP866" t="s">
        <v>93</v>
      </c>
      <c r="AQ866" t="s">
        <v>89</v>
      </c>
      <c r="AR866" t="s">
        <v>89</v>
      </c>
      <c r="AS866" t="s">
        <v>93</v>
      </c>
      <c r="AT866" t="s">
        <v>89</v>
      </c>
      <c r="AU866" t="s">
        <v>89</v>
      </c>
      <c r="AV866" t="s">
        <v>89</v>
      </c>
      <c r="AW866">
        <v>12</v>
      </c>
      <c r="AX866">
        <v>9</v>
      </c>
      <c r="AY866" t="s">
        <v>93</v>
      </c>
      <c r="AZ866">
        <v>0</v>
      </c>
      <c r="BA866">
        <v>0</v>
      </c>
      <c r="BB866">
        <v>0</v>
      </c>
      <c r="BC866">
        <v>0</v>
      </c>
      <c r="BD866">
        <v>229</v>
      </c>
      <c r="BE866">
        <v>14161</v>
      </c>
      <c r="BF866">
        <v>25</v>
      </c>
      <c r="BG866" t="s">
        <v>89</v>
      </c>
      <c r="BH866">
        <v>229</v>
      </c>
      <c r="BI866">
        <v>14161</v>
      </c>
      <c r="BJ866">
        <v>25</v>
      </c>
      <c r="BK866">
        <f t="shared" si="119"/>
        <v>229</v>
      </c>
      <c r="BL866">
        <f t="shared" si="120"/>
        <v>14161</v>
      </c>
      <c r="BM866">
        <f t="shared" si="121"/>
        <v>25</v>
      </c>
      <c r="BN866">
        <f t="shared" si="122"/>
        <v>0</v>
      </c>
      <c r="BO866">
        <f t="shared" si="123"/>
        <v>0</v>
      </c>
      <c r="BP866">
        <f t="shared" si="124"/>
        <v>0</v>
      </c>
      <c r="BQ866" t="s">
        <v>391</v>
      </c>
      <c r="BR866" t="s">
        <v>112</v>
      </c>
      <c r="BS866" s="1">
        <v>35391</v>
      </c>
      <c r="BT866">
        <v>29</v>
      </c>
      <c r="BU866" t="s">
        <v>89</v>
      </c>
      <c r="BV866" t="s">
        <v>89</v>
      </c>
      <c r="BW866">
        <v>12</v>
      </c>
      <c r="BX866">
        <v>1996</v>
      </c>
      <c r="BY866">
        <v>11</v>
      </c>
      <c r="BZ866">
        <f t="shared" si="125"/>
        <v>0</v>
      </c>
      <c r="CA866">
        <f t="shared" si="126"/>
        <v>1</v>
      </c>
      <c r="CB866" t="b">
        <f t="shared" si="127"/>
        <v>1</v>
      </c>
    </row>
    <row r="867" spans="1:80" x14ac:dyDescent="0.3">
      <c r="A867" t="s">
        <v>7132</v>
      </c>
      <c r="B867" t="s">
        <v>2677</v>
      </c>
      <c r="C867" t="s">
        <v>7133</v>
      </c>
      <c r="D867">
        <v>44</v>
      </c>
      <c r="E867" s="1">
        <v>29517</v>
      </c>
      <c r="F867" t="s">
        <v>89</v>
      </c>
      <c r="G867" t="s">
        <v>176</v>
      </c>
      <c r="H867" t="s">
        <v>2679</v>
      </c>
      <c r="I867" t="s">
        <v>437</v>
      </c>
      <c r="J867" t="s">
        <v>89</v>
      </c>
      <c r="K867" t="s">
        <v>89</v>
      </c>
      <c r="L867" t="s">
        <v>99</v>
      </c>
      <c r="M867">
        <v>20</v>
      </c>
      <c r="N867" t="s">
        <v>508</v>
      </c>
      <c r="O867">
        <v>2001</v>
      </c>
      <c r="P867" t="s">
        <v>7134</v>
      </c>
      <c r="Q867" t="s">
        <v>7135</v>
      </c>
      <c r="R867">
        <v>7977</v>
      </c>
      <c r="S867" t="s">
        <v>7136</v>
      </c>
      <c r="T867" t="s">
        <v>7137</v>
      </c>
      <c r="U867">
        <v>1980</v>
      </c>
      <c r="V867" t="s">
        <v>7138</v>
      </c>
      <c r="W867">
        <v>1.85</v>
      </c>
      <c r="X867" t="s">
        <v>2679</v>
      </c>
      <c r="Y867" t="s">
        <v>123</v>
      </c>
      <c r="Z867" t="s">
        <v>87</v>
      </c>
      <c r="AA867" t="s">
        <v>7139</v>
      </c>
      <c r="AB867" s="1">
        <v>42011</v>
      </c>
      <c r="AC867" t="s">
        <v>108</v>
      </c>
      <c r="AD867" t="s">
        <v>89</v>
      </c>
      <c r="AE867" t="s">
        <v>7140</v>
      </c>
      <c r="AF867">
        <v>20</v>
      </c>
      <c r="AG867" t="s">
        <v>91</v>
      </c>
      <c r="AH867">
        <v>37417</v>
      </c>
      <c r="AI867">
        <v>21</v>
      </c>
      <c r="AJ867" t="s">
        <v>110</v>
      </c>
      <c r="AK867">
        <v>20</v>
      </c>
      <c r="AL867">
        <v>2</v>
      </c>
      <c r="AM867">
        <v>53</v>
      </c>
      <c r="AN867">
        <v>8</v>
      </c>
      <c r="AO867">
        <v>2</v>
      </c>
      <c r="AP867" t="s">
        <v>93</v>
      </c>
      <c r="AQ867" t="s">
        <v>89</v>
      </c>
      <c r="AR867" t="s">
        <v>89</v>
      </c>
      <c r="AS867" t="s">
        <v>111</v>
      </c>
      <c r="AT867" s="1">
        <v>42011</v>
      </c>
      <c r="AU867">
        <v>2015</v>
      </c>
      <c r="AV867">
        <v>14</v>
      </c>
      <c r="AW867">
        <v>14</v>
      </c>
      <c r="AX867" t="s">
        <v>89</v>
      </c>
      <c r="AY867" t="s">
        <v>111</v>
      </c>
      <c r="AZ867">
        <v>2</v>
      </c>
      <c r="BA867">
        <v>2</v>
      </c>
      <c r="BB867">
        <v>47</v>
      </c>
      <c r="BC867">
        <v>0</v>
      </c>
      <c r="BD867">
        <v>415</v>
      </c>
      <c r="BE867">
        <v>25359</v>
      </c>
      <c r="BF867">
        <v>117</v>
      </c>
      <c r="BG867">
        <v>35</v>
      </c>
      <c r="BH867">
        <v>417</v>
      </c>
      <c r="BI867">
        <v>25406</v>
      </c>
      <c r="BJ867">
        <v>117</v>
      </c>
      <c r="BK867">
        <f t="shared" si="119"/>
        <v>417</v>
      </c>
      <c r="BL867">
        <f t="shared" si="120"/>
        <v>25406</v>
      </c>
      <c r="BM867">
        <f t="shared" si="121"/>
        <v>117</v>
      </c>
      <c r="BN867">
        <f t="shared" si="122"/>
        <v>0</v>
      </c>
      <c r="BO867">
        <f t="shared" si="123"/>
        <v>0</v>
      </c>
      <c r="BP867">
        <f t="shared" si="124"/>
        <v>0</v>
      </c>
      <c r="BQ867" t="s">
        <v>123</v>
      </c>
      <c r="BR867" t="s">
        <v>112</v>
      </c>
      <c r="BS867" s="1">
        <v>29517</v>
      </c>
      <c r="BT867">
        <v>45</v>
      </c>
      <c r="BU867" s="1">
        <v>42011</v>
      </c>
      <c r="BV867" s="1">
        <v>42186</v>
      </c>
      <c r="BW867">
        <v>15</v>
      </c>
      <c r="BX867">
        <v>1980</v>
      </c>
      <c r="BY867">
        <v>15</v>
      </c>
      <c r="BZ867">
        <f t="shared" si="125"/>
        <v>-1</v>
      </c>
      <c r="CA867">
        <f t="shared" si="126"/>
        <v>0</v>
      </c>
      <c r="CB867" t="b">
        <f t="shared" si="127"/>
        <v>0</v>
      </c>
    </row>
    <row r="868" spans="1:80" x14ac:dyDescent="0.3">
      <c r="A868" t="s">
        <v>7141</v>
      </c>
      <c r="B868" t="s">
        <v>156</v>
      </c>
      <c r="C868" t="s">
        <v>7142</v>
      </c>
      <c r="D868">
        <v>34</v>
      </c>
      <c r="E868" s="1">
        <v>33111</v>
      </c>
      <c r="F868" t="s">
        <v>89</v>
      </c>
      <c r="G868" t="s">
        <v>400</v>
      </c>
      <c r="H868" t="s">
        <v>177</v>
      </c>
      <c r="I868" t="s">
        <v>414</v>
      </c>
      <c r="J868" t="s">
        <v>78</v>
      </c>
      <c r="K868" t="s">
        <v>89</v>
      </c>
      <c r="L868" t="s">
        <v>254</v>
      </c>
      <c r="M868">
        <v>18</v>
      </c>
      <c r="N868" t="s">
        <v>2060</v>
      </c>
      <c r="O868">
        <v>2009</v>
      </c>
      <c r="P868" t="s">
        <v>7143</v>
      </c>
      <c r="Q868" t="s">
        <v>7144</v>
      </c>
      <c r="R868">
        <v>45653</v>
      </c>
      <c r="S868" t="s">
        <v>7141</v>
      </c>
      <c r="T868" t="s">
        <v>7145</v>
      </c>
      <c r="U868">
        <v>1990</v>
      </c>
      <c r="V868" t="s">
        <v>218</v>
      </c>
      <c r="W868">
        <v>1.82</v>
      </c>
      <c r="X868" t="s">
        <v>169</v>
      </c>
      <c r="Y868" t="s">
        <v>235</v>
      </c>
      <c r="Z868" t="s">
        <v>87</v>
      </c>
      <c r="AA868" t="s">
        <v>7146</v>
      </c>
      <c r="AB868" s="1">
        <v>44203</v>
      </c>
      <c r="AC868" t="s">
        <v>108</v>
      </c>
      <c r="AD868" t="s">
        <v>89</v>
      </c>
      <c r="AE868" s="1">
        <v>39118</v>
      </c>
      <c r="AF868">
        <v>16</v>
      </c>
      <c r="AG868" t="s">
        <v>171</v>
      </c>
      <c r="AH868">
        <v>39942</v>
      </c>
      <c r="AI868">
        <v>19</v>
      </c>
      <c r="AJ868" t="s">
        <v>110</v>
      </c>
      <c r="AK868">
        <v>16</v>
      </c>
      <c r="AL868">
        <v>17</v>
      </c>
      <c r="AM868">
        <v>740</v>
      </c>
      <c r="AN868">
        <v>136</v>
      </c>
      <c r="AO868">
        <v>7</v>
      </c>
      <c r="AP868" t="s">
        <v>93</v>
      </c>
      <c r="AQ868" t="s">
        <v>89</v>
      </c>
      <c r="AR868" t="s">
        <v>89</v>
      </c>
      <c r="AS868" t="s">
        <v>111</v>
      </c>
      <c r="AT868">
        <v>44203</v>
      </c>
      <c r="AU868">
        <v>2021</v>
      </c>
      <c r="AV868">
        <v>12</v>
      </c>
      <c r="AW868">
        <v>12</v>
      </c>
      <c r="AX868" t="s">
        <v>89</v>
      </c>
      <c r="AY868" t="s">
        <v>111</v>
      </c>
      <c r="AZ868">
        <v>2</v>
      </c>
      <c r="BA868">
        <v>4</v>
      </c>
      <c r="BB868">
        <v>315</v>
      </c>
      <c r="BC868">
        <v>0</v>
      </c>
      <c r="BD868">
        <v>329</v>
      </c>
      <c r="BE868">
        <v>27550</v>
      </c>
      <c r="BF868">
        <v>12</v>
      </c>
      <c r="BG868">
        <v>31</v>
      </c>
      <c r="BH868">
        <v>333</v>
      </c>
      <c r="BI868">
        <v>27865</v>
      </c>
      <c r="BJ868">
        <v>12</v>
      </c>
      <c r="BK868">
        <f t="shared" si="119"/>
        <v>333</v>
      </c>
      <c r="BL868">
        <f t="shared" si="120"/>
        <v>27865</v>
      </c>
      <c r="BM868">
        <f t="shared" si="121"/>
        <v>12</v>
      </c>
      <c r="BN868">
        <f t="shared" si="122"/>
        <v>0</v>
      </c>
      <c r="BO868">
        <f t="shared" si="123"/>
        <v>0</v>
      </c>
      <c r="BP868">
        <f t="shared" si="124"/>
        <v>0</v>
      </c>
      <c r="BQ868" t="s">
        <v>235</v>
      </c>
      <c r="BR868" t="s">
        <v>140</v>
      </c>
      <c r="BS868" s="1">
        <v>33111</v>
      </c>
      <c r="BT868">
        <v>35</v>
      </c>
      <c r="BU868">
        <v>44203</v>
      </c>
      <c r="BV868" t="s">
        <v>89</v>
      </c>
      <c r="BW868">
        <v>15</v>
      </c>
      <c r="BX868">
        <v>1990</v>
      </c>
      <c r="BY868">
        <v>15</v>
      </c>
      <c r="BZ868">
        <f t="shared" si="125"/>
        <v>-3</v>
      </c>
      <c r="CA868">
        <f t="shared" si="126"/>
        <v>0</v>
      </c>
      <c r="CB868" t="b">
        <f t="shared" si="127"/>
        <v>0</v>
      </c>
    </row>
    <row r="869" spans="1:80" x14ac:dyDescent="0.3">
      <c r="A869" t="s">
        <v>7147</v>
      </c>
      <c r="B869" t="s">
        <v>1008</v>
      </c>
      <c r="C869" t="s">
        <v>7148</v>
      </c>
      <c r="D869">
        <v>45</v>
      </c>
      <c r="E869" s="1">
        <v>29327</v>
      </c>
      <c r="F869" t="s">
        <v>89</v>
      </c>
      <c r="G869" t="s">
        <v>176</v>
      </c>
      <c r="H869" t="s">
        <v>89</v>
      </c>
      <c r="I869" t="s">
        <v>227</v>
      </c>
      <c r="J869" t="s">
        <v>89</v>
      </c>
      <c r="K869" t="s">
        <v>89</v>
      </c>
      <c r="L869" t="s">
        <v>657</v>
      </c>
      <c r="M869">
        <v>23</v>
      </c>
      <c r="N869" t="s">
        <v>7149</v>
      </c>
      <c r="O869">
        <v>2003</v>
      </c>
      <c r="P869" t="s">
        <v>7150</v>
      </c>
      <c r="Q869" t="s">
        <v>7151</v>
      </c>
      <c r="R869">
        <v>25318</v>
      </c>
      <c r="S869" t="s">
        <v>7147</v>
      </c>
      <c r="T869" t="s">
        <v>7152</v>
      </c>
      <c r="U869">
        <v>1980</v>
      </c>
      <c r="V869" t="s">
        <v>7153</v>
      </c>
      <c r="W869">
        <v>1.84</v>
      </c>
      <c r="X869" t="s">
        <v>1010</v>
      </c>
      <c r="Y869" t="s">
        <v>235</v>
      </c>
      <c r="Z869" t="s">
        <v>152</v>
      </c>
      <c r="AA869" t="s">
        <v>7154</v>
      </c>
      <c r="AB869" s="1">
        <v>43107</v>
      </c>
      <c r="AC869" t="s">
        <v>108</v>
      </c>
      <c r="AD869" t="s">
        <v>89</v>
      </c>
      <c r="AE869" t="s">
        <v>6090</v>
      </c>
      <c r="AF869">
        <v>24</v>
      </c>
      <c r="AG869" t="s">
        <v>573</v>
      </c>
      <c r="AH869">
        <v>37934</v>
      </c>
      <c r="AI869">
        <v>23</v>
      </c>
      <c r="AJ869" t="s">
        <v>575</v>
      </c>
      <c r="AK869">
        <v>23</v>
      </c>
      <c r="AL869">
        <v>4</v>
      </c>
      <c r="AM869">
        <v>59</v>
      </c>
      <c r="AN869">
        <v>8</v>
      </c>
      <c r="AO869">
        <v>3</v>
      </c>
      <c r="AP869" t="s">
        <v>93</v>
      </c>
      <c r="AQ869" t="s">
        <v>89</v>
      </c>
      <c r="AR869" t="s">
        <v>89</v>
      </c>
      <c r="AS869" t="s">
        <v>111</v>
      </c>
      <c r="AT869" s="1">
        <v>43107</v>
      </c>
      <c r="AU869">
        <v>2018</v>
      </c>
      <c r="AV869">
        <v>15</v>
      </c>
      <c r="AW869">
        <v>15</v>
      </c>
      <c r="AX869" t="s">
        <v>89</v>
      </c>
      <c r="AY869" t="s">
        <v>93</v>
      </c>
      <c r="AZ869">
        <v>0</v>
      </c>
      <c r="BA869">
        <v>0</v>
      </c>
      <c r="BB869">
        <v>0</v>
      </c>
      <c r="BC869">
        <v>0</v>
      </c>
      <c r="BD869">
        <v>384</v>
      </c>
      <c r="BE869">
        <v>31323</v>
      </c>
      <c r="BF869">
        <v>4</v>
      </c>
      <c r="BG869">
        <v>38</v>
      </c>
      <c r="BH869">
        <v>384</v>
      </c>
      <c r="BI869">
        <v>31323</v>
      </c>
      <c r="BJ869">
        <v>4</v>
      </c>
      <c r="BK869">
        <f t="shared" si="119"/>
        <v>384</v>
      </c>
      <c r="BL869">
        <f t="shared" si="120"/>
        <v>31323</v>
      </c>
      <c r="BM869">
        <f t="shared" si="121"/>
        <v>4</v>
      </c>
      <c r="BN869">
        <f t="shared" si="122"/>
        <v>0</v>
      </c>
      <c r="BO869">
        <f t="shared" si="123"/>
        <v>0</v>
      </c>
      <c r="BP869">
        <f t="shared" si="124"/>
        <v>0</v>
      </c>
      <c r="BQ869" t="s">
        <v>235</v>
      </c>
      <c r="BR869" t="s">
        <v>140</v>
      </c>
      <c r="BS869" s="1">
        <v>29327</v>
      </c>
      <c r="BT869">
        <v>45</v>
      </c>
      <c r="BU869" s="1">
        <v>43107</v>
      </c>
      <c r="BV869" s="1">
        <v>43282</v>
      </c>
      <c r="BW869">
        <v>15</v>
      </c>
      <c r="BX869">
        <v>1980</v>
      </c>
      <c r="BY869">
        <v>15</v>
      </c>
      <c r="BZ869">
        <f t="shared" si="125"/>
        <v>0</v>
      </c>
      <c r="CA869">
        <f t="shared" si="126"/>
        <v>0</v>
      </c>
      <c r="CB869" t="b">
        <f t="shared" si="127"/>
        <v>1</v>
      </c>
    </row>
    <row r="870" spans="1:80" x14ac:dyDescent="0.3">
      <c r="A870" t="s">
        <v>7155</v>
      </c>
      <c r="B870" t="s">
        <v>1008</v>
      </c>
      <c r="C870" t="s">
        <v>7156</v>
      </c>
      <c r="D870">
        <v>43</v>
      </c>
      <c r="E870" s="1">
        <v>30024</v>
      </c>
      <c r="F870" t="s">
        <v>89</v>
      </c>
      <c r="G870" t="s">
        <v>413</v>
      </c>
      <c r="H870" t="s">
        <v>1010</v>
      </c>
      <c r="I870" t="s">
        <v>227</v>
      </c>
      <c r="J870" t="s">
        <v>89</v>
      </c>
      <c r="K870" t="s">
        <v>89</v>
      </c>
      <c r="L870" t="s">
        <v>866</v>
      </c>
      <c r="M870">
        <v>16</v>
      </c>
      <c r="N870" t="s">
        <v>1011</v>
      </c>
      <c r="O870">
        <v>1998</v>
      </c>
      <c r="P870" t="s">
        <v>7157</v>
      </c>
      <c r="Q870" t="s">
        <v>7158</v>
      </c>
      <c r="R870">
        <v>6852</v>
      </c>
      <c r="S870" t="s">
        <v>7155</v>
      </c>
      <c r="T870" t="s">
        <v>7159</v>
      </c>
      <c r="U870">
        <v>1982</v>
      </c>
      <c r="V870" t="s">
        <v>7149</v>
      </c>
      <c r="W870">
        <v>1.83</v>
      </c>
      <c r="X870" t="s">
        <v>1010</v>
      </c>
      <c r="Y870" t="s">
        <v>235</v>
      </c>
      <c r="Z870" t="s">
        <v>87</v>
      </c>
      <c r="AA870" t="s">
        <v>7160</v>
      </c>
      <c r="AB870" s="1">
        <v>43107</v>
      </c>
      <c r="AC870" t="s">
        <v>108</v>
      </c>
      <c r="AD870" t="s">
        <v>89</v>
      </c>
      <c r="AE870" s="1">
        <v>36408</v>
      </c>
      <c r="AF870">
        <v>17</v>
      </c>
      <c r="AG870" t="s">
        <v>573</v>
      </c>
      <c r="AH870" t="s">
        <v>7161</v>
      </c>
      <c r="AI870">
        <v>19</v>
      </c>
      <c r="AJ870" t="s">
        <v>575</v>
      </c>
      <c r="AK870">
        <v>17</v>
      </c>
      <c r="AL870" t="s">
        <v>89</v>
      </c>
      <c r="AM870" t="s">
        <v>89</v>
      </c>
      <c r="AN870" t="s">
        <v>89</v>
      </c>
      <c r="AO870">
        <v>0</v>
      </c>
      <c r="AP870" t="s">
        <v>93</v>
      </c>
      <c r="AQ870" t="s">
        <v>89</v>
      </c>
      <c r="AR870" t="s">
        <v>89</v>
      </c>
      <c r="AS870" t="s">
        <v>111</v>
      </c>
      <c r="AT870" s="1">
        <v>43107</v>
      </c>
      <c r="AU870">
        <v>2018</v>
      </c>
      <c r="AV870">
        <v>20</v>
      </c>
      <c r="AW870">
        <v>20</v>
      </c>
      <c r="AX870" t="s">
        <v>89</v>
      </c>
      <c r="AY870" t="s">
        <v>93</v>
      </c>
      <c r="AZ870">
        <v>0</v>
      </c>
      <c r="BA870">
        <v>0</v>
      </c>
      <c r="BB870">
        <v>0</v>
      </c>
      <c r="BC870">
        <v>0</v>
      </c>
      <c r="BD870">
        <v>321</v>
      </c>
      <c r="BE870">
        <v>26071</v>
      </c>
      <c r="BF870">
        <v>8</v>
      </c>
      <c r="BG870">
        <v>36</v>
      </c>
      <c r="BH870">
        <v>321</v>
      </c>
      <c r="BI870">
        <v>26071</v>
      </c>
      <c r="BJ870">
        <v>8</v>
      </c>
      <c r="BK870">
        <f t="shared" si="119"/>
        <v>321</v>
      </c>
      <c r="BL870">
        <f t="shared" si="120"/>
        <v>26071</v>
      </c>
      <c r="BM870">
        <f t="shared" si="121"/>
        <v>8</v>
      </c>
      <c r="BN870">
        <f t="shared" si="122"/>
        <v>0</v>
      </c>
      <c r="BO870">
        <f t="shared" si="123"/>
        <v>0</v>
      </c>
      <c r="BP870">
        <f t="shared" si="124"/>
        <v>0</v>
      </c>
      <c r="BQ870" t="s">
        <v>235</v>
      </c>
      <c r="BR870" t="s">
        <v>140</v>
      </c>
      <c r="BS870" s="1">
        <v>30024</v>
      </c>
      <c r="BT870">
        <v>43</v>
      </c>
      <c r="BU870" s="1">
        <v>43107</v>
      </c>
      <c r="BV870" s="1">
        <v>43282</v>
      </c>
      <c r="BW870">
        <v>19</v>
      </c>
      <c r="BX870">
        <v>1982</v>
      </c>
      <c r="BY870">
        <v>19</v>
      </c>
      <c r="BZ870">
        <f t="shared" si="125"/>
        <v>1</v>
      </c>
      <c r="CA870">
        <f t="shared" si="126"/>
        <v>0</v>
      </c>
      <c r="CB870" t="b">
        <f t="shared" si="127"/>
        <v>0</v>
      </c>
    </row>
    <row r="871" spans="1:80" x14ac:dyDescent="0.3">
      <c r="A871" t="s">
        <v>7162</v>
      </c>
      <c r="B871" t="s">
        <v>156</v>
      </c>
      <c r="C871" t="s">
        <v>7163</v>
      </c>
      <c r="D871">
        <v>36</v>
      </c>
      <c r="E871" s="1">
        <v>32696</v>
      </c>
      <c r="F871" t="s">
        <v>89</v>
      </c>
      <c r="G871" t="s">
        <v>115</v>
      </c>
      <c r="H871" t="s">
        <v>89</v>
      </c>
      <c r="I871" t="s">
        <v>414</v>
      </c>
      <c r="J871" t="s">
        <v>78</v>
      </c>
      <c r="K871" t="s">
        <v>89</v>
      </c>
      <c r="L871" t="s">
        <v>80</v>
      </c>
      <c r="M871">
        <v>23</v>
      </c>
      <c r="N871" t="s">
        <v>2514</v>
      </c>
      <c r="O871">
        <v>2012</v>
      </c>
      <c r="P871" t="s">
        <v>7164</v>
      </c>
      <c r="Q871" t="s">
        <v>7165</v>
      </c>
      <c r="R871">
        <v>55240</v>
      </c>
      <c r="S871" t="s">
        <v>7162</v>
      </c>
      <c r="T871" s="1">
        <v>32696</v>
      </c>
      <c r="U871">
        <v>1989</v>
      </c>
      <c r="V871" t="s">
        <v>7120</v>
      </c>
      <c r="W871">
        <v>1.88</v>
      </c>
      <c r="X871" t="s">
        <v>219</v>
      </c>
      <c r="Y871" t="s">
        <v>235</v>
      </c>
      <c r="Z871" t="s">
        <v>87</v>
      </c>
      <c r="AA871" t="s">
        <v>476</v>
      </c>
      <c r="AB871">
        <v>45664</v>
      </c>
      <c r="AC871" t="s">
        <v>108</v>
      </c>
      <c r="AD871" t="s">
        <v>89</v>
      </c>
      <c r="AE871" t="s">
        <v>380</v>
      </c>
      <c r="AF871">
        <v>19</v>
      </c>
      <c r="AG871" t="s">
        <v>189</v>
      </c>
      <c r="AH871" t="s">
        <v>4897</v>
      </c>
      <c r="AI871">
        <v>23</v>
      </c>
      <c r="AJ871" t="s">
        <v>110</v>
      </c>
      <c r="AK871">
        <v>19</v>
      </c>
      <c r="AL871">
        <v>3</v>
      </c>
      <c r="AM871">
        <v>88</v>
      </c>
      <c r="AN871">
        <v>19</v>
      </c>
      <c r="AO871">
        <v>2</v>
      </c>
      <c r="AP871" t="s">
        <v>93</v>
      </c>
      <c r="AQ871" t="s">
        <v>89</v>
      </c>
      <c r="AR871" t="s">
        <v>89</v>
      </c>
      <c r="AS871" t="s">
        <v>93</v>
      </c>
      <c r="AT871" t="s">
        <v>89</v>
      </c>
      <c r="AU871" t="s">
        <v>89</v>
      </c>
      <c r="AV871" t="s">
        <v>89</v>
      </c>
      <c r="AW871">
        <v>13</v>
      </c>
      <c r="AX871" t="s">
        <v>89</v>
      </c>
      <c r="AY871" t="s">
        <v>93</v>
      </c>
      <c r="AZ871">
        <v>0</v>
      </c>
      <c r="BA871">
        <v>0</v>
      </c>
      <c r="BB871">
        <v>0</v>
      </c>
      <c r="BC871">
        <v>0</v>
      </c>
      <c r="BD871">
        <v>236</v>
      </c>
      <c r="BE871">
        <v>19776</v>
      </c>
      <c r="BF871">
        <v>7</v>
      </c>
      <c r="BG871" t="s">
        <v>89</v>
      </c>
      <c r="BH871">
        <v>236</v>
      </c>
      <c r="BI871">
        <v>19776</v>
      </c>
      <c r="BJ871">
        <v>7</v>
      </c>
      <c r="BK871">
        <f t="shared" si="119"/>
        <v>236</v>
      </c>
      <c r="BL871">
        <f t="shared" si="120"/>
        <v>19776</v>
      </c>
      <c r="BM871">
        <f t="shared" si="121"/>
        <v>7</v>
      </c>
      <c r="BN871">
        <f t="shared" si="122"/>
        <v>0</v>
      </c>
      <c r="BO871">
        <f t="shared" si="123"/>
        <v>0</v>
      </c>
      <c r="BP871">
        <f t="shared" si="124"/>
        <v>0</v>
      </c>
      <c r="BQ871" t="s">
        <v>235</v>
      </c>
      <c r="BR871" t="s">
        <v>140</v>
      </c>
      <c r="BS871" s="1">
        <v>32696</v>
      </c>
      <c r="BT871">
        <v>36</v>
      </c>
      <c r="BU871" t="s">
        <v>89</v>
      </c>
      <c r="BV871" t="s">
        <v>89</v>
      </c>
      <c r="BW871">
        <v>17</v>
      </c>
      <c r="BX871">
        <v>1989</v>
      </c>
      <c r="BY871">
        <v>17</v>
      </c>
      <c r="BZ871">
        <f t="shared" si="125"/>
        <v>-4</v>
      </c>
      <c r="CA871">
        <f t="shared" si="126"/>
        <v>0</v>
      </c>
      <c r="CB871" t="b">
        <f t="shared" si="127"/>
        <v>0</v>
      </c>
    </row>
    <row r="872" spans="1:80" x14ac:dyDescent="0.3">
      <c r="A872" t="s">
        <v>7166</v>
      </c>
      <c r="B872" t="s">
        <v>776</v>
      </c>
      <c r="C872" t="s">
        <v>7167</v>
      </c>
      <c r="D872">
        <v>43</v>
      </c>
      <c r="E872">
        <v>29825</v>
      </c>
      <c r="F872" t="s">
        <v>89</v>
      </c>
      <c r="G872" t="s">
        <v>298</v>
      </c>
      <c r="H872" t="s">
        <v>7168</v>
      </c>
      <c r="I872" t="s">
        <v>195</v>
      </c>
      <c r="J872" t="s">
        <v>300</v>
      </c>
      <c r="K872" t="s">
        <v>89</v>
      </c>
      <c r="L872" t="s">
        <v>99</v>
      </c>
      <c r="M872">
        <v>19</v>
      </c>
      <c r="N872" t="s">
        <v>4403</v>
      </c>
      <c r="O872">
        <v>2001</v>
      </c>
      <c r="P872" t="s">
        <v>7169</v>
      </c>
      <c r="Q872" t="s">
        <v>7170</v>
      </c>
      <c r="R872">
        <v>4317</v>
      </c>
      <c r="S872" t="s">
        <v>7166</v>
      </c>
      <c r="T872" t="s">
        <v>7171</v>
      </c>
      <c r="U872">
        <v>1981</v>
      </c>
      <c r="V872" t="s">
        <v>3194</v>
      </c>
      <c r="W872">
        <v>1.76</v>
      </c>
      <c r="X872" t="s">
        <v>778</v>
      </c>
      <c r="Y872" t="s">
        <v>203</v>
      </c>
      <c r="Z872" t="s">
        <v>152</v>
      </c>
      <c r="AA872" t="s">
        <v>6379</v>
      </c>
      <c r="AB872">
        <v>42742</v>
      </c>
      <c r="AC872" t="s">
        <v>108</v>
      </c>
      <c r="AD872" t="s">
        <v>89</v>
      </c>
      <c r="AE872">
        <v>2001</v>
      </c>
      <c r="AF872">
        <v>19</v>
      </c>
      <c r="AG872" t="s">
        <v>4114</v>
      </c>
      <c r="AH872" t="s">
        <v>89</v>
      </c>
      <c r="AI872" t="s">
        <v>89</v>
      </c>
      <c r="AJ872" t="s">
        <v>89</v>
      </c>
      <c r="AK872">
        <v>19</v>
      </c>
      <c r="AL872">
        <v>3</v>
      </c>
      <c r="AM872">
        <v>453</v>
      </c>
      <c r="AN872">
        <v>86</v>
      </c>
      <c r="AO872">
        <v>3</v>
      </c>
      <c r="AP872" t="s">
        <v>93</v>
      </c>
      <c r="AQ872" t="s">
        <v>89</v>
      </c>
      <c r="AR872" t="s">
        <v>89</v>
      </c>
      <c r="AS872" t="s">
        <v>111</v>
      </c>
      <c r="AT872">
        <v>42742</v>
      </c>
      <c r="AU872">
        <v>2017</v>
      </c>
      <c r="AV872">
        <v>16</v>
      </c>
      <c r="AW872">
        <v>16</v>
      </c>
      <c r="AX872" t="s">
        <v>89</v>
      </c>
      <c r="AY872" t="s">
        <v>111</v>
      </c>
      <c r="AZ872">
        <v>2</v>
      </c>
      <c r="BA872">
        <v>3</v>
      </c>
      <c r="BB872">
        <v>150</v>
      </c>
      <c r="BC872">
        <v>0</v>
      </c>
      <c r="BD872">
        <v>509</v>
      </c>
      <c r="BE872">
        <v>40467</v>
      </c>
      <c r="BF872">
        <v>24</v>
      </c>
      <c r="BG872">
        <v>36</v>
      </c>
      <c r="BH872">
        <v>512</v>
      </c>
      <c r="BI872">
        <v>40617</v>
      </c>
      <c r="BJ872">
        <v>24</v>
      </c>
      <c r="BK872">
        <f t="shared" si="119"/>
        <v>512</v>
      </c>
      <c r="BL872">
        <f t="shared" si="120"/>
        <v>40617</v>
      </c>
      <c r="BM872">
        <f t="shared" si="121"/>
        <v>24</v>
      </c>
      <c r="BN872">
        <f t="shared" si="122"/>
        <v>0</v>
      </c>
      <c r="BO872">
        <f t="shared" si="123"/>
        <v>0</v>
      </c>
      <c r="BP872">
        <f t="shared" si="124"/>
        <v>0</v>
      </c>
      <c r="BQ872" t="s">
        <v>203</v>
      </c>
      <c r="BR872" t="s">
        <v>140</v>
      </c>
      <c r="BS872" s="1">
        <v>29825</v>
      </c>
      <c r="BT872">
        <v>44</v>
      </c>
      <c r="BU872">
        <v>42742</v>
      </c>
      <c r="BV872" t="s">
        <v>89</v>
      </c>
      <c r="BW872">
        <v>17</v>
      </c>
      <c r="BX872">
        <v>1981</v>
      </c>
      <c r="BY872">
        <v>17</v>
      </c>
      <c r="BZ872">
        <f t="shared" si="125"/>
        <v>-1</v>
      </c>
      <c r="CA872">
        <f t="shared" si="126"/>
        <v>0</v>
      </c>
      <c r="CB872" t="b">
        <f t="shared" si="127"/>
        <v>0</v>
      </c>
    </row>
    <row r="873" spans="1:80" x14ac:dyDescent="0.3">
      <c r="A873" t="s">
        <v>7172</v>
      </c>
      <c r="B873" t="s">
        <v>7173</v>
      </c>
      <c r="C873" t="s">
        <v>7174</v>
      </c>
      <c r="D873">
        <v>38</v>
      </c>
      <c r="E873" s="1">
        <v>31871</v>
      </c>
      <c r="F873" t="s">
        <v>89</v>
      </c>
      <c r="G873" t="s">
        <v>277</v>
      </c>
      <c r="H873" t="s">
        <v>7175</v>
      </c>
      <c r="I873" t="s">
        <v>253</v>
      </c>
      <c r="J873" t="s">
        <v>78</v>
      </c>
      <c r="K873" t="s">
        <v>89</v>
      </c>
      <c r="L873">
        <v>2006</v>
      </c>
      <c r="M873">
        <v>18</v>
      </c>
      <c r="N873" t="s">
        <v>7176</v>
      </c>
      <c r="O873">
        <v>2006</v>
      </c>
      <c r="P873" t="s">
        <v>7177</v>
      </c>
      <c r="Q873" t="s">
        <v>7178</v>
      </c>
      <c r="R873">
        <v>37124</v>
      </c>
      <c r="S873" t="s">
        <v>7172</v>
      </c>
      <c r="T873">
        <v>31871</v>
      </c>
      <c r="U873">
        <v>1987</v>
      </c>
      <c r="V873" t="s">
        <v>7179</v>
      </c>
      <c r="W873">
        <v>1.83</v>
      </c>
      <c r="X873" t="s">
        <v>7175</v>
      </c>
      <c r="Y873" t="s">
        <v>259</v>
      </c>
      <c r="Z873" t="s">
        <v>87</v>
      </c>
      <c r="AA873" t="s">
        <v>2758</v>
      </c>
      <c r="AB873">
        <v>43107</v>
      </c>
      <c r="AC873" t="s">
        <v>108</v>
      </c>
      <c r="AD873" t="s">
        <v>89</v>
      </c>
      <c r="AE873">
        <v>38811</v>
      </c>
      <c r="AF873">
        <v>19</v>
      </c>
      <c r="AG873" t="s">
        <v>2639</v>
      </c>
      <c r="AH873" t="s">
        <v>7180</v>
      </c>
      <c r="AI873">
        <v>21</v>
      </c>
      <c r="AJ873" t="s">
        <v>575</v>
      </c>
      <c r="AK873">
        <v>19</v>
      </c>
      <c r="AL873">
        <v>7</v>
      </c>
      <c r="AM873">
        <v>757</v>
      </c>
      <c r="AN873">
        <v>105</v>
      </c>
      <c r="AO873">
        <v>5</v>
      </c>
      <c r="AP873" t="s">
        <v>93</v>
      </c>
      <c r="AQ873" t="s">
        <v>89</v>
      </c>
      <c r="AR873" t="s">
        <v>89</v>
      </c>
      <c r="AS873" t="s">
        <v>111</v>
      </c>
      <c r="AT873">
        <v>43107</v>
      </c>
      <c r="AU873">
        <v>2018</v>
      </c>
      <c r="AV873">
        <v>12</v>
      </c>
      <c r="AW873">
        <v>19</v>
      </c>
      <c r="AX873" t="s">
        <v>89</v>
      </c>
      <c r="AY873" t="s">
        <v>111</v>
      </c>
      <c r="AZ873">
        <v>1</v>
      </c>
      <c r="BA873">
        <v>1</v>
      </c>
      <c r="BB873">
        <v>27</v>
      </c>
      <c r="BC873">
        <v>0</v>
      </c>
      <c r="BD873">
        <v>221</v>
      </c>
      <c r="BE873">
        <v>14340</v>
      </c>
      <c r="BF873">
        <v>12</v>
      </c>
      <c r="BG873">
        <v>31</v>
      </c>
      <c r="BH873">
        <v>222</v>
      </c>
      <c r="BI873">
        <v>14367</v>
      </c>
      <c r="BJ873">
        <v>12</v>
      </c>
      <c r="BK873">
        <f t="shared" si="119"/>
        <v>222</v>
      </c>
      <c r="BL873">
        <f t="shared" si="120"/>
        <v>14367</v>
      </c>
      <c r="BM873">
        <f t="shared" si="121"/>
        <v>12</v>
      </c>
      <c r="BN873">
        <f t="shared" si="122"/>
        <v>0</v>
      </c>
      <c r="BO873">
        <f t="shared" si="123"/>
        <v>0</v>
      </c>
      <c r="BP873">
        <f t="shared" si="124"/>
        <v>0</v>
      </c>
      <c r="BQ873" t="s">
        <v>259</v>
      </c>
      <c r="BR873" t="s">
        <v>94</v>
      </c>
      <c r="BS873" t="s">
        <v>89</v>
      </c>
      <c r="BT873">
        <v>39</v>
      </c>
      <c r="BU873">
        <v>43107</v>
      </c>
      <c r="BV873" t="s">
        <v>89</v>
      </c>
      <c r="BW873">
        <v>12</v>
      </c>
      <c r="BX873">
        <v>1987</v>
      </c>
      <c r="BY873">
        <v>12</v>
      </c>
      <c r="BZ873">
        <f t="shared" si="125"/>
        <v>7</v>
      </c>
      <c r="CA873">
        <f t="shared" si="126"/>
        <v>0</v>
      </c>
      <c r="CB873" t="b">
        <f t="shared" si="127"/>
        <v>0</v>
      </c>
    </row>
    <row r="874" spans="1:80" x14ac:dyDescent="0.3">
      <c r="A874" t="s">
        <v>7181</v>
      </c>
      <c r="B874" t="s">
        <v>565</v>
      </c>
      <c r="C874" t="s">
        <v>7182</v>
      </c>
      <c r="D874">
        <v>41</v>
      </c>
      <c r="E874" s="1">
        <v>30756</v>
      </c>
      <c r="F874" t="s">
        <v>89</v>
      </c>
      <c r="G874" t="s">
        <v>143</v>
      </c>
      <c r="H874" t="s">
        <v>567</v>
      </c>
      <c r="I874" t="s">
        <v>253</v>
      </c>
      <c r="J874" t="s">
        <v>300</v>
      </c>
      <c r="K874" t="s">
        <v>89</v>
      </c>
      <c r="L874" t="s">
        <v>117</v>
      </c>
      <c r="M874">
        <v>21</v>
      </c>
      <c r="N874" t="s">
        <v>131</v>
      </c>
      <c r="O874">
        <v>2005</v>
      </c>
      <c r="P874" t="s">
        <v>7183</v>
      </c>
      <c r="Q874" t="s">
        <v>7184</v>
      </c>
      <c r="R874">
        <v>35539</v>
      </c>
      <c r="S874" t="s">
        <v>7181</v>
      </c>
      <c r="T874" t="s">
        <v>4557</v>
      </c>
      <c r="U874">
        <v>1984</v>
      </c>
      <c r="V874" t="s">
        <v>1130</v>
      </c>
      <c r="W874">
        <v>1.76</v>
      </c>
      <c r="X874" t="s">
        <v>572</v>
      </c>
      <c r="Y874" t="s">
        <v>259</v>
      </c>
      <c r="Z874" t="s">
        <v>152</v>
      </c>
      <c r="AA874" t="s">
        <v>745</v>
      </c>
      <c r="AB874">
        <v>43472</v>
      </c>
      <c r="AC874" t="s">
        <v>108</v>
      </c>
      <c r="AD874" t="s">
        <v>89</v>
      </c>
      <c r="AE874" t="s">
        <v>4090</v>
      </c>
      <c r="AF874">
        <v>21</v>
      </c>
      <c r="AG874" t="s">
        <v>91</v>
      </c>
      <c r="AH874">
        <v>37660</v>
      </c>
      <c r="AI874">
        <v>19</v>
      </c>
      <c r="AJ874" t="s">
        <v>1044</v>
      </c>
      <c r="AK874">
        <v>19</v>
      </c>
      <c r="AL874">
        <v>4</v>
      </c>
      <c r="AM874">
        <v>71</v>
      </c>
      <c r="AN874">
        <v>6</v>
      </c>
      <c r="AO874">
        <v>3</v>
      </c>
      <c r="AP874" t="s">
        <v>93</v>
      </c>
      <c r="AQ874" t="s">
        <v>89</v>
      </c>
      <c r="AR874" t="s">
        <v>89</v>
      </c>
      <c r="AS874" t="s">
        <v>111</v>
      </c>
      <c r="AT874">
        <v>43472</v>
      </c>
      <c r="AU874">
        <v>2019</v>
      </c>
      <c r="AV874">
        <v>14</v>
      </c>
      <c r="AW874">
        <v>14</v>
      </c>
      <c r="AX874" t="s">
        <v>89</v>
      </c>
      <c r="AY874" t="s">
        <v>111</v>
      </c>
      <c r="AZ874">
        <v>7</v>
      </c>
      <c r="BA874">
        <v>20</v>
      </c>
      <c r="BB874">
        <v>1311</v>
      </c>
      <c r="BC874">
        <v>0</v>
      </c>
      <c r="BD874">
        <v>396</v>
      </c>
      <c r="BE874">
        <v>28579</v>
      </c>
      <c r="BF874">
        <v>8</v>
      </c>
      <c r="BG874">
        <v>35</v>
      </c>
      <c r="BH874">
        <v>416</v>
      </c>
      <c r="BI874">
        <v>29890</v>
      </c>
      <c r="BJ874">
        <v>8</v>
      </c>
      <c r="BK874">
        <f t="shared" si="119"/>
        <v>416</v>
      </c>
      <c r="BL874">
        <f t="shared" si="120"/>
        <v>29890</v>
      </c>
      <c r="BM874">
        <f t="shared" si="121"/>
        <v>8</v>
      </c>
      <c r="BN874">
        <f t="shared" si="122"/>
        <v>0</v>
      </c>
      <c r="BO874">
        <f t="shared" si="123"/>
        <v>0</v>
      </c>
      <c r="BP874">
        <f t="shared" si="124"/>
        <v>0</v>
      </c>
      <c r="BQ874" t="s">
        <v>259</v>
      </c>
      <c r="BR874" t="s">
        <v>94</v>
      </c>
      <c r="BS874" s="1">
        <v>30817</v>
      </c>
      <c r="BT874">
        <v>41</v>
      </c>
      <c r="BU874">
        <v>43472</v>
      </c>
      <c r="BV874" t="s">
        <v>89</v>
      </c>
      <c r="BW874">
        <v>16</v>
      </c>
      <c r="BX874">
        <v>1984</v>
      </c>
      <c r="BY874">
        <v>16</v>
      </c>
      <c r="BZ874">
        <f t="shared" si="125"/>
        <v>-2</v>
      </c>
      <c r="CA874">
        <f t="shared" si="126"/>
        <v>0</v>
      </c>
      <c r="CB874" t="b">
        <f t="shared" si="127"/>
        <v>0</v>
      </c>
    </row>
    <row r="875" spans="1:80" x14ac:dyDescent="0.3">
      <c r="A875" t="s">
        <v>7185</v>
      </c>
      <c r="B875" t="s">
        <v>1461</v>
      </c>
      <c r="C875" t="s">
        <v>7186</v>
      </c>
      <c r="D875">
        <v>39</v>
      </c>
      <c r="E875" s="1">
        <v>31474</v>
      </c>
      <c r="F875" t="s">
        <v>89</v>
      </c>
      <c r="G875" t="s">
        <v>819</v>
      </c>
      <c r="H875" t="s">
        <v>1463</v>
      </c>
      <c r="I875" t="s">
        <v>3208</v>
      </c>
      <c r="J875" t="s">
        <v>78</v>
      </c>
      <c r="K875" t="s">
        <v>89</v>
      </c>
      <c r="L875" t="s">
        <v>163</v>
      </c>
      <c r="M875">
        <v>20</v>
      </c>
      <c r="N875" t="s">
        <v>1470</v>
      </c>
      <c r="O875">
        <v>2006</v>
      </c>
      <c r="P875" t="s">
        <v>7187</v>
      </c>
      <c r="Q875" t="s">
        <v>7188</v>
      </c>
      <c r="R875">
        <v>44402</v>
      </c>
      <c r="S875" t="s">
        <v>7185</v>
      </c>
      <c r="T875">
        <v>31474</v>
      </c>
      <c r="U875">
        <v>1986</v>
      </c>
      <c r="V875" t="s">
        <v>7189</v>
      </c>
      <c r="W875">
        <v>1.87</v>
      </c>
      <c r="X875" t="s">
        <v>1469</v>
      </c>
      <c r="Y875" t="s">
        <v>259</v>
      </c>
      <c r="Z875" t="s">
        <v>87</v>
      </c>
      <c r="AA875" t="s">
        <v>3138</v>
      </c>
      <c r="AB875" t="s">
        <v>7190</v>
      </c>
      <c r="AC875" t="s">
        <v>108</v>
      </c>
      <c r="AD875" t="s">
        <v>223</v>
      </c>
      <c r="AE875">
        <v>38969</v>
      </c>
      <c r="AF875">
        <v>20</v>
      </c>
      <c r="AG875" t="s">
        <v>1472</v>
      </c>
      <c r="AH875" t="s">
        <v>7191</v>
      </c>
      <c r="AI875">
        <v>18</v>
      </c>
      <c r="AJ875" t="s">
        <v>3996</v>
      </c>
      <c r="AK875">
        <v>18</v>
      </c>
      <c r="AL875">
        <v>37</v>
      </c>
      <c r="AM875">
        <v>611</v>
      </c>
      <c r="AN875">
        <v>147</v>
      </c>
      <c r="AO875">
        <v>15</v>
      </c>
      <c r="AP875" t="s">
        <v>93</v>
      </c>
      <c r="AQ875" t="s">
        <v>89</v>
      </c>
      <c r="AR875" t="s">
        <v>89</v>
      </c>
      <c r="AS875" t="s">
        <v>111</v>
      </c>
      <c r="AT875" t="s">
        <v>7190</v>
      </c>
      <c r="AU875">
        <v>2022</v>
      </c>
      <c r="AV875">
        <v>16</v>
      </c>
      <c r="AW875">
        <v>16</v>
      </c>
      <c r="AX875" t="s">
        <v>89</v>
      </c>
      <c r="AY875" t="s">
        <v>111</v>
      </c>
      <c r="AZ875">
        <v>13</v>
      </c>
      <c r="BA875">
        <v>58</v>
      </c>
      <c r="BB875">
        <v>4138</v>
      </c>
      <c r="BC875">
        <v>2</v>
      </c>
      <c r="BD875">
        <v>468</v>
      </c>
      <c r="BE875">
        <v>35013</v>
      </c>
      <c r="BF875">
        <v>28</v>
      </c>
      <c r="BG875">
        <v>36</v>
      </c>
      <c r="BH875">
        <v>526</v>
      </c>
      <c r="BI875">
        <v>39151</v>
      </c>
      <c r="BJ875">
        <v>30</v>
      </c>
      <c r="BK875">
        <f t="shared" si="119"/>
        <v>526</v>
      </c>
      <c r="BL875">
        <f t="shared" si="120"/>
        <v>39151</v>
      </c>
      <c r="BM875">
        <f t="shared" si="121"/>
        <v>30</v>
      </c>
      <c r="BN875">
        <f t="shared" si="122"/>
        <v>0</v>
      </c>
      <c r="BO875">
        <f t="shared" si="123"/>
        <v>0</v>
      </c>
      <c r="BP875">
        <f t="shared" si="124"/>
        <v>0</v>
      </c>
      <c r="BQ875" t="s">
        <v>259</v>
      </c>
      <c r="BR875" t="s">
        <v>94</v>
      </c>
      <c r="BS875" t="s">
        <v>89</v>
      </c>
      <c r="BT875">
        <v>40</v>
      </c>
      <c r="BU875" t="s">
        <v>7190</v>
      </c>
      <c r="BV875" s="1">
        <v>44761</v>
      </c>
      <c r="BW875">
        <v>18</v>
      </c>
      <c r="BX875">
        <v>1986</v>
      </c>
      <c r="BY875">
        <v>18</v>
      </c>
      <c r="BZ875">
        <f t="shared" si="125"/>
        <v>-2</v>
      </c>
      <c r="CA875">
        <f t="shared" si="126"/>
        <v>0</v>
      </c>
      <c r="CB875" t="b">
        <f t="shared" si="127"/>
        <v>0</v>
      </c>
    </row>
    <row r="876" spans="1:80" x14ac:dyDescent="0.3">
      <c r="A876" t="s">
        <v>7192</v>
      </c>
      <c r="B876" t="s">
        <v>2262</v>
      </c>
      <c r="C876" t="s">
        <v>7193</v>
      </c>
      <c r="D876">
        <v>36</v>
      </c>
      <c r="E876" s="1">
        <v>32431</v>
      </c>
      <c r="F876" t="s">
        <v>89</v>
      </c>
      <c r="G876" t="s">
        <v>413</v>
      </c>
      <c r="H876" t="s">
        <v>2264</v>
      </c>
      <c r="I876" t="s">
        <v>98</v>
      </c>
      <c r="J876" t="s">
        <v>300</v>
      </c>
      <c r="K876" t="s">
        <v>89</v>
      </c>
      <c r="L876" t="s">
        <v>163</v>
      </c>
      <c r="M876">
        <v>17</v>
      </c>
      <c r="N876" t="s">
        <v>4356</v>
      </c>
      <c r="O876">
        <v>2006</v>
      </c>
      <c r="P876" t="s">
        <v>7194</v>
      </c>
      <c r="Q876" t="s">
        <v>7195</v>
      </c>
      <c r="R876">
        <v>35664</v>
      </c>
      <c r="S876" t="s">
        <v>7192</v>
      </c>
      <c r="T876" t="s">
        <v>3666</v>
      </c>
      <c r="U876">
        <v>1988</v>
      </c>
      <c r="V876" t="s">
        <v>4359</v>
      </c>
      <c r="W876">
        <v>1.8</v>
      </c>
      <c r="X876" t="s">
        <v>2264</v>
      </c>
      <c r="Y876" t="s">
        <v>106</v>
      </c>
      <c r="Z876" t="s">
        <v>152</v>
      </c>
      <c r="AA876" t="s">
        <v>7196</v>
      </c>
      <c r="AB876" t="s">
        <v>7197</v>
      </c>
      <c r="AC876" t="s">
        <v>108</v>
      </c>
      <c r="AD876" t="s">
        <v>223</v>
      </c>
      <c r="AE876" s="1">
        <v>39059</v>
      </c>
      <c r="AF876">
        <v>17</v>
      </c>
      <c r="AG876" t="s">
        <v>2272</v>
      </c>
      <c r="AH876" t="s">
        <v>92</v>
      </c>
      <c r="AI876" t="s">
        <v>89</v>
      </c>
      <c r="AJ876" t="s">
        <v>92</v>
      </c>
      <c r="AK876">
        <v>17</v>
      </c>
      <c r="AL876">
        <v>45</v>
      </c>
      <c r="AM876">
        <v>798</v>
      </c>
      <c r="AN876">
        <v>159</v>
      </c>
      <c r="AO876">
        <v>13</v>
      </c>
      <c r="AP876" t="s">
        <v>93</v>
      </c>
      <c r="AQ876" t="s">
        <v>89</v>
      </c>
      <c r="AR876" t="s">
        <v>89</v>
      </c>
      <c r="AS876" t="s">
        <v>111</v>
      </c>
      <c r="AT876" t="s">
        <v>7197</v>
      </c>
      <c r="AU876">
        <v>2023</v>
      </c>
      <c r="AV876">
        <v>17</v>
      </c>
      <c r="AW876">
        <v>17</v>
      </c>
      <c r="AX876" t="s">
        <v>89</v>
      </c>
      <c r="AY876" t="s">
        <v>111</v>
      </c>
      <c r="AZ876">
        <v>15</v>
      </c>
      <c r="BA876">
        <v>75</v>
      </c>
      <c r="BB876">
        <v>6296</v>
      </c>
      <c r="BC876">
        <v>20</v>
      </c>
      <c r="BD876">
        <v>552</v>
      </c>
      <c r="BE876">
        <v>40964</v>
      </c>
      <c r="BF876">
        <v>88</v>
      </c>
      <c r="BG876">
        <v>35</v>
      </c>
      <c r="BH876">
        <v>627</v>
      </c>
      <c r="BI876">
        <v>47260</v>
      </c>
      <c r="BJ876">
        <v>108</v>
      </c>
      <c r="BK876">
        <f t="shared" si="119"/>
        <v>627</v>
      </c>
      <c r="BL876">
        <f t="shared" si="120"/>
        <v>47260</v>
      </c>
      <c r="BM876">
        <f t="shared" si="121"/>
        <v>108</v>
      </c>
      <c r="BN876">
        <f t="shared" si="122"/>
        <v>0</v>
      </c>
      <c r="BO876">
        <f t="shared" si="123"/>
        <v>0</v>
      </c>
      <c r="BP876">
        <f t="shared" si="124"/>
        <v>0</v>
      </c>
      <c r="BQ876" t="s">
        <v>106</v>
      </c>
      <c r="BR876" t="s">
        <v>112</v>
      </c>
      <c r="BS876" s="1">
        <v>32431</v>
      </c>
      <c r="BT876">
        <v>37</v>
      </c>
      <c r="BU876" t="s">
        <v>7197</v>
      </c>
      <c r="BV876" s="1">
        <v>45007</v>
      </c>
      <c r="BW876">
        <v>18</v>
      </c>
      <c r="BX876">
        <v>1988</v>
      </c>
      <c r="BY876">
        <v>18</v>
      </c>
      <c r="BZ876">
        <f t="shared" si="125"/>
        <v>-1</v>
      </c>
      <c r="CA876">
        <f t="shared" si="126"/>
        <v>0</v>
      </c>
      <c r="CB876" t="b">
        <f t="shared" si="127"/>
        <v>0</v>
      </c>
    </row>
    <row r="877" spans="1:80" x14ac:dyDescent="0.3">
      <c r="A877" t="s">
        <v>7198</v>
      </c>
      <c r="B877" t="s">
        <v>1351</v>
      </c>
      <c r="C877" t="s">
        <v>7199</v>
      </c>
      <c r="D877">
        <v>42</v>
      </c>
      <c r="E877" s="1">
        <v>30288</v>
      </c>
      <c r="F877" t="s">
        <v>89</v>
      </c>
      <c r="G877" t="s">
        <v>160</v>
      </c>
      <c r="H877" t="s">
        <v>1353</v>
      </c>
      <c r="I877" t="s">
        <v>5293</v>
      </c>
      <c r="J877" t="s">
        <v>78</v>
      </c>
      <c r="K877" t="s">
        <v>89</v>
      </c>
      <c r="L877" t="s">
        <v>196</v>
      </c>
      <c r="M877">
        <v>17</v>
      </c>
      <c r="N877" t="s">
        <v>682</v>
      </c>
      <c r="O877">
        <v>2000</v>
      </c>
      <c r="P877" t="s">
        <v>7200</v>
      </c>
      <c r="Q877" t="s">
        <v>7201</v>
      </c>
      <c r="R877">
        <v>5588</v>
      </c>
      <c r="S877" t="s">
        <v>7198</v>
      </c>
      <c r="T877">
        <v>30022</v>
      </c>
      <c r="U877">
        <v>1982</v>
      </c>
      <c r="V877" t="s">
        <v>1358</v>
      </c>
      <c r="W877">
        <v>1.78</v>
      </c>
      <c r="X877" t="s">
        <v>7202</v>
      </c>
      <c r="Y877" t="s">
        <v>259</v>
      </c>
      <c r="Z877" t="s">
        <v>87</v>
      </c>
      <c r="AA877" t="s">
        <v>7203</v>
      </c>
      <c r="AB877" s="1">
        <v>44083</v>
      </c>
      <c r="AC877" t="s">
        <v>108</v>
      </c>
      <c r="AD877" t="s">
        <v>89</v>
      </c>
      <c r="AE877" t="s">
        <v>7204</v>
      </c>
      <c r="AF877">
        <v>17</v>
      </c>
      <c r="AG877" t="s">
        <v>206</v>
      </c>
      <c r="AH877" t="s">
        <v>92</v>
      </c>
      <c r="AI877" t="s">
        <v>89</v>
      </c>
      <c r="AJ877" t="s">
        <v>92</v>
      </c>
      <c r="AK877">
        <v>17</v>
      </c>
      <c r="AL877">
        <v>7</v>
      </c>
      <c r="AM877">
        <v>744</v>
      </c>
      <c r="AN877">
        <v>142</v>
      </c>
      <c r="AO877">
        <v>6</v>
      </c>
      <c r="AP877" t="s">
        <v>93</v>
      </c>
      <c r="AQ877" t="s">
        <v>89</v>
      </c>
      <c r="AR877" t="s">
        <v>89</v>
      </c>
      <c r="AS877" t="s">
        <v>111</v>
      </c>
      <c r="AT877">
        <v>44083</v>
      </c>
      <c r="AU877">
        <v>2020</v>
      </c>
      <c r="AV877">
        <v>20</v>
      </c>
      <c r="AW877">
        <v>20</v>
      </c>
      <c r="AX877" t="s">
        <v>89</v>
      </c>
      <c r="AY877" t="s">
        <v>111</v>
      </c>
      <c r="AZ877">
        <v>5</v>
      </c>
      <c r="BA877">
        <v>9</v>
      </c>
      <c r="BB877">
        <v>616</v>
      </c>
      <c r="BC877">
        <v>0</v>
      </c>
      <c r="BD877">
        <v>433</v>
      </c>
      <c r="BE877">
        <v>33614</v>
      </c>
      <c r="BF877">
        <v>49</v>
      </c>
      <c r="BG877">
        <v>38</v>
      </c>
      <c r="BH877">
        <v>442</v>
      </c>
      <c r="BI877">
        <v>34230</v>
      </c>
      <c r="BJ877">
        <v>49</v>
      </c>
      <c r="BK877">
        <f t="shared" si="119"/>
        <v>442</v>
      </c>
      <c r="BL877">
        <f t="shared" si="120"/>
        <v>34230</v>
      </c>
      <c r="BM877">
        <f t="shared" si="121"/>
        <v>49</v>
      </c>
      <c r="BN877">
        <f t="shared" si="122"/>
        <v>0</v>
      </c>
      <c r="BO877">
        <f t="shared" si="123"/>
        <v>0</v>
      </c>
      <c r="BP877">
        <f t="shared" si="124"/>
        <v>0</v>
      </c>
      <c r="BQ877" t="s">
        <v>259</v>
      </c>
      <c r="BR877" t="s">
        <v>94</v>
      </c>
      <c r="BS877" t="s">
        <v>89</v>
      </c>
      <c r="BT877">
        <v>44</v>
      </c>
      <c r="BU877">
        <v>44083</v>
      </c>
      <c r="BV877" t="s">
        <v>89</v>
      </c>
      <c r="BW877">
        <v>21</v>
      </c>
      <c r="BX877">
        <v>1982</v>
      </c>
      <c r="BY877">
        <v>21</v>
      </c>
      <c r="BZ877">
        <f t="shared" si="125"/>
        <v>-1</v>
      </c>
      <c r="CA877">
        <f t="shared" si="126"/>
        <v>0</v>
      </c>
      <c r="CB877" t="b">
        <f t="shared" si="127"/>
        <v>0</v>
      </c>
    </row>
    <row r="878" spans="1:80" x14ac:dyDescent="0.3">
      <c r="A878" t="s">
        <v>7205</v>
      </c>
      <c r="B878" t="s">
        <v>6322</v>
      </c>
      <c r="C878" t="s">
        <v>7206</v>
      </c>
      <c r="D878">
        <v>39</v>
      </c>
      <c r="E878" s="1">
        <v>31414</v>
      </c>
      <c r="F878" t="s">
        <v>89</v>
      </c>
      <c r="G878" t="s">
        <v>226</v>
      </c>
      <c r="H878" t="s">
        <v>6324</v>
      </c>
      <c r="I878" t="s">
        <v>357</v>
      </c>
      <c r="J878" t="s">
        <v>89</v>
      </c>
      <c r="K878" t="s">
        <v>89</v>
      </c>
      <c r="L878" t="s">
        <v>145</v>
      </c>
      <c r="M878">
        <v>18</v>
      </c>
      <c r="N878" t="s">
        <v>7207</v>
      </c>
      <c r="O878">
        <v>2004</v>
      </c>
      <c r="P878" t="s">
        <v>7208</v>
      </c>
      <c r="Q878" t="s">
        <v>7209</v>
      </c>
      <c r="R878">
        <v>8421</v>
      </c>
      <c r="S878" t="s">
        <v>7205</v>
      </c>
      <c r="T878" s="1">
        <v>31444</v>
      </c>
      <c r="U878">
        <v>1986</v>
      </c>
      <c r="V878" t="s">
        <v>7210</v>
      </c>
      <c r="W878">
        <v>1.85</v>
      </c>
      <c r="X878" t="s">
        <v>6324</v>
      </c>
      <c r="Y878" t="s">
        <v>235</v>
      </c>
      <c r="Z878" t="s">
        <v>152</v>
      </c>
      <c r="AA878" t="s">
        <v>7211</v>
      </c>
      <c r="AB878" t="s">
        <v>7212</v>
      </c>
      <c r="AC878" t="s">
        <v>108</v>
      </c>
      <c r="AD878" t="s">
        <v>89</v>
      </c>
      <c r="AE878" t="s">
        <v>7213</v>
      </c>
      <c r="AF878">
        <v>18</v>
      </c>
      <c r="AG878" t="s">
        <v>4114</v>
      </c>
      <c r="AH878" t="s">
        <v>306</v>
      </c>
      <c r="AI878">
        <v>25</v>
      </c>
      <c r="AJ878" t="s">
        <v>110</v>
      </c>
      <c r="AK878">
        <v>18</v>
      </c>
      <c r="AL878">
        <v>1</v>
      </c>
      <c r="AM878">
        <v>56</v>
      </c>
      <c r="AN878">
        <v>19</v>
      </c>
      <c r="AO878">
        <v>1</v>
      </c>
      <c r="AP878" t="s">
        <v>93</v>
      </c>
      <c r="AQ878" t="s">
        <v>89</v>
      </c>
      <c r="AR878" t="s">
        <v>89</v>
      </c>
      <c r="AS878" t="s">
        <v>93</v>
      </c>
      <c r="AT878" t="s">
        <v>89</v>
      </c>
      <c r="AU878" t="s">
        <v>89</v>
      </c>
      <c r="AV878" t="s">
        <v>89</v>
      </c>
      <c r="AW878">
        <v>21</v>
      </c>
      <c r="AX878" t="s">
        <v>89</v>
      </c>
      <c r="AY878" t="s">
        <v>111</v>
      </c>
      <c r="AZ878">
        <v>1</v>
      </c>
      <c r="BA878">
        <v>4</v>
      </c>
      <c r="BB878">
        <v>360</v>
      </c>
      <c r="BC878">
        <v>0</v>
      </c>
      <c r="BD878">
        <v>446</v>
      </c>
      <c r="BE878">
        <v>38794</v>
      </c>
      <c r="BF878">
        <v>21</v>
      </c>
      <c r="BG878" t="s">
        <v>89</v>
      </c>
      <c r="BH878">
        <v>450</v>
      </c>
      <c r="BI878">
        <v>39154</v>
      </c>
      <c r="BJ878">
        <v>21</v>
      </c>
      <c r="BK878">
        <f t="shared" si="119"/>
        <v>450</v>
      </c>
      <c r="BL878">
        <f t="shared" si="120"/>
        <v>39154</v>
      </c>
      <c r="BM878">
        <f t="shared" si="121"/>
        <v>21</v>
      </c>
      <c r="BN878">
        <f t="shared" si="122"/>
        <v>0</v>
      </c>
      <c r="BO878">
        <f t="shared" si="123"/>
        <v>0</v>
      </c>
      <c r="BP878">
        <f t="shared" si="124"/>
        <v>0</v>
      </c>
      <c r="BQ878" t="s">
        <v>235</v>
      </c>
      <c r="BR878" t="s">
        <v>140</v>
      </c>
      <c r="BS878" s="1">
        <v>31414</v>
      </c>
      <c r="BT878">
        <v>40</v>
      </c>
      <c r="BU878" t="s">
        <v>89</v>
      </c>
      <c r="BV878" t="s">
        <v>89</v>
      </c>
      <c r="BW878">
        <v>22</v>
      </c>
      <c r="BX878">
        <v>1986</v>
      </c>
      <c r="BY878">
        <v>21</v>
      </c>
      <c r="BZ878">
        <f t="shared" si="125"/>
        <v>-1</v>
      </c>
      <c r="CA878">
        <f t="shared" si="126"/>
        <v>1</v>
      </c>
      <c r="CB878" t="b">
        <f t="shared" si="127"/>
        <v>0</v>
      </c>
    </row>
    <row r="879" spans="1:80" x14ac:dyDescent="0.3">
      <c r="A879" t="s">
        <v>7214</v>
      </c>
      <c r="B879" t="s">
        <v>6322</v>
      </c>
      <c r="C879" t="s">
        <v>7215</v>
      </c>
      <c r="D879">
        <v>42</v>
      </c>
      <c r="E879" s="1">
        <v>30473</v>
      </c>
      <c r="F879" t="s">
        <v>89</v>
      </c>
      <c r="G879" t="s">
        <v>535</v>
      </c>
      <c r="H879" t="s">
        <v>6324</v>
      </c>
      <c r="I879" t="s">
        <v>7216</v>
      </c>
      <c r="J879" t="s">
        <v>78</v>
      </c>
      <c r="K879" t="s">
        <v>89</v>
      </c>
      <c r="L879" t="s">
        <v>145</v>
      </c>
      <c r="M879">
        <v>21</v>
      </c>
      <c r="N879" t="s">
        <v>7217</v>
      </c>
      <c r="O879">
        <v>2004</v>
      </c>
      <c r="P879" t="s">
        <v>7218</v>
      </c>
      <c r="Q879" t="s">
        <v>7219</v>
      </c>
      <c r="R879">
        <v>18006</v>
      </c>
      <c r="S879" t="s">
        <v>7214</v>
      </c>
      <c r="T879" t="s">
        <v>7220</v>
      </c>
      <c r="U879">
        <v>1983</v>
      </c>
      <c r="V879" t="s">
        <v>7221</v>
      </c>
      <c r="W879">
        <v>1.71</v>
      </c>
      <c r="X879" t="s">
        <v>6324</v>
      </c>
      <c r="Y879" t="s">
        <v>86</v>
      </c>
      <c r="Z879" t="s">
        <v>392</v>
      </c>
      <c r="AA879" t="s">
        <v>260</v>
      </c>
      <c r="AB879" t="s">
        <v>1820</v>
      </c>
      <c r="AC879" t="s">
        <v>108</v>
      </c>
      <c r="AD879" t="s">
        <v>89</v>
      </c>
      <c r="AE879" t="s">
        <v>2155</v>
      </c>
      <c r="AF879">
        <v>21</v>
      </c>
      <c r="AG879" t="s">
        <v>4114</v>
      </c>
      <c r="AH879" t="s">
        <v>3624</v>
      </c>
      <c r="AI879">
        <v>35</v>
      </c>
      <c r="AJ879" t="s">
        <v>110</v>
      </c>
      <c r="AK879">
        <v>21</v>
      </c>
      <c r="AL879">
        <v>6</v>
      </c>
      <c r="AM879">
        <v>448</v>
      </c>
      <c r="AN879">
        <v>81</v>
      </c>
      <c r="AO879">
        <v>3</v>
      </c>
      <c r="AP879" t="s">
        <v>93</v>
      </c>
      <c r="AQ879" t="s">
        <v>89</v>
      </c>
      <c r="AR879" t="s">
        <v>89</v>
      </c>
      <c r="AS879" t="s">
        <v>111</v>
      </c>
      <c r="AT879" t="s">
        <v>1820</v>
      </c>
      <c r="AU879">
        <v>2019</v>
      </c>
      <c r="AV879">
        <v>15</v>
      </c>
      <c r="AW879">
        <v>15</v>
      </c>
      <c r="AX879" t="s">
        <v>89</v>
      </c>
      <c r="AY879" t="s">
        <v>111</v>
      </c>
      <c r="AZ879">
        <v>10</v>
      </c>
      <c r="BA879">
        <v>39</v>
      </c>
      <c r="BB879">
        <v>2820</v>
      </c>
      <c r="BC879">
        <v>4</v>
      </c>
      <c r="BD879">
        <v>384</v>
      </c>
      <c r="BE879">
        <v>28465</v>
      </c>
      <c r="BF879">
        <v>37</v>
      </c>
      <c r="BG879">
        <v>36</v>
      </c>
      <c r="BH879">
        <v>423</v>
      </c>
      <c r="BI879">
        <v>31285</v>
      </c>
      <c r="BJ879">
        <v>41</v>
      </c>
      <c r="BK879">
        <f t="shared" si="119"/>
        <v>423</v>
      </c>
      <c r="BL879">
        <f t="shared" si="120"/>
        <v>31285</v>
      </c>
      <c r="BM879">
        <f t="shared" si="121"/>
        <v>41</v>
      </c>
      <c r="BN879">
        <f t="shared" si="122"/>
        <v>0</v>
      </c>
      <c r="BO879">
        <f t="shared" si="123"/>
        <v>0</v>
      </c>
      <c r="BP879">
        <f t="shared" si="124"/>
        <v>0</v>
      </c>
      <c r="BQ879" t="s">
        <v>86</v>
      </c>
      <c r="BR879" t="s">
        <v>94</v>
      </c>
      <c r="BS879" t="s">
        <v>89</v>
      </c>
      <c r="BT879">
        <v>43</v>
      </c>
      <c r="BU879" t="s">
        <v>1820</v>
      </c>
      <c r="BV879" s="1">
        <v>43646</v>
      </c>
      <c r="BW879">
        <v>15</v>
      </c>
      <c r="BX879">
        <v>1983</v>
      </c>
      <c r="BY879">
        <v>15</v>
      </c>
      <c r="BZ879">
        <f t="shared" si="125"/>
        <v>0</v>
      </c>
      <c r="CA879">
        <f t="shared" si="126"/>
        <v>0</v>
      </c>
      <c r="CB879" t="b">
        <f t="shared" si="127"/>
        <v>1</v>
      </c>
    </row>
    <row r="880" spans="1:80" x14ac:dyDescent="0.3">
      <c r="A880" t="s">
        <v>7222</v>
      </c>
      <c r="B880" t="s">
        <v>191</v>
      </c>
      <c r="C880" t="s">
        <v>7223</v>
      </c>
      <c r="D880">
        <v>37</v>
      </c>
      <c r="E880" s="1">
        <v>32119</v>
      </c>
      <c r="F880" t="s">
        <v>89</v>
      </c>
      <c r="G880" t="s">
        <v>115</v>
      </c>
      <c r="H880" t="s">
        <v>89</v>
      </c>
      <c r="I880" t="s">
        <v>116</v>
      </c>
      <c r="J880" t="s">
        <v>89</v>
      </c>
      <c r="K880" t="s">
        <v>89</v>
      </c>
      <c r="L880" t="s">
        <v>228</v>
      </c>
      <c r="M880">
        <v>22</v>
      </c>
      <c r="N880" t="s">
        <v>164</v>
      </c>
      <c r="O880">
        <v>2010</v>
      </c>
      <c r="P880" t="s">
        <v>7224</v>
      </c>
      <c r="Q880" t="s">
        <v>7225</v>
      </c>
      <c r="R880">
        <v>147483</v>
      </c>
      <c r="S880" t="s">
        <v>7226</v>
      </c>
      <c r="T880">
        <v>32001</v>
      </c>
      <c r="U880">
        <v>1987</v>
      </c>
      <c r="V880" t="s">
        <v>1130</v>
      </c>
      <c r="W880">
        <v>1.8</v>
      </c>
      <c r="X880" t="s">
        <v>7227</v>
      </c>
      <c r="Y880" t="s">
        <v>494</v>
      </c>
      <c r="Z880" t="s">
        <v>152</v>
      </c>
      <c r="AA880" t="s">
        <v>3307</v>
      </c>
      <c r="AB880" s="1">
        <v>45298</v>
      </c>
      <c r="AC880" t="s">
        <v>108</v>
      </c>
      <c r="AD880" t="s">
        <v>223</v>
      </c>
      <c r="AE880">
        <v>2010</v>
      </c>
      <c r="AF880">
        <v>22</v>
      </c>
      <c r="AG880" t="s">
        <v>91</v>
      </c>
      <c r="AH880">
        <v>2013</v>
      </c>
      <c r="AI880">
        <v>25</v>
      </c>
      <c r="AJ880">
        <v>0</v>
      </c>
      <c r="AK880">
        <v>22</v>
      </c>
      <c r="AL880">
        <v>6</v>
      </c>
      <c r="AM880">
        <v>132</v>
      </c>
      <c r="AN880">
        <v>15</v>
      </c>
      <c r="AO880">
        <v>6</v>
      </c>
      <c r="AP880" t="s">
        <v>93</v>
      </c>
      <c r="AQ880" t="s">
        <v>89</v>
      </c>
      <c r="AR880" t="s">
        <v>89</v>
      </c>
      <c r="AS880" t="s">
        <v>111</v>
      </c>
      <c r="AT880">
        <v>45298</v>
      </c>
      <c r="AU880">
        <v>2024</v>
      </c>
      <c r="AV880">
        <v>14</v>
      </c>
      <c r="AW880">
        <v>14</v>
      </c>
      <c r="AX880" t="s">
        <v>89</v>
      </c>
      <c r="AY880" t="s">
        <v>93</v>
      </c>
      <c r="AZ880">
        <v>0</v>
      </c>
      <c r="BA880">
        <v>0</v>
      </c>
      <c r="BB880">
        <v>0</v>
      </c>
      <c r="BC880">
        <v>0</v>
      </c>
      <c r="BD880">
        <v>272</v>
      </c>
      <c r="BE880">
        <v>16868</v>
      </c>
      <c r="BF880">
        <v>19</v>
      </c>
      <c r="BG880">
        <v>37</v>
      </c>
      <c r="BH880">
        <v>272</v>
      </c>
      <c r="BI880">
        <v>16868</v>
      </c>
      <c r="BJ880">
        <v>19</v>
      </c>
      <c r="BK880">
        <f t="shared" si="119"/>
        <v>272</v>
      </c>
      <c r="BL880">
        <f t="shared" si="120"/>
        <v>16868</v>
      </c>
      <c r="BM880">
        <f t="shared" si="121"/>
        <v>19</v>
      </c>
      <c r="BN880">
        <f t="shared" si="122"/>
        <v>0</v>
      </c>
      <c r="BO880">
        <f t="shared" si="123"/>
        <v>0</v>
      </c>
      <c r="BP880">
        <f t="shared" si="124"/>
        <v>0</v>
      </c>
      <c r="BQ880" t="s">
        <v>494</v>
      </c>
      <c r="BR880" t="s">
        <v>112</v>
      </c>
      <c r="BS880" t="s">
        <v>89</v>
      </c>
      <c r="BT880">
        <v>39</v>
      </c>
      <c r="BU880">
        <v>45298</v>
      </c>
      <c r="BV880" t="s">
        <v>89</v>
      </c>
      <c r="BW880">
        <v>15</v>
      </c>
      <c r="BX880">
        <v>1987</v>
      </c>
      <c r="BY880">
        <v>15</v>
      </c>
      <c r="BZ880">
        <f t="shared" si="125"/>
        <v>-1</v>
      </c>
      <c r="CA880">
        <f t="shared" si="126"/>
        <v>0</v>
      </c>
      <c r="CB880" t="b">
        <f t="shared" si="127"/>
        <v>0</v>
      </c>
    </row>
    <row r="881" spans="1:80" x14ac:dyDescent="0.3">
      <c r="A881" t="s">
        <v>7228</v>
      </c>
      <c r="B881" t="s">
        <v>776</v>
      </c>
      <c r="C881" t="s">
        <v>7229</v>
      </c>
      <c r="D881">
        <v>35</v>
      </c>
      <c r="E881" s="1">
        <v>32919</v>
      </c>
      <c r="F881" t="s">
        <v>89</v>
      </c>
      <c r="G881" t="s">
        <v>400</v>
      </c>
      <c r="H881" t="s">
        <v>89</v>
      </c>
      <c r="I881" t="s">
        <v>348</v>
      </c>
      <c r="J881" t="s">
        <v>78</v>
      </c>
      <c r="K881" t="s">
        <v>89</v>
      </c>
      <c r="L881" t="s">
        <v>130</v>
      </c>
      <c r="M881">
        <v>18</v>
      </c>
      <c r="N881" t="s">
        <v>527</v>
      </c>
      <c r="O881">
        <v>2008</v>
      </c>
      <c r="P881" t="s">
        <v>7230</v>
      </c>
      <c r="Q881" t="s">
        <v>7231</v>
      </c>
      <c r="R881">
        <v>77262</v>
      </c>
      <c r="S881" t="s">
        <v>7232</v>
      </c>
      <c r="T881" t="s">
        <v>7233</v>
      </c>
      <c r="U881">
        <v>1990</v>
      </c>
      <c r="V881" t="s">
        <v>2938</v>
      </c>
      <c r="W881">
        <v>1.77</v>
      </c>
      <c r="X881" t="s">
        <v>783</v>
      </c>
      <c r="Y881" t="s">
        <v>136</v>
      </c>
      <c r="Z881" t="s">
        <v>87</v>
      </c>
      <c r="AA881" t="s">
        <v>476</v>
      </c>
      <c r="AB881" s="1">
        <v>45658</v>
      </c>
      <c r="AC881" t="s">
        <v>108</v>
      </c>
      <c r="AD881" t="s">
        <v>89</v>
      </c>
      <c r="AE881" t="s">
        <v>7234</v>
      </c>
      <c r="AF881">
        <v>18</v>
      </c>
      <c r="AG881" t="s">
        <v>91</v>
      </c>
      <c r="AH881" t="s">
        <v>306</v>
      </c>
      <c r="AI881">
        <v>21</v>
      </c>
      <c r="AJ881" t="s">
        <v>110</v>
      </c>
      <c r="AK881">
        <v>18</v>
      </c>
      <c r="AL881">
        <v>9</v>
      </c>
      <c r="AM881">
        <v>275</v>
      </c>
      <c r="AN881">
        <v>35</v>
      </c>
      <c r="AO881">
        <v>5</v>
      </c>
      <c r="AP881" t="s">
        <v>93</v>
      </c>
      <c r="AQ881" t="s">
        <v>89</v>
      </c>
      <c r="AR881" t="s">
        <v>89</v>
      </c>
      <c r="AS881" t="s">
        <v>93</v>
      </c>
      <c r="AT881" t="s">
        <v>89</v>
      </c>
      <c r="AU881" t="s">
        <v>89</v>
      </c>
      <c r="AV881" t="s">
        <v>89</v>
      </c>
      <c r="AW881">
        <v>17</v>
      </c>
      <c r="AX881" t="s">
        <v>89</v>
      </c>
      <c r="AY881" t="s">
        <v>93</v>
      </c>
      <c r="AZ881">
        <v>0</v>
      </c>
      <c r="BA881">
        <v>0</v>
      </c>
      <c r="BB881">
        <v>0</v>
      </c>
      <c r="BC881">
        <v>0</v>
      </c>
      <c r="BD881">
        <v>269</v>
      </c>
      <c r="BE881">
        <v>21120</v>
      </c>
      <c r="BF881">
        <v>5</v>
      </c>
      <c r="BG881" t="s">
        <v>89</v>
      </c>
      <c r="BH881">
        <v>269</v>
      </c>
      <c r="BI881">
        <v>21120</v>
      </c>
      <c r="BJ881">
        <v>5</v>
      </c>
      <c r="BK881">
        <f t="shared" si="119"/>
        <v>269</v>
      </c>
      <c r="BL881">
        <f t="shared" si="120"/>
        <v>21120</v>
      </c>
      <c r="BM881">
        <f t="shared" si="121"/>
        <v>5</v>
      </c>
      <c r="BN881">
        <f t="shared" si="122"/>
        <v>0</v>
      </c>
      <c r="BO881">
        <f t="shared" si="123"/>
        <v>0</v>
      </c>
      <c r="BP881">
        <f t="shared" si="124"/>
        <v>0</v>
      </c>
      <c r="BQ881" t="s">
        <v>136</v>
      </c>
      <c r="BR881" t="s">
        <v>140</v>
      </c>
      <c r="BS881" t="s">
        <v>89</v>
      </c>
      <c r="BT881">
        <v>36</v>
      </c>
      <c r="BU881" t="s">
        <v>89</v>
      </c>
      <c r="BV881" t="s">
        <v>89</v>
      </c>
      <c r="BW881">
        <v>18</v>
      </c>
      <c r="BX881">
        <v>1990</v>
      </c>
      <c r="BY881">
        <v>17</v>
      </c>
      <c r="BZ881">
        <f t="shared" si="125"/>
        <v>-1</v>
      </c>
      <c r="CA881">
        <f t="shared" si="126"/>
        <v>1</v>
      </c>
      <c r="CB881" t="b">
        <f t="shared" si="127"/>
        <v>0</v>
      </c>
    </row>
    <row r="882" spans="1:80" x14ac:dyDescent="0.3">
      <c r="A882" t="s">
        <v>7235</v>
      </c>
      <c r="B882" t="s">
        <v>71</v>
      </c>
      <c r="C882" t="s">
        <v>7236</v>
      </c>
      <c r="D882">
        <v>39</v>
      </c>
      <c r="E882">
        <v>31492</v>
      </c>
      <c r="F882" t="s">
        <v>89</v>
      </c>
      <c r="G882" t="s">
        <v>226</v>
      </c>
      <c r="H882" t="s">
        <v>76</v>
      </c>
      <c r="I882" t="s">
        <v>161</v>
      </c>
      <c r="J882" t="s">
        <v>300</v>
      </c>
      <c r="K882" t="s">
        <v>89</v>
      </c>
      <c r="L882" t="s">
        <v>180</v>
      </c>
      <c r="M882">
        <v>21</v>
      </c>
      <c r="N882" t="s">
        <v>289</v>
      </c>
      <c r="O882">
        <v>2007</v>
      </c>
      <c r="P882" t="s">
        <v>7237</v>
      </c>
      <c r="Q882" t="s">
        <v>7238</v>
      </c>
      <c r="R882">
        <v>70789</v>
      </c>
      <c r="S882" t="s">
        <v>7235</v>
      </c>
      <c r="T882" t="s">
        <v>7239</v>
      </c>
      <c r="U882">
        <v>1986</v>
      </c>
      <c r="V882" t="s">
        <v>716</v>
      </c>
      <c r="W882">
        <v>1.85</v>
      </c>
      <c r="X882" t="s">
        <v>76</v>
      </c>
      <c r="Y882" t="s">
        <v>369</v>
      </c>
      <c r="Z882" t="s">
        <v>152</v>
      </c>
      <c r="AA882" t="s">
        <v>2758</v>
      </c>
      <c r="AB882" s="1">
        <v>42742</v>
      </c>
      <c r="AC882" t="s">
        <v>108</v>
      </c>
      <c r="AD882" t="s">
        <v>442</v>
      </c>
      <c r="AE882" t="s">
        <v>654</v>
      </c>
      <c r="AF882">
        <v>25</v>
      </c>
      <c r="AG882" t="s">
        <v>91</v>
      </c>
      <c r="AH882" t="s">
        <v>4990</v>
      </c>
      <c r="AI882">
        <v>21</v>
      </c>
      <c r="AJ882" t="s">
        <v>110</v>
      </c>
      <c r="AK882">
        <v>21</v>
      </c>
      <c r="AL882">
        <v>5</v>
      </c>
      <c r="AM882">
        <v>359</v>
      </c>
      <c r="AN882">
        <v>66</v>
      </c>
      <c r="AO882">
        <v>3</v>
      </c>
      <c r="AP882" t="s">
        <v>93</v>
      </c>
      <c r="AQ882" t="s">
        <v>89</v>
      </c>
      <c r="AR882" t="s">
        <v>89</v>
      </c>
      <c r="AS882" t="s">
        <v>111</v>
      </c>
      <c r="AT882">
        <v>42742</v>
      </c>
      <c r="AU882">
        <v>2017</v>
      </c>
      <c r="AV882">
        <v>10</v>
      </c>
      <c r="AW882">
        <v>10</v>
      </c>
      <c r="AX882" t="s">
        <v>89</v>
      </c>
      <c r="AY882" t="s">
        <v>111</v>
      </c>
      <c r="AZ882">
        <v>1</v>
      </c>
      <c r="BA882">
        <v>1</v>
      </c>
      <c r="BB882">
        <v>56</v>
      </c>
      <c r="BC882">
        <v>0</v>
      </c>
      <c r="BD882">
        <v>226</v>
      </c>
      <c r="BE882">
        <v>15517</v>
      </c>
      <c r="BF882">
        <v>54</v>
      </c>
      <c r="BG882">
        <v>31</v>
      </c>
      <c r="BH882">
        <v>227</v>
      </c>
      <c r="BI882">
        <v>15573</v>
      </c>
      <c r="BJ882">
        <v>54</v>
      </c>
      <c r="BK882">
        <f t="shared" si="119"/>
        <v>227</v>
      </c>
      <c r="BL882">
        <f t="shared" si="120"/>
        <v>15573</v>
      </c>
      <c r="BM882">
        <f t="shared" si="121"/>
        <v>54</v>
      </c>
      <c r="BN882">
        <f t="shared" si="122"/>
        <v>0</v>
      </c>
      <c r="BO882">
        <f t="shared" si="123"/>
        <v>0</v>
      </c>
      <c r="BP882">
        <f t="shared" si="124"/>
        <v>0</v>
      </c>
      <c r="BQ882" t="s">
        <v>369</v>
      </c>
      <c r="BR882" t="s">
        <v>112</v>
      </c>
      <c r="BS882" s="1">
        <v>31492</v>
      </c>
      <c r="BT882">
        <v>39</v>
      </c>
      <c r="BU882">
        <v>42742</v>
      </c>
      <c r="BV882" t="s">
        <v>89</v>
      </c>
      <c r="BW882">
        <v>10</v>
      </c>
      <c r="BX882">
        <v>1986</v>
      </c>
      <c r="BY882">
        <v>10</v>
      </c>
      <c r="BZ882">
        <f t="shared" si="125"/>
        <v>0</v>
      </c>
      <c r="CA882">
        <f t="shared" si="126"/>
        <v>0</v>
      </c>
      <c r="CB882" t="b">
        <f t="shared" si="127"/>
        <v>1</v>
      </c>
    </row>
    <row r="883" spans="1:80" x14ac:dyDescent="0.3">
      <c r="A883" t="s">
        <v>7240</v>
      </c>
      <c r="B883" t="s">
        <v>71</v>
      </c>
      <c r="C883" t="s">
        <v>7241</v>
      </c>
      <c r="D883">
        <v>41</v>
      </c>
      <c r="E883" s="1">
        <v>30774</v>
      </c>
      <c r="F883" t="s">
        <v>89</v>
      </c>
      <c r="G883" t="s">
        <v>193</v>
      </c>
      <c r="H883" t="s">
        <v>76</v>
      </c>
      <c r="I883" t="s">
        <v>178</v>
      </c>
      <c r="J883" t="s">
        <v>78</v>
      </c>
      <c r="K883" t="s">
        <v>89</v>
      </c>
      <c r="L883" t="s">
        <v>145</v>
      </c>
      <c r="M883">
        <v>20</v>
      </c>
      <c r="N883" t="s">
        <v>164</v>
      </c>
      <c r="O883">
        <v>2004</v>
      </c>
      <c r="P883" t="s">
        <v>7242</v>
      </c>
      <c r="Q883" t="s">
        <v>7243</v>
      </c>
      <c r="R883">
        <v>26065</v>
      </c>
      <c r="S883" t="s">
        <v>7240</v>
      </c>
      <c r="T883">
        <v>30716</v>
      </c>
      <c r="U883">
        <v>1984</v>
      </c>
      <c r="V883" t="s">
        <v>6464</v>
      </c>
      <c r="W883">
        <v>1.89</v>
      </c>
      <c r="X883" t="s">
        <v>76</v>
      </c>
      <c r="Y883" t="s">
        <v>186</v>
      </c>
      <c r="Z883" t="s">
        <v>87</v>
      </c>
      <c r="AA883" t="s">
        <v>1365</v>
      </c>
      <c r="AB883" s="1">
        <v>44203</v>
      </c>
      <c r="AC883" t="s">
        <v>108</v>
      </c>
      <c r="AD883" t="s">
        <v>89</v>
      </c>
      <c r="AE883" t="s">
        <v>505</v>
      </c>
      <c r="AF883">
        <v>20</v>
      </c>
      <c r="AG883" t="s">
        <v>91</v>
      </c>
      <c r="AH883" t="s">
        <v>92</v>
      </c>
      <c r="AI883" t="s">
        <v>89</v>
      </c>
      <c r="AJ883" t="s">
        <v>92</v>
      </c>
      <c r="AK883">
        <v>20</v>
      </c>
      <c r="AL883">
        <v>12</v>
      </c>
      <c r="AM883">
        <v>511</v>
      </c>
      <c r="AN883">
        <v>102</v>
      </c>
      <c r="AO883">
        <v>9</v>
      </c>
      <c r="AP883" t="s">
        <v>93</v>
      </c>
      <c r="AQ883" t="s">
        <v>89</v>
      </c>
      <c r="AR883" t="s">
        <v>89</v>
      </c>
      <c r="AS883" t="s">
        <v>111</v>
      </c>
      <c r="AT883" s="1">
        <v>44203</v>
      </c>
      <c r="AU883">
        <v>2021</v>
      </c>
      <c r="AV883">
        <v>17</v>
      </c>
      <c r="AW883">
        <v>17</v>
      </c>
      <c r="AX883" t="s">
        <v>89</v>
      </c>
      <c r="AY883" t="s">
        <v>93</v>
      </c>
      <c r="AZ883">
        <v>0</v>
      </c>
      <c r="BA883">
        <v>0</v>
      </c>
      <c r="BB883">
        <v>0</v>
      </c>
      <c r="BC883">
        <v>0</v>
      </c>
      <c r="BD883">
        <v>311</v>
      </c>
      <c r="BE883">
        <v>27482</v>
      </c>
      <c r="BF883">
        <v>0</v>
      </c>
      <c r="BG883">
        <v>37</v>
      </c>
      <c r="BH883">
        <v>311</v>
      </c>
      <c r="BI883">
        <v>27482</v>
      </c>
      <c r="BJ883">
        <v>0</v>
      </c>
      <c r="BK883">
        <f t="shared" si="119"/>
        <v>311</v>
      </c>
      <c r="BL883">
        <f t="shared" si="120"/>
        <v>27482</v>
      </c>
      <c r="BM883">
        <f t="shared" si="121"/>
        <v>0</v>
      </c>
      <c r="BN883">
        <f t="shared" si="122"/>
        <v>0</v>
      </c>
      <c r="BO883">
        <f t="shared" si="123"/>
        <v>0</v>
      </c>
      <c r="BP883">
        <f t="shared" si="124"/>
        <v>0</v>
      </c>
      <c r="BQ883" t="s">
        <v>186</v>
      </c>
      <c r="BR883" t="s">
        <v>186</v>
      </c>
      <c r="BS883" t="s">
        <v>89</v>
      </c>
      <c r="BT883">
        <v>42</v>
      </c>
      <c r="BU883" s="1">
        <v>44203</v>
      </c>
      <c r="BV883" s="1">
        <v>44378</v>
      </c>
      <c r="BW883">
        <v>17</v>
      </c>
      <c r="BX883">
        <v>1984</v>
      </c>
      <c r="BY883">
        <v>17</v>
      </c>
      <c r="BZ883">
        <f t="shared" si="125"/>
        <v>0</v>
      </c>
      <c r="CA883">
        <f t="shared" si="126"/>
        <v>0</v>
      </c>
      <c r="CB883" t="b">
        <f t="shared" si="127"/>
        <v>1</v>
      </c>
    </row>
    <row r="884" spans="1:80" x14ac:dyDescent="0.3">
      <c r="A884" t="s">
        <v>7244</v>
      </c>
      <c r="B884" t="s">
        <v>71</v>
      </c>
      <c r="C884" t="s">
        <v>7245</v>
      </c>
      <c r="D884">
        <v>39</v>
      </c>
      <c r="E884" s="1">
        <v>31424</v>
      </c>
      <c r="F884" t="s">
        <v>89</v>
      </c>
      <c r="G884" t="s">
        <v>176</v>
      </c>
      <c r="H884" t="s">
        <v>89</v>
      </c>
      <c r="I884" t="s">
        <v>3616</v>
      </c>
      <c r="J884" t="s">
        <v>89</v>
      </c>
      <c r="K884" t="s">
        <v>89</v>
      </c>
      <c r="L884" t="s">
        <v>163</v>
      </c>
      <c r="M884">
        <v>20</v>
      </c>
      <c r="N884" t="s">
        <v>118</v>
      </c>
      <c r="O884">
        <v>2006</v>
      </c>
      <c r="P884" t="s">
        <v>7246</v>
      </c>
      <c r="Q884" t="s">
        <v>7247</v>
      </c>
      <c r="R884">
        <v>45615</v>
      </c>
      <c r="S884" t="s">
        <v>7244</v>
      </c>
      <c r="T884">
        <v>31747</v>
      </c>
      <c r="U884">
        <v>1986</v>
      </c>
      <c r="V884" t="s">
        <v>7248</v>
      </c>
      <c r="W884">
        <v>1.85</v>
      </c>
      <c r="X884" t="s">
        <v>76</v>
      </c>
      <c r="Y884" t="s">
        <v>391</v>
      </c>
      <c r="Z884" t="s">
        <v>87</v>
      </c>
      <c r="AA884" t="s">
        <v>7249</v>
      </c>
      <c r="AB884" s="1">
        <v>43472</v>
      </c>
      <c r="AC884" t="s">
        <v>108</v>
      </c>
      <c r="AD884" t="s">
        <v>89</v>
      </c>
      <c r="AE884" t="s">
        <v>7250</v>
      </c>
      <c r="AF884">
        <v>21</v>
      </c>
      <c r="AG884" t="s">
        <v>91</v>
      </c>
      <c r="AH884">
        <v>38788</v>
      </c>
      <c r="AI884">
        <v>20</v>
      </c>
      <c r="AJ884" t="s">
        <v>110</v>
      </c>
      <c r="AK884">
        <v>20</v>
      </c>
      <c r="AL884">
        <v>6</v>
      </c>
      <c r="AM884">
        <v>202</v>
      </c>
      <c r="AN884">
        <v>34</v>
      </c>
      <c r="AO884">
        <v>6</v>
      </c>
      <c r="AP884" t="s">
        <v>93</v>
      </c>
      <c r="AQ884" t="s">
        <v>89</v>
      </c>
      <c r="AR884" t="s">
        <v>89</v>
      </c>
      <c r="AS884" t="s">
        <v>111</v>
      </c>
      <c r="AT884" s="1">
        <v>43472</v>
      </c>
      <c r="AU884">
        <v>2019</v>
      </c>
      <c r="AV884">
        <v>13</v>
      </c>
      <c r="AW884">
        <v>13</v>
      </c>
      <c r="AX884" t="s">
        <v>89</v>
      </c>
      <c r="AY884" t="s">
        <v>93</v>
      </c>
      <c r="AZ884">
        <v>0</v>
      </c>
      <c r="BA884">
        <v>0</v>
      </c>
      <c r="BB884">
        <v>0</v>
      </c>
      <c r="BC884">
        <v>0</v>
      </c>
      <c r="BD884">
        <v>107</v>
      </c>
      <c r="BE884">
        <v>4177</v>
      </c>
      <c r="BF884">
        <v>8</v>
      </c>
      <c r="BG884">
        <v>33</v>
      </c>
      <c r="BH884">
        <v>107</v>
      </c>
      <c r="BI884">
        <v>4177</v>
      </c>
      <c r="BJ884">
        <v>8</v>
      </c>
      <c r="BK884">
        <f t="shared" si="119"/>
        <v>107</v>
      </c>
      <c r="BL884">
        <f t="shared" si="120"/>
        <v>4177</v>
      </c>
      <c r="BM884">
        <f t="shared" si="121"/>
        <v>8</v>
      </c>
      <c r="BN884">
        <f t="shared" si="122"/>
        <v>0</v>
      </c>
      <c r="BO884">
        <f t="shared" si="123"/>
        <v>0</v>
      </c>
      <c r="BP884">
        <f t="shared" si="124"/>
        <v>0</v>
      </c>
      <c r="BQ884" t="s">
        <v>391</v>
      </c>
      <c r="BR884" t="s">
        <v>112</v>
      </c>
      <c r="BS884" t="s">
        <v>89</v>
      </c>
      <c r="BT884">
        <v>40</v>
      </c>
      <c r="BU884" s="1">
        <v>43472</v>
      </c>
      <c r="BV884" s="1">
        <v>43647</v>
      </c>
      <c r="BW884">
        <v>13</v>
      </c>
      <c r="BX884">
        <v>1986</v>
      </c>
      <c r="BY884">
        <v>13</v>
      </c>
      <c r="BZ884">
        <f t="shared" si="125"/>
        <v>0</v>
      </c>
      <c r="CA884">
        <f t="shared" si="126"/>
        <v>0</v>
      </c>
      <c r="CB884" t="b">
        <f t="shared" si="127"/>
        <v>1</v>
      </c>
    </row>
    <row r="885" spans="1:80" x14ac:dyDescent="0.3">
      <c r="A885" t="s">
        <v>7251</v>
      </c>
      <c r="B885" t="s">
        <v>71</v>
      </c>
      <c r="C885" t="s">
        <v>7252</v>
      </c>
      <c r="D885">
        <v>39</v>
      </c>
      <c r="E885" s="1">
        <v>31582</v>
      </c>
      <c r="F885" t="s">
        <v>89</v>
      </c>
      <c r="G885" t="s">
        <v>143</v>
      </c>
      <c r="H885" t="s">
        <v>76</v>
      </c>
      <c r="I885" t="s">
        <v>791</v>
      </c>
      <c r="J885" t="s">
        <v>78</v>
      </c>
      <c r="K885" t="s">
        <v>89</v>
      </c>
      <c r="L885" t="s">
        <v>117</v>
      </c>
      <c r="M885">
        <v>19</v>
      </c>
      <c r="N885" t="s">
        <v>3221</v>
      </c>
      <c r="O885">
        <v>2005</v>
      </c>
      <c r="P885" t="s">
        <v>7253</v>
      </c>
      <c r="Q885" t="s">
        <v>7254</v>
      </c>
      <c r="R885">
        <v>54774</v>
      </c>
      <c r="S885" t="s">
        <v>7251</v>
      </c>
      <c r="T885" t="s">
        <v>7255</v>
      </c>
      <c r="U885">
        <v>1986</v>
      </c>
      <c r="V885" t="s">
        <v>2389</v>
      </c>
      <c r="W885">
        <v>1.75</v>
      </c>
      <c r="X885" t="s">
        <v>76</v>
      </c>
      <c r="Y885" t="s">
        <v>494</v>
      </c>
      <c r="Z885" t="s">
        <v>87</v>
      </c>
      <c r="AA885" t="s">
        <v>2282</v>
      </c>
      <c r="AB885">
        <v>45718</v>
      </c>
      <c r="AC885" t="s">
        <v>108</v>
      </c>
      <c r="AD885" t="s">
        <v>89</v>
      </c>
      <c r="AE885">
        <v>39509</v>
      </c>
      <c r="AF885">
        <v>21</v>
      </c>
      <c r="AG885" t="s">
        <v>91</v>
      </c>
      <c r="AH885" s="1">
        <v>38451</v>
      </c>
      <c r="AI885">
        <v>19</v>
      </c>
      <c r="AJ885" t="s">
        <v>110</v>
      </c>
      <c r="AK885">
        <v>19</v>
      </c>
      <c r="AL885">
        <v>6</v>
      </c>
      <c r="AM885">
        <v>220</v>
      </c>
      <c r="AN885">
        <v>41</v>
      </c>
      <c r="AO885">
        <v>4</v>
      </c>
      <c r="AP885" t="s">
        <v>93</v>
      </c>
      <c r="AQ885" t="s">
        <v>89</v>
      </c>
      <c r="AR885" t="s">
        <v>89</v>
      </c>
      <c r="AS885" t="s">
        <v>111</v>
      </c>
      <c r="AT885">
        <v>45718</v>
      </c>
      <c r="AU885">
        <v>2025</v>
      </c>
      <c r="AV885">
        <v>20</v>
      </c>
      <c r="AW885">
        <v>20</v>
      </c>
      <c r="AX885" t="s">
        <v>89</v>
      </c>
      <c r="AY885" t="s">
        <v>93</v>
      </c>
      <c r="AZ885">
        <v>0</v>
      </c>
      <c r="BA885">
        <v>0</v>
      </c>
      <c r="BB885">
        <v>0</v>
      </c>
      <c r="BC885">
        <v>0</v>
      </c>
      <c r="BD885">
        <v>356</v>
      </c>
      <c r="BE885">
        <v>21851</v>
      </c>
      <c r="BF885">
        <v>37</v>
      </c>
      <c r="BG885">
        <v>39</v>
      </c>
      <c r="BH885">
        <v>356</v>
      </c>
      <c r="BI885">
        <v>21851</v>
      </c>
      <c r="BJ885">
        <v>37</v>
      </c>
      <c r="BK885">
        <f t="shared" si="119"/>
        <v>356</v>
      </c>
      <c r="BL885">
        <f t="shared" si="120"/>
        <v>21851</v>
      </c>
      <c r="BM885">
        <f t="shared" si="121"/>
        <v>37</v>
      </c>
      <c r="BN885">
        <f t="shared" si="122"/>
        <v>0</v>
      </c>
      <c r="BO885">
        <f t="shared" si="123"/>
        <v>0</v>
      </c>
      <c r="BP885">
        <f t="shared" si="124"/>
        <v>0</v>
      </c>
      <c r="BQ885" t="s">
        <v>494</v>
      </c>
      <c r="BR885" t="s">
        <v>112</v>
      </c>
      <c r="BS885" s="1">
        <v>31582</v>
      </c>
      <c r="BT885">
        <v>39</v>
      </c>
      <c r="BU885">
        <v>45718</v>
      </c>
      <c r="BV885" t="s">
        <v>89</v>
      </c>
      <c r="BW885">
        <v>20</v>
      </c>
      <c r="BX885">
        <v>1986</v>
      </c>
      <c r="BY885">
        <v>20</v>
      </c>
      <c r="BZ885">
        <f t="shared" si="125"/>
        <v>0</v>
      </c>
      <c r="CA885">
        <f t="shared" si="126"/>
        <v>0</v>
      </c>
      <c r="CB885" t="b">
        <f t="shared" si="127"/>
        <v>1</v>
      </c>
    </row>
    <row r="886" spans="1:80" x14ac:dyDescent="0.3">
      <c r="A886" t="s">
        <v>7256</v>
      </c>
      <c r="B886" t="s">
        <v>71</v>
      </c>
      <c r="C886" t="s">
        <v>7257</v>
      </c>
      <c r="D886">
        <v>40</v>
      </c>
      <c r="E886" s="1">
        <v>30913</v>
      </c>
      <c r="F886" t="s">
        <v>89</v>
      </c>
      <c r="G886" t="s">
        <v>160</v>
      </c>
      <c r="H886" t="s">
        <v>76</v>
      </c>
      <c r="I886" t="s">
        <v>227</v>
      </c>
      <c r="J886" t="s">
        <v>300</v>
      </c>
      <c r="K886" t="s">
        <v>89</v>
      </c>
      <c r="L886" t="s">
        <v>145</v>
      </c>
      <c r="M886">
        <v>19</v>
      </c>
      <c r="N886" t="s">
        <v>820</v>
      </c>
      <c r="O886">
        <v>2004</v>
      </c>
      <c r="P886" t="s">
        <v>7258</v>
      </c>
      <c r="Q886" t="s">
        <v>7259</v>
      </c>
      <c r="R886">
        <v>35600</v>
      </c>
      <c r="S886" t="s">
        <v>7256</v>
      </c>
      <c r="T886" t="s">
        <v>7260</v>
      </c>
      <c r="U886">
        <v>1984</v>
      </c>
      <c r="V886" t="s">
        <v>1185</v>
      </c>
      <c r="W886">
        <v>1.77</v>
      </c>
      <c r="X886" t="s">
        <v>76</v>
      </c>
      <c r="Y886" t="s">
        <v>235</v>
      </c>
      <c r="Z886" t="s">
        <v>87</v>
      </c>
      <c r="AA886" t="s">
        <v>3118</v>
      </c>
      <c r="AB886" s="1">
        <v>43472</v>
      </c>
      <c r="AC886" t="s">
        <v>108</v>
      </c>
      <c r="AD886" t="s">
        <v>89</v>
      </c>
      <c r="AE886" t="s">
        <v>7261</v>
      </c>
      <c r="AF886">
        <v>20</v>
      </c>
      <c r="AG886" t="s">
        <v>91</v>
      </c>
      <c r="AH886" t="s">
        <v>561</v>
      </c>
      <c r="AI886">
        <v>30</v>
      </c>
      <c r="AJ886" t="s">
        <v>110</v>
      </c>
      <c r="AK886">
        <v>20</v>
      </c>
      <c r="AL886">
        <v>3</v>
      </c>
      <c r="AM886">
        <v>268</v>
      </c>
      <c r="AN886">
        <v>35</v>
      </c>
      <c r="AO886">
        <v>2</v>
      </c>
      <c r="AP886" t="s">
        <v>93</v>
      </c>
      <c r="AQ886" t="s">
        <v>89</v>
      </c>
      <c r="AR886" t="s">
        <v>89</v>
      </c>
      <c r="AS886" t="s">
        <v>111</v>
      </c>
      <c r="AT886" s="1">
        <v>43472</v>
      </c>
      <c r="AU886">
        <v>2019</v>
      </c>
      <c r="AV886">
        <v>15</v>
      </c>
      <c r="AW886">
        <v>15</v>
      </c>
      <c r="AX886" t="s">
        <v>89</v>
      </c>
      <c r="AY886" t="s">
        <v>93</v>
      </c>
      <c r="AZ886">
        <v>0</v>
      </c>
      <c r="BA886">
        <v>0</v>
      </c>
      <c r="BB886">
        <v>0</v>
      </c>
      <c r="BC886">
        <v>0</v>
      </c>
      <c r="BD886">
        <v>323</v>
      </c>
      <c r="BE886">
        <v>27485</v>
      </c>
      <c r="BF886">
        <v>12</v>
      </c>
      <c r="BG886">
        <v>35</v>
      </c>
      <c r="BH886">
        <v>323</v>
      </c>
      <c r="BI886">
        <v>27485</v>
      </c>
      <c r="BJ886">
        <v>12</v>
      </c>
      <c r="BK886">
        <f t="shared" si="119"/>
        <v>323</v>
      </c>
      <c r="BL886">
        <f t="shared" si="120"/>
        <v>27485</v>
      </c>
      <c r="BM886">
        <f t="shared" si="121"/>
        <v>12</v>
      </c>
      <c r="BN886">
        <f t="shared" si="122"/>
        <v>0</v>
      </c>
      <c r="BO886">
        <f t="shared" si="123"/>
        <v>0</v>
      </c>
      <c r="BP886">
        <f t="shared" si="124"/>
        <v>0</v>
      </c>
      <c r="BQ886" t="s">
        <v>235</v>
      </c>
      <c r="BR886" t="s">
        <v>140</v>
      </c>
      <c r="BS886" s="1">
        <v>30913</v>
      </c>
      <c r="BT886">
        <v>41</v>
      </c>
      <c r="BU886" s="1">
        <v>43472</v>
      </c>
      <c r="BV886" s="1">
        <v>43647</v>
      </c>
      <c r="BW886">
        <v>15</v>
      </c>
      <c r="BX886">
        <v>1984</v>
      </c>
      <c r="BY886">
        <v>15</v>
      </c>
      <c r="BZ886">
        <f t="shared" si="125"/>
        <v>0</v>
      </c>
      <c r="CA886">
        <f t="shared" si="126"/>
        <v>0</v>
      </c>
      <c r="CB886" t="b">
        <f t="shared" si="127"/>
        <v>1</v>
      </c>
    </row>
    <row r="887" spans="1:80" x14ac:dyDescent="0.3">
      <c r="A887" t="s">
        <v>7262</v>
      </c>
      <c r="B887" t="s">
        <v>1231</v>
      </c>
      <c r="C887" t="s">
        <v>7263</v>
      </c>
      <c r="D887">
        <v>45</v>
      </c>
      <c r="E887" s="1">
        <v>29224</v>
      </c>
      <c r="F887" t="s">
        <v>89</v>
      </c>
      <c r="G887" t="s">
        <v>115</v>
      </c>
      <c r="H887" t="s">
        <v>1234</v>
      </c>
      <c r="I887" t="s">
        <v>348</v>
      </c>
      <c r="J887" t="s">
        <v>89</v>
      </c>
      <c r="K887" t="s">
        <v>89</v>
      </c>
      <c r="L887" t="s">
        <v>196</v>
      </c>
      <c r="M887">
        <v>20</v>
      </c>
      <c r="N887" t="s">
        <v>490</v>
      </c>
      <c r="O887">
        <v>2000</v>
      </c>
      <c r="P887" t="s">
        <v>7264</v>
      </c>
      <c r="Q887" t="s">
        <v>7265</v>
      </c>
      <c r="R887">
        <v>13225</v>
      </c>
      <c r="S887" t="s">
        <v>7266</v>
      </c>
      <c r="T887">
        <v>29312</v>
      </c>
      <c r="U887">
        <v>1980</v>
      </c>
      <c r="V887" t="s">
        <v>1650</v>
      </c>
      <c r="W887">
        <v>1.75</v>
      </c>
      <c r="X887" t="s">
        <v>3299</v>
      </c>
      <c r="Y887" t="s">
        <v>136</v>
      </c>
      <c r="Z887" t="s">
        <v>87</v>
      </c>
      <c r="AA887" t="s">
        <v>214</v>
      </c>
      <c r="AB887" s="1">
        <v>40915</v>
      </c>
      <c r="AC887" t="s">
        <v>108</v>
      </c>
      <c r="AD887" t="s">
        <v>89</v>
      </c>
      <c r="AE887" t="s">
        <v>7267</v>
      </c>
      <c r="AF887">
        <v>19</v>
      </c>
      <c r="AG887" t="s">
        <v>613</v>
      </c>
      <c r="AH887" t="s">
        <v>92</v>
      </c>
      <c r="AI887" t="s">
        <v>89</v>
      </c>
      <c r="AJ887" t="s">
        <v>92</v>
      </c>
      <c r="AK887">
        <v>19</v>
      </c>
      <c r="AL887">
        <v>2</v>
      </c>
      <c r="AM887">
        <v>41</v>
      </c>
      <c r="AN887">
        <v>11</v>
      </c>
      <c r="AO887">
        <v>2</v>
      </c>
      <c r="AP887" t="s">
        <v>93</v>
      </c>
      <c r="AQ887" t="s">
        <v>89</v>
      </c>
      <c r="AR887" t="s">
        <v>89</v>
      </c>
      <c r="AS887" t="s">
        <v>111</v>
      </c>
      <c r="AT887" s="1">
        <v>40915</v>
      </c>
      <c r="AU887">
        <v>2012</v>
      </c>
      <c r="AV887">
        <v>12</v>
      </c>
      <c r="AW887">
        <v>12</v>
      </c>
      <c r="AX887" t="s">
        <v>89</v>
      </c>
      <c r="AY887" t="s">
        <v>111</v>
      </c>
      <c r="AZ887">
        <v>8</v>
      </c>
      <c r="BA887">
        <v>29</v>
      </c>
      <c r="BB887">
        <v>2304</v>
      </c>
      <c r="BC887">
        <v>0</v>
      </c>
      <c r="BD887">
        <v>393</v>
      </c>
      <c r="BE887">
        <v>30761</v>
      </c>
      <c r="BF887">
        <v>17</v>
      </c>
      <c r="BG887">
        <v>32</v>
      </c>
      <c r="BH887">
        <v>422</v>
      </c>
      <c r="BI887">
        <v>33065</v>
      </c>
      <c r="BJ887">
        <v>17</v>
      </c>
      <c r="BK887">
        <f t="shared" si="119"/>
        <v>422</v>
      </c>
      <c r="BL887">
        <f t="shared" si="120"/>
        <v>33065</v>
      </c>
      <c r="BM887">
        <f t="shared" si="121"/>
        <v>17</v>
      </c>
      <c r="BN887">
        <f t="shared" si="122"/>
        <v>0</v>
      </c>
      <c r="BO887">
        <f t="shared" si="123"/>
        <v>0</v>
      </c>
      <c r="BP887">
        <f t="shared" si="124"/>
        <v>0</v>
      </c>
      <c r="BQ887" t="s">
        <v>136</v>
      </c>
      <c r="BR887" t="s">
        <v>140</v>
      </c>
      <c r="BS887" t="s">
        <v>89</v>
      </c>
      <c r="BT887">
        <v>46</v>
      </c>
      <c r="BU887" s="1">
        <v>40915</v>
      </c>
      <c r="BV887" s="1">
        <v>41091</v>
      </c>
      <c r="BW887">
        <v>13</v>
      </c>
      <c r="BX887">
        <v>1980</v>
      </c>
      <c r="BY887">
        <v>13</v>
      </c>
      <c r="BZ887">
        <f t="shared" si="125"/>
        <v>-1</v>
      </c>
      <c r="CA887">
        <f t="shared" si="126"/>
        <v>0</v>
      </c>
      <c r="CB887" t="b">
        <f t="shared" si="127"/>
        <v>0</v>
      </c>
    </row>
    <row r="888" spans="1:80" x14ac:dyDescent="0.3">
      <c r="A888" t="s">
        <v>7268</v>
      </c>
      <c r="B888" t="s">
        <v>71</v>
      </c>
      <c r="C888" t="s">
        <v>7269</v>
      </c>
      <c r="D888">
        <v>38</v>
      </c>
      <c r="E888" s="1">
        <v>31660</v>
      </c>
      <c r="F888" t="s">
        <v>89</v>
      </c>
      <c r="G888" t="s">
        <v>687</v>
      </c>
      <c r="H888" t="s">
        <v>76</v>
      </c>
      <c r="I888" t="s">
        <v>253</v>
      </c>
      <c r="J888" t="s">
        <v>78</v>
      </c>
      <c r="K888" t="s">
        <v>89</v>
      </c>
      <c r="L888" t="s">
        <v>145</v>
      </c>
      <c r="M888">
        <v>17</v>
      </c>
      <c r="N888" t="s">
        <v>214</v>
      </c>
      <c r="O888">
        <v>2004</v>
      </c>
      <c r="P888" t="s">
        <v>7270</v>
      </c>
      <c r="Q888" t="s">
        <v>7271</v>
      </c>
      <c r="R888">
        <v>36756</v>
      </c>
      <c r="S888" t="s">
        <v>7268</v>
      </c>
      <c r="T888">
        <v>31541</v>
      </c>
      <c r="U888">
        <v>1986</v>
      </c>
      <c r="V888" t="s">
        <v>7272</v>
      </c>
      <c r="W888">
        <v>1.74</v>
      </c>
      <c r="X888" t="s">
        <v>76</v>
      </c>
      <c r="Y888" t="s">
        <v>86</v>
      </c>
      <c r="Z888" t="s">
        <v>87</v>
      </c>
      <c r="AA888" t="s">
        <v>2514</v>
      </c>
      <c r="AB888" s="1">
        <v>43107</v>
      </c>
      <c r="AC888" t="s">
        <v>108</v>
      </c>
      <c r="AD888" t="s">
        <v>89</v>
      </c>
      <c r="AE888" t="s">
        <v>295</v>
      </c>
      <c r="AF888">
        <v>18</v>
      </c>
      <c r="AG888" t="s">
        <v>91</v>
      </c>
      <c r="AH888" t="s">
        <v>961</v>
      </c>
      <c r="AI888">
        <v>21</v>
      </c>
      <c r="AJ888" t="s">
        <v>110</v>
      </c>
      <c r="AK888">
        <v>18</v>
      </c>
      <c r="AL888">
        <v>6</v>
      </c>
      <c r="AM888">
        <v>187</v>
      </c>
      <c r="AN888">
        <v>37</v>
      </c>
      <c r="AO888">
        <v>5</v>
      </c>
      <c r="AP888" t="s">
        <v>93</v>
      </c>
      <c r="AQ888" t="s">
        <v>89</v>
      </c>
      <c r="AR888" t="s">
        <v>89</v>
      </c>
      <c r="AS888" t="s">
        <v>111</v>
      </c>
      <c r="AT888" s="1">
        <v>43107</v>
      </c>
      <c r="AU888">
        <v>2018</v>
      </c>
      <c r="AV888">
        <v>14</v>
      </c>
      <c r="AW888">
        <v>14</v>
      </c>
      <c r="AX888" t="s">
        <v>89</v>
      </c>
      <c r="AY888" t="s">
        <v>93</v>
      </c>
      <c r="AZ888">
        <v>0</v>
      </c>
      <c r="BA888">
        <v>0</v>
      </c>
      <c r="BB888">
        <v>0</v>
      </c>
      <c r="BC888">
        <v>0</v>
      </c>
      <c r="BD888">
        <v>185</v>
      </c>
      <c r="BE888">
        <v>10735</v>
      </c>
      <c r="BF888">
        <v>3</v>
      </c>
      <c r="BG888">
        <v>32</v>
      </c>
      <c r="BH888">
        <v>185</v>
      </c>
      <c r="BI888">
        <v>10735</v>
      </c>
      <c r="BJ888">
        <v>3</v>
      </c>
      <c r="BK888">
        <f t="shared" si="119"/>
        <v>185</v>
      </c>
      <c r="BL888">
        <f t="shared" si="120"/>
        <v>10735</v>
      </c>
      <c r="BM888">
        <f t="shared" si="121"/>
        <v>3</v>
      </c>
      <c r="BN888">
        <f t="shared" si="122"/>
        <v>0</v>
      </c>
      <c r="BO888">
        <f t="shared" si="123"/>
        <v>0</v>
      </c>
      <c r="BP888">
        <f t="shared" si="124"/>
        <v>0</v>
      </c>
      <c r="BQ888" t="s">
        <v>86</v>
      </c>
      <c r="BR888" t="s">
        <v>94</v>
      </c>
      <c r="BS888" t="s">
        <v>89</v>
      </c>
      <c r="BT888">
        <v>40</v>
      </c>
      <c r="BU888" s="1">
        <v>43107</v>
      </c>
      <c r="BV888" s="1">
        <v>43282</v>
      </c>
      <c r="BW888">
        <v>14</v>
      </c>
      <c r="BX888">
        <v>1986</v>
      </c>
      <c r="BY888">
        <v>14</v>
      </c>
      <c r="BZ888">
        <f t="shared" si="125"/>
        <v>0</v>
      </c>
      <c r="CA888">
        <f t="shared" si="126"/>
        <v>0</v>
      </c>
      <c r="CB888" t="b">
        <f t="shared" si="127"/>
        <v>1</v>
      </c>
    </row>
    <row r="889" spans="1:80" x14ac:dyDescent="0.3">
      <c r="A889" t="s">
        <v>7273</v>
      </c>
      <c r="B889" t="s">
        <v>71</v>
      </c>
      <c r="C889" t="s">
        <v>7274</v>
      </c>
      <c r="D889">
        <v>39</v>
      </c>
      <c r="E889" s="1">
        <v>31440</v>
      </c>
      <c r="F889" t="s">
        <v>89</v>
      </c>
      <c r="G889" t="s">
        <v>413</v>
      </c>
      <c r="H889" t="s">
        <v>76</v>
      </c>
      <c r="I889" t="s">
        <v>357</v>
      </c>
      <c r="J889" t="s">
        <v>639</v>
      </c>
      <c r="K889" t="s">
        <v>89</v>
      </c>
      <c r="L889" t="s">
        <v>145</v>
      </c>
      <c r="M889">
        <v>18</v>
      </c>
      <c r="N889" t="s">
        <v>5283</v>
      </c>
      <c r="O889">
        <v>2004</v>
      </c>
      <c r="P889" t="s">
        <v>7275</v>
      </c>
      <c r="Q889" t="s">
        <v>7276</v>
      </c>
      <c r="R889">
        <v>45305</v>
      </c>
      <c r="S889" t="s">
        <v>7273</v>
      </c>
      <c r="T889" t="s">
        <v>7277</v>
      </c>
      <c r="U889">
        <v>1986</v>
      </c>
      <c r="V889" t="s">
        <v>122</v>
      </c>
      <c r="W889">
        <v>1.84</v>
      </c>
      <c r="X889" t="s">
        <v>76</v>
      </c>
      <c r="Y889" t="s">
        <v>136</v>
      </c>
      <c r="Z889" t="s">
        <v>87</v>
      </c>
      <c r="AA889" t="s">
        <v>745</v>
      </c>
      <c r="AB889" s="1">
        <v>43562</v>
      </c>
      <c r="AC889" t="s">
        <v>108</v>
      </c>
      <c r="AD889" t="s">
        <v>89</v>
      </c>
      <c r="AE889">
        <v>2007</v>
      </c>
      <c r="AF889">
        <v>20</v>
      </c>
      <c r="AG889" t="s">
        <v>91</v>
      </c>
      <c r="AH889">
        <v>2006</v>
      </c>
      <c r="AI889">
        <v>20</v>
      </c>
      <c r="AJ889">
        <v>0</v>
      </c>
      <c r="AK889">
        <v>20</v>
      </c>
      <c r="AL889">
        <v>12</v>
      </c>
      <c r="AM889">
        <v>441</v>
      </c>
      <c r="AN889">
        <v>57</v>
      </c>
      <c r="AO889">
        <v>7</v>
      </c>
      <c r="AP889" t="s">
        <v>93</v>
      </c>
      <c r="AQ889" t="s">
        <v>89</v>
      </c>
      <c r="AR889" t="s">
        <v>89</v>
      </c>
      <c r="AS889" t="s">
        <v>111</v>
      </c>
      <c r="AT889" s="1">
        <v>43562</v>
      </c>
      <c r="AU889">
        <v>2019</v>
      </c>
      <c r="AV889">
        <v>15</v>
      </c>
      <c r="AW889">
        <v>15</v>
      </c>
      <c r="AX889" t="s">
        <v>89</v>
      </c>
      <c r="AY889" t="s">
        <v>93</v>
      </c>
      <c r="AZ889">
        <v>0</v>
      </c>
      <c r="BA889">
        <v>0</v>
      </c>
      <c r="BB889">
        <v>0</v>
      </c>
      <c r="BC889">
        <v>0</v>
      </c>
      <c r="BD889">
        <v>304</v>
      </c>
      <c r="BE889">
        <v>22652</v>
      </c>
      <c r="BF889">
        <v>1</v>
      </c>
      <c r="BG889">
        <v>33</v>
      </c>
      <c r="BH889">
        <v>304</v>
      </c>
      <c r="BI889">
        <v>22652</v>
      </c>
      <c r="BJ889">
        <v>1</v>
      </c>
      <c r="BK889">
        <f t="shared" si="119"/>
        <v>304</v>
      </c>
      <c r="BL889">
        <f t="shared" si="120"/>
        <v>22652</v>
      </c>
      <c r="BM889">
        <f t="shared" si="121"/>
        <v>1</v>
      </c>
      <c r="BN889">
        <f t="shared" si="122"/>
        <v>0</v>
      </c>
      <c r="BO889">
        <f t="shared" si="123"/>
        <v>0</v>
      </c>
      <c r="BP889">
        <f t="shared" si="124"/>
        <v>0</v>
      </c>
      <c r="BQ889" t="s">
        <v>136</v>
      </c>
      <c r="BR889" t="s">
        <v>140</v>
      </c>
      <c r="BS889" s="1">
        <v>31440</v>
      </c>
      <c r="BT889">
        <v>40</v>
      </c>
      <c r="BU889" s="1">
        <v>43562</v>
      </c>
      <c r="BV889" s="1">
        <v>43650</v>
      </c>
      <c r="BW889">
        <v>13</v>
      </c>
      <c r="BX889">
        <v>1986</v>
      </c>
      <c r="BY889">
        <v>13</v>
      </c>
      <c r="BZ889">
        <f t="shared" si="125"/>
        <v>2</v>
      </c>
      <c r="CA889">
        <f t="shared" si="126"/>
        <v>0</v>
      </c>
      <c r="CB889" t="b">
        <f t="shared" si="127"/>
        <v>0</v>
      </c>
    </row>
    <row r="890" spans="1:80" x14ac:dyDescent="0.3">
      <c r="A890" t="s">
        <v>7278</v>
      </c>
      <c r="B890" t="s">
        <v>826</v>
      </c>
      <c r="C890" t="s">
        <v>7279</v>
      </c>
      <c r="D890">
        <v>38</v>
      </c>
      <c r="E890" s="1">
        <v>31917</v>
      </c>
      <c r="F890" t="s">
        <v>89</v>
      </c>
      <c r="G890" t="s">
        <v>5492</v>
      </c>
      <c r="H890" t="s">
        <v>830</v>
      </c>
      <c r="I890" t="s">
        <v>437</v>
      </c>
      <c r="J890" t="s">
        <v>78</v>
      </c>
      <c r="K890" t="s">
        <v>89</v>
      </c>
      <c r="L890" t="s">
        <v>278</v>
      </c>
      <c r="M890">
        <v>24</v>
      </c>
      <c r="N890" t="s">
        <v>6688</v>
      </c>
      <c r="O890">
        <v>2011</v>
      </c>
      <c r="P890" t="s">
        <v>7280</v>
      </c>
      <c r="Q890" t="s">
        <v>7281</v>
      </c>
      <c r="R890">
        <v>79470</v>
      </c>
      <c r="S890" t="s">
        <v>7278</v>
      </c>
      <c r="T890" t="s">
        <v>7282</v>
      </c>
      <c r="U890">
        <v>1987</v>
      </c>
      <c r="V890" t="s">
        <v>7283</v>
      </c>
      <c r="W890">
        <v>1.94</v>
      </c>
      <c r="X890" t="s">
        <v>830</v>
      </c>
      <c r="Y890" t="s">
        <v>123</v>
      </c>
      <c r="Z890" t="s">
        <v>152</v>
      </c>
      <c r="AA890" t="s">
        <v>7284</v>
      </c>
      <c r="AB890" s="1">
        <v>44928</v>
      </c>
      <c r="AC890" t="s">
        <v>108</v>
      </c>
      <c r="AD890" t="s">
        <v>442</v>
      </c>
      <c r="AE890" t="s">
        <v>4847</v>
      </c>
      <c r="AF890">
        <v>18</v>
      </c>
      <c r="AG890" t="s">
        <v>7285</v>
      </c>
      <c r="AH890" s="1">
        <v>39512</v>
      </c>
      <c r="AI890">
        <v>20</v>
      </c>
      <c r="AJ890" t="s">
        <v>840</v>
      </c>
      <c r="AK890">
        <v>18</v>
      </c>
      <c r="AL890">
        <v>3</v>
      </c>
      <c r="AM890">
        <v>69</v>
      </c>
      <c r="AN890">
        <v>7</v>
      </c>
      <c r="AO890">
        <v>3</v>
      </c>
      <c r="AP890" t="s">
        <v>93</v>
      </c>
      <c r="AQ890" t="s">
        <v>89</v>
      </c>
      <c r="AR890" t="s">
        <v>89</v>
      </c>
      <c r="AS890" t="s">
        <v>111</v>
      </c>
      <c r="AT890" s="1">
        <v>44928</v>
      </c>
      <c r="AU890">
        <v>2023</v>
      </c>
      <c r="AV890">
        <v>12</v>
      </c>
      <c r="AW890">
        <v>12</v>
      </c>
      <c r="AX890" t="s">
        <v>89</v>
      </c>
      <c r="AY890" t="s">
        <v>111</v>
      </c>
      <c r="AZ890">
        <v>4</v>
      </c>
      <c r="BA890">
        <v>12</v>
      </c>
      <c r="BB890">
        <v>361</v>
      </c>
      <c r="BC890">
        <v>2</v>
      </c>
      <c r="BD890">
        <v>196</v>
      </c>
      <c r="BE890">
        <v>12489</v>
      </c>
      <c r="BF890">
        <v>59</v>
      </c>
      <c r="BG890">
        <v>36</v>
      </c>
      <c r="BH890">
        <v>208</v>
      </c>
      <c r="BI890">
        <v>12850</v>
      </c>
      <c r="BJ890">
        <v>61</v>
      </c>
      <c r="BK890">
        <f t="shared" si="119"/>
        <v>208</v>
      </c>
      <c r="BL890">
        <f t="shared" si="120"/>
        <v>12850</v>
      </c>
      <c r="BM890">
        <f t="shared" si="121"/>
        <v>61</v>
      </c>
      <c r="BN890">
        <f t="shared" si="122"/>
        <v>0</v>
      </c>
      <c r="BO890">
        <f t="shared" si="123"/>
        <v>0</v>
      </c>
      <c r="BP890">
        <f t="shared" si="124"/>
        <v>0</v>
      </c>
      <c r="BQ890" t="s">
        <v>123</v>
      </c>
      <c r="BR890" t="s">
        <v>112</v>
      </c>
      <c r="BS890" s="1">
        <v>31917</v>
      </c>
      <c r="BT890">
        <v>38</v>
      </c>
      <c r="BU890" s="1">
        <v>44928</v>
      </c>
      <c r="BV890" s="1">
        <v>44958</v>
      </c>
      <c r="BW890">
        <v>18</v>
      </c>
      <c r="BX890">
        <v>1987</v>
      </c>
      <c r="BY890">
        <v>18</v>
      </c>
      <c r="BZ890">
        <f t="shared" si="125"/>
        <v>-6</v>
      </c>
      <c r="CA890">
        <f t="shared" si="126"/>
        <v>0</v>
      </c>
      <c r="CB890" t="b">
        <f t="shared" si="127"/>
        <v>0</v>
      </c>
    </row>
    <row r="891" spans="1:80" x14ac:dyDescent="0.3">
      <c r="A891" t="s">
        <v>7286</v>
      </c>
      <c r="B891" t="s">
        <v>71</v>
      </c>
      <c r="C891" t="s">
        <v>7287</v>
      </c>
      <c r="D891">
        <v>46</v>
      </c>
      <c r="E891">
        <v>28904</v>
      </c>
      <c r="F891" t="s">
        <v>89</v>
      </c>
      <c r="G891" t="s">
        <v>321</v>
      </c>
      <c r="H891" t="s">
        <v>89</v>
      </c>
      <c r="I891" t="s">
        <v>791</v>
      </c>
      <c r="J891" t="s">
        <v>89</v>
      </c>
      <c r="K891" t="s">
        <v>89</v>
      </c>
      <c r="L891" t="s">
        <v>3857</v>
      </c>
      <c r="M891">
        <v>17</v>
      </c>
      <c r="N891" t="s">
        <v>1365</v>
      </c>
      <c r="O891">
        <v>1996</v>
      </c>
      <c r="P891" t="s">
        <v>7288</v>
      </c>
      <c r="Q891" t="s">
        <v>7289</v>
      </c>
      <c r="R891">
        <v>7467</v>
      </c>
      <c r="S891" t="s">
        <v>7286</v>
      </c>
      <c r="T891" t="s">
        <v>7290</v>
      </c>
      <c r="U891">
        <v>1979</v>
      </c>
      <c r="V891" t="s">
        <v>7291</v>
      </c>
      <c r="W891">
        <v>1.8</v>
      </c>
      <c r="X891" t="s">
        <v>76</v>
      </c>
      <c r="Y891" t="s">
        <v>86</v>
      </c>
      <c r="Z891" t="s">
        <v>87</v>
      </c>
      <c r="AA891" t="s">
        <v>1365</v>
      </c>
      <c r="AB891" s="1">
        <v>40915</v>
      </c>
      <c r="AC891" t="s">
        <v>108</v>
      </c>
      <c r="AD891" t="s">
        <v>89</v>
      </c>
      <c r="AE891" t="s">
        <v>7292</v>
      </c>
      <c r="AF891">
        <v>18</v>
      </c>
      <c r="AG891" t="s">
        <v>91</v>
      </c>
      <c r="AH891" t="s">
        <v>449</v>
      </c>
      <c r="AI891">
        <v>28</v>
      </c>
      <c r="AJ891" t="s">
        <v>110</v>
      </c>
      <c r="AK891">
        <v>18</v>
      </c>
      <c r="AL891">
        <v>1</v>
      </c>
      <c r="AM891">
        <v>39</v>
      </c>
      <c r="AN891">
        <v>6</v>
      </c>
      <c r="AO891">
        <v>1</v>
      </c>
      <c r="AP891" t="s">
        <v>93</v>
      </c>
      <c r="AQ891" t="s">
        <v>89</v>
      </c>
      <c r="AR891" t="s">
        <v>89</v>
      </c>
      <c r="AS891" t="s">
        <v>111</v>
      </c>
      <c r="AT891">
        <v>40915</v>
      </c>
      <c r="AU891">
        <v>2012</v>
      </c>
      <c r="AV891">
        <v>16</v>
      </c>
      <c r="AW891">
        <v>16</v>
      </c>
      <c r="AX891" t="s">
        <v>89</v>
      </c>
      <c r="AY891" t="s">
        <v>93</v>
      </c>
      <c r="AZ891">
        <v>0</v>
      </c>
      <c r="BA891">
        <v>0</v>
      </c>
      <c r="BB891">
        <v>0</v>
      </c>
      <c r="BC891">
        <v>0</v>
      </c>
      <c r="BD891">
        <v>409</v>
      </c>
      <c r="BE891">
        <v>30055</v>
      </c>
      <c r="BF891">
        <v>31</v>
      </c>
      <c r="BG891">
        <v>33</v>
      </c>
      <c r="BH891">
        <v>409</v>
      </c>
      <c r="BI891">
        <v>30055</v>
      </c>
      <c r="BJ891">
        <v>31</v>
      </c>
      <c r="BK891">
        <f t="shared" si="119"/>
        <v>409</v>
      </c>
      <c r="BL891">
        <f t="shared" si="120"/>
        <v>30055</v>
      </c>
      <c r="BM891">
        <f t="shared" si="121"/>
        <v>31</v>
      </c>
      <c r="BN891">
        <f t="shared" si="122"/>
        <v>0</v>
      </c>
      <c r="BO891">
        <f t="shared" si="123"/>
        <v>0</v>
      </c>
      <c r="BP891">
        <f t="shared" si="124"/>
        <v>0</v>
      </c>
      <c r="BQ891" t="s">
        <v>86</v>
      </c>
      <c r="BR891" t="s">
        <v>94</v>
      </c>
      <c r="BS891" s="1">
        <v>28904</v>
      </c>
      <c r="BT891">
        <v>46</v>
      </c>
      <c r="BU891">
        <v>40915</v>
      </c>
      <c r="BV891" t="s">
        <v>89</v>
      </c>
      <c r="BW891">
        <v>15</v>
      </c>
      <c r="BX891">
        <v>1979</v>
      </c>
      <c r="BY891">
        <v>15</v>
      </c>
      <c r="BZ891">
        <f t="shared" si="125"/>
        <v>1</v>
      </c>
      <c r="CA891">
        <f t="shared" si="126"/>
        <v>0</v>
      </c>
      <c r="CB891" t="b">
        <f t="shared" si="127"/>
        <v>0</v>
      </c>
    </row>
    <row r="892" spans="1:80" x14ac:dyDescent="0.3">
      <c r="A892" t="s">
        <v>7293</v>
      </c>
      <c r="B892" t="s">
        <v>71</v>
      </c>
      <c r="C892" t="s">
        <v>7294</v>
      </c>
      <c r="D892">
        <v>42</v>
      </c>
      <c r="E892" s="1">
        <v>30356</v>
      </c>
      <c r="F892" t="s">
        <v>89</v>
      </c>
      <c r="G892" t="s">
        <v>277</v>
      </c>
      <c r="H892" t="s">
        <v>76</v>
      </c>
      <c r="I892" t="s">
        <v>437</v>
      </c>
      <c r="J892" t="s">
        <v>78</v>
      </c>
      <c r="K892" t="s">
        <v>89</v>
      </c>
      <c r="L892" t="s">
        <v>163</v>
      </c>
      <c r="M892">
        <v>23</v>
      </c>
      <c r="N892" t="s">
        <v>255</v>
      </c>
      <c r="O892">
        <v>2006</v>
      </c>
      <c r="P892" t="s">
        <v>7295</v>
      </c>
      <c r="Q892" t="s">
        <v>7296</v>
      </c>
      <c r="R892">
        <v>51559</v>
      </c>
      <c r="S892" t="s">
        <v>7293</v>
      </c>
      <c r="T892">
        <v>30561</v>
      </c>
      <c r="U892">
        <v>1983</v>
      </c>
      <c r="V892" t="s">
        <v>7297</v>
      </c>
      <c r="W892">
        <v>1.88</v>
      </c>
      <c r="X892" t="s">
        <v>76</v>
      </c>
      <c r="Y892" t="s">
        <v>369</v>
      </c>
      <c r="Z892" t="s">
        <v>87</v>
      </c>
      <c r="AA892" t="s">
        <v>2174</v>
      </c>
      <c r="AB892" s="1">
        <v>43472</v>
      </c>
      <c r="AC892" t="s">
        <v>108</v>
      </c>
      <c r="AD892" t="s">
        <v>89</v>
      </c>
      <c r="AE892" t="s">
        <v>3971</v>
      </c>
      <c r="AF892">
        <v>25</v>
      </c>
      <c r="AG892" t="s">
        <v>1631</v>
      </c>
      <c r="AH892" t="s">
        <v>4190</v>
      </c>
      <c r="AI892">
        <v>23</v>
      </c>
      <c r="AJ892" t="s">
        <v>110</v>
      </c>
      <c r="AK892">
        <v>23</v>
      </c>
      <c r="AL892">
        <v>1</v>
      </c>
      <c r="AM892">
        <v>22</v>
      </c>
      <c r="AN892">
        <v>4</v>
      </c>
      <c r="AO892">
        <v>1</v>
      </c>
      <c r="AP892" t="s">
        <v>93</v>
      </c>
      <c r="AQ892" t="s">
        <v>89</v>
      </c>
      <c r="AR892" t="s">
        <v>89</v>
      </c>
      <c r="AS892" t="s">
        <v>111</v>
      </c>
      <c r="AT892" s="1">
        <v>43472</v>
      </c>
      <c r="AU892">
        <v>2019</v>
      </c>
      <c r="AV892">
        <v>13</v>
      </c>
      <c r="AW892">
        <v>13</v>
      </c>
      <c r="AX892" t="s">
        <v>89</v>
      </c>
      <c r="AY892" t="s">
        <v>93</v>
      </c>
      <c r="AZ892">
        <v>0</v>
      </c>
      <c r="BA892">
        <v>0</v>
      </c>
      <c r="BB892">
        <v>0</v>
      </c>
      <c r="BC892">
        <v>0</v>
      </c>
      <c r="BD892">
        <v>169</v>
      </c>
      <c r="BE892">
        <v>10000</v>
      </c>
      <c r="BF892">
        <v>31</v>
      </c>
      <c r="BG892">
        <v>36</v>
      </c>
      <c r="BH892">
        <v>169</v>
      </c>
      <c r="BI892">
        <v>10000</v>
      </c>
      <c r="BJ892">
        <v>31</v>
      </c>
      <c r="BK892">
        <f t="shared" si="119"/>
        <v>169</v>
      </c>
      <c r="BL892">
        <f t="shared" si="120"/>
        <v>10000</v>
      </c>
      <c r="BM892">
        <f t="shared" si="121"/>
        <v>31</v>
      </c>
      <c r="BN892">
        <f t="shared" si="122"/>
        <v>0</v>
      </c>
      <c r="BO892">
        <f t="shared" si="123"/>
        <v>0</v>
      </c>
      <c r="BP892">
        <f t="shared" si="124"/>
        <v>0</v>
      </c>
      <c r="BQ892" t="s">
        <v>369</v>
      </c>
      <c r="BR892" t="s">
        <v>112</v>
      </c>
      <c r="BS892" t="s">
        <v>89</v>
      </c>
      <c r="BT892">
        <v>43</v>
      </c>
      <c r="BU892" s="1">
        <v>43472</v>
      </c>
      <c r="BV892" s="1">
        <v>43647</v>
      </c>
      <c r="BW892">
        <v>13</v>
      </c>
      <c r="BX892">
        <v>1983</v>
      </c>
      <c r="BY892">
        <v>13</v>
      </c>
      <c r="BZ892">
        <f t="shared" si="125"/>
        <v>0</v>
      </c>
      <c r="CA892">
        <f t="shared" si="126"/>
        <v>0</v>
      </c>
      <c r="CB892" t="b">
        <f t="shared" si="127"/>
        <v>1</v>
      </c>
    </row>
    <row r="893" spans="1:80" x14ac:dyDescent="0.3">
      <c r="A893" t="s">
        <v>7298</v>
      </c>
      <c r="B893" t="s">
        <v>71</v>
      </c>
      <c r="C893" t="s">
        <v>7299</v>
      </c>
      <c r="D893">
        <v>37</v>
      </c>
      <c r="E893" s="1">
        <v>32202</v>
      </c>
      <c r="F893" t="s">
        <v>89</v>
      </c>
      <c r="G893" t="s">
        <v>160</v>
      </c>
      <c r="H893" t="s">
        <v>76</v>
      </c>
      <c r="I893" t="s">
        <v>195</v>
      </c>
      <c r="J893" t="s">
        <v>300</v>
      </c>
      <c r="K893" t="s">
        <v>89</v>
      </c>
      <c r="L893" t="s">
        <v>130</v>
      </c>
      <c r="M893">
        <v>20</v>
      </c>
      <c r="N893" t="s">
        <v>137</v>
      </c>
      <c r="O893">
        <v>2008</v>
      </c>
      <c r="P893" t="s">
        <v>7300</v>
      </c>
      <c r="Q893" t="s">
        <v>7301</v>
      </c>
      <c r="R893">
        <v>85258</v>
      </c>
      <c r="S893" t="s">
        <v>7298</v>
      </c>
      <c r="T893" t="s">
        <v>7302</v>
      </c>
      <c r="U893">
        <v>1988</v>
      </c>
      <c r="V893" t="s">
        <v>2564</v>
      </c>
      <c r="W893">
        <v>1.77</v>
      </c>
      <c r="X893" t="s">
        <v>76</v>
      </c>
      <c r="Y893" t="s">
        <v>203</v>
      </c>
      <c r="Z893" t="s">
        <v>152</v>
      </c>
      <c r="AA893" t="s">
        <v>260</v>
      </c>
      <c r="AB893" s="1">
        <v>45298</v>
      </c>
      <c r="AC893" t="s">
        <v>108</v>
      </c>
      <c r="AD893" t="s">
        <v>89</v>
      </c>
      <c r="AE893">
        <v>2008</v>
      </c>
      <c r="AF893">
        <v>20</v>
      </c>
      <c r="AG893" t="s">
        <v>91</v>
      </c>
      <c r="AH893">
        <v>2009</v>
      </c>
      <c r="AI893">
        <v>21</v>
      </c>
      <c r="AJ893">
        <v>0</v>
      </c>
      <c r="AK893">
        <v>20</v>
      </c>
      <c r="AL893">
        <v>16</v>
      </c>
      <c r="AM893">
        <v>490</v>
      </c>
      <c r="AN893">
        <v>61</v>
      </c>
      <c r="AO893">
        <v>10</v>
      </c>
      <c r="AP893" t="s">
        <v>93</v>
      </c>
      <c r="AQ893" t="s">
        <v>89</v>
      </c>
      <c r="AR893" t="s">
        <v>89</v>
      </c>
      <c r="AS893" t="s">
        <v>111</v>
      </c>
      <c r="AT893">
        <v>45298</v>
      </c>
      <c r="AU893">
        <v>2024</v>
      </c>
      <c r="AV893">
        <v>16</v>
      </c>
      <c r="AW893">
        <v>16</v>
      </c>
      <c r="AX893" t="s">
        <v>89</v>
      </c>
      <c r="AY893" t="s">
        <v>93</v>
      </c>
      <c r="AZ893">
        <v>0</v>
      </c>
      <c r="BA893">
        <v>0</v>
      </c>
      <c r="BB893">
        <v>0</v>
      </c>
      <c r="BC893">
        <v>0</v>
      </c>
      <c r="BD893">
        <v>398</v>
      </c>
      <c r="BE893">
        <v>32487</v>
      </c>
      <c r="BF893">
        <v>1</v>
      </c>
      <c r="BG893">
        <v>36</v>
      </c>
      <c r="BH893">
        <v>398</v>
      </c>
      <c r="BI893">
        <v>32487</v>
      </c>
      <c r="BJ893">
        <v>1</v>
      </c>
      <c r="BK893">
        <f t="shared" si="119"/>
        <v>398</v>
      </c>
      <c r="BL893">
        <f t="shared" si="120"/>
        <v>32487</v>
      </c>
      <c r="BM893">
        <f t="shared" si="121"/>
        <v>1</v>
      </c>
      <c r="BN893">
        <f t="shared" si="122"/>
        <v>0</v>
      </c>
      <c r="BO893">
        <f t="shared" si="123"/>
        <v>0</v>
      </c>
      <c r="BP893">
        <f t="shared" si="124"/>
        <v>0</v>
      </c>
      <c r="BQ893" t="s">
        <v>203</v>
      </c>
      <c r="BR893" t="s">
        <v>140</v>
      </c>
      <c r="BS893" s="1">
        <v>32202</v>
      </c>
      <c r="BT893">
        <v>37</v>
      </c>
      <c r="BU893">
        <v>45298</v>
      </c>
      <c r="BV893" t="s">
        <v>89</v>
      </c>
      <c r="BW893">
        <v>16</v>
      </c>
      <c r="BX893">
        <v>1988</v>
      </c>
      <c r="BY893">
        <v>16</v>
      </c>
      <c r="BZ893">
        <f t="shared" si="125"/>
        <v>0</v>
      </c>
      <c r="CA893">
        <f t="shared" si="126"/>
        <v>0</v>
      </c>
      <c r="CB893" t="b">
        <f t="shared" si="127"/>
        <v>1</v>
      </c>
    </row>
    <row r="894" spans="1:80" x14ac:dyDescent="0.3">
      <c r="A894" t="s">
        <v>7303</v>
      </c>
      <c r="B894" t="s">
        <v>71</v>
      </c>
      <c r="C894" t="s">
        <v>7304</v>
      </c>
      <c r="D894">
        <v>39</v>
      </c>
      <c r="E894">
        <v>31314</v>
      </c>
      <c r="F894" t="s">
        <v>89</v>
      </c>
      <c r="G894" t="s">
        <v>277</v>
      </c>
      <c r="H894" t="s">
        <v>89</v>
      </c>
      <c r="I894" t="s">
        <v>227</v>
      </c>
      <c r="J894" t="s">
        <v>300</v>
      </c>
      <c r="K894" t="s">
        <v>89</v>
      </c>
      <c r="L894" t="s">
        <v>117</v>
      </c>
      <c r="M894">
        <v>19</v>
      </c>
      <c r="N894" t="s">
        <v>1365</v>
      </c>
      <c r="O894">
        <v>2005</v>
      </c>
      <c r="P894" t="s">
        <v>7305</v>
      </c>
      <c r="Q894" t="s">
        <v>7306</v>
      </c>
      <c r="R894">
        <v>35560</v>
      </c>
      <c r="S894" t="s">
        <v>7303</v>
      </c>
      <c r="T894" t="s">
        <v>7307</v>
      </c>
      <c r="U894">
        <v>1985</v>
      </c>
      <c r="V894" t="s">
        <v>7308</v>
      </c>
      <c r="W894">
        <v>1.9</v>
      </c>
      <c r="X894" t="s">
        <v>76</v>
      </c>
      <c r="Y894" t="s">
        <v>235</v>
      </c>
      <c r="Z894" t="s">
        <v>87</v>
      </c>
      <c r="AA894" t="s">
        <v>1916</v>
      </c>
      <c r="AB894">
        <v>44933</v>
      </c>
      <c r="AC894" t="s">
        <v>108</v>
      </c>
      <c r="AD894" t="s">
        <v>89</v>
      </c>
      <c r="AE894" t="s">
        <v>6521</v>
      </c>
      <c r="AF894">
        <v>19</v>
      </c>
      <c r="AG894" t="s">
        <v>91</v>
      </c>
      <c r="AH894" t="s">
        <v>449</v>
      </c>
      <c r="AI894">
        <v>21</v>
      </c>
      <c r="AJ894" t="s">
        <v>110</v>
      </c>
      <c r="AK894">
        <v>19</v>
      </c>
      <c r="AL894">
        <v>7</v>
      </c>
      <c r="AM894">
        <v>269</v>
      </c>
      <c r="AN894">
        <v>35</v>
      </c>
      <c r="AO894">
        <v>3</v>
      </c>
      <c r="AP894" t="s">
        <v>93</v>
      </c>
      <c r="AQ894" t="s">
        <v>89</v>
      </c>
      <c r="AR894" t="s">
        <v>89</v>
      </c>
      <c r="AS894" t="s">
        <v>111</v>
      </c>
      <c r="AT894">
        <v>44933</v>
      </c>
      <c r="AU894">
        <v>2023</v>
      </c>
      <c r="AV894">
        <v>18</v>
      </c>
      <c r="AW894">
        <v>18</v>
      </c>
      <c r="AX894" t="s">
        <v>89</v>
      </c>
      <c r="AY894" t="s">
        <v>93</v>
      </c>
      <c r="AZ894">
        <v>0</v>
      </c>
      <c r="BA894">
        <v>0</v>
      </c>
      <c r="BB894">
        <v>0</v>
      </c>
      <c r="BC894">
        <v>0</v>
      </c>
      <c r="BD894">
        <v>325</v>
      </c>
      <c r="BE894">
        <v>26418</v>
      </c>
      <c r="BF894">
        <v>5</v>
      </c>
      <c r="BG894">
        <v>38</v>
      </c>
      <c r="BH894">
        <v>325</v>
      </c>
      <c r="BI894">
        <v>26418</v>
      </c>
      <c r="BJ894">
        <v>5</v>
      </c>
      <c r="BK894">
        <f t="shared" si="119"/>
        <v>325</v>
      </c>
      <c r="BL894">
        <f t="shared" si="120"/>
        <v>26418</v>
      </c>
      <c r="BM894">
        <f t="shared" si="121"/>
        <v>5</v>
      </c>
      <c r="BN894">
        <f t="shared" si="122"/>
        <v>0</v>
      </c>
      <c r="BO894">
        <f t="shared" si="123"/>
        <v>0</v>
      </c>
      <c r="BP894">
        <f t="shared" si="124"/>
        <v>0</v>
      </c>
      <c r="BQ894" t="s">
        <v>235</v>
      </c>
      <c r="BR894" t="s">
        <v>140</v>
      </c>
      <c r="BS894" s="1">
        <v>31314</v>
      </c>
      <c r="BT894">
        <v>40</v>
      </c>
      <c r="BU894">
        <v>44933</v>
      </c>
      <c r="BV894" t="s">
        <v>89</v>
      </c>
      <c r="BW894">
        <v>19</v>
      </c>
      <c r="BX894">
        <v>1985</v>
      </c>
      <c r="BY894">
        <v>19</v>
      </c>
      <c r="BZ894">
        <f t="shared" si="125"/>
        <v>-1</v>
      </c>
      <c r="CA894">
        <f t="shared" si="126"/>
        <v>0</v>
      </c>
      <c r="CB894" t="b">
        <f t="shared" si="127"/>
        <v>0</v>
      </c>
    </row>
    <row r="895" spans="1:80" x14ac:dyDescent="0.3">
      <c r="A895" t="s">
        <v>7309</v>
      </c>
      <c r="B895" t="s">
        <v>71</v>
      </c>
      <c r="C895" t="s">
        <v>7310</v>
      </c>
      <c r="D895">
        <v>44</v>
      </c>
      <c r="E895" s="1">
        <v>29443</v>
      </c>
      <c r="F895" t="s">
        <v>89</v>
      </c>
      <c r="G895" t="s">
        <v>226</v>
      </c>
      <c r="H895" t="s">
        <v>89</v>
      </c>
      <c r="I895" t="s">
        <v>227</v>
      </c>
      <c r="J895" t="s">
        <v>89</v>
      </c>
      <c r="K895" t="s">
        <v>89</v>
      </c>
      <c r="L895" t="s">
        <v>657</v>
      </c>
      <c r="M895">
        <v>22</v>
      </c>
      <c r="N895" t="s">
        <v>2837</v>
      </c>
      <c r="O895">
        <v>2003</v>
      </c>
      <c r="P895" t="s">
        <v>7311</v>
      </c>
      <c r="Q895" t="s">
        <v>7312</v>
      </c>
      <c r="R895">
        <v>23247</v>
      </c>
      <c r="S895" t="s">
        <v>7309</v>
      </c>
      <c r="T895">
        <v>29502</v>
      </c>
      <c r="U895">
        <v>1980</v>
      </c>
      <c r="V895" t="s">
        <v>7291</v>
      </c>
      <c r="W895">
        <v>1.85</v>
      </c>
      <c r="X895" t="s">
        <v>76</v>
      </c>
      <c r="Y895" t="s">
        <v>235</v>
      </c>
      <c r="Z895" t="s">
        <v>87</v>
      </c>
      <c r="AA895" t="s">
        <v>162</v>
      </c>
      <c r="AB895" s="1">
        <v>41281</v>
      </c>
      <c r="AC895" t="s">
        <v>108</v>
      </c>
      <c r="AD895" t="s">
        <v>89</v>
      </c>
      <c r="AE895" t="s">
        <v>2972</v>
      </c>
      <c r="AF895">
        <v>24</v>
      </c>
      <c r="AG895" t="s">
        <v>91</v>
      </c>
      <c r="AH895" t="s">
        <v>2556</v>
      </c>
      <c r="AI895">
        <v>23</v>
      </c>
      <c r="AJ895" t="s">
        <v>110</v>
      </c>
      <c r="AK895">
        <v>23</v>
      </c>
      <c r="AL895">
        <v>2</v>
      </c>
      <c r="AM895">
        <v>75</v>
      </c>
      <c r="AN895">
        <v>11</v>
      </c>
      <c r="AO895">
        <v>2</v>
      </c>
      <c r="AP895" t="s">
        <v>93</v>
      </c>
      <c r="AQ895" t="s">
        <v>89</v>
      </c>
      <c r="AR895" t="s">
        <v>89</v>
      </c>
      <c r="AS895" t="s">
        <v>111</v>
      </c>
      <c r="AT895" s="1">
        <v>41281</v>
      </c>
      <c r="AU895">
        <v>2013</v>
      </c>
      <c r="AV895">
        <v>10</v>
      </c>
      <c r="AW895">
        <v>10</v>
      </c>
      <c r="AX895" t="s">
        <v>89</v>
      </c>
      <c r="AY895" t="s">
        <v>93</v>
      </c>
      <c r="AZ895">
        <v>0</v>
      </c>
      <c r="BA895">
        <v>0</v>
      </c>
      <c r="BB895">
        <v>0</v>
      </c>
      <c r="BC895">
        <v>0</v>
      </c>
      <c r="BD895">
        <v>222</v>
      </c>
      <c r="BE895">
        <v>18561</v>
      </c>
      <c r="BF895">
        <v>14</v>
      </c>
      <c r="BG895">
        <v>33</v>
      </c>
      <c r="BH895">
        <v>222</v>
      </c>
      <c r="BI895">
        <v>18561</v>
      </c>
      <c r="BJ895">
        <v>14</v>
      </c>
      <c r="BK895">
        <f t="shared" si="119"/>
        <v>222</v>
      </c>
      <c r="BL895">
        <f t="shared" si="120"/>
        <v>18561</v>
      </c>
      <c r="BM895">
        <f t="shared" si="121"/>
        <v>14</v>
      </c>
      <c r="BN895">
        <f t="shared" si="122"/>
        <v>0</v>
      </c>
      <c r="BO895">
        <f t="shared" si="123"/>
        <v>0</v>
      </c>
      <c r="BP895">
        <f t="shared" si="124"/>
        <v>0</v>
      </c>
      <c r="BQ895" t="s">
        <v>235</v>
      </c>
      <c r="BR895" t="s">
        <v>140</v>
      </c>
      <c r="BS895" t="s">
        <v>89</v>
      </c>
      <c r="BT895">
        <v>46</v>
      </c>
      <c r="BU895" s="1">
        <v>41281</v>
      </c>
      <c r="BV895" s="1">
        <v>41456</v>
      </c>
      <c r="BW895">
        <v>10</v>
      </c>
      <c r="BX895">
        <v>1980</v>
      </c>
      <c r="BY895">
        <v>10</v>
      </c>
      <c r="BZ895">
        <f t="shared" si="125"/>
        <v>0</v>
      </c>
      <c r="CA895">
        <f t="shared" si="126"/>
        <v>0</v>
      </c>
      <c r="CB895" t="b">
        <f t="shared" si="127"/>
        <v>1</v>
      </c>
    </row>
    <row r="896" spans="1:80" x14ac:dyDescent="0.3">
      <c r="A896" t="s">
        <v>7313</v>
      </c>
      <c r="B896" t="s">
        <v>71</v>
      </c>
      <c r="C896" t="s">
        <v>7314</v>
      </c>
      <c r="D896">
        <v>40</v>
      </c>
      <c r="E896" s="1">
        <v>30990</v>
      </c>
      <c r="F896" t="s">
        <v>89</v>
      </c>
      <c r="G896" t="s">
        <v>400</v>
      </c>
      <c r="H896" t="s">
        <v>89</v>
      </c>
      <c r="I896" t="s">
        <v>288</v>
      </c>
      <c r="J896" t="s">
        <v>78</v>
      </c>
      <c r="K896" t="s">
        <v>89</v>
      </c>
      <c r="L896" t="s">
        <v>163</v>
      </c>
      <c r="M896">
        <v>21</v>
      </c>
      <c r="N896" t="s">
        <v>5603</v>
      </c>
      <c r="O896">
        <v>2006</v>
      </c>
      <c r="P896" t="s">
        <v>7315</v>
      </c>
      <c r="Q896" t="s">
        <v>7316</v>
      </c>
      <c r="R896">
        <v>51474</v>
      </c>
      <c r="S896" t="s">
        <v>7313</v>
      </c>
      <c r="T896" s="1">
        <v>30783</v>
      </c>
      <c r="U896">
        <v>1984</v>
      </c>
      <c r="V896" t="s">
        <v>7317</v>
      </c>
      <c r="W896">
        <v>1.78</v>
      </c>
      <c r="X896" t="s">
        <v>76</v>
      </c>
      <c r="Y896" t="s">
        <v>86</v>
      </c>
      <c r="Z896" t="s">
        <v>87</v>
      </c>
      <c r="AA896" t="s">
        <v>896</v>
      </c>
      <c r="AB896" s="1">
        <v>45298</v>
      </c>
      <c r="AC896" t="s">
        <v>108</v>
      </c>
      <c r="AD896" t="s">
        <v>89</v>
      </c>
      <c r="AE896" t="s">
        <v>306</v>
      </c>
      <c r="AF896">
        <v>26</v>
      </c>
      <c r="AG896" t="s">
        <v>91</v>
      </c>
      <c r="AH896" s="1">
        <v>38908</v>
      </c>
      <c r="AI896">
        <v>21</v>
      </c>
      <c r="AJ896" t="s">
        <v>110</v>
      </c>
      <c r="AK896">
        <v>21</v>
      </c>
      <c r="AL896">
        <v>13</v>
      </c>
      <c r="AM896">
        <v>416</v>
      </c>
      <c r="AN896">
        <v>60</v>
      </c>
      <c r="AO896">
        <v>7</v>
      </c>
      <c r="AP896" t="s">
        <v>93</v>
      </c>
      <c r="AQ896" t="s">
        <v>89</v>
      </c>
      <c r="AR896" t="s">
        <v>89</v>
      </c>
      <c r="AS896" t="s">
        <v>111</v>
      </c>
      <c r="AT896" s="1">
        <v>45298</v>
      </c>
      <c r="AU896">
        <v>2024</v>
      </c>
      <c r="AV896">
        <v>18</v>
      </c>
      <c r="AW896">
        <v>18</v>
      </c>
      <c r="AX896" t="s">
        <v>89</v>
      </c>
      <c r="AY896" t="s">
        <v>93</v>
      </c>
      <c r="AZ896">
        <v>0</v>
      </c>
      <c r="BA896">
        <v>0</v>
      </c>
      <c r="BB896">
        <v>0</v>
      </c>
      <c r="BC896">
        <v>0</v>
      </c>
      <c r="BD896">
        <v>518</v>
      </c>
      <c r="BE896">
        <v>34781</v>
      </c>
      <c r="BF896">
        <v>34</v>
      </c>
      <c r="BG896">
        <v>40</v>
      </c>
      <c r="BH896">
        <v>518</v>
      </c>
      <c r="BI896">
        <v>34781</v>
      </c>
      <c r="BJ896">
        <v>34</v>
      </c>
      <c r="BK896">
        <f t="shared" si="119"/>
        <v>518</v>
      </c>
      <c r="BL896">
        <f t="shared" si="120"/>
        <v>34781</v>
      </c>
      <c r="BM896">
        <f t="shared" si="121"/>
        <v>34</v>
      </c>
      <c r="BN896">
        <f t="shared" si="122"/>
        <v>0</v>
      </c>
      <c r="BO896">
        <f t="shared" si="123"/>
        <v>0</v>
      </c>
      <c r="BP896">
        <f t="shared" si="124"/>
        <v>0</v>
      </c>
      <c r="BQ896" t="s">
        <v>86</v>
      </c>
      <c r="BR896" t="s">
        <v>94</v>
      </c>
      <c r="BS896" s="1">
        <v>30990</v>
      </c>
      <c r="BT896">
        <v>41</v>
      </c>
      <c r="BU896" s="1">
        <v>45298</v>
      </c>
      <c r="BV896" s="1">
        <v>45474</v>
      </c>
      <c r="BW896">
        <v>19</v>
      </c>
      <c r="BX896">
        <v>1984</v>
      </c>
      <c r="BY896">
        <v>19</v>
      </c>
      <c r="BZ896">
        <f t="shared" si="125"/>
        <v>-1</v>
      </c>
      <c r="CA896">
        <f t="shared" si="126"/>
        <v>0</v>
      </c>
      <c r="CB896" t="b">
        <f t="shared" si="127"/>
        <v>0</v>
      </c>
    </row>
    <row r="897" spans="1:80" x14ac:dyDescent="0.3">
      <c r="A897" t="s">
        <v>7318</v>
      </c>
      <c r="B897" t="s">
        <v>71</v>
      </c>
      <c r="C897" t="s">
        <v>7319</v>
      </c>
      <c r="D897">
        <v>42</v>
      </c>
      <c r="E897" s="1">
        <v>30334</v>
      </c>
      <c r="F897" t="s">
        <v>89</v>
      </c>
      <c r="G897" t="s">
        <v>277</v>
      </c>
      <c r="H897" t="s">
        <v>89</v>
      </c>
      <c r="I897" t="s">
        <v>178</v>
      </c>
      <c r="J897" t="s">
        <v>78</v>
      </c>
      <c r="K897" t="s">
        <v>89</v>
      </c>
      <c r="L897" t="s">
        <v>278</v>
      </c>
      <c r="M897">
        <v>28</v>
      </c>
      <c r="N897" t="s">
        <v>1282</v>
      </c>
      <c r="O897">
        <v>2011</v>
      </c>
      <c r="P897" t="s">
        <v>7320</v>
      </c>
      <c r="Q897" t="s">
        <v>7321</v>
      </c>
      <c r="R897">
        <v>63706</v>
      </c>
      <c r="S897" t="s">
        <v>7318</v>
      </c>
      <c r="T897" t="s">
        <v>7322</v>
      </c>
      <c r="U897">
        <v>1983</v>
      </c>
      <c r="V897" t="s">
        <v>7323</v>
      </c>
      <c r="W897">
        <v>1.9</v>
      </c>
      <c r="X897" t="s">
        <v>76</v>
      </c>
      <c r="Y897" t="s">
        <v>186</v>
      </c>
      <c r="Z897" t="s">
        <v>87</v>
      </c>
      <c r="AA897" t="s">
        <v>3595</v>
      </c>
      <c r="AB897" s="1">
        <v>44568</v>
      </c>
      <c r="AC897" t="s">
        <v>108</v>
      </c>
      <c r="AD897" t="s">
        <v>89</v>
      </c>
      <c r="AE897" t="s">
        <v>477</v>
      </c>
      <c r="AF897">
        <v>32</v>
      </c>
      <c r="AG897" t="s">
        <v>91</v>
      </c>
      <c r="AH897" t="s">
        <v>306</v>
      </c>
      <c r="AI897">
        <v>28</v>
      </c>
      <c r="AJ897" t="s">
        <v>110</v>
      </c>
      <c r="AK897">
        <v>28</v>
      </c>
      <c r="AL897" t="s">
        <v>89</v>
      </c>
      <c r="AM897" t="s">
        <v>89</v>
      </c>
      <c r="AN897" t="s">
        <v>89</v>
      </c>
      <c r="AO897">
        <v>0</v>
      </c>
      <c r="AP897" t="s">
        <v>93</v>
      </c>
      <c r="AQ897" t="s">
        <v>89</v>
      </c>
      <c r="AR897" t="s">
        <v>89</v>
      </c>
      <c r="AS897" t="s">
        <v>111</v>
      </c>
      <c r="AT897" s="1">
        <v>44568</v>
      </c>
      <c r="AU897">
        <v>2022</v>
      </c>
      <c r="AV897">
        <v>11</v>
      </c>
      <c r="AW897">
        <v>11</v>
      </c>
      <c r="AX897" t="s">
        <v>89</v>
      </c>
      <c r="AY897" t="s">
        <v>93</v>
      </c>
      <c r="AZ897">
        <v>0</v>
      </c>
      <c r="BA897">
        <v>0</v>
      </c>
      <c r="BB897">
        <v>0</v>
      </c>
      <c r="BC897">
        <v>0</v>
      </c>
      <c r="BD897">
        <v>97</v>
      </c>
      <c r="BE897">
        <v>8694</v>
      </c>
      <c r="BF897">
        <v>0</v>
      </c>
      <c r="BG897">
        <v>39</v>
      </c>
      <c r="BH897">
        <v>97</v>
      </c>
      <c r="BI897">
        <v>8694</v>
      </c>
      <c r="BJ897">
        <v>0</v>
      </c>
      <c r="BK897">
        <f t="shared" si="119"/>
        <v>97</v>
      </c>
      <c r="BL897">
        <f t="shared" si="120"/>
        <v>8694</v>
      </c>
      <c r="BM897">
        <f t="shared" si="121"/>
        <v>0</v>
      </c>
      <c r="BN897">
        <f t="shared" si="122"/>
        <v>0</v>
      </c>
      <c r="BO897">
        <f t="shared" si="123"/>
        <v>0</v>
      </c>
      <c r="BP897">
        <f t="shared" si="124"/>
        <v>0</v>
      </c>
      <c r="BQ897" t="s">
        <v>186</v>
      </c>
      <c r="BR897" t="s">
        <v>186</v>
      </c>
      <c r="BS897" s="1">
        <v>30334</v>
      </c>
      <c r="BT897">
        <v>43</v>
      </c>
      <c r="BU897" s="1">
        <v>44568</v>
      </c>
      <c r="BV897" s="1">
        <v>44743</v>
      </c>
      <c r="BW897">
        <v>11</v>
      </c>
      <c r="BX897">
        <v>1983</v>
      </c>
      <c r="BY897">
        <v>11</v>
      </c>
      <c r="BZ897">
        <f t="shared" si="125"/>
        <v>0</v>
      </c>
      <c r="CA897">
        <f t="shared" si="126"/>
        <v>0</v>
      </c>
      <c r="CB897" t="b">
        <f t="shared" si="127"/>
        <v>1</v>
      </c>
    </row>
    <row r="898" spans="1:80" x14ac:dyDescent="0.3">
      <c r="A898" t="s">
        <v>7324</v>
      </c>
      <c r="B898" t="s">
        <v>71</v>
      </c>
      <c r="C898" t="s">
        <v>7325</v>
      </c>
      <c r="D898">
        <v>36</v>
      </c>
      <c r="E898" s="1">
        <v>32658</v>
      </c>
      <c r="F898" t="s">
        <v>89</v>
      </c>
      <c r="G898" t="s">
        <v>193</v>
      </c>
      <c r="H898" t="s">
        <v>76</v>
      </c>
      <c r="I898" t="s">
        <v>243</v>
      </c>
      <c r="J898" t="s">
        <v>78</v>
      </c>
      <c r="K898" t="s">
        <v>89</v>
      </c>
      <c r="L898" t="s">
        <v>254</v>
      </c>
      <c r="M898">
        <v>20</v>
      </c>
      <c r="N898" t="s">
        <v>137</v>
      </c>
      <c r="O898">
        <v>2009</v>
      </c>
      <c r="P898" t="s">
        <v>7326</v>
      </c>
      <c r="Q898" t="s">
        <v>7327</v>
      </c>
      <c r="R898">
        <v>52469</v>
      </c>
      <c r="S898" t="s">
        <v>7324</v>
      </c>
      <c r="T898" t="s">
        <v>7328</v>
      </c>
      <c r="U898">
        <v>1989</v>
      </c>
      <c r="V898" t="s">
        <v>1185</v>
      </c>
      <c r="W898">
        <v>1.87</v>
      </c>
      <c r="X898" t="s">
        <v>76</v>
      </c>
      <c r="Y898" t="s">
        <v>259</v>
      </c>
      <c r="Z898" t="s">
        <v>87</v>
      </c>
      <c r="AA898" t="s">
        <v>3595</v>
      </c>
      <c r="AB898" s="1">
        <v>44568</v>
      </c>
      <c r="AC898" t="s">
        <v>108</v>
      </c>
      <c r="AD898" t="s">
        <v>448</v>
      </c>
      <c r="AE898">
        <v>40036</v>
      </c>
      <c r="AF898">
        <v>20</v>
      </c>
      <c r="AG898" t="s">
        <v>91</v>
      </c>
      <c r="AH898" t="s">
        <v>7329</v>
      </c>
      <c r="AI898">
        <v>31</v>
      </c>
      <c r="AJ898">
        <v>0</v>
      </c>
      <c r="AK898">
        <v>20</v>
      </c>
      <c r="AL898">
        <v>10</v>
      </c>
      <c r="AM898">
        <v>257</v>
      </c>
      <c r="AN898">
        <v>37</v>
      </c>
      <c r="AO898">
        <v>6</v>
      </c>
      <c r="AP898" t="s">
        <v>93</v>
      </c>
      <c r="AQ898" t="s">
        <v>89</v>
      </c>
      <c r="AR898" t="s">
        <v>89</v>
      </c>
      <c r="AS898" t="s">
        <v>111</v>
      </c>
      <c r="AT898" s="1">
        <v>44568</v>
      </c>
      <c r="AU898">
        <v>2022</v>
      </c>
      <c r="AV898">
        <v>13</v>
      </c>
      <c r="AW898">
        <v>13</v>
      </c>
      <c r="AX898" t="s">
        <v>89</v>
      </c>
      <c r="AY898" t="s">
        <v>111</v>
      </c>
      <c r="AZ898">
        <v>5</v>
      </c>
      <c r="BA898">
        <v>7</v>
      </c>
      <c r="BB898">
        <v>492</v>
      </c>
      <c r="BC898">
        <v>0</v>
      </c>
      <c r="BD898">
        <v>428</v>
      </c>
      <c r="BE898">
        <v>30788</v>
      </c>
      <c r="BF898">
        <v>36</v>
      </c>
      <c r="BG898">
        <v>33</v>
      </c>
      <c r="BH898">
        <v>435</v>
      </c>
      <c r="BI898">
        <v>31280</v>
      </c>
      <c r="BJ898">
        <v>36</v>
      </c>
      <c r="BK898">
        <f t="shared" si="119"/>
        <v>435</v>
      </c>
      <c r="BL898">
        <f t="shared" si="120"/>
        <v>31280</v>
      </c>
      <c r="BM898">
        <f t="shared" si="121"/>
        <v>36</v>
      </c>
      <c r="BN898">
        <f t="shared" si="122"/>
        <v>0</v>
      </c>
      <c r="BO898">
        <f t="shared" si="123"/>
        <v>0</v>
      </c>
      <c r="BP898">
        <f t="shared" si="124"/>
        <v>0</v>
      </c>
      <c r="BQ898" t="s">
        <v>259</v>
      </c>
      <c r="BR898" t="s">
        <v>94</v>
      </c>
      <c r="BS898" s="1">
        <v>32658</v>
      </c>
      <c r="BT898">
        <v>36</v>
      </c>
      <c r="BU898" s="1">
        <v>44568</v>
      </c>
      <c r="BV898" s="1">
        <v>44743</v>
      </c>
      <c r="BW898">
        <v>13</v>
      </c>
      <c r="BX898">
        <v>1989</v>
      </c>
      <c r="BY898">
        <v>13</v>
      </c>
      <c r="BZ898">
        <f t="shared" si="125"/>
        <v>0</v>
      </c>
      <c r="CA898">
        <f t="shared" si="126"/>
        <v>0</v>
      </c>
      <c r="CB898" t="b">
        <f t="shared" si="127"/>
        <v>1</v>
      </c>
    </row>
    <row r="899" spans="1:80" x14ac:dyDescent="0.3">
      <c r="A899" t="s">
        <v>7330</v>
      </c>
      <c r="B899" t="s">
        <v>1305</v>
      </c>
      <c r="C899" t="s">
        <v>7331</v>
      </c>
      <c r="D899">
        <v>39</v>
      </c>
      <c r="E899" t="s">
        <v>7332</v>
      </c>
      <c r="F899" t="s">
        <v>6104</v>
      </c>
      <c r="G899" t="s">
        <v>400</v>
      </c>
      <c r="H899" t="s">
        <v>1307</v>
      </c>
      <c r="I899" t="s">
        <v>437</v>
      </c>
      <c r="J899" t="s">
        <v>78</v>
      </c>
      <c r="K899" t="s">
        <v>7333</v>
      </c>
      <c r="L899" t="s">
        <v>163</v>
      </c>
      <c r="M899">
        <v>20</v>
      </c>
      <c r="N899" t="s">
        <v>2837</v>
      </c>
      <c r="O899">
        <v>2006</v>
      </c>
      <c r="P899" t="s">
        <v>7334</v>
      </c>
      <c r="Q899" t="s">
        <v>7335</v>
      </c>
      <c r="R899">
        <v>58001</v>
      </c>
      <c r="S899" t="s">
        <v>7330</v>
      </c>
      <c r="T899" t="s">
        <v>7336</v>
      </c>
      <c r="U899">
        <v>1985</v>
      </c>
      <c r="V899" t="s">
        <v>1312</v>
      </c>
      <c r="W899">
        <v>1.86</v>
      </c>
      <c r="X899" t="s">
        <v>7337</v>
      </c>
      <c r="Y899" t="s">
        <v>123</v>
      </c>
      <c r="Z899" t="s">
        <v>87</v>
      </c>
      <c r="AA899" t="s">
        <v>7338</v>
      </c>
      <c r="AB899">
        <v>45572</v>
      </c>
      <c r="AC899" t="s">
        <v>222</v>
      </c>
      <c r="AD899" t="s">
        <v>89</v>
      </c>
      <c r="AE899">
        <v>39913</v>
      </c>
      <c r="AF899">
        <v>24</v>
      </c>
      <c r="AG899" t="s">
        <v>91</v>
      </c>
      <c r="AH899" t="s">
        <v>2860</v>
      </c>
      <c r="AI899">
        <v>21</v>
      </c>
      <c r="AJ899" t="s">
        <v>110</v>
      </c>
      <c r="AK899">
        <v>21</v>
      </c>
      <c r="AL899">
        <v>4</v>
      </c>
      <c r="AM899">
        <v>164</v>
      </c>
      <c r="AN899">
        <v>18</v>
      </c>
      <c r="AO899">
        <v>4</v>
      </c>
      <c r="AP899" t="s">
        <v>93</v>
      </c>
      <c r="AQ899" t="s">
        <v>89</v>
      </c>
      <c r="AR899" t="s">
        <v>89</v>
      </c>
      <c r="AS899" t="s">
        <v>93</v>
      </c>
      <c r="AT899" t="s">
        <v>89</v>
      </c>
      <c r="AU899" t="s">
        <v>89</v>
      </c>
      <c r="AV899" t="s">
        <v>89</v>
      </c>
      <c r="AW899">
        <v>19</v>
      </c>
      <c r="AX899">
        <v>7</v>
      </c>
      <c r="AY899" t="s">
        <v>111</v>
      </c>
      <c r="AZ899">
        <v>3</v>
      </c>
      <c r="BA899">
        <v>8</v>
      </c>
      <c r="BB899">
        <v>327</v>
      </c>
      <c r="BC899">
        <v>0</v>
      </c>
      <c r="BD899">
        <v>307</v>
      </c>
      <c r="BE899">
        <v>20750</v>
      </c>
      <c r="BF899">
        <v>89</v>
      </c>
      <c r="BG899" t="s">
        <v>89</v>
      </c>
      <c r="BH899">
        <v>315</v>
      </c>
      <c r="BI899">
        <v>21077</v>
      </c>
      <c r="BJ899">
        <v>89</v>
      </c>
      <c r="BK899">
        <f t="shared" ref="BK899:BK962" si="128">+BA899+BD899</f>
        <v>315</v>
      </c>
      <c r="BL899">
        <f t="shared" ref="BL899:BL962" si="129">+BB899+BE899</f>
        <v>21077</v>
      </c>
      <c r="BM899">
        <f t="shared" ref="BM899:BM962" si="130">+BC899+BF899</f>
        <v>89</v>
      </c>
      <c r="BN899">
        <f t="shared" ref="BN899:BN962" si="131">+BK899-BH899</f>
        <v>0</v>
      </c>
      <c r="BO899">
        <f t="shared" ref="BO899:BO962" si="132">+BL899-BI899</f>
        <v>0</v>
      </c>
      <c r="BP899">
        <f t="shared" ref="BP899:BP962" si="133">+BM899-BJ899</f>
        <v>0</v>
      </c>
      <c r="BQ899" t="s">
        <v>123</v>
      </c>
      <c r="BR899" t="s">
        <v>112</v>
      </c>
      <c r="BS899" s="1">
        <v>31278</v>
      </c>
      <c r="BT899">
        <v>40</v>
      </c>
      <c r="BU899" t="s">
        <v>89</v>
      </c>
      <c r="BV899" t="s">
        <v>89</v>
      </c>
      <c r="BW899">
        <v>19</v>
      </c>
      <c r="BX899">
        <v>1985</v>
      </c>
      <c r="BY899">
        <v>18</v>
      </c>
      <c r="BZ899">
        <f t="shared" ref="BZ899:BZ962" si="134">+AW899-BW899</f>
        <v>0</v>
      </c>
      <c r="CA899">
        <f t="shared" ref="CA899:CA962" si="135">+BW899-BY899</f>
        <v>1</v>
      </c>
      <c r="CB899" t="b">
        <f t="shared" ref="CB899:CB962" si="136">+BW899=AW899</f>
        <v>1</v>
      </c>
    </row>
    <row r="900" spans="1:80" x14ac:dyDescent="0.3">
      <c r="A900" t="s">
        <v>7339</v>
      </c>
      <c r="B900" t="s">
        <v>71</v>
      </c>
      <c r="C900" t="s">
        <v>7340</v>
      </c>
      <c r="D900">
        <v>40</v>
      </c>
      <c r="E900" s="1">
        <v>31187</v>
      </c>
      <c r="F900" t="s">
        <v>89</v>
      </c>
      <c r="G900" t="s">
        <v>226</v>
      </c>
      <c r="H900" t="s">
        <v>76</v>
      </c>
      <c r="I900" t="s">
        <v>227</v>
      </c>
      <c r="J900" t="s">
        <v>89</v>
      </c>
      <c r="K900" t="s">
        <v>89</v>
      </c>
      <c r="L900" t="s">
        <v>163</v>
      </c>
      <c r="M900">
        <v>21</v>
      </c>
      <c r="N900" t="s">
        <v>5603</v>
      </c>
      <c r="O900">
        <v>2006</v>
      </c>
      <c r="P900" t="s">
        <v>7341</v>
      </c>
      <c r="Q900" t="s">
        <v>7342</v>
      </c>
      <c r="R900">
        <v>51477</v>
      </c>
      <c r="S900" t="s">
        <v>7339</v>
      </c>
      <c r="T900" t="s">
        <v>7343</v>
      </c>
      <c r="U900">
        <v>1985</v>
      </c>
      <c r="V900" t="s">
        <v>644</v>
      </c>
      <c r="W900">
        <v>1.85</v>
      </c>
      <c r="X900" t="s">
        <v>76</v>
      </c>
      <c r="Y900" t="s">
        <v>235</v>
      </c>
      <c r="Z900" t="s">
        <v>87</v>
      </c>
      <c r="AA900" t="s">
        <v>476</v>
      </c>
      <c r="AB900" s="1">
        <v>44933</v>
      </c>
      <c r="AC900" t="s">
        <v>108</v>
      </c>
      <c r="AD900" t="s">
        <v>89</v>
      </c>
      <c r="AE900" t="s">
        <v>7344</v>
      </c>
      <c r="AF900">
        <v>22</v>
      </c>
      <c r="AG900" t="s">
        <v>91</v>
      </c>
      <c r="AH900" t="s">
        <v>727</v>
      </c>
      <c r="AI900">
        <v>21</v>
      </c>
      <c r="AJ900" t="s">
        <v>110</v>
      </c>
      <c r="AK900">
        <v>21</v>
      </c>
      <c r="AL900">
        <v>1</v>
      </c>
      <c r="AM900">
        <v>22</v>
      </c>
      <c r="AN900">
        <v>7</v>
      </c>
      <c r="AO900">
        <v>1</v>
      </c>
      <c r="AP900" t="s">
        <v>93</v>
      </c>
      <c r="AQ900" t="s">
        <v>89</v>
      </c>
      <c r="AR900" t="s">
        <v>89</v>
      </c>
      <c r="AS900" t="s">
        <v>93</v>
      </c>
      <c r="AT900" t="s">
        <v>89</v>
      </c>
      <c r="AU900" t="s">
        <v>89</v>
      </c>
      <c r="AV900" t="s">
        <v>89</v>
      </c>
      <c r="AW900">
        <v>19</v>
      </c>
      <c r="AX900" t="s">
        <v>89</v>
      </c>
      <c r="AY900" t="s">
        <v>93</v>
      </c>
      <c r="AZ900">
        <v>0</v>
      </c>
      <c r="BA900">
        <v>0</v>
      </c>
      <c r="BB900">
        <v>0</v>
      </c>
      <c r="BC900">
        <v>0</v>
      </c>
      <c r="BD900">
        <v>132</v>
      </c>
      <c r="BE900">
        <v>10422</v>
      </c>
      <c r="BF900">
        <v>5</v>
      </c>
      <c r="BG900" t="s">
        <v>89</v>
      </c>
      <c r="BH900">
        <v>132</v>
      </c>
      <c r="BI900">
        <v>10422</v>
      </c>
      <c r="BJ900">
        <v>5</v>
      </c>
      <c r="BK900">
        <f t="shared" si="128"/>
        <v>132</v>
      </c>
      <c r="BL900">
        <f t="shared" si="129"/>
        <v>10422</v>
      </c>
      <c r="BM900">
        <f t="shared" si="130"/>
        <v>5</v>
      </c>
      <c r="BN900">
        <f t="shared" si="131"/>
        <v>0</v>
      </c>
      <c r="BO900">
        <f t="shared" si="132"/>
        <v>0</v>
      </c>
      <c r="BP900">
        <f t="shared" si="133"/>
        <v>0</v>
      </c>
      <c r="BQ900" t="s">
        <v>235</v>
      </c>
      <c r="BR900" t="s">
        <v>140</v>
      </c>
      <c r="BS900" s="1">
        <v>31187</v>
      </c>
      <c r="BT900">
        <v>40</v>
      </c>
      <c r="BU900" t="s">
        <v>89</v>
      </c>
      <c r="BV900" t="s">
        <v>89</v>
      </c>
      <c r="BW900">
        <v>19</v>
      </c>
      <c r="BX900">
        <v>1985</v>
      </c>
      <c r="BY900">
        <v>19</v>
      </c>
      <c r="BZ900">
        <f t="shared" si="134"/>
        <v>0</v>
      </c>
      <c r="CA900">
        <f t="shared" si="135"/>
        <v>0</v>
      </c>
      <c r="CB900" t="b">
        <f t="shared" si="136"/>
        <v>1</v>
      </c>
    </row>
    <row r="901" spans="1:80" x14ac:dyDescent="0.3">
      <c r="A901" t="s">
        <v>7345</v>
      </c>
      <c r="B901" t="s">
        <v>776</v>
      </c>
      <c r="C901" t="s">
        <v>7346</v>
      </c>
      <c r="D901">
        <v>40</v>
      </c>
      <c r="E901" s="1">
        <v>30932</v>
      </c>
      <c r="F901" t="s">
        <v>89</v>
      </c>
      <c r="G901" t="s">
        <v>193</v>
      </c>
      <c r="H901" t="s">
        <v>778</v>
      </c>
      <c r="I901" t="s">
        <v>227</v>
      </c>
      <c r="J901" t="s">
        <v>78</v>
      </c>
      <c r="K901" t="s">
        <v>89</v>
      </c>
      <c r="L901" t="s">
        <v>117</v>
      </c>
      <c r="M901">
        <v>20</v>
      </c>
      <c r="N901" t="s">
        <v>1696</v>
      </c>
      <c r="O901">
        <v>2005</v>
      </c>
      <c r="P901" t="s">
        <v>7347</v>
      </c>
      <c r="Q901" t="s">
        <v>7348</v>
      </c>
      <c r="R901">
        <v>33357</v>
      </c>
      <c r="S901" t="s">
        <v>7345</v>
      </c>
      <c r="T901" t="s">
        <v>7349</v>
      </c>
      <c r="U901">
        <v>1984</v>
      </c>
      <c r="V901" t="s">
        <v>7350</v>
      </c>
      <c r="W901">
        <v>1.86</v>
      </c>
      <c r="X901" t="s">
        <v>778</v>
      </c>
      <c r="Y901" t="s">
        <v>235</v>
      </c>
      <c r="Z901" t="s">
        <v>87</v>
      </c>
      <c r="AA901" t="s">
        <v>3033</v>
      </c>
      <c r="AB901" s="1">
        <v>45231</v>
      </c>
      <c r="AC901" t="s">
        <v>108</v>
      </c>
      <c r="AD901" t="s">
        <v>442</v>
      </c>
      <c r="AE901" t="s">
        <v>7351</v>
      </c>
      <c r="AF901">
        <v>19</v>
      </c>
      <c r="AG901" t="s">
        <v>786</v>
      </c>
      <c r="AH901" t="s">
        <v>92</v>
      </c>
      <c r="AI901" t="s">
        <v>89</v>
      </c>
      <c r="AJ901" t="s">
        <v>92</v>
      </c>
      <c r="AK901">
        <v>19</v>
      </c>
      <c r="AL901">
        <v>14</v>
      </c>
      <c r="AM901">
        <v>274</v>
      </c>
      <c r="AN901">
        <v>46</v>
      </c>
      <c r="AO901">
        <v>6</v>
      </c>
      <c r="AP901" t="s">
        <v>93</v>
      </c>
      <c r="AQ901" t="s">
        <v>89</v>
      </c>
      <c r="AR901" t="s">
        <v>89</v>
      </c>
      <c r="AS901" t="s">
        <v>111</v>
      </c>
      <c r="AT901" s="1">
        <v>45231</v>
      </c>
      <c r="AU901">
        <v>2023</v>
      </c>
      <c r="AV901">
        <v>18</v>
      </c>
      <c r="AW901">
        <v>18</v>
      </c>
      <c r="AX901" t="s">
        <v>89</v>
      </c>
      <c r="AY901" t="s">
        <v>111</v>
      </c>
      <c r="AZ901">
        <v>10</v>
      </c>
      <c r="BA901">
        <v>44</v>
      </c>
      <c r="BB901">
        <v>3672</v>
      </c>
      <c r="BC901">
        <v>2</v>
      </c>
      <c r="BD901">
        <v>378</v>
      </c>
      <c r="BE901">
        <v>32736</v>
      </c>
      <c r="BF901">
        <v>15</v>
      </c>
      <c r="BG901">
        <v>39</v>
      </c>
      <c r="BH901">
        <v>422</v>
      </c>
      <c r="BI901">
        <v>36408</v>
      </c>
      <c r="BJ901">
        <v>17</v>
      </c>
      <c r="BK901">
        <f t="shared" si="128"/>
        <v>422</v>
      </c>
      <c r="BL901">
        <f t="shared" si="129"/>
        <v>36408</v>
      </c>
      <c r="BM901">
        <f t="shared" si="130"/>
        <v>17</v>
      </c>
      <c r="BN901">
        <f t="shared" si="131"/>
        <v>0</v>
      </c>
      <c r="BO901">
        <f t="shared" si="132"/>
        <v>0</v>
      </c>
      <c r="BP901">
        <f t="shared" si="133"/>
        <v>0</v>
      </c>
      <c r="BQ901" t="s">
        <v>235</v>
      </c>
      <c r="BR901" t="s">
        <v>140</v>
      </c>
      <c r="BS901" t="s">
        <v>89</v>
      </c>
      <c r="BT901">
        <v>42</v>
      </c>
      <c r="BU901" s="1">
        <v>45231</v>
      </c>
      <c r="BV901" s="1">
        <v>44937</v>
      </c>
      <c r="BW901">
        <v>20</v>
      </c>
      <c r="BX901">
        <v>1984</v>
      </c>
      <c r="BY901">
        <v>20</v>
      </c>
      <c r="BZ901">
        <f t="shared" si="134"/>
        <v>-2</v>
      </c>
      <c r="CA901">
        <f t="shared" si="135"/>
        <v>0</v>
      </c>
      <c r="CB901" t="b">
        <f t="shared" si="136"/>
        <v>0</v>
      </c>
    </row>
    <row r="902" spans="1:80" x14ac:dyDescent="0.3">
      <c r="A902" t="s">
        <v>7352</v>
      </c>
      <c r="B902" t="s">
        <v>3354</v>
      </c>
      <c r="C902" t="s">
        <v>7353</v>
      </c>
      <c r="D902">
        <v>35</v>
      </c>
      <c r="E902" t="s">
        <v>7354</v>
      </c>
      <c r="F902" t="s">
        <v>7355</v>
      </c>
      <c r="G902" t="s">
        <v>115</v>
      </c>
      <c r="H902" t="s">
        <v>7356</v>
      </c>
      <c r="I902" t="s">
        <v>668</v>
      </c>
      <c r="J902" t="s">
        <v>78</v>
      </c>
      <c r="K902" t="s">
        <v>7357</v>
      </c>
      <c r="L902" t="s">
        <v>228</v>
      </c>
      <c r="M902">
        <v>20</v>
      </c>
      <c r="N902" t="s">
        <v>7358</v>
      </c>
      <c r="O902">
        <v>2010</v>
      </c>
      <c r="P902" t="s">
        <v>7359</v>
      </c>
      <c r="Q902" t="s">
        <v>7360</v>
      </c>
      <c r="R902">
        <v>75816</v>
      </c>
      <c r="S902" t="s">
        <v>7361</v>
      </c>
      <c r="T902" t="s">
        <v>7362</v>
      </c>
      <c r="U902">
        <v>1990</v>
      </c>
      <c r="V902" t="s">
        <v>7363</v>
      </c>
      <c r="W902">
        <v>1.8</v>
      </c>
      <c r="X902" t="s">
        <v>7364</v>
      </c>
      <c r="Y902" t="s">
        <v>585</v>
      </c>
      <c r="Z902" t="s">
        <v>87</v>
      </c>
      <c r="AA902" t="s">
        <v>7365</v>
      </c>
      <c r="AB902" t="s">
        <v>7366</v>
      </c>
      <c r="AC902" t="s">
        <v>170</v>
      </c>
      <c r="AD902" t="s">
        <v>89</v>
      </c>
      <c r="AE902" t="s">
        <v>6264</v>
      </c>
      <c r="AF902">
        <v>19</v>
      </c>
      <c r="AG902" t="s">
        <v>7367</v>
      </c>
      <c r="AH902" s="1">
        <v>41853</v>
      </c>
      <c r="AI902">
        <v>23</v>
      </c>
      <c r="AJ902" t="s">
        <v>110</v>
      </c>
      <c r="AK902">
        <v>19</v>
      </c>
      <c r="AL902">
        <v>9</v>
      </c>
      <c r="AM902">
        <v>239</v>
      </c>
      <c r="AN902">
        <v>28</v>
      </c>
      <c r="AO902">
        <v>6</v>
      </c>
      <c r="AP902" t="s">
        <v>93</v>
      </c>
      <c r="AQ902" t="s">
        <v>89</v>
      </c>
      <c r="AR902" t="s">
        <v>89</v>
      </c>
      <c r="AS902" t="s">
        <v>93</v>
      </c>
      <c r="AT902" t="s">
        <v>89</v>
      </c>
      <c r="AU902" t="s">
        <v>89</v>
      </c>
      <c r="AV902" t="s">
        <v>89</v>
      </c>
      <c r="AW902">
        <v>15</v>
      </c>
      <c r="AX902">
        <v>9</v>
      </c>
      <c r="AY902" t="s">
        <v>111</v>
      </c>
      <c r="AZ902">
        <v>8</v>
      </c>
      <c r="BA902">
        <v>25</v>
      </c>
      <c r="BB902">
        <v>1568</v>
      </c>
      <c r="BC902">
        <v>2</v>
      </c>
      <c r="BD902">
        <v>314</v>
      </c>
      <c r="BE902">
        <v>24551</v>
      </c>
      <c r="BF902">
        <v>61</v>
      </c>
      <c r="BG902" t="s">
        <v>89</v>
      </c>
      <c r="BH902">
        <v>339</v>
      </c>
      <c r="BI902">
        <v>26119</v>
      </c>
      <c r="BJ902">
        <v>63</v>
      </c>
      <c r="BK902">
        <f t="shared" si="128"/>
        <v>339</v>
      </c>
      <c r="BL902">
        <f t="shared" si="129"/>
        <v>26119</v>
      </c>
      <c r="BM902">
        <f t="shared" si="130"/>
        <v>63</v>
      </c>
      <c r="BN902">
        <f t="shared" si="131"/>
        <v>0</v>
      </c>
      <c r="BO902">
        <f t="shared" si="132"/>
        <v>0</v>
      </c>
      <c r="BP902">
        <f t="shared" si="133"/>
        <v>0</v>
      </c>
      <c r="BQ902" t="s">
        <v>585</v>
      </c>
      <c r="BR902" t="s">
        <v>94</v>
      </c>
      <c r="BS902" s="1">
        <v>33083</v>
      </c>
      <c r="BT902">
        <v>35</v>
      </c>
      <c r="BU902" t="s">
        <v>89</v>
      </c>
      <c r="BV902" t="s">
        <v>89</v>
      </c>
      <c r="BW902">
        <v>16</v>
      </c>
      <c r="BX902">
        <v>1990</v>
      </c>
      <c r="BY902">
        <v>16</v>
      </c>
      <c r="BZ902">
        <f t="shared" si="134"/>
        <v>-1</v>
      </c>
      <c r="CA902">
        <f t="shared" si="135"/>
        <v>0</v>
      </c>
      <c r="CB902" t="b">
        <f t="shared" si="136"/>
        <v>0</v>
      </c>
    </row>
    <row r="903" spans="1:80" x14ac:dyDescent="0.3">
      <c r="A903" t="s">
        <v>7368</v>
      </c>
      <c r="B903" t="s">
        <v>71</v>
      </c>
      <c r="C903" t="s">
        <v>7369</v>
      </c>
      <c r="D903">
        <v>31</v>
      </c>
      <c r="E903" s="1">
        <v>34499</v>
      </c>
      <c r="F903" t="s">
        <v>89</v>
      </c>
      <c r="G903" t="s">
        <v>687</v>
      </c>
      <c r="H903" t="s">
        <v>89</v>
      </c>
      <c r="I903" t="s">
        <v>348</v>
      </c>
      <c r="J903" t="s">
        <v>300</v>
      </c>
      <c r="K903" t="s">
        <v>89</v>
      </c>
      <c r="L903" t="s">
        <v>324</v>
      </c>
      <c r="M903">
        <v>19</v>
      </c>
      <c r="N903" t="s">
        <v>304</v>
      </c>
      <c r="O903">
        <v>2013</v>
      </c>
      <c r="P903" t="s">
        <v>7370</v>
      </c>
      <c r="Q903" t="s">
        <v>7371</v>
      </c>
      <c r="R903">
        <v>230485</v>
      </c>
      <c r="S903" t="s">
        <v>7372</v>
      </c>
      <c r="T903" t="s">
        <v>7373</v>
      </c>
      <c r="U903">
        <v>1994</v>
      </c>
      <c r="V903" t="s">
        <v>345</v>
      </c>
      <c r="W903">
        <v>1.68</v>
      </c>
      <c r="X903" t="s">
        <v>76</v>
      </c>
      <c r="Y903" t="s">
        <v>136</v>
      </c>
      <c r="Z903" t="s">
        <v>87</v>
      </c>
      <c r="AA903" t="s">
        <v>476</v>
      </c>
      <c r="AB903" s="1">
        <v>44568</v>
      </c>
      <c r="AC903" t="s">
        <v>108</v>
      </c>
      <c r="AD903" t="s">
        <v>89</v>
      </c>
      <c r="AE903" s="1">
        <v>41948</v>
      </c>
      <c r="AF903">
        <v>19</v>
      </c>
      <c r="AG903" t="s">
        <v>91</v>
      </c>
      <c r="AH903" t="s">
        <v>92</v>
      </c>
      <c r="AI903" t="s">
        <v>89</v>
      </c>
      <c r="AJ903" t="s">
        <v>89</v>
      </c>
      <c r="AK903">
        <v>19</v>
      </c>
      <c r="AL903" t="s">
        <v>89</v>
      </c>
      <c r="AM903" t="s">
        <v>89</v>
      </c>
      <c r="AN903" t="s">
        <v>89</v>
      </c>
      <c r="AO903">
        <v>0</v>
      </c>
      <c r="AP903" t="s">
        <v>93</v>
      </c>
      <c r="AQ903" t="s">
        <v>89</v>
      </c>
      <c r="AR903" t="s">
        <v>89</v>
      </c>
      <c r="AS903" t="s">
        <v>93</v>
      </c>
      <c r="AT903" t="s">
        <v>89</v>
      </c>
      <c r="AU903" t="s">
        <v>89</v>
      </c>
      <c r="AV903" t="s">
        <v>89</v>
      </c>
      <c r="AW903">
        <v>12</v>
      </c>
      <c r="AX903" t="s">
        <v>89</v>
      </c>
      <c r="AY903" t="s">
        <v>93</v>
      </c>
      <c r="AZ903">
        <v>0</v>
      </c>
      <c r="BA903">
        <v>0</v>
      </c>
      <c r="BB903">
        <v>0</v>
      </c>
      <c r="BC903">
        <v>0</v>
      </c>
      <c r="BD903">
        <v>2</v>
      </c>
      <c r="BE903">
        <v>107</v>
      </c>
      <c r="BF903">
        <v>0</v>
      </c>
      <c r="BG903" t="s">
        <v>89</v>
      </c>
      <c r="BH903">
        <v>2</v>
      </c>
      <c r="BI903">
        <v>107</v>
      </c>
      <c r="BJ903">
        <v>0</v>
      </c>
      <c r="BK903">
        <f t="shared" si="128"/>
        <v>2</v>
      </c>
      <c r="BL903">
        <f t="shared" si="129"/>
        <v>107</v>
      </c>
      <c r="BM903">
        <f t="shared" si="130"/>
        <v>0</v>
      </c>
      <c r="BN903">
        <f t="shared" si="131"/>
        <v>0</v>
      </c>
      <c r="BO903">
        <f t="shared" si="132"/>
        <v>0</v>
      </c>
      <c r="BP903">
        <f t="shared" si="133"/>
        <v>0</v>
      </c>
      <c r="BQ903" t="s">
        <v>136</v>
      </c>
      <c r="BR903" t="s">
        <v>140</v>
      </c>
      <c r="BS903" t="s">
        <v>89</v>
      </c>
      <c r="BT903">
        <v>32</v>
      </c>
      <c r="BU903" t="s">
        <v>89</v>
      </c>
      <c r="BV903" t="s">
        <v>89</v>
      </c>
      <c r="BW903">
        <v>13</v>
      </c>
      <c r="BX903">
        <v>1994</v>
      </c>
      <c r="BY903">
        <v>12</v>
      </c>
      <c r="BZ903">
        <f t="shared" si="134"/>
        <v>-1</v>
      </c>
      <c r="CA903">
        <f t="shared" si="135"/>
        <v>1</v>
      </c>
      <c r="CB903" t="b">
        <f t="shared" si="136"/>
        <v>0</v>
      </c>
    </row>
    <row r="904" spans="1:80" x14ac:dyDescent="0.3">
      <c r="A904" t="s">
        <v>7374</v>
      </c>
      <c r="B904" t="s">
        <v>1056</v>
      </c>
      <c r="C904" t="s">
        <v>7375</v>
      </c>
      <c r="D904">
        <v>42</v>
      </c>
      <c r="E904" s="1">
        <v>30233</v>
      </c>
      <c r="F904" t="s">
        <v>89</v>
      </c>
      <c r="G904" t="s">
        <v>518</v>
      </c>
      <c r="H904" t="s">
        <v>1058</v>
      </c>
      <c r="I904" t="s">
        <v>750</v>
      </c>
      <c r="J904" t="s">
        <v>78</v>
      </c>
      <c r="K904" t="s">
        <v>89</v>
      </c>
      <c r="L904" t="s">
        <v>196</v>
      </c>
      <c r="M904">
        <v>17</v>
      </c>
      <c r="N904" t="s">
        <v>7376</v>
      </c>
      <c r="O904">
        <v>2000</v>
      </c>
      <c r="P904" t="s">
        <v>7377</v>
      </c>
      <c r="Q904" t="s">
        <v>7378</v>
      </c>
      <c r="R904">
        <v>6631</v>
      </c>
      <c r="S904" t="s">
        <v>7379</v>
      </c>
      <c r="T904" s="1">
        <v>30204</v>
      </c>
      <c r="U904">
        <v>1982</v>
      </c>
      <c r="V904" t="s">
        <v>4437</v>
      </c>
      <c r="W904">
        <v>1.8</v>
      </c>
      <c r="X904" t="s">
        <v>1065</v>
      </c>
      <c r="Y904" t="s">
        <v>259</v>
      </c>
      <c r="Z904" t="s">
        <v>87</v>
      </c>
      <c r="AA904" t="s">
        <v>89</v>
      </c>
      <c r="AB904" t="s">
        <v>89</v>
      </c>
      <c r="AC904" t="s">
        <v>89</v>
      </c>
      <c r="AD904" t="s">
        <v>89</v>
      </c>
      <c r="AE904">
        <v>2000</v>
      </c>
      <c r="AF904">
        <v>18</v>
      </c>
      <c r="AG904" t="s">
        <v>206</v>
      </c>
      <c r="AH904">
        <v>2014</v>
      </c>
      <c r="AI904">
        <v>31</v>
      </c>
      <c r="AJ904">
        <v>0</v>
      </c>
      <c r="AK904">
        <v>18</v>
      </c>
      <c r="AL904">
        <v>1</v>
      </c>
      <c r="AM904">
        <v>91</v>
      </c>
      <c r="AN904">
        <v>16</v>
      </c>
      <c r="AO904">
        <v>1</v>
      </c>
      <c r="AP904" t="s">
        <v>111</v>
      </c>
      <c r="AQ904" t="s">
        <v>7380</v>
      </c>
      <c r="AR904">
        <v>40</v>
      </c>
      <c r="AS904" t="s">
        <v>93</v>
      </c>
      <c r="AT904" t="s">
        <v>89</v>
      </c>
      <c r="AU904" t="s">
        <v>89</v>
      </c>
      <c r="AV904">
        <v>23</v>
      </c>
      <c r="AW904">
        <v>23</v>
      </c>
      <c r="AX904" t="s">
        <v>89</v>
      </c>
      <c r="AY904" t="s">
        <v>111</v>
      </c>
      <c r="AZ904">
        <v>1</v>
      </c>
      <c r="BA904">
        <v>5</v>
      </c>
      <c r="BB904">
        <v>406</v>
      </c>
      <c r="BC904">
        <v>0</v>
      </c>
      <c r="BD904">
        <v>313</v>
      </c>
      <c r="BE904">
        <v>24298</v>
      </c>
      <c r="BF904">
        <v>3</v>
      </c>
      <c r="BG904" t="s">
        <v>89</v>
      </c>
      <c r="BH904">
        <v>318</v>
      </c>
      <c r="BI904">
        <v>24704</v>
      </c>
      <c r="BJ904">
        <v>3</v>
      </c>
      <c r="BK904">
        <f t="shared" si="128"/>
        <v>318</v>
      </c>
      <c r="BL904">
        <f t="shared" si="129"/>
        <v>24704</v>
      </c>
      <c r="BM904">
        <f t="shared" si="130"/>
        <v>3</v>
      </c>
      <c r="BN904">
        <f t="shared" si="131"/>
        <v>0</v>
      </c>
      <c r="BO904">
        <f t="shared" si="132"/>
        <v>0</v>
      </c>
      <c r="BP904">
        <f t="shared" si="133"/>
        <v>0</v>
      </c>
      <c r="BQ904" t="s">
        <v>259</v>
      </c>
      <c r="BR904" t="s">
        <v>94</v>
      </c>
      <c r="BS904" s="1">
        <v>30233</v>
      </c>
      <c r="BT904">
        <v>43</v>
      </c>
      <c r="BU904" t="s">
        <v>89</v>
      </c>
      <c r="BV904" t="s">
        <v>89</v>
      </c>
      <c r="BW904">
        <v>22</v>
      </c>
      <c r="BX904">
        <v>1982</v>
      </c>
      <c r="BY904">
        <v>22</v>
      </c>
      <c r="BZ904">
        <f t="shared" si="134"/>
        <v>1</v>
      </c>
      <c r="CA904">
        <f t="shared" si="135"/>
        <v>0</v>
      </c>
      <c r="CB904" t="b">
        <f t="shared" si="136"/>
        <v>0</v>
      </c>
    </row>
    <row r="905" spans="1:80" x14ac:dyDescent="0.3">
      <c r="A905" t="s">
        <v>7381</v>
      </c>
      <c r="B905" t="s">
        <v>191</v>
      </c>
      <c r="C905" t="s">
        <v>7382</v>
      </c>
      <c r="D905">
        <v>38</v>
      </c>
      <c r="E905" s="1">
        <v>31838</v>
      </c>
      <c r="F905" t="s">
        <v>89</v>
      </c>
      <c r="G905" t="s">
        <v>1381</v>
      </c>
      <c r="H905" t="s">
        <v>89</v>
      </c>
      <c r="I905" t="s">
        <v>227</v>
      </c>
      <c r="J905" t="s">
        <v>639</v>
      </c>
      <c r="K905" t="s">
        <v>89</v>
      </c>
      <c r="L905" t="s">
        <v>117</v>
      </c>
      <c r="M905">
        <v>18</v>
      </c>
      <c r="N905" t="s">
        <v>7383</v>
      </c>
      <c r="O905">
        <v>2005</v>
      </c>
      <c r="P905" t="s">
        <v>7384</v>
      </c>
      <c r="Q905" t="s">
        <v>7385</v>
      </c>
      <c r="R905">
        <v>41749</v>
      </c>
      <c r="S905" t="s">
        <v>7381</v>
      </c>
      <c r="T905">
        <v>31811</v>
      </c>
      <c r="U905">
        <v>1987</v>
      </c>
      <c r="V905" t="s">
        <v>7386</v>
      </c>
      <c r="W905">
        <v>1.92</v>
      </c>
      <c r="X905" t="s">
        <v>6378</v>
      </c>
      <c r="Y905" t="s">
        <v>235</v>
      </c>
      <c r="Z905" t="s">
        <v>87</v>
      </c>
      <c r="AA905" t="s">
        <v>476</v>
      </c>
      <c r="AB905" s="1">
        <v>45664</v>
      </c>
      <c r="AC905" t="s">
        <v>108</v>
      </c>
      <c r="AD905" t="s">
        <v>89</v>
      </c>
      <c r="AE905" s="1">
        <v>2007</v>
      </c>
      <c r="AF905">
        <v>20</v>
      </c>
      <c r="AG905" t="s">
        <v>573</v>
      </c>
      <c r="AH905">
        <v>2006</v>
      </c>
      <c r="AI905">
        <v>19</v>
      </c>
      <c r="AJ905">
        <v>0</v>
      </c>
      <c r="AK905">
        <v>19</v>
      </c>
      <c r="AL905">
        <v>11</v>
      </c>
      <c r="AM905">
        <v>680</v>
      </c>
      <c r="AN905">
        <v>100</v>
      </c>
      <c r="AO905">
        <v>7</v>
      </c>
      <c r="AP905" t="s">
        <v>93</v>
      </c>
      <c r="AQ905" t="s">
        <v>89</v>
      </c>
      <c r="AR905" t="s">
        <v>89</v>
      </c>
      <c r="AS905" t="s">
        <v>93</v>
      </c>
      <c r="AT905" t="s">
        <v>89</v>
      </c>
      <c r="AU905" t="s">
        <v>89</v>
      </c>
      <c r="AV905" t="s">
        <v>89</v>
      </c>
      <c r="AW905">
        <v>20</v>
      </c>
      <c r="AX905" t="s">
        <v>89</v>
      </c>
      <c r="AY905" t="s">
        <v>93</v>
      </c>
      <c r="AZ905">
        <v>0</v>
      </c>
      <c r="BA905">
        <v>0</v>
      </c>
      <c r="BB905">
        <v>0</v>
      </c>
      <c r="BC905">
        <v>0</v>
      </c>
      <c r="BD905">
        <v>163</v>
      </c>
      <c r="BE905">
        <v>12308</v>
      </c>
      <c r="BF905">
        <v>4</v>
      </c>
      <c r="BG905" t="s">
        <v>89</v>
      </c>
      <c r="BH905">
        <v>163</v>
      </c>
      <c r="BI905">
        <v>12308</v>
      </c>
      <c r="BJ905">
        <v>4</v>
      </c>
      <c r="BK905">
        <f t="shared" si="128"/>
        <v>163</v>
      </c>
      <c r="BL905">
        <f t="shared" si="129"/>
        <v>12308</v>
      </c>
      <c r="BM905">
        <f t="shared" si="130"/>
        <v>4</v>
      </c>
      <c r="BN905">
        <f t="shared" si="131"/>
        <v>0</v>
      </c>
      <c r="BO905">
        <f t="shared" si="132"/>
        <v>0</v>
      </c>
      <c r="BP905">
        <f t="shared" si="133"/>
        <v>0</v>
      </c>
      <c r="BQ905" t="s">
        <v>235</v>
      </c>
      <c r="BR905" t="s">
        <v>140</v>
      </c>
      <c r="BS905" t="s">
        <v>89</v>
      </c>
      <c r="BT905">
        <v>39</v>
      </c>
      <c r="BU905" t="s">
        <v>89</v>
      </c>
      <c r="BV905" t="s">
        <v>89</v>
      </c>
      <c r="BW905">
        <v>20</v>
      </c>
      <c r="BX905">
        <v>1987</v>
      </c>
      <c r="BY905">
        <v>19</v>
      </c>
      <c r="BZ905">
        <f t="shared" si="134"/>
        <v>0</v>
      </c>
      <c r="CA905">
        <f t="shared" si="135"/>
        <v>1</v>
      </c>
      <c r="CB905" t="b">
        <f t="shared" si="136"/>
        <v>1</v>
      </c>
    </row>
    <row r="906" spans="1:80" x14ac:dyDescent="0.3">
      <c r="A906" t="s">
        <v>7387</v>
      </c>
      <c r="B906" t="s">
        <v>603</v>
      </c>
      <c r="C906" t="s">
        <v>7388</v>
      </c>
      <c r="D906">
        <v>41</v>
      </c>
      <c r="E906" s="1">
        <v>30673</v>
      </c>
      <c r="F906" t="s">
        <v>89</v>
      </c>
      <c r="G906" t="s">
        <v>176</v>
      </c>
      <c r="H906" t="s">
        <v>606</v>
      </c>
      <c r="I906" t="s">
        <v>243</v>
      </c>
      <c r="J906" t="s">
        <v>89</v>
      </c>
      <c r="K906" t="s">
        <v>89</v>
      </c>
      <c r="L906" t="s">
        <v>99</v>
      </c>
      <c r="M906">
        <v>17</v>
      </c>
      <c r="N906" t="s">
        <v>3663</v>
      </c>
      <c r="O906">
        <v>2001</v>
      </c>
      <c r="P906" t="s">
        <v>7389</v>
      </c>
      <c r="Q906" t="s">
        <v>7390</v>
      </c>
      <c r="R906">
        <v>19450</v>
      </c>
      <c r="S906" t="s">
        <v>7387</v>
      </c>
      <c r="T906" t="s">
        <v>7391</v>
      </c>
      <c r="U906">
        <v>1983</v>
      </c>
      <c r="V906" t="s">
        <v>1594</v>
      </c>
      <c r="W906">
        <v>1.84</v>
      </c>
      <c r="X906" t="s">
        <v>7392</v>
      </c>
      <c r="Y906" t="s">
        <v>235</v>
      </c>
      <c r="Z906" t="s">
        <v>87</v>
      </c>
      <c r="AA906" t="s">
        <v>2916</v>
      </c>
      <c r="AB906" s="1">
        <v>41281</v>
      </c>
      <c r="AC906" t="s">
        <v>108</v>
      </c>
      <c r="AD906" t="s">
        <v>89</v>
      </c>
      <c r="AE906" t="s">
        <v>7393</v>
      </c>
      <c r="AF906">
        <v>18</v>
      </c>
      <c r="AG906" t="s">
        <v>573</v>
      </c>
      <c r="AH906">
        <v>37721</v>
      </c>
      <c r="AI906">
        <v>19</v>
      </c>
      <c r="AJ906" t="s">
        <v>575</v>
      </c>
      <c r="AK906">
        <v>18</v>
      </c>
      <c r="AL906">
        <v>4</v>
      </c>
      <c r="AM906">
        <v>106</v>
      </c>
      <c r="AN906">
        <v>21</v>
      </c>
      <c r="AO906">
        <v>3</v>
      </c>
      <c r="AP906" t="s">
        <v>93</v>
      </c>
      <c r="AQ906" t="s">
        <v>89</v>
      </c>
      <c r="AR906" t="s">
        <v>89</v>
      </c>
      <c r="AS906" t="s">
        <v>111</v>
      </c>
      <c r="AT906" s="1">
        <v>41281</v>
      </c>
      <c r="AU906">
        <v>2013</v>
      </c>
      <c r="AV906">
        <v>12</v>
      </c>
      <c r="AW906">
        <v>12</v>
      </c>
      <c r="AX906" t="s">
        <v>89</v>
      </c>
      <c r="AY906" t="s">
        <v>93</v>
      </c>
      <c r="AZ906">
        <v>0</v>
      </c>
      <c r="BA906">
        <v>0</v>
      </c>
      <c r="BB906">
        <v>0</v>
      </c>
      <c r="BC906">
        <v>0</v>
      </c>
      <c r="BD906">
        <v>172</v>
      </c>
      <c r="BE906">
        <v>14536</v>
      </c>
      <c r="BF906">
        <v>6</v>
      </c>
      <c r="BG906">
        <v>30</v>
      </c>
      <c r="BH906">
        <v>172</v>
      </c>
      <c r="BI906">
        <v>14536</v>
      </c>
      <c r="BJ906">
        <v>6</v>
      </c>
      <c r="BK906">
        <f t="shared" si="128"/>
        <v>172</v>
      </c>
      <c r="BL906">
        <f t="shared" si="129"/>
        <v>14536</v>
      </c>
      <c r="BM906">
        <f t="shared" si="130"/>
        <v>6</v>
      </c>
      <c r="BN906">
        <f t="shared" si="131"/>
        <v>0</v>
      </c>
      <c r="BO906">
        <f t="shared" si="132"/>
        <v>0</v>
      </c>
      <c r="BP906">
        <f t="shared" si="133"/>
        <v>0</v>
      </c>
      <c r="BQ906" t="s">
        <v>235</v>
      </c>
      <c r="BR906" t="s">
        <v>140</v>
      </c>
      <c r="BS906" s="1">
        <v>30673</v>
      </c>
      <c r="BT906">
        <v>42</v>
      </c>
      <c r="BU906" s="1">
        <v>41281</v>
      </c>
      <c r="BV906" s="1">
        <v>41456</v>
      </c>
      <c r="BW906">
        <v>12</v>
      </c>
      <c r="BX906">
        <v>1983</v>
      </c>
      <c r="BY906">
        <v>12</v>
      </c>
      <c r="BZ906">
        <f t="shared" si="134"/>
        <v>0</v>
      </c>
      <c r="CA906">
        <f t="shared" si="135"/>
        <v>0</v>
      </c>
      <c r="CB906" t="b">
        <f t="shared" si="136"/>
        <v>1</v>
      </c>
    </row>
    <row r="907" spans="1:80" x14ac:dyDescent="0.3">
      <c r="A907" t="s">
        <v>7394</v>
      </c>
      <c r="B907" t="s">
        <v>3811</v>
      </c>
      <c r="C907" t="s">
        <v>7395</v>
      </c>
      <c r="D907">
        <v>40</v>
      </c>
      <c r="E907" s="1">
        <v>31069</v>
      </c>
      <c r="F907" t="s">
        <v>89</v>
      </c>
      <c r="G907" t="s">
        <v>334</v>
      </c>
      <c r="H907" t="s">
        <v>3813</v>
      </c>
      <c r="I907" t="s">
        <v>253</v>
      </c>
      <c r="J907" t="s">
        <v>78</v>
      </c>
      <c r="K907" t="s">
        <v>89</v>
      </c>
      <c r="L907" t="s">
        <v>657</v>
      </c>
      <c r="M907">
        <v>18</v>
      </c>
      <c r="N907" t="s">
        <v>214</v>
      </c>
      <c r="O907">
        <v>2003</v>
      </c>
      <c r="P907" t="s">
        <v>7396</v>
      </c>
      <c r="Q907" t="s">
        <v>7397</v>
      </c>
      <c r="R907">
        <v>6119</v>
      </c>
      <c r="S907" t="s">
        <v>7394</v>
      </c>
      <c r="T907" t="s">
        <v>7398</v>
      </c>
      <c r="U907">
        <v>1985</v>
      </c>
      <c r="V907" t="s">
        <v>7399</v>
      </c>
      <c r="W907">
        <v>1.91</v>
      </c>
      <c r="X907" t="s">
        <v>593</v>
      </c>
      <c r="Y907" t="s">
        <v>259</v>
      </c>
      <c r="Z907" t="s">
        <v>87</v>
      </c>
      <c r="AA907" t="s">
        <v>7400</v>
      </c>
      <c r="AB907" t="s">
        <v>7401</v>
      </c>
      <c r="AC907" t="s">
        <v>108</v>
      </c>
      <c r="AD907" t="s">
        <v>89</v>
      </c>
      <c r="AE907" t="s">
        <v>1229</v>
      </c>
      <c r="AF907">
        <v>18</v>
      </c>
      <c r="AG907" t="s">
        <v>91</v>
      </c>
      <c r="AH907" t="s">
        <v>7402</v>
      </c>
      <c r="AI907">
        <v>32</v>
      </c>
      <c r="AJ907" t="s">
        <v>575</v>
      </c>
      <c r="AK907">
        <v>18</v>
      </c>
      <c r="AL907">
        <v>5</v>
      </c>
      <c r="AM907">
        <v>264</v>
      </c>
      <c r="AN907">
        <v>35</v>
      </c>
      <c r="AO907">
        <v>4</v>
      </c>
      <c r="AP907" t="s">
        <v>93</v>
      </c>
      <c r="AQ907" t="s">
        <v>89</v>
      </c>
      <c r="AR907" t="s">
        <v>89</v>
      </c>
      <c r="AS907" t="s">
        <v>111</v>
      </c>
      <c r="AT907" t="s">
        <v>7401</v>
      </c>
      <c r="AU907">
        <v>2020</v>
      </c>
      <c r="AV907">
        <v>17</v>
      </c>
      <c r="AW907">
        <v>17</v>
      </c>
      <c r="AX907" t="s">
        <v>89</v>
      </c>
      <c r="AY907" t="s">
        <v>111</v>
      </c>
      <c r="AZ907">
        <v>3</v>
      </c>
      <c r="BA907">
        <v>8</v>
      </c>
      <c r="BB907">
        <v>510</v>
      </c>
      <c r="BC907">
        <v>0</v>
      </c>
      <c r="BD907">
        <v>320</v>
      </c>
      <c r="BE907">
        <v>20412</v>
      </c>
      <c r="BF907">
        <v>10</v>
      </c>
      <c r="BG907">
        <v>35</v>
      </c>
      <c r="BH907">
        <v>328</v>
      </c>
      <c r="BI907">
        <v>20922</v>
      </c>
      <c r="BJ907">
        <v>10</v>
      </c>
      <c r="BK907">
        <f t="shared" si="128"/>
        <v>328</v>
      </c>
      <c r="BL907">
        <f t="shared" si="129"/>
        <v>20922</v>
      </c>
      <c r="BM907">
        <f t="shared" si="130"/>
        <v>10</v>
      </c>
      <c r="BN907">
        <f t="shared" si="131"/>
        <v>0</v>
      </c>
      <c r="BO907">
        <f t="shared" si="132"/>
        <v>0</v>
      </c>
      <c r="BP907">
        <f t="shared" si="133"/>
        <v>0</v>
      </c>
      <c r="BQ907" t="s">
        <v>259</v>
      </c>
      <c r="BR907" t="s">
        <v>94</v>
      </c>
      <c r="BS907" s="1">
        <v>31069</v>
      </c>
      <c r="BT907">
        <v>41</v>
      </c>
      <c r="BU907" t="s">
        <v>7401</v>
      </c>
      <c r="BV907" s="1">
        <v>43844</v>
      </c>
      <c r="BW907">
        <v>17</v>
      </c>
      <c r="BX907">
        <v>1985</v>
      </c>
      <c r="BY907">
        <v>17</v>
      </c>
      <c r="BZ907">
        <f t="shared" si="134"/>
        <v>0</v>
      </c>
      <c r="CA907">
        <f t="shared" si="135"/>
        <v>0</v>
      </c>
      <c r="CB907" t="b">
        <f t="shared" si="136"/>
        <v>1</v>
      </c>
    </row>
    <row r="908" spans="1:80" x14ac:dyDescent="0.3">
      <c r="A908" t="s">
        <v>7403</v>
      </c>
      <c r="B908" t="s">
        <v>7404</v>
      </c>
      <c r="C908" t="s">
        <v>7405</v>
      </c>
      <c r="D908">
        <v>41</v>
      </c>
      <c r="E908" s="1">
        <v>30712</v>
      </c>
      <c r="F908" t="s">
        <v>89</v>
      </c>
      <c r="G908" t="s">
        <v>298</v>
      </c>
      <c r="H908" t="s">
        <v>7406</v>
      </c>
      <c r="I908" t="s">
        <v>437</v>
      </c>
      <c r="J908" t="s">
        <v>89</v>
      </c>
      <c r="K908" t="s">
        <v>89</v>
      </c>
      <c r="L908" t="s">
        <v>657</v>
      </c>
      <c r="M908">
        <v>19</v>
      </c>
      <c r="N908" t="s">
        <v>4860</v>
      </c>
      <c r="O908">
        <v>2003</v>
      </c>
      <c r="P908" t="s">
        <v>7407</v>
      </c>
      <c r="Q908" t="s">
        <v>7408</v>
      </c>
      <c r="R908">
        <v>18949</v>
      </c>
      <c r="S908" t="s">
        <v>7409</v>
      </c>
      <c r="T908" t="s">
        <v>7410</v>
      </c>
      <c r="U908">
        <v>1984</v>
      </c>
      <c r="V908" t="s">
        <v>7411</v>
      </c>
      <c r="W908">
        <v>1.76</v>
      </c>
      <c r="X908" t="s">
        <v>7412</v>
      </c>
      <c r="Y908" t="s">
        <v>123</v>
      </c>
      <c r="Z908" t="s">
        <v>87</v>
      </c>
      <c r="AA908" t="s">
        <v>7413</v>
      </c>
      <c r="AB908">
        <v>44568</v>
      </c>
      <c r="AC908" t="s">
        <v>108</v>
      </c>
      <c r="AD908" t="s">
        <v>89</v>
      </c>
      <c r="AE908" t="s">
        <v>7414</v>
      </c>
      <c r="AF908">
        <v>19</v>
      </c>
      <c r="AG908" t="s">
        <v>1161</v>
      </c>
      <c r="AH908" t="s">
        <v>92</v>
      </c>
      <c r="AI908" t="s">
        <v>89</v>
      </c>
      <c r="AJ908" t="s">
        <v>92</v>
      </c>
      <c r="AK908">
        <v>19</v>
      </c>
      <c r="AL908">
        <v>3</v>
      </c>
      <c r="AM908">
        <v>70</v>
      </c>
      <c r="AN908">
        <v>8</v>
      </c>
      <c r="AO908">
        <v>3</v>
      </c>
      <c r="AP908" t="s">
        <v>93</v>
      </c>
      <c r="AQ908" t="s">
        <v>89</v>
      </c>
      <c r="AR908" t="s">
        <v>89</v>
      </c>
      <c r="AS908" t="s">
        <v>111</v>
      </c>
      <c r="AT908">
        <v>44568</v>
      </c>
      <c r="AU908">
        <v>2022</v>
      </c>
      <c r="AV908">
        <v>19</v>
      </c>
      <c r="AW908">
        <v>19</v>
      </c>
      <c r="AX908" t="s">
        <v>89</v>
      </c>
      <c r="AY908" t="s">
        <v>93</v>
      </c>
      <c r="AZ908">
        <v>0</v>
      </c>
      <c r="BA908">
        <v>0</v>
      </c>
      <c r="BB908">
        <v>0</v>
      </c>
      <c r="BC908">
        <v>0</v>
      </c>
      <c r="BD908">
        <v>306</v>
      </c>
      <c r="BE908">
        <v>21248</v>
      </c>
      <c r="BF908">
        <v>99</v>
      </c>
      <c r="BG908">
        <v>38</v>
      </c>
      <c r="BH908">
        <v>306</v>
      </c>
      <c r="BI908">
        <v>21248</v>
      </c>
      <c r="BJ908">
        <v>99</v>
      </c>
      <c r="BK908">
        <f t="shared" si="128"/>
        <v>306</v>
      </c>
      <c r="BL908">
        <f t="shared" si="129"/>
        <v>21248</v>
      </c>
      <c r="BM908">
        <f t="shared" si="130"/>
        <v>99</v>
      </c>
      <c r="BN908">
        <f t="shared" si="131"/>
        <v>0</v>
      </c>
      <c r="BO908">
        <f t="shared" si="132"/>
        <v>0</v>
      </c>
      <c r="BP908">
        <f t="shared" si="133"/>
        <v>0</v>
      </c>
      <c r="BQ908" t="s">
        <v>123</v>
      </c>
      <c r="BR908" t="s">
        <v>112</v>
      </c>
      <c r="BS908" t="s">
        <v>89</v>
      </c>
      <c r="BT908">
        <v>42</v>
      </c>
      <c r="BU908">
        <v>44568</v>
      </c>
      <c r="BV908" t="s">
        <v>89</v>
      </c>
      <c r="BW908">
        <v>19</v>
      </c>
      <c r="BX908">
        <v>1984</v>
      </c>
      <c r="BY908">
        <v>19</v>
      </c>
      <c r="BZ908">
        <f t="shared" si="134"/>
        <v>0</v>
      </c>
      <c r="CA908">
        <f t="shared" si="135"/>
        <v>0</v>
      </c>
      <c r="CB908" t="b">
        <f t="shared" si="136"/>
        <v>1</v>
      </c>
    </row>
    <row r="909" spans="1:80" x14ac:dyDescent="0.3">
      <c r="A909" t="s">
        <v>7415</v>
      </c>
      <c r="B909" t="s">
        <v>1351</v>
      </c>
      <c r="C909" t="s">
        <v>7416</v>
      </c>
      <c r="D909">
        <v>33</v>
      </c>
      <c r="E909" s="1">
        <v>33556</v>
      </c>
      <c r="F909" t="s">
        <v>89</v>
      </c>
      <c r="G909" t="s">
        <v>535</v>
      </c>
      <c r="H909" t="s">
        <v>1353</v>
      </c>
      <c r="I909" t="s">
        <v>7417</v>
      </c>
      <c r="J909" t="s">
        <v>300</v>
      </c>
      <c r="K909" t="s">
        <v>89</v>
      </c>
      <c r="L909">
        <v>2010</v>
      </c>
      <c r="M909">
        <v>18</v>
      </c>
      <c r="N909" t="s">
        <v>7081</v>
      </c>
      <c r="O909">
        <v>2010</v>
      </c>
      <c r="P909" t="s">
        <v>7418</v>
      </c>
      <c r="Q909" t="s">
        <v>7419</v>
      </c>
      <c r="R909">
        <v>164478</v>
      </c>
      <c r="S909" t="s">
        <v>7415</v>
      </c>
      <c r="T909" t="s">
        <v>7420</v>
      </c>
      <c r="U909">
        <v>1991</v>
      </c>
      <c r="V909" t="s">
        <v>1358</v>
      </c>
      <c r="W909">
        <v>1.7</v>
      </c>
      <c r="X909" t="s">
        <v>1353</v>
      </c>
      <c r="Y909" t="s">
        <v>259</v>
      </c>
      <c r="Z909" t="s">
        <v>152</v>
      </c>
      <c r="AA909" t="s">
        <v>7421</v>
      </c>
      <c r="AB909" t="s">
        <v>7422</v>
      </c>
      <c r="AC909" t="s">
        <v>108</v>
      </c>
      <c r="AD909" t="s">
        <v>223</v>
      </c>
      <c r="AE909" t="s">
        <v>7022</v>
      </c>
      <c r="AF909">
        <v>18</v>
      </c>
      <c r="AG909" t="s">
        <v>1360</v>
      </c>
      <c r="AH909" t="s">
        <v>7423</v>
      </c>
      <c r="AI909">
        <v>29</v>
      </c>
      <c r="AJ909" t="s">
        <v>7424</v>
      </c>
      <c r="AK909">
        <v>18</v>
      </c>
      <c r="AL909">
        <v>2</v>
      </c>
      <c r="AM909">
        <v>52</v>
      </c>
      <c r="AN909">
        <v>7</v>
      </c>
      <c r="AO909">
        <v>1</v>
      </c>
      <c r="AP909" t="s">
        <v>93</v>
      </c>
      <c r="AQ909" t="s">
        <v>89</v>
      </c>
      <c r="AR909" t="s">
        <v>89</v>
      </c>
      <c r="AS909" t="s">
        <v>111</v>
      </c>
      <c r="AT909" t="s">
        <v>7422</v>
      </c>
      <c r="AU909">
        <v>2024</v>
      </c>
      <c r="AV909">
        <v>14</v>
      </c>
      <c r="AW909">
        <v>15</v>
      </c>
      <c r="AX909" t="s">
        <v>89</v>
      </c>
      <c r="AY909" t="s">
        <v>111</v>
      </c>
      <c r="AZ909">
        <v>2</v>
      </c>
      <c r="BA909">
        <v>4</v>
      </c>
      <c r="BB909">
        <v>113</v>
      </c>
      <c r="BC909">
        <v>0</v>
      </c>
      <c r="BD909">
        <v>272</v>
      </c>
      <c r="BE909">
        <v>21399</v>
      </c>
      <c r="BF909">
        <v>5</v>
      </c>
      <c r="BG909">
        <v>33</v>
      </c>
      <c r="BH909">
        <v>276</v>
      </c>
      <c r="BI909">
        <v>21512</v>
      </c>
      <c r="BJ909">
        <v>5</v>
      </c>
      <c r="BK909">
        <f t="shared" si="128"/>
        <v>276</v>
      </c>
      <c r="BL909">
        <f t="shared" si="129"/>
        <v>21512</v>
      </c>
      <c r="BM909">
        <f t="shared" si="130"/>
        <v>5</v>
      </c>
      <c r="BN909">
        <f t="shared" si="131"/>
        <v>0</v>
      </c>
      <c r="BO909">
        <f t="shared" si="132"/>
        <v>0</v>
      </c>
      <c r="BP909">
        <f t="shared" si="133"/>
        <v>0</v>
      </c>
      <c r="BQ909" t="s">
        <v>259</v>
      </c>
      <c r="BR909" t="s">
        <v>94</v>
      </c>
      <c r="BS909" t="s">
        <v>89</v>
      </c>
      <c r="BT909">
        <v>35</v>
      </c>
      <c r="BU909" t="s">
        <v>7422</v>
      </c>
      <c r="BV909" s="1">
        <v>45380</v>
      </c>
      <c r="BW909">
        <v>15</v>
      </c>
      <c r="BX909">
        <v>1991</v>
      </c>
      <c r="BY909">
        <v>15</v>
      </c>
      <c r="BZ909">
        <f t="shared" si="134"/>
        <v>0</v>
      </c>
      <c r="CA909">
        <f t="shared" si="135"/>
        <v>0</v>
      </c>
      <c r="CB909" t="b">
        <f t="shared" si="136"/>
        <v>1</v>
      </c>
    </row>
    <row r="910" spans="1:80" x14ac:dyDescent="0.3">
      <c r="A910" t="s">
        <v>7425</v>
      </c>
      <c r="B910" t="s">
        <v>1351</v>
      </c>
      <c r="C910" t="s">
        <v>7426</v>
      </c>
      <c r="D910">
        <v>32</v>
      </c>
      <c r="E910" s="1">
        <v>33962</v>
      </c>
      <c r="F910" t="s">
        <v>89</v>
      </c>
      <c r="G910" t="s">
        <v>75</v>
      </c>
      <c r="H910" t="s">
        <v>89</v>
      </c>
      <c r="I910" t="s">
        <v>253</v>
      </c>
      <c r="J910" t="s">
        <v>78</v>
      </c>
      <c r="K910" t="s">
        <v>89</v>
      </c>
      <c r="L910" t="s">
        <v>324</v>
      </c>
      <c r="M910">
        <v>20</v>
      </c>
      <c r="N910" t="s">
        <v>229</v>
      </c>
      <c r="O910">
        <v>2013</v>
      </c>
      <c r="P910" t="s">
        <v>7427</v>
      </c>
      <c r="Q910" t="s">
        <v>7428</v>
      </c>
      <c r="R910">
        <v>247189</v>
      </c>
      <c r="S910" t="s">
        <v>7425</v>
      </c>
      <c r="T910" t="s">
        <v>7429</v>
      </c>
      <c r="U910">
        <v>1992</v>
      </c>
      <c r="V910" t="s">
        <v>1358</v>
      </c>
      <c r="W910">
        <v>1.78</v>
      </c>
      <c r="X910" t="s">
        <v>1353</v>
      </c>
      <c r="Y910" t="s">
        <v>259</v>
      </c>
      <c r="Z910" t="s">
        <v>87</v>
      </c>
      <c r="AA910" t="s">
        <v>476</v>
      </c>
      <c r="AB910" s="1">
        <v>45292</v>
      </c>
      <c r="AC910" t="s">
        <v>108</v>
      </c>
      <c r="AD910" t="s">
        <v>89</v>
      </c>
      <c r="AE910" t="s">
        <v>331</v>
      </c>
      <c r="AF910">
        <v>20</v>
      </c>
      <c r="AG910" t="s">
        <v>91</v>
      </c>
      <c r="AH910" t="s">
        <v>3953</v>
      </c>
      <c r="AI910">
        <v>22</v>
      </c>
      <c r="AJ910" t="s">
        <v>110</v>
      </c>
      <c r="AK910">
        <v>20</v>
      </c>
      <c r="AL910">
        <v>6</v>
      </c>
      <c r="AM910">
        <v>448</v>
      </c>
      <c r="AN910">
        <v>40</v>
      </c>
      <c r="AO910">
        <v>4</v>
      </c>
      <c r="AP910" t="s">
        <v>93</v>
      </c>
      <c r="AQ910" t="s">
        <v>89</v>
      </c>
      <c r="AR910" t="s">
        <v>89</v>
      </c>
      <c r="AS910" t="s">
        <v>93</v>
      </c>
      <c r="AT910" t="s">
        <v>89</v>
      </c>
      <c r="AU910" t="s">
        <v>89</v>
      </c>
      <c r="AV910" t="s">
        <v>89</v>
      </c>
      <c r="AW910">
        <v>12</v>
      </c>
      <c r="AX910" t="s">
        <v>89</v>
      </c>
      <c r="AY910" t="s">
        <v>93</v>
      </c>
      <c r="AZ910">
        <v>0</v>
      </c>
      <c r="BA910">
        <v>0</v>
      </c>
      <c r="BB910">
        <v>0</v>
      </c>
      <c r="BC910">
        <v>0</v>
      </c>
      <c r="BD910">
        <v>93</v>
      </c>
      <c r="BE910">
        <v>6914</v>
      </c>
      <c r="BF910">
        <v>1</v>
      </c>
      <c r="BG910" t="s">
        <v>89</v>
      </c>
      <c r="BH910">
        <v>93</v>
      </c>
      <c r="BI910">
        <v>6914</v>
      </c>
      <c r="BJ910">
        <v>1</v>
      </c>
      <c r="BK910">
        <f t="shared" si="128"/>
        <v>93</v>
      </c>
      <c r="BL910">
        <f t="shared" si="129"/>
        <v>6914</v>
      </c>
      <c r="BM910">
        <f t="shared" si="130"/>
        <v>1</v>
      </c>
      <c r="BN910">
        <f t="shared" si="131"/>
        <v>0</v>
      </c>
      <c r="BO910">
        <f t="shared" si="132"/>
        <v>0</v>
      </c>
      <c r="BP910">
        <f t="shared" si="133"/>
        <v>0</v>
      </c>
      <c r="BQ910" t="s">
        <v>259</v>
      </c>
      <c r="BR910" t="s">
        <v>94</v>
      </c>
      <c r="BS910" s="1">
        <v>33962</v>
      </c>
      <c r="BT910">
        <v>33</v>
      </c>
      <c r="BU910" t="s">
        <v>89</v>
      </c>
      <c r="BV910" t="s">
        <v>89</v>
      </c>
      <c r="BW910">
        <v>13</v>
      </c>
      <c r="BX910">
        <v>1992</v>
      </c>
      <c r="BY910">
        <v>12</v>
      </c>
      <c r="BZ910">
        <f t="shared" si="134"/>
        <v>-1</v>
      </c>
      <c r="CA910">
        <f t="shared" si="135"/>
        <v>1</v>
      </c>
      <c r="CB910" t="b">
        <f t="shared" si="136"/>
        <v>0</v>
      </c>
    </row>
    <row r="911" spans="1:80" x14ac:dyDescent="0.3">
      <c r="A911" t="s">
        <v>7430</v>
      </c>
      <c r="B911" t="s">
        <v>71</v>
      </c>
      <c r="C911" t="s">
        <v>7431</v>
      </c>
      <c r="D911">
        <v>31</v>
      </c>
      <c r="E911" t="s">
        <v>7432</v>
      </c>
      <c r="F911" t="s">
        <v>7433</v>
      </c>
      <c r="G911" t="s">
        <v>211</v>
      </c>
      <c r="H911" t="s">
        <v>76</v>
      </c>
      <c r="I911" t="s">
        <v>6585</v>
      </c>
      <c r="J911" t="s">
        <v>78</v>
      </c>
      <c r="K911" t="s">
        <v>820</v>
      </c>
      <c r="L911" t="s">
        <v>228</v>
      </c>
      <c r="M911">
        <v>16</v>
      </c>
      <c r="N911" t="s">
        <v>2060</v>
      </c>
      <c r="O911">
        <v>2010</v>
      </c>
      <c r="P911" t="s">
        <v>7434</v>
      </c>
      <c r="Q911" t="s">
        <v>7435</v>
      </c>
      <c r="R911">
        <v>175449</v>
      </c>
      <c r="S911" t="s">
        <v>7430</v>
      </c>
      <c r="T911" t="s">
        <v>7436</v>
      </c>
      <c r="U911">
        <v>1994</v>
      </c>
      <c r="V911" t="s">
        <v>7437</v>
      </c>
      <c r="W911">
        <v>1.76</v>
      </c>
      <c r="X911" t="s">
        <v>76</v>
      </c>
      <c r="Y911" t="s">
        <v>391</v>
      </c>
      <c r="Z911" t="s">
        <v>87</v>
      </c>
      <c r="AA911" t="s">
        <v>3885</v>
      </c>
      <c r="AB911" t="s">
        <v>7438</v>
      </c>
      <c r="AC911" t="s">
        <v>88</v>
      </c>
      <c r="AD911" t="s">
        <v>89</v>
      </c>
      <c r="AE911" t="s">
        <v>7439</v>
      </c>
      <c r="AF911">
        <v>17</v>
      </c>
      <c r="AG911" t="s">
        <v>91</v>
      </c>
      <c r="AH911" t="s">
        <v>7440</v>
      </c>
      <c r="AI911">
        <v>16</v>
      </c>
      <c r="AJ911" t="s">
        <v>110</v>
      </c>
      <c r="AK911">
        <v>16</v>
      </c>
      <c r="AL911">
        <v>8</v>
      </c>
      <c r="AM911">
        <v>141</v>
      </c>
      <c r="AN911">
        <v>21</v>
      </c>
      <c r="AO911">
        <v>6</v>
      </c>
      <c r="AP911" t="s">
        <v>93</v>
      </c>
      <c r="AQ911" t="s">
        <v>89</v>
      </c>
      <c r="AR911" t="s">
        <v>89</v>
      </c>
      <c r="AS911" t="s">
        <v>93</v>
      </c>
      <c r="AT911" t="s">
        <v>89</v>
      </c>
      <c r="AU911" t="s">
        <v>89</v>
      </c>
      <c r="AV911" t="s">
        <v>89</v>
      </c>
      <c r="AW911">
        <v>15</v>
      </c>
      <c r="AX911">
        <v>16</v>
      </c>
      <c r="AY911" t="s">
        <v>93</v>
      </c>
      <c r="AZ911">
        <v>0</v>
      </c>
      <c r="BA911">
        <v>0</v>
      </c>
      <c r="BB911">
        <v>0</v>
      </c>
      <c r="BC911">
        <v>0</v>
      </c>
      <c r="BD911">
        <v>468</v>
      </c>
      <c r="BE911">
        <v>28519</v>
      </c>
      <c r="BF911">
        <v>38</v>
      </c>
      <c r="BG911" t="s">
        <v>89</v>
      </c>
      <c r="BH911">
        <v>468</v>
      </c>
      <c r="BI911">
        <v>28519</v>
      </c>
      <c r="BJ911">
        <v>38</v>
      </c>
      <c r="BK911">
        <f t="shared" si="128"/>
        <v>468</v>
      </c>
      <c r="BL911">
        <f t="shared" si="129"/>
        <v>28519</v>
      </c>
      <c r="BM911">
        <f t="shared" si="130"/>
        <v>38</v>
      </c>
      <c r="BN911">
        <f t="shared" si="131"/>
        <v>0</v>
      </c>
      <c r="BO911">
        <f t="shared" si="132"/>
        <v>0</v>
      </c>
      <c r="BP911">
        <f t="shared" si="133"/>
        <v>0</v>
      </c>
      <c r="BQ911" t="s">
        <v>391</v>
      </c>
      <c r="BR911" t="s">
        <v>112</v>
      </c>
      <c r="BS911" s="1">
        <v>34508</v>
      </c>
      <c r="BT911">
        <v>31</v>
      </c>
      <c r="BU911" t="s">
        <v>89</v>
      </c>
      <c r="BV911" t="s">
        <v>89</v>
      </c>
      <c r="BW911">
        <v>15</v>
      </c>
      <c r="BX911">
        <v>1994</v>
      </c>
      <c r="BY911">
        <v>15</v>
      </c>
      <c r="BZ911">
        <f t="shared" si="134"/>
        <v>0</v>
      </c>
      <c r="CA911">
        <f t="shared" si="135"/>
        <v>0</v>
      </c>
      <c r="CB911" t="b">
        <f t="shared" si="136"/>
        <v>1</v>
      </c>
    </row>
    <row r="912" spans="1:80" x14ac:dyDescent="0.3">
      <c r="A912" t="s">
        <v>7441</v>
      </c>
      <c r="B912" t="s">
        <v>71</v>
      </c>
      <c r="C912" t="s">
        <v>7442</v>
      </c>
      <c r="D912">
        <v>31</v>
      </c>
      <c r="E912" s="1">
        <v>34442</v>
      </c>
      <c r="F912" t="s">
        <v>89</v>
      </c>
      <c r="G912" t="s">
        <v>115</v>
      </c>
      <c r="H912" t="s">
        <v>89</v>
      </c>
      <c r="I912" t="s">
        <v>195</v>
      </c>
      <c r="J912" t="s">
        <v>300</v>
      </c>
      <c r="K912" t="s">
        <v>89</v>
      </c>
      <c r="L912" t="s">
        <v>324</v>
      </c>
      <c r="M912">
        <v>19</v>
      </c>
      <c r="N912" t="s">
        <v>304</v>
      </c>
      <c r="O912">
        <v>2013</v>
      </c>
      <c r="P912" t="s">
        <v>7443</v>
      </c>
      <c r="Q912" t="s">
        <v>7444</v>
      </c>
      <c r="R912">
        <v>260230</v>
      </c>
      <c r="S912" t="s">
        <v>7445</v>
      </c>
      <c r="T912" t="s">
        <v>7446</v>
      </c>
      <c r="U912">
        <v>1994</v>
      </c>
      <c r="V912" t="s">
        <v>304</v>
      </c>
      <c r="W912">
        <v>1.72</v>
      </c>
      <c r="X912" t="s">
        <v>76</v>
      </c>
      <c r="Y912" t="s">
        <v>203</v>
      </c>
      <c r="Z912" t="s">
        <v>152</v>
      </c>
      <c r="AA912" t="s">
        <v>1831</v>
      </c>
      <c r="AB912" t="s">
        <v>7447</v>
      </c>
      <c r="AC912" t="s">
        <v>170</v>
      </c>
      <c r="AD912" t="s">
        <v>89</v>
      </c>
      <c r="AE912">
        <v>41948</v>
      </c>
      <c r="AF912">
        <v>20</v>
      </c>
      <c r="AG912" t="s">
        <v>91</v>
      </c>
      <c r="AH912" t="s">
        <v>2081</v>
      </c>
      <c r="AI912">
        <v>25</v>
      </c>
      <c r="AJ912" t="s">
        <v>110</v>
      </c>
      <c r="AK912">
        <v>20</v>
      </c>
      <c r="AL912">
        <v>5</v>
      </c>
      <c r="AM912">
        <v>217</v>
      </c>
      <c r="AN912">
        <v>27</v>
      </c>
      <c r="AO912">
        <v>4</v>
      </c>
      <c r="AP912" t="s">
        <v>93</v>
      </c>
      <c r="AQ912" t="s">
        <v>89</v>
      </c>
      <c r="AR912" t="s">
        <v>89</v>
      </c>
      <c r="AS912" t="s">
        <v>93</v>
      </c>
      <c r="AT912" t="s">
        <v>89</v>
      </c>
      <c r="AU912" t="s">
        <v>89</v>
      </c>
      <c r="AV912" t="s">
        <v>89</v>
      </c>
      <c r="AW912">
        <v>12</v>
      </c>
      <c r="AX912">
        <v>16</v>
      </c>
      <c r="AY912" t="s">
        <v>93</v>
      </c>
      <c r="AZ912">
        <v>0</v>
      </c>
      <c r="BA912">
        <v>0</v>
      </c>
      <c r="BB912">
        <v>0</v>
      </c>
      <c r="BC912">
        <v>0</v>
      </c>
      <c r="BD912">
        <v>158</v>
      </c>
      <c r="BE912">
        <v>10514</v>
      </c>
      <c r="BF912">
        <v>2</v>
      </c>
      <c r="BG912" t="s">
        <v>89</v>
      </c>
      <c r="BH912">
        <v>158</v>
      </c>
      <c r="BI912">
        <v>10514</v>
      </c>
      <c r="BJ912">
        <v>2</v>
      </c>
      <c r="BK912">
        <f t="shared" si="128"/>
        <v>158</v>
      </c>
      <c r="BL912">
        <f t="shared" si="129"/>
        <v>10514</v>
      </c>
      <c r="BM912">
        <f t="shared" si="130"/>
        <v>2</v>
      </c>
      <c r="BN912">
        <f t="shared" si="131"/>
        <v>0</v>
      </c>
      <c r="BO912">
        <f t="shared" si="132"/>
        <v>0</v>
      </c>
      <c r="BP912">
        <f t="shared" si="133"/>
        <v>0</v>
      </c>
      <c r="BQ912" t="s">
        <v>203</v>
      </c>
      <c r="BR912" t="s">
        <v>140</v>
      </c>
      <c r="BS912" s="1">
        <v>34442</v>
      </c>
      <c r="BT912">
        <v>31</v>
      </c>
      <c r="BU912" t="s">
        <v>89</v>
      </c>
      <c r="BV912" t="s">
        <v>89</v>
      </c>
      <c r="BW912">
        <v>11</v>
      </c>
      <c r="BX912">
        <v>1994</v>
      </c>
      <c r="BY912">
        <v>11</v>
      </c>
      <c r="BZ912">
        <f t="shared" si="134"/>
        <v>1</v>
      </c>
      <c r="CA912">
        <f t="shared" si="135"/>
        <v>0</v>
      </c>
      <c r="CB912" t="b">
        <f t="shared" si="136"/>
        <v>0</v>
      </c>
    </row>
    <row r="913" spans="1:80" x14ac:dyDescent="0.3">
      <c r="A913" t="s">
        <v>7448</v>
      </c>
      <c r="B913" t="s">
        <v>71</v>
      </c>
      <c r="C913" t="s">
        <v>7449</v>
      </c>
      <c r="D913">
        <v>35</v>
      </c>
      <c r="E913" s="1">
        <v>32812</v>
      </c>
      <c r="F913" t="s">
        <v>89</v>
      </c>
      <c r="G913" t="s">
        <v>193</v>
      </c>
      <c r="H913" t="s">
        <v>89</v>
      </c>
      <c r="I913" t="s">
        <v>227</v>
      </c>
      <c r="J913" t="s">
        <v>89</v>
      </c>
      <c r="K913" t="s">
        <v>89</v>
      </c>
      <c r="L913" t="s">
        <v>130</v>
      </c>
      <c r="M913">
        <v>18</v>
      </c>
      <c r="N913" t="s">
        <v>892</v>
      </c>
      <c r="O913">
        <v>2008</v>
      </c>
      <c r="P913" t="s">
        <v>7450</v>
      </c>
      <c r="Q913" t="s">
        <v>7451</v>
      </c>
      <c r="R913">
        <v>96274</v>
      </c>
      <c r="S913" t="s">
        <v>7448</v>
      </c>
      <c r="T913" t="s">
        <v>7452</v>
      </c>
      <c r="U913">
        <v>1989</v>
      </c>
      <c r="V913" t="s">
        <v>304</v>
      </c>
      <c r="W913">
        <v>1.86</v>
      </c>
      <c r="X913" t="s">
        <v>76</v>
      </c>
      <c r="Y913" t="s">
        <v>235</v>
      </c>
      <c r="Z913" t="s">
        <v>87</v>
      </c>
      <c r="AA913" t="s">
        <v>476</v>
      </c>
      <c r="AB913" s="1">
        <v>45298</v>
      </c>
      <c r="AC913" t="s">
        <v>108</v>
      </c>
      <c r="AD913" t="s">
        <v>89</v>
      </c>
      <c r="AE913" t="s">
        <v>7453</v>
      </c>
      <c r="AF913">
        <v>22</v>
      </c>
      <c r="AG913" t="s">
        <v>91</v>
      </c>
      <c r="AH913" t="s">
        <v>7454</v>
      </c>
      <c r="AI913">
        <v>19</v>
      </c>
      <c r="AJ913" t="s">
        <v>110</v>
      </c>
      <c r="AK913">
        <v>19</v>
      </c>
      <c r="AL913" t="s">
        <v>89</v>
      </c>
      <c r="AM913" t="s">
        <v>89</v>
      </c>
      <c r="AN913" t="s">
        <v>89</v>
      </c>
      <c r="AO913">
        <v>0</v>
      </c>
      <c r="AP913" t="s">
        <v>93</v>
      </c>
      <c r="AQ913" t="s">
        <v>89</v>
      </c>
      <c r="AR913" t="s">
        <v>89</v>
      </c>
      <c r="AS913" t="s">
        <v>93</v>
      </c>
      <c r="AT913" t="s">
        <v>89</v>
      </c>
      <c r="AU913" t="s">
        <v>89</v>
      </c>
      <c r="AV913" t="s">
        <v>89</v>
      </c>
      <c r="AW913">
        <v>17</v>
      </c>
      <c r="AX913" t="s">
        <v>89</v>
      </c>
      <c r="AY913" t="s">
        <v>93</v>
      </c>
      <c r="AZ913">
        <v>0</v>
      </c>
      <c r="BA913">
        <v>0</v>
      </c>
      <c r="BB913">
        <v>0</v>
      </c>
      <c r="BC913">
        <v>0</v>
      </c>
      <c r="BD913">
        <v>9</v>
      </c>
      <c r="BE913">
        <v>741</v>
      </c>
      <c r="BF913">
        <v>1</v>
      </c>
      <c r="BG913" t="s">
        <v>89</v>
      </c>
      <c r="BH913">
        <v>9</v>
      </c>
      <c r="BI913">
        <v>741</v>
      </c>
      <c r="BJ913">
        <v>1</v>
      </c>
      <c r="BK913">
        <f t="shared" si="128"/>
        <v>9</v>
      </c>
      <c r="BL913">
        <f t="shared" si="129"/>
        <v>741</v>
      </c>
      <c r="BM913">
        <f t="shared" si="130"/>
        <v>1</v>
      </c>
      <c r="BN913">
        <f t="shared" si="131"/>
        <v>0</v>
      </c>
      <c r="BO913">
        <f t="shared" si="132"/>
        <v>0</v>
      </c>
      <c r="BP913">
        <f t="shared" si="133"/>
        <v>0</v>
      </c>
      <c r="BQ913" t="s">
        <v>235</v>
      </c>
      <c r="BR913" t="s">
        <v>140</v>
      </c>
      <c r="BS913" t="s">
        <v>89</v>
      </c>
      <c r="BT913">
        <v>37</v>
      </c>
      <c r="BU913" t="s">
        <v>89</v>
      </c>
      <c r="BV913" t="s">
        <v>89</v>
      </c>
      <c r="BW913">
        <v>18</v>
      </c>
      <c r="BX913">
        <v>1989</v>
      </c>
      <c r="BY913">
        <v>16</v>
      </c>
      <c r="BZ913">
        <f t="shared" si="134"/>
        <v>-1</v>
      </c>
      <c r="CA913">
        <f t="shared" si="135"/>
        <v>2</v>
      </c>
      <c r="CB913" t="b">
        <f t="shared" si="136"/>
        <v>0</v>
      </c>
    </row>
    <row r="914" spans="1:80" x14ac:dyDescent="0.3">
      <c r="A914" t="s">
        <v>7455</v>
      </c>
      <c r="B914" t="s">
        <v>71</v>
      </c>
      <c r="C914" t="s">
        <v>7456</v>
      </c>
      <c r="D914">
        <v>44</v>
      </c>
      <c r="E914" s="1">
        <v>29637</v>
      </c>
      <c r="F914" t="s">
        <v>89</v>
      </c>
      <c r="G914" t="s">
        <v>226</v>
      </c>
      <c r="H914" t="s">
        <v>76</v>
      </c>
      <c r="I914" t="s">
        <v>253</v>
      </c>
      <c r="J914" t="s">
        <v>89</v>
      </c>
      <c r="K914" t="s">
        <v>89</v>
      </c>
      <c r="L914" t="s">
        <v>99</v>
      </c>
      <c r="M914">
        <v>20</v>
      </c>
      <c r="N914" t="s">
        <v>146</v>
      </c>
      <c r="O914">
        <v>2001</v>
      </c>
      <c r="P914" t="s">
        <v>7457</v>
      </c>
      <c r="Q914" t="s">
        <v>7458</v>
      </c>
      <c r="R914">
        <v>15764</v>
      </c>
      <c r="S914" t="s">
        <v>7455</v>
      </c>
      <c r="T914" t="s">
        <v>7459</v>
      </c>
      <c r="U914">
        <v>1981</v>
      </c>
      <c r="V914" t="s">
        <v>1958</v>
      </c>
      <c r="W914">
        <v>1.85</v>
      </c>
      <c r="X914" t="s">
        <v>76</v>
      </c>
      <c r="Y914" t="s">
        <v>259</v>
      </c>
      <c r="Z914" t="s">
        <v>87</v>
      </c>
      <c r="AA914" t="s">
        <v>323</v>
      </c>
      <c r="AB914" s="1">
        <v>41646</v>
      </c>
      <c r="AC914" t="s">
        <v>108</v>
      </c>
      <c r="AD914" t="s">
        <v>89</v>
      </c>
      <c r="AE914">
        <v>37565</v>
      </c>
      <c r="AF914">
        <v>21</v>
      </c>
      <c r="AG914" t="s">
        <v>91</v>
      </c>
      <c r="AH914" t="s">
        <v>1999</v>
      </c>
      <c r="AI914">
        <v>23</v>
      </c>
      <c r="AJ914" t="s">
        <v>110</v>
      </c>
      <c r="AK914">
        <v>21</v>
      </c>
      <c r="AL914">
        <v>1</v>
      </c>
      <c r="AM914">
        <v>18</v>
      </c>
      <c r="AN914">
        <v>2</v>
      </c>
      <c r="AO914">
        <v>1</v>
      </c>
      <c r="AP914" t="s">
        <v>93</v>
      </c>
      <c r="AQ914" t="s">
        <v>89</v>
      </c>
      <c r="AR914" t="s">
        <v>89</v>
      </c>
      <c r="AS914" t="s">
        <v>111</v>
      </c>
      <c r="AT914">
        <v>41646</v>
      </c>
      <c r="AU914">
        <v>2014</v>
      </c>
      <c r="AV914">
        <v>13</v>
      </c>
      <c r="AW914">
        <v>13</v>
      </c>
      <c r="AX914" t="s">
        <v>89</v>
      </c>
      <c r="AY914" t="s">
        <v>93</v>
      </c>
      <c r="AZ914">
        <v>0</v>
      </c>
      <c r="BA914">
        <v>0</v>
      </c>
      <c r="BB914">
        <v>0</v>
      </c>
      <c r="BC914">
        <v>0</v>
      </c>
      <c r="BD914">
        <v>239</v>
      </c>
      <c r="BE914">
        <v>18240</v>
      </c>
      <c r="BF914">
        <v>7</v>
      </c>
      <c r="BG914">
        <v>33</v>
      </c>
      <c r="BH914">
        <v>239</v>
      </c>
      <c r="BI914">
        <v>18240</v>
      </c>
      <c r="BJ914">
        <v>7</v>
      </c>
      <c r="BK914">
        <f t="shared" si="128"/>
        <v>239</v>
      </c>
      <c r="BL914">
        <f t="shared" si="129"/>
        <v>18240</v>
      </c>
      <c r="BM914">
        <f t="shared" si="130"/>
        <v>7</v>
      </c>
      <c r="BN914">
        <f t="shared" si="131"/>
        <v>0</v>
      </c>
      <c r="BO914">
        <f t="shared" si="132"/>
        <v>0</v>
      </c>
      <c r="BP914">
        <f t="shared" si="133"/>
        <v>0</v>
      </c>
      <c r="BQ914" t="s">
        <v>259</v>
      </c>
      <c r="BR914" t="s">
        <v>94</v>
      </c>
      <c r="BS914" s="1">
        <v>29637</v>
      </c>
      <c r="BT914">
        <v>44</v>
      </c>
      <c r="BU914">
        <v>41646</v>
      </c>
      <c r="BV914" t="s">
        <v>89</v>
      </c>
      <c r="BW914">
        <v>12</v>
      </c>
      <c r="BX914">
        <v>1981</v>
      </c>
      <c r="BY914">
        <v>12</v>
      </c>
      <c r="BZ914">
        <f t="shared" si="134"/>
        <v>1</v>
      </c>
      <c r="CA914">
        <f t="shared" si="135"/>
        <v>0</v>
      </c>
      <c r="CB914" t="b">
        <f t="shared" si="136"/>
        <v>0</v>
      </c>
    </row>
    <row r="915" spans="1:80" x14ac:dyDescent="0.3">
      <c r="A915" t="s">
        <v>7460</v>
      </c>
      <c r="B915" t="s">
        <v>71</v>
      </c>
      <c r="C915" t="s">
        <v>7461</v>
      </c>
      <c r="D915">
        <v>43</v>
      </c>
      <c r="E915" s="1">
        <v>30147</v>
      </c>
      <c r="F915" t="s">
        <v>89</v>
      </c>
      <c r="G915" t="s">
        <v>160</v>
      </c>
      <c r="H915" t="s">
        <v>89</v>
      </c>
      <c r="I915" t="s">
        <v>2523</v>
      </c>
      <c r="J915" t="s">
        <v>300</v>
      </c>
      <c r="K915" t="s">
        <v>89</v>
      </c>
      <c r="L915" t="s">
        <v>845</v>
      </c>
      <c r="M915">
        <v>20</v>
      </c>
      <c r="N915" t="s">
        <v>364</v>
      </c>
      <c r="O915">
        <v>2002</v>
      </c>
      <c r="P915" t="s">
        <v>7462</v>
      </c>
      <c r="Q915" t="s">
        <v>7463</v>
      </c>
      <c r="R915">
        <v>25319</v>
      </c>
      <c r="S915" t="s">
        <v>7460</v>
      </c>
      <c r="T915" t="s">
        <v>7464</v>
      </c>
      <c r="U915">
        <v>1982</v>
      </c>
      <c r="V915" t="s">
        <v>502</v>
      </c>
      <c r="W915">
        <v>1.78</v>
      </c>
      <c r="X915" t="s">
        <v>76</v>
      </c>
      <c r="Y915" t="s">
        <v>391</v>
      </c>
      <c r="Z915" t="s">
        <v>152</v>
      </c>
      <c r="AA915" t="s">
        <v>503</v>
      </c>
      <c r="AB915" s="1">
        <v>43472</v>
      </c>
      <c r="AC915" t="s">
        <v>108</v>
      </c>
      <c r="AD915" t="s">
        <v>89</v>
      </c>
      <c r="AE915" t="s">
        <v>505</v>
      </c>
      <c r="AF915">
        <v>22</v>
      </c>
      <c r="AG915" t="s">
        <v>91</v>
      </c>
      <c r="AH915" s="1">
        <v>37654</v>
      </c>
      <c r="AI915">
        <v>20</v>
      </c>
      <c r="AJ915" t="s">
        <v>110</v>
      </c>
      <c r="AK915">
        <v>20</v>
      </c>
      <c r="AL915">
        <v>8</v>
      </c>
      <c r="AM915">
        <v>290</v>
      </c>
      <c r="AN915">
        <v>42</v>
      </c>
      <c r="AO915">
        <v>4</v>
      </c>
      <c r="AP915" t="s">
        <v>93</v>
      </c>
      <c r="AQ915" t="s">
        <v>89</v>
      </c>
      <c r="AR915" t="s">
        <v>89</v>
      </c>
      <c r="AS915" t="s">
        <v>111</v>
      </c>
      <c r="AT915" s="1">
        <v>43472</v>
      </c>
      <c r="AU915">
        <v>2019</v>
      </c>
      <c r="AV915">
        <v>17</v>
      </c>
      <c r="AW915">
        <v>17</v>
      </c>
      <c r="AX915" t="s">
        <v>89</v>
      </c>
      <c r="AY915" t="s">
        <v>93</v>
      </c>
      <c r="AZ915">
        <v>0</v>
      </c>
      <c r="BA915">
        <v>0</v>
      </c>
      <c r="BB915">
        <v>0</v>
      </c>
      <c r="BC915">
        <v>0</v>
      </c>
      <c r="BD915">
        <v>389</v>
      </c>
      <c r="BE915">
        <v>23900</v>
      </c>
      <c r="BF915">
        <v>47</v>
      </c>
      <c r="BG915">
        <v>37</v>
      </c>
      <c r="BH915">
        <v>389</v>
      </c>
      <c r="BI915">
        <v>23900</v>
      </c>
      <c r="BJ915">
        <v>47</v>
      </c>
      <c r="BK915">
        <f t="shared" si="128"/>
        <v>389</v>
      </c>
      <c r="BL915">
        <f t="shared" si="129"/>
        <v>23900</v>
      </c>
      <c r="BM915">
        <f t="shared" si="130"/>
        <v>47</v>
      </c>
      <c r="BN915">
        <f t="shared" si="131"/>
        <v>0</v>
      </c>
      <c r="BO915">
        <f t="shared" si="132"/>
        <v>0</v>
      </c>
      <c r="BP915">
        <f t="shared" si="133"/>
        <v>0</v>
      </c>
      <c r="BQ915" t="s">
        <v>391</v>
      </c>
      <c r="BR915" t="s">
        <v>112</v>
      </c>
      <c r="BS915" t="s">
        <v>89</v>
      </c>
      <c r="BT915">
        <v>44</v>
      </c>
      <c r="BU915" s="1">
        <v>43472</v>
      </c>
      <c r="BV915" s="1">
        <v>43647</v>
      </c>
      <c r="BW915">
        <v>17</v>
      </c>
      <c r="BX915">
        <v>1982</v>
      </c>
      <c r="BY915">
        <v>17</v>
      </c>
      <c r="BZ915">
        <f t="shared" si="134"/>
        <v>0</v>
      </c>
      <c r="CA915">
        <f t="shared" si="135"/>
        <v>0</v>
      </c>
      <c r="CB915" t="b">
        <f t="shared" si="136"/>
        <v>1</v>
      </c>
    </row>
    <row r="916" spans="1:80" x14ac:dyDescent="0.3">
      <c r="A916" t="s">
        <v>7465</v>
      </c>
      <c r="B916" t="s">
        <v>191</v>
      </c>
      <c r="C916" t="s">
        <v>7466</v>
      </c>
      <c r="D916">
        <v>38</v>
      </c>
      <c r="E916" s="1">
        <v>31744</v>
      </c>
      <c r="F916" t="s">
        <v>89</v>
      </c>
      <c r="G916" t="s">
        <v>298</v>
      </c>
      <c r="H916" t="s">
        <v>7467</v>
      </c>
      <c r="I916" t="s">
        <v>357</v>
      </c>
      <c r="J916" t="s">
        <v>78</v>
      </c>
      <c r="K916" t="s">
        <v>89</v>
      </c>
      <c r="L916" t="s">
        <v>145</v>
      </c>
      <c r="M916">
        <v>17</v>
      </c>
      <c r="N916" t="s">
        <v>1549</v>
      </c>
      <c r="O916">
        <v>2004</v>
      </c>
      <c r="P916" t="s">
        <v>7468</v>
      </c>
      <c r="Q916" t="s">
        <v>7469</v>
      </c>
      <c r="R916">
        <v>33914</v>
      </c>
      <c r="S916" t="s">
        <v>7465</v>
      </c>
      <c r="T916" t="s">
        <v>7470</v>
      </c>
      <c r="U916">
        <v>1986</v>
      </c>
      <c r="V916" t="s">
        <v>1594</v>
      </c>
      <c r="W916">
        <v>1.76</v>
      </c>
      <c r="X916" t="s">
        <v>1173</v>
      </c>
      <c r="Y916" t="s">
        <v>136</v>
      </c>
      <c r="Z916" t="s">
        <v>87</v>
      </c>
      <c r="AA916" t="s">
        <v>7471</v>
      </c>
      <c r="AB916" s="1">
        <v>43472</v>
      </c>
      <c r="AC916" t="s">
        <v>108</v>
      </c>
      <c r="AD916" t="s">
        <v>442</v>
      </c>
      <c r="AE916">
        <v>38538</v>
      </c>
      <c r="AF916">
        <v>18</v>
      </c>
      <c r="AG916" t="s">
        <v>206</v>
      </c>
      <c r="AH916" t="s">
        <v>92</v>
      </c>
      <c r="AI916" t="s">
        <v>89</v>
      </c>
      <c r="AJ916" t="s">
        <v>92</v>
      </c>
      <c r="AK916">
        <v>18</v>
      </c>
      <c r="AL916">
        <v>5</v>
      </c>
      <c r="AM916">
        <v>271</v>
      </c>
      <c r="AN916">
        <v>43</v>
      </c>
      <c r="AO916">
        <v>4</v>
      </c>
      <c r="AP916" t="s">
        <v>93</v>
      </c>
      <c r="AQ916" t="s">
        <v>89</v>
      </c>
      <c r="AR916" t="s">
        <v>89</v>
      </c>
      <c r="AS916" t="s">
        <v>111</v>
      </c>
      <c r="AT916" s="1">
        <v>43472</v>
      </c>
      <c r="AU916">
        <v>2019</v>
      </c>
      <c r="AV916">
        <v>15</v>
      </c>
      <c r="AW916">
        <v>15</v>
      </c>
      <c r="AX916" t="s">
        <v>89</v>
      </c>
      <c r="AY916" t="s">
        <v>93</v>
      </c>
      <c r="AZ916">
        <v>0</v>
      </c>
      <c r="BA916">
        <v>0</v>
      </c>
      <c r="BB916">
        <v>0</v>
      </c>
      <c r="BC916">
        <v>0</v>
      </c>
      <c r="BD916">
        <v>248</v>
      </c>
      <c r="BE916">
        <v>18644</v>
      </c>
      <c r="BF916">
        <v>1</v>
      </c>
      <c r="BG916">
        <v>33</v>
      </c>
      <c r="BH916">
        <v>248</v>
      </c>
      <c r="BI916">
        <v>18644</v>
      </c>
      <c r="BJ916">
        <v>1</v>
      </c>
      <c r="BK916">
        <f t="shared" si="128"/>
        <v>248</v>
      </c>
      <c r="BL916">
        <f t="shared" si="129"/>
        <v>18644</v>
      </c>
      <c r="BM916">
        <f t="shared" si="130"/>
        <v>1</v>
      </c>
      <c r="BN916">
        <f t="shared" si="131"/>
        <v>0</v>
      </c>
      <c r="BO916">
        <f t="shared" si="132"/>
        <v>0</v>
      </c>
      <c r="BP916">
        <f t="shared" si="133"/>
        <v>0</v>
      </c>
      <c r="BQ916" t="s">
        <v>136</v>
      </c>
      <c r="BR916" t="s">
        <v>140</v>
      </c>
      <c r="BS916" s="1">
        <v>31744</v>
      </c>
      <c r="BT916">
        <v>39</v>
      </c>
      <c r="BU916" s="1">
        <v>43472</v>
      </c>
      <c r="BV916" s="1">
        <v>43647</v>
      </c>
      <c r="BW916">
        <v>15</v>
      </c>
      <c r="BX916">
        <v>1986</v>
      </c>
      <c r="BY916">
        <v>15</v>
      </c>
      <c r="BZ916">
        <f t="shared" si="134"/>
        <v>0</v>
      </c>
      <c r="CA916">
        <f t="shared" si="135"/>
        <v>0</v>
      </c>
      <c r="CB916" t="b">
        <f t="shared" si="136"/>
        <v>1</v>
      </c>
    </row>
    <row r="917" spans="1:80" x14ac:dyDescent="0.3">
      <c r="A917" t="s">
        <v>7472</v>
      </c>
      <c r="B917" t="s">
        <v>552</v>
      </c>
      <c r="C917" t="s">
        <v>7473</v>
      </c>
      <c r="D917">
        <v>41</v>
      </c>
      <c r="E917" s="1">
        <v>30877</v>
      </c>
      <c r="F917" t="s">
        <v>89</v>
      </c>
      <c r="G917" t="s">
        <v>413</v>
      </c>
      <c r="H917" t="s">
        <v>7474</v>
      </c>
      <c r="I917" t="s">
        <v>437</v>
      </c>
      <c r="J917" t="s">
        <v>78</v>
      </c>
      <c r="K917" t="s">
        <v>89</v>
      </c>
      <c r="L917" t="s">
        <v>845</v>
      </c>
      <c r="M917">
        <v>18</v>
      </c>
      <c r="N917" t="s">
        <v>7475</v>
      </c>
      <c r="O917">
        <v>2002</v>
      </c>
      <c r="P917" t="s">
        <v>7476</v>
      </c>
      <c r="Q917" t="s">
        <v>7477</v>
      </c>
      <c r="R917">
        <v>21490</v>
      </c>
      <c r="S917" t="s">
        <v>7472</v>
      </c>
      <c r="T917" t="s">
        <v>7478</v>
      </c>
      <c r="U917">
        <v>1984</v>
      </c>
      <c r="V917" t="s">
        <v>4022</v>
      </c>
      <c r="W917">
        <v>1.83</v>
      </c>
      <c r="X917" t="s">
        <v>7479</v>
      </c>
      <c r="Y917" t="s">
        <v>123</v>
      </c>
      <c r="Z917" t="s">
        <v>87</v>
      </c>
      <c r="AA917" t="s">
        <v>7480</v>
      </c>
      <c r="AB917" s="1">
        <v>44568</v>
      </c>
      <c r="AC917" t="s">
        <v>108</v>
      </c>
      <c r="AD917" t="s">
        <v>89</v>
      </c>
      <c r="AE917" t="s">
        <v>7481</v>
      </c>
      <c r="AF917">
        <v>18</v>
      </c>
      <c r="AG917" t="s">
        <v>4114</v>
      </c>
      <c r="AH917" t="s">
        <v>7482</v>
      </c>
      <c r="AI917">
        <v>17</v>
      </c>
      <c r="AJ917" t="s">
        <v>4025</v>
      </c>
      <c r="AK917">
        <v>17</v>
      </c>
      <c r="AL917">
        <v>11</v>
      </c>
      <c r="AM917">
        <v>226</v>
      </c>
      <c r="AN917">
        <v>43</v>
      </c>
      <c r="AO917">
        <v>6</v>
      </c>
      <c r="AP917" t="s">
        <v>93</v>
      </c>
      <c r="AQ917" t="s">
        <v>89</v>
      </c>
      <c r="AR917" t="s">
        <v>89</v>
      </c>
      <c r="AS917" t="s">
        <v>111</v>
      </c>
      <c r="AT917" s="1">
        <v>44568</v>
      </c>
      <c r="AU917">
        <v>2022</v>
      </c>
      <c r="AV917">
        <v>20</v>
      </c>
      <c r="AW917">
        <v>20</v>
      </c>
      <c r="AX917" t="s">
        <v>89</v>
      </c>
      <c r="AY917" t="s">
        <v>111</v>
      </c>
      <c r="AZ917">
        <v>1</v>
      </c>
      <c r="BA917">
        <v>3</v>
      </c>
      <c r="BB917">
        <v>176</v>
      </c>
      <c r="BC917">
        <v>0</v>
      </c>
      <c r="BD917">
        <v>243</v>
      </c>
      <c r="BE917">
        <v>15664</v>
      </c>
      <c r="BF917">
        <v>88</v>
      </c>
      <c r="BG917">
        <v>38</v>
      </c>
      <c r="BH917">
        <v>246</v>
      </c>
      <c r="BI917">
        <v>15840</v>
      </c>
      <c r="BJ917">
        <v>88</v>
      </c>
      <c r="BK917">
        <f t="shared" si="128"/>
        <v>246</v>
      </c>
      <c r="BL917">
        <f t="shared" si="129"/>
        <v>15840</v>
      </c>
      <c r="BM917">
        <f t="shared" si="130"/>
        <v>88</v>
      </c>
      <c r="BN917">
        <f t="shared" si="131"/>
        <v>0</v>
      </c>
      <c r="BO917">
        <f t="shared" si="132"/>
        <v>0</v>
      </c>
      <c r="BP917">
        <f t="shared" si="133"/>
        <v>0</v>
      </c>
      <c r="BQ917" t="s">
        <v>123</v>
      </c>
      <c r="BR917" t="s">
        <v>112</v>
      </c>
      <c r="BS917" s="1">
        <v>30877</v>
      </c>
      <c r="BT917">
        <v>41</v>
      </c>
      <c r="BU917" s="1">
        <v>44568</v>
      </c>
      <c r="BV917" s="1">
        <v>44743</v>
      </c>
      <c r="BW917">
        <v>21</v>
      </c>
      <c r="BX917">
        <v>1984</v>
      </c>
      <c r="BY917">
        <v>21</v>
      </c>
      <c r="BZ917">
        <f t="shared" si="134"/>
        <v>-1</v>
      </c>
      <c r="CA917">
        <f t="shared" si="135"/>
        <v>0</v>
      </c>
      <c r="CB917" t="b">
        <f t="shared" si="136"/>
        <v>0</v>
      </c>
    </row>
    <row r="918" spans="1:80" x14ac:dyDescent="0.3">
      <c r="A918" t="s">
        <v>7483</v>
      </c>
      <c r="B918" t="s">
        <v>552</v>
      </c>
      <c r="C918" t="s">
        <v>7484</v>
      </c>
      <c r="D918">
        <v>29</v>
      </c>
      <c r="E918" t="s">
        <v>7485</v>
      </c>
      <c r="F918" t="s">
        <v>7486</v>
      </c>
      <c r="G918" t="s">
        <v>687</v>
      </c>
      <c r="H918" t="s">
        <v>4496</v>
      </c>
      <c r="I918" t="s">
        <v>401</v>
      </c>
      <c r="J918" t="s">
        <v>300</v>
      </c>
      <c r="K918" t="s">
        <v>1373</v>
      </c>
      <c r="L918" t="s">
        <v>324</v>
      </c>
      <c r="M918">
        <v>17</v>
      </c>
      <c r="N918" t="s">
        <v>649</v>
      </c>
      <c r="O918">
        <v>2013</v>
      </c>
      <c r="P918" t="s">
        <v>7487</v>
      </c>
      <c r="Q918" t="s">
        <v>7488</v>
      </c>
      <c r="R918">
        <v>223725</v>
      </c>
      <c r="S918" t="s">
        <v>7483</v>
      </c>
      <c r="T918">
        <v>34708</v>
      </c>
      <c r="U918">
        <v>1995</v>
      </c>
      <c r="V918" t="s">
        <v>7489</v>
      </c>
      <c r="W918">
        <v>1.77</v>
      </c>
      <c r="X918" t="s">
        <v>4500</v>
      </c>
      <c r="Y918" t="s">
        <v>106</v>
      </c>
      <c r="Z918" t="s">
        <v>152</v>
      </c>
      <c r="AA918" t="s">
        <v>1377</v>
      </c>
      <c r="AB918" s="1">
        <v>45817</v>
      </c>
      <c r="AC918" t="s">
        <v>88</v>
      </c>
      <c r="AD918" t="s">
        <v>442</v>
      </c>
      <c r="AE918" t="s">
        <v>1729</v>
      </c>
      <c r="AF918">
        <v>18</v>
      </c>
      <c r="AG918" t="s">
        <v>91</v>
      </c>
      <c r="AH918" s="1">
        <v>41642</v>
      </c>
      <c r="AI918">
        <v>18</v>
      </c>
      <c r="AJ918" t="s">
        <v>110</v>
      </c>
      <c r="AK918">
        <v>18</v>
      </c>
      <c r="AL918">
        <v>1</v>
      </c>
      <c r="AM918">
        <v>19</v>
      </c>
      <c r="AN918">
        <v>4</v>
      </c>
      <c r="AO918">
        <v>1</v>
      </c>
      <c r="AP918" t="s">
        <v>93</v>
      </c>
      <c r="AQ918" t="s">
        <v>89</v>
      </c>
      <c r="AR918" t="s">
        <v>89</v>
      </c>
      <c r="AS918" t="s">
        <v>93</v>
      </c>
      <c r="AT918" t="s">
        <v>89</v>
      </c>
      <c r="AU918" t="s">
        <v>89</v>
      </c>
      <c r="AV918" t="s">
        <v>89</v>
      </c>
      <c r="AW918">
        <v>12</v>
      </c>
      <c r="AX918">
        <v>17</v>
      </c>
      <c r="AY918" t="s">
        <v>111</v>
      </c>
      <c r="AZ918">
        <v>7</v>
      </c>
      <c r="BA918">
        <v>12</v>
      </c>
      <c r="BB918">
        <v>550</v>
      </c>
      <c r="BC918">
        <v>2</v>
      </c>
      <c r="BD918">
        <v>373</v>
      </c>
      <c r="BE918">
        <v>20622</v>
      </c>
      <c r="BF918">
        <v>85</v>
      </c>
      <c r="BG918" t="s">
        <v>89</v>
      </c>
      <c r="BH918">
        <v>385</v>
      </c>
      <c r="BI918">
        <v>21172</v>
      </c>
      <c r="BJ918">
        <v>87</v>
      </c>
      <c r="BK918">
        <f t="shared" si="128"/>
        <v>385</v>
      </c>
      <c r="BL918">
        <f t="shared" si="129"/>
        <v>21172</v>
      </c>
      <c r="BM918">
        <f t="shared" si="130"/>
        <v>87</v>
      </c>
      <c r="BN918">
        <f t="shared" si="131"/>
        <v>0</v>
      </c>
      <c r="BO918">
        <f t="shared" si="132"/>
        <v>0</v>
      </c>
      <c r="BP918">
        <f t="shared" si="133"/>
        <v>0</v>
      </c>
      <c r="BQ918" t="s">
        <v>106</v>
      </c>
      <c r="BR918" t="s">
        <v>112</v>
      </c>
      <c r="BS918" t="s">
        <v>89</v>
      </c>
      <c r="BT918">
        <v>31</v>
      </c>
      <c r="BU918" t="s">
        <v>89</v>
      </c>
      <c r="BV918" t="s">
        <v>89</v>
      </c>
      <c r="BW918">
        <v>13</v>
      </c>
      <c r="BX918">
        <v>1995</v>
      </c>
      <c r="BY918">
        <v>11</v>
      </c>
      <c r="BZ918">
        <f t="shared" si="134"/>
        <v>-1</v>
      </c>
      <c r="CA918">
        <f t="shared" si="135"/>
        <v>2</v>
      </c>
      <c r="CB918" t="b">
        <f t="shared" si="136"/>
        <v>0</v>
      </c>
    </row>
    <row r="919" spans="1:80" x14ac:dyDescent="0.3">
      <c r="A919" t="s">
        <v>7490</v>
      </c>
      <c r="B919" t="s">
        <v>1231</v>
      </c>
      <c r="C919" t="s">
        <v>7491</v>
      </c>
      <c r="D919">
        <v>42</v>
      </c>
      <c r="E919" s="1">
        <v>30477</v>
      </c>
      <c r="F919" t="s">
        <v>89</v>
      </c>
      <c r="G919" t="s">
        <v>1289</v>
      </c>
      <c r="H919" t="s">
        <v>7492</v>
      </c>
      <c r="I919" t="s">
        <v>1438</v>
      </c>
      <c r="J919" t="s">
        <v>78</v>
      </c>
      <c r="K919" t="s">
        <v>89</v>
      </c>
      <c r="L919" t="s">
        <v>145</v>
      </c>
      <c r="M919">
        <v>21</v>
      </c>
      <c r="N919" t="s">
        <v>1219</v>
      </c>
      <c r="O919">
        <v>2004</v>
      </c>
      <c r="P919" t="s">
        <v>7493</v>
      </c>
      <c r="Q919" t="s">
        <v>7494</v>
      </c>
      <c r="R919">
        <v>17555</v>
      </c>
      <c r="S919" t="s">
        <v>7495</v>
      </c>
      <c r="T919" t="s">
        <v>7496</v>
      </c>
      <c r="U919">
        <v>1983</v>
      </c>
      <c r="V919" t="s">
        <v>4349</v>
      </c>
      <c r="W919">
        <v>1.71</v>
      </c>
      <c r="X919" t="s">
        <v>3299</v>
      </c>
      <c r="Y919" t="s">
        <v>136</v>
      </c>
      <c r="Z919" t="s">
        <v>87</v>
      </c>
      <c r="AA919" t="s">
        <v>1916</v>
      </c>
      <c r="AB919" s="1">
        <v>43107</v>
      </c>
      <c r="AC919" t="s">
        <v>108</v>
      </c>
      <c r="AD919" t="s">
        <v>89</v>
      </c>
      <c r="AE919">
        <v>37996</v>
      </c>
      <c r="AF919">
        <v>21</v>
      </c>
      <c r="AG919" t="s">
        <v>613</v>
      </c>
      <c r="AH919" t="s">
        <v>6499</v>
      </c>
      <c r="AI919">
        <v>20</v>
      </c>
      <c r="AJ919" t="s">
        <v>7497</v>
      </c>
      <c r="AK919">
        <v>20</v>
      </c>
      <c r="AL919">
        <v>2</v>
      </c>
      <c r="AM919">
        <v>217</v>
      </c>
      <c r="AN919">
        <v>23</v>
      </c>
      <c r="AO919">
        <v>2</v>
      </c>
      <c r="AP919" t="s">
        <v>93</v>
      </c>
      <c r="AQ919" t="s">
        <v>89</v>
      </c>
      <c r="AR919" t="s">
        <v>89</v>
      </c>
      <c r="AS919" t="s">
        <v>111</v>
      </c>
      <c r="AT919" s="1">
        <v>43107</v>
      </c>
      <c r="AU919">
        <v>2018</v>
      </c>
      <c r="AV919">
        <v>14</v>
      </c>
      <c r="AW919">
        <v>14</v>
      </c>
      <c r="AX919" t="s">
        <v>89</v>
      </c>
      <c r="AY919" t="s">
        <v>93</v>
      </c>
      <c r="AZ919">
        <v>0</v>
      </c>
      <c r="BA919">
        <v>0</v>
      </c>
      <c r="BB919">
        <v>0</v>
      </c>
      <c r="BC919">
        <v>0</v>
      </c>
      <c r="BD919">
        <v>339</v>
      </c>
      <c r="BE919">
        <v>27875</v>
      </c>
      <c r="BF919">
        <v>6</v>
      </c>
      <c r="BG919">
        <v>35</v>
      </c>
      <c r="BH919">
        <v>339</v>
      </c>
      <c r="BI919">
        <v>27875</v>
      </c>
      <c r="BJ919">
        <v>6</v>
      </c>
      <c r="BK919">
        <f t="shared" si="128"/>
        <v>339</v>
      </c>
      <c r="BL919">
        <f t="shared" si="129"/>
        <v>27875</v>
      </c>
      <c r="BM919">
        <f t="shared" si="130"/>
        <v>6</v>
      </c>
      <c r="BN919">
        <f t="shared" si="131"/>
        <v>0</v>
      </c>
      <c r="BO919">
        <f t="shared" si="132"/>
        <v>0</v>
      </c>
      <c r="BP919">
        <f t="shared" si="133"/>
        <v>0</v>
      </c>
      <c r="BQ919" t="s">
        <v>136</v>
      </c>
      <c r="BR919" t="s">
        <v>140</v>
      </c>
      <c r="BS919" t="s">
        <v>89</v>
      </c>
      <c r="BT919">
        <v>43</v>
      </c>
      <c r="BU919" s="1">
        <v>43107</v>
      </c>
      <c r="BV919" s="1">
        <v>43282</v>
      </c>
      <c r="BW919">
        <v>15</v>
      </c>
      <c r="BX919">
        <v>1983</v>
      </c>
      <c r="BY919">
        <v>15</v>
      </c>
      <c r="BZ919">
        <f t="shared" si="134"/>
        <v>-1</v>
      </c>
      <c r="CA919">
        <f t="shared" si="135"/>
        <v>0</v>
      </c>
      <c r="CB919" t="b">
        <f t="shared" si="136"/>
        <v>0</v>
      </c>
    </row>
    <row r="920" spans="1:80" x14ac:dyDescent="0.3">
      <c r="A920" t="s">
        <v>7498</v>
      </c>
      <c r="B920" t="s">
        <v>1231</v>
      </c>
      <c r="C920" t="s">
        <v>7499</v>
      </c>
      <c r="D920">
        <v>33</v>
      </c>
      <c r="E920" t="s">
        <v>7500</v>
      </c>
      <c r="F920" t="s">
        <v>7501</v>
      </c>
      <c r="G920" t="s">
        <v>193</v>
      </c>
      <c r="H920" t="s">
        <v>1234</v>
      </c>
      <c r="I920" t="s">
        <v>437</v>
      </c>
      <c r="J920" t="s">
        <v>78</v>
      </c>
      <c r="K920" t="s">
        <v>7502</v>
      </c>
      <c r="L920" t="s">
        <v>254</v>
      </c>
      <c r="M920">
        <v>17</v>
      </c>
      <c r="N920" t="s">
        <v>2614</v>
      </c>
      <c r="O920">
        <v>2009</v>
      </c>
      <c r="P920" t="s">
        <v>7503</v>
      </c>
      <c r="Q920" t="s">
        <v>7504</v>
      </c>
      <c r="R920">
        <v>72768</v>
      </c>
      <c r="S920" t="s">
        <v>7498</v>
      </c>
      <c r="T920" s="1">
        <v>33458</v>
      </c>
      <c r="U920">
        <v>1991</v>
      </c>
      <c r="V920" t="s">
        <v>7505</v>
      </c>
      <c r="W920">
        <v>1.86</v>
      </c>
      <c r="X920" t="s">
        <v>1234</v>
      </c>
      <c r="Y920" t="s">
        <v>123</v>
      </c>
      <c r="Z920" t="s">
        <v>87</v>
      </c>
      <c r="AA920" t="s">
        <v>7506</v>
      </c>
      <c r="AB920" t="s">
        <v>5124</v>
      </c>
      <c r="AC920" t="s">
        <v>170</v>
      </c>
      <c r="AD920" t="s">
        <v>223</v>
      </c>
      <c r="AE920">
        <v>40361</v>
      </c>
      <c r="AF920">
        <v>18</v>
      </c>
      <c r="AG920" t="s">
        <v>613</v>
      </c>
      <c r="AH920">
        <v>42347</v>
      </c>
      <c r="AI920">
        <v>24</v>
      </c>
      <c r="AJ920" t="s">
        <v>855</v>
      </c>
      <c r="AK920">
        <v>18</v>
      </c>
      <c r="AL920">
        <v>14</v>
      </c>
      <c r="AM920">
        <v>519</v>
      </c>
      <c r="AN920">
        <v>75</v>
      </c>
      <c r="AO920">
        <v>7</v>
      </c>
      <c r="AP920" t="s">
        <v>93</v>
      </c>
      <c r="AQ920" t="s">
        <v>89</v>
      </c>
      <c r="AR920" t="s">
        <v>89</v>
      </c>
      <c r="AS920" t="s">
        <v>93</v>
      </c>
      <c r="AT920" t="s">
        <v>89</v>
      </c>
      <c r="AU920" t="s">
        <v>89</v>
      </c>
      <c r="AV920" t="s">
        <v>89</v>
      </c>
      <c r="AW920">
        <v>16</v>
      </c>
      <c r="AX920">
        <v>7</v>
      </c>
      <c r="AY920" t="s">
        <v>111</v>
      </c>
      <c r="AZ920">
        <v>4</v>
      </c>
      <c r="BA920">
        <v>9</v>
      </c>
      <c r="BB920">
        <v>255</v>
      </c>
      <c r="BC920">
        <v>1</v>
      </c>
      <c r="BD920">
        <v>401</v>
      </c>
      <c r="BE920">
        <v>21499</v>
      </c>
      <c r="BF920">
        <v>88</v>
      </c>
      <c r="BG920" t="s">
        <v>89</v>
      </c>
      <c r="BH920">
        <v>410</v>
      </c>
      <c r="BI920">
        <v>21754</v>
      </c>
      <c r="BJ920">
        <v>89</v>
      </c>
      <c r="BK920">
        <f t="shared" si="128"/>
        <v>410</v>
      </c>
      <c r="BL920">
        <f t="shared" si="129"/>
        <v>21754</v>
      </c>
      <c r="BM920">
        <f t="shared" si="130"/>
        <v>89</v>
      </c>
      <c r="BN920">
        <f t="shared" si="131"/>
        <v>0</v>
      </c>
      <c r="BO920">
        <f t="shared" si="132"/>
        <v>0</v>
      </c>
      <c r="BP920">
        <f t="shared" si="133"/>
        <v>0</v>
      </c>
      <c r="BQ920" t="s">
        <v>123</v>
      </c>
      <c r="BR920" t="s">
        <v>112</v>
      </c>
      <c r="BS920" s="1">
        <v>33458</v>
      </c>
      <c r="BT920">
        <v>34</v>
      </c>
      <c r="BU920" t="s">
        <v>89</v>
      </c>
      <c r="BV920" t="s">
        <v>89</v>
      </c>
      <c r="BW920">
        <v>16</v>
      </c>
      <c r="BX920">
        <v>1991</v>
      </c>
      <c r="BY920">
        <v>15</v>
      </c>
      <c r="BZ920">
        <f t="shared" si="134"/>
        <v>0</v>
      </c>
      <c r="CA920">
        <f t="shared" si="135"/>
        <v>1</v>
      </c>
      <c r="CB920" t="b">
        <f t="shared" si="136"/>
        <v>1</v>
      </c>
    </row>
    <row r="921" spans="1:80" x14ac:dyDescent="0.3">
      <c r="A921" t="s">
        <v>7507</v>
      </c>
      <c r="B921" t="s">
        <v>71</v>
      </c>
      <c r="C921" t="s">
        <v>7508</v>
      </c>
      <c r="D921">
        <v>40</v>
      </c>
      <c r="E921" s="1">
        <v>31027</v>
      </c>
      <c r="F921" t="s">
        <v>89</v>
      </c>
      <c r="G921" t="s">
        <v>160</v>
      </c>
      <c r="H921" t="s">
        <v>89</v>
      </c>
      <c r="I921" t="s">
        <v>116</v>
      </c>
      <c r="J921" t="s">
        <v>89</v>
      </c>
      <c r="K921" t="s">
        <v>89</v>
      </c>
      <c r="L921" t="s">
        <v>117</v>
      </c>
      <c r="M921">
        <v>20</v>
      </c>
      <c r="N921" t="s">
        <v>1181</v>
      </c>
      <c r="O921">
        <v>2005</v>
      </c>
      <c r="P921" t="s">
        <v>7509</v>
      </c>
      <c r="Q921" t="s">
        <v>7510</v>
      </c>
      <c r="R921">
        <v>51488</v>
      </c>
      <c r="S921" t="s">
        <v>7507</v>
      </c>
      <c r="T921" s="1">
        <v>30998</v>
      </c>
      <c r="U921">
        <v>1984</v>
      </c>
      <c r="V921" t="s">
        <v>1181</v>
      </c>
      <c r="W921">
        <v>1.78</v>
      </c>
      <c r="X921" t="s">
        <v>76</v>
      </c>
      <c r="Y921" t="s">
        <v>494</v>
      </c>
      <c r="Z921" t="s">
        <v>87</v>
      </c>
      <c r="AA921" t="s">
        <v>924</v>
      </c>
      <c r="AB921" s="1">
        <v>44568</v>
      </c>
      <c r="AC921" t="s">
        <v>108</v>
      </c>
      <c r="AD921" t="s">
        <v>223</v>
      </c>
      <c r="AE921" t="s">
        <v>7511</v>
      </c>
      <c r="AF921">
        <v>27</v>
      </c>
      <c r="AG921" t="s">
        <v>1054</v>
      </c>
      <c r="AH921">
        <v>38839</v>
      </c>
      <c r="AI921">
        <v>21</v>
      </c>
      <c r="AJ921" t="s">
        <v>110</v>
      </c>
      <c r="AK921">
        <v>21</v>
      </c>
      <c r="AL921">
        <v>2</v>
      </c>
      <c r="AM921">
        <v>35</v>
      </c>
      <c r="AN921">
        <v>4</v>
      </c>
      <c r="AO921">
        <v>2</v>
      </c>
      <c r="AP921" t="s">
        <v>93</v>
      </c>
      <c r="AQ921" t="s">
        <v>89</v>
      </c>
      <c r="AR921" t="s">
        <v>89</v>
      </c>
      <c r="AS921" t="s">
        <v>111</v>
      </c>
      <c r="AT921" s="1">
        <v>44568</v>
      </c>
      <c r="AU921">
        <v>2022</v>
      </c>
      <c r="AV921">
        <v>17</v>
      </c>
      <c r="AW921">
        <v>17</v>
      </c>
      <c r="AX921" t="s">
        <v>89</v>
      </c>
      <c r="AY921" t="s">
        <v>93</v>
      </c>
      <c r="AZ921">
        <v>0</v>
      </c>
      <c r="BA921">
        <v>0</v>
      </c>
      <c r="BB921">
        <v>0</v>
      </c>
      <c r="BC921">
        <v>0</v>
      </c>
      <c r="BD921">
        <v>286</v>
      </c>
      <c r="BE921">
        <v>17578</v>
      </c>
      <c r="BF921">
        <v>24</v>
      </c>
      <c r="BG921">
        <v>38</v>
      </c>
      <c r="BH921">
        <v>286</v>
      </c>
      <c r="BI921">
        <v>17578</v>
      </c>
      <c r="BJ921">
        <v>24</v>
      </c>
      <c r="BK921">
        <f t="shared" si="128"/>
        <v>286</v>
      </c>
      <c r="BL921">
        <f t="shared" si="129"/>
        <v>17578</v>
      </c>
      <c r="BM921">
        <f t="shared" si="130"/>
        <v>24</v>
      </c>
      <c r="BN921">
        <f t="shared" si="131"/>
        <v>0</v>
      </c>
      <c r="BO921">
        <f t="shared" si="132"/>
        <v>0</v>
      </c>
      <c r="BP921">
        <f t="shared" si="133"/>
        <v>0</v>
      </c>
      <c r="BQ921" t="s">
        <v>494</v>
      </c>
      <c r="BR921" t="s">
        <v>112</v>
      </c>
      <c r="BS921" s="1">
        <v>31027</v>
      </c>
      <c r="BT921">
        <v>41</v>
      </c>
      <c r="BU921" s="1">
        <v>44568</v>
      </c>
      <c r="BV921" s="1">
        <v>44743</v>
      </c>
      <c r="BW921">
        <v>17</v>
      </c>
      <c r="BX921">
        <v>1984</v>
      </c>
      <c r="BY921">
        <v>17</v>
      </c>
      <c r="BZ921">
        <f t="shared" si="134"/>
        <v>0</v>
      </c>
      <c r="CA921">
        <f t="shared" si="135"/>
        <v>0</v>
      </c>
      <c r="CB921" t="b">
        <f t="shared" si="136"/>
        <v>1</v>
      </c>
    </row>
    <row r="922" spans="1:80" x14ac:dyDescent="0.3">
      <c r="A922" t="s">
        <v>7512</v>
      </c>
      <c r="B922" t="s">
        <v>552</v>
      </c>
      <c r="C922" t="s">
        <v>7513</v>
      </c>
      <c r="D922">
        <v>43</v>
      </c>
      <c r="E922" s="1">
        <v>29810</v>
      </c>
      <c r="F922" t="s">
        <v>89</v>
      </c>
      <c r="G922" t="s">
        <v>413</v>
      </c>
      <c r="H922" t="s">
        <v>4758</v>
      </c>
      <c r="I922" t="s">
        <v>437</v>
      </c>
      <c r="J922" t="s">
        <v>89</v>
      </c>
      <c r="K922" t="s">
        <v>89</v>
      </c>
      <c r="L922" t="s">
        <v>145</v>
      </c>
      <c r="M922">
        <v>22</v>
      </c>
      <c r="N922" t="s">
        <v>1842</v>
      </c>
      <c r="O922">
        <v>2004</v>
      </c>
      <c r="P922" t="s">
        <v>7514</v>
      </c>
      <c r="Q922" t="s">
        <v>7515</v>
      </c>
      <c r="R922">
        <v>19503</v>
      </c>
      <c r="S922" t="s">
        <v>7512</v>
      </c>
      <c r="T922">
        <v>29928</v>
      </c>
      <c r="U922">
        <v>1981</v>
      </c>
      <c r="V922" t="s">
        <v>7516</v>
      </c>
      <c r="W922">
        <v>1.81</v>
      </c>
      <c r="X922" t="s">
        <v>560</v>
      </c>
      <c r="Y922" t="s">
        <v>123</v>
      </c>
      <c r="Z922" t="s">
        <v>87</v>
      </c>
      <c r="AA922" t="s">
        <v>7517</v>
      </c>
      <c r="AB922" s="1">
        <v>42376</v>
      </c>
      <c r="AC922" t="s">
        <v>108</v>
      </c>
      <c r="AD922" t="s">
        <v>89</v>
      </c>
      <c r="AE922" t="s">
        <v>7518</v>
      </c>
      <c r="AF922">
        <v>23</v>
      </c>
      <c r="AG922" t="s">
        <v>613</v>
      </c>
      <c r="AH922" t="s">
        <v>7519</v>
      </c>
      <c r="AI922">
        <v>21</v>
      </c>
      <c r="AJ922">
        <v>0</v>
      </c>
      <c r="AK922">
        <v>21</v>
      </c>
      <c r="AL922" t="s">
        <v>89</v>
      </c>
      <c r="AM922" t="s">
        <v>89</v>
      </c>
      <c r="AN922" t="s">
        <v>89</v>
      </c>
      <c r="AO922">
        <v>0</v>
      </c>
      <c r="AP922" t="s">
        <v>93</v>
      </c>
      <c r="AQ922" t="s">
        <v>89</v>
      </c>
      <c r="AR922" t="s">
        <v>89</v>
      </c>
      <c r="AS922" t="s">
        <v>111</v>
      </c>
      <c r="AT922" s="1">
        <v>42376</v>
      </c>
      <c r="AU922">
        <v>2016</v>
      </c>
      <c r="AV922">
        <v>12</v>
      </c>
      <c r="AW922">
        <v>12</v>
      </c>
      <c r="AX922" t="s">
        <v>89</v>
      </c>
      <c r="AY922" t="s">
        <v>93</v>
      </c>
      <c r="AZ922">
        <v>0</v>
      </c>
      <c r="BA922">
        <v>0</v>
      </c>
      <c r="BB922">
        <v>0</v>
      </c>
      <c r="BC922">
        <v>0</v>
      </c>
      <c r="BD922">
        <v>219</v>
      </c>
      <c r="BE922">
        <v>14451</v>
      </c>
      <c r="BF922">
        <v>47</v>
      </c>
      <c r="BG922">
        <v>35</v>
      </c>
      <c r="BH922">
        <v>219</v>
      </c>
      <c r="BI922">
        <v>14451</v>
      </c>
      <c r="BJ922">
        <v>47</v>
      </c>
      <c r="BK922">
        <f t="shared" si="128"/>
        <v>219</v>
      </c>
      <c r="BL922">
        <f t="shared" si="129"/>
        <v>14451</v>
      </c>
      <c r="BM922">
        <f t="shared" si="130"/>
        <v>47</v>
      </c>
      <c r="BN922">
        <f t="shared" si="131"/>
        <v>0</v>
      </c>
      <c r="BO922">
        <f t="shared" si="132"/>
        <v>0</v>
      </c>
      <c r="BP922">
        <f t="shared" si="133"/>
        <v>0</v>
      </c>
      <c r="BQ922" t="s">
        <v>123</v>
      </c>
      <c r="BR922" t="s">
        <v>112</v>
      </c>
      <c r="BS922" t="s">
        <v>89</v>
      </c>
      <c r="BT922">
        <v>45</v>
      </c>
      <c r="BU922" s="1">
        <v>42376</v>
      </c>
      <c r="BV922" s="1">
        <v>42552</v>
      </c>
      <c r="BW922">
        <v>14</v>
      </c>
      <c r="BX922">
        <v>1981</v>
      </c>
      <c r="BY922">
        <v>14</v>
      </c>
      <c r="BZ922">
        <f t="shared" si="134"/>
        <v>-2</v>
      </c>
      <c r="CA922">
        <f t="shared" si="135"/>
        <v>0</v>
      </c>
      <c r="CB922" t="b">
        <f t="shared" si="136"/>
        <v>0</v>
      </c>
    </row>
    <row r="923" spans="1:80" x14ac:dyDescent="0.3">
      <c r="A923" t="s">
        <v>7520</v>
      </c>
      <c r="B923" t="s">
        <v>552</v>
      </c>
      <c r="C923" t="s">
        <v>7521</v>
      </c>
      <c r="D923">
        <v>38</v>
      </c>
      <c r="E923" s="1">
        <v>31651</v>
      </c>
      <c r="F923" t="s">
        <v>89</v>
      </c>
      <c r="G923" t="s">
        <v>535</v>
      </c>
      <c r="H923" t="s">
        <v>554</v>
      </c>
      <c r="I923" t="s">
        <v>668</v>
      </c>
      <c r="J923" t="s">
        <v>78</v>
      </c>
      <c r="K923" t="s">
        <v>89</v>
      </c>
      <c r="L923" t="s">
        <v>163</v>
      </c>
      <c r="M923">
        <v>19</v>
      </c>
      <c r="N923" t="s">
        <v>2647</v>
      </c>
      <c r="O923">
        <v>2006</v>
      </c>
      <c r="P923" t="s">
        <v>7522</v>
      </c>
      <c r="Q923" t="s">
        <v>7523</v>
      </c>
      <c r="R923">
        <v>37917</v>
      </c>
      <c r="S923" t="s">
        <v>7520</v>
      </c>
      <c r="T923" t="s">
        <v>7524</v>
      </c>
      <c r="U923">
        <v>1986</v>
      </c>
      <c r="V923" t="s">
        <v>7525</v>
      </c>
      <c r="W923">
        <v>1.7</v>
      </c>
      <c r="X923" t="s">
        <v>560</v>
      </c>
      <c r="Y923" t="s">
        <v>494</v>
      </c>
      <c r="Z923" t="s">
        <v>392</v>
      </c>
      <c r="AA923" t="s">
        <v>7526</v>
      </c>
      <c r="AB923" s="1">
        <v>44933</v>
      </c>
      <c r="AC923" t="s">
        <v>108</v>
      </c>
      <c r="AD923" t="s">
        <v>89</v>
      </c>
      <c r="AE923" t="s">
        <v>7527</v>
      </c>
      <c r="AF923">
        <v>20</v>
      </c>
      <c r="AG923" t="s">
        <v>1653</v>
      </c>
      <c r="AH923" t="s">
        <v>7528</v>
      </c>
      <c r="AI923">
        <v>35</v>
      </c>
      <c r="AJ923">
        <v>0</v>
      </c>
      <c r="AK923">
        <v>20</v>
      </c>
      <c r="AL923">
        <v>7</v>
      </c>
      <c r="AM923">
        <v>133</v>
      </c>
      <c r="AN923">
        <v>14</v>
      </c>
      <c r="AO923">
        <v>3</v>
      </c>
      <c r="AP923" t="s">
        <v>93</v>
      </c>
      <c r="AQ923" t="s">
        <v>89</v>
      </c>
      <c r="AR923" t="s">
        <v>89</v>
      </c>
      <c r="AS923" t="s">
        <v>111</v>
      </c>
      <c r="AT923" s="1">
        <v>44933</v>
      </c>
      <c r="AU923">
        <v>2023</v>
      </c>
      <c r="AV923">
        <v>17</v>
      </c>
      <c r="AW923">
        <v>17</v>
      </c>
      <c r="AX923" t="s">
        <v>89</v>
      </c>
      <c r="AY923" t="s">
        <v>111</v>
      </c>
      <c r="AZ923">
        <v>1</v>
      </c>
      <c r="BA923">
        <v>1</v>
      </c>
      <c r="BB923">
        <v>34</v>
      </c>
      <c r="BC923">
        <v>0</v>
      </c>
      <c r="BD923">
        <v>279</v>
      </c>
      <c r="BE923">
        <v>14411</v>
      </c>
      <c r="BF923">
        <v>21</v>
      </c>
      <c r="BG923">
        <v>37</v>
      </c>
      <c r="BH923">
        <v>280</v>
      </c>
      <c r="BI923">
        <v>14445</v>
      </c>
      <c r="BJ923">
        <v>21</v>
      </c>
      <c r="BK923">
        <f t="shared" si="128"/>
        <v>280</v>
      </c>
      <c r="BL923">
        <f t="shared" si="129"/>
        <v>14445</v>
      </c>
      <c r="BM923">
        <f t="shared" si="130"/>
        <v>21</v>
      </c>
      <c r="BN923">
        <f t="shared" si="131"/>
        <v>0</v>
      </c>
      <c r="BO923">
        <f t="shared" si="132"/>
        <v>0</v>
      </c>
      <c r="BP923">
        <f t="shared" si="133"/>
        <v>0</v>
      </c>
      <c r="BQ923" t="s">
        <v>494</v>
      </c>
      <c r="BR923" t="s">
        <v>112</v>
      </c>
      <c r="BS923" s="1">
        <v>31651</v>
      </c>
      <c r="BT923">
        <v>39</v>
      </c>
      <c r="BU923" s="1">
        <v>44933</v>
      </c>
      <c r="BV923" s="1">
        <v>45108</v>
      </c>
      <c r="BW923">
        <v>17</v>
      </c>
      <c r="BX923">
        <v>1986</v>
      </c>
      <c r="BY923">
        <v>17</v>
      </c>
      <c r="BZ923">
        <f t="shared" si="134"/>
        <v>0</v>
      </c>
      <c r="CA923">
        <f t="shared" si="135"/>
        <v>0</v>
      </c>
      <c r="CB923" t="b">
        <f t="shared" si="136"/>
        <v>1</v>
      </c>
    </row>
    <row r="924" spans="1:80" x14ac:dyDescent="0.3">
      <c r="A924" t="s">
        <v>7529</v>
      </c>
      <c r="B924" t="s">
        <v>565</v>
      </c>
      <c r="C924" t="s">
        <v>7530</v>
      </c>
      <c r="D924">
        <v>35</v>
      </c>
      <c r="E924" s="1">
        <v>32983</v>
      </c>
      <c r="F924" t="s">
        <v>89</v>
      </c>
      <c r="G924" t="s">
        <v>413</v>
      </c>
      <c r="H924" t="s">
        <v>567</v>
      </c>
      <c r="I924" t="s">
        <v>340</v>
      </c>
      <c r="J924" t="s">
        <v>78</v>
      </c>
      <c r="K924" t="s">
        <v>89</v>
      </c>
      <c r="L924" t="s">
        <v>80</v>
      </c>
      <c r="M924">
        <v>22</v>
      </c>
      <c r="N924" t="s">
        <v>7531</v>
      </c>
      <c r="O924">
        <v>2012</v>
      </c>
      <c r="P924" t="s">
        <v>7532</v>
      </c>
      <c r="Q924" t="s">
        <v>7533</v>
      </c>
      <c r="R924">
        <v>193515</v>
      </c>
      <c r="S924" t="s">
        <v>7529</v>
      </c>
      <c r="T924" t="s">
        <v>7534</v>
      </c>
      <c r="U924">
        <v>1990</v>
      </c>
      <c r="V924" t="s">
        <v>599</v>
      </c>
      <c r="W924">
        <v>1.85</v>
      </c>
      <c r="X924" t="s">
        <v>572</v>
      </c>
      <c r="Y924" t="s">
        <v>123</v>
      </c>
      <c r="Z924" t="s">
        <v>87</v>
      </c>
      <c r="AA924" t="s">
        <v>6426</v>
      </c>
      <c r="AB924" s="1">
        <v>44933</v>
      </c>
      <c r="AC924" t="s">
        <v>108</v>
      </c>
      <c r="AD924" t="s">
        <v>89</v>
      </c>
      <c r="AE924" t="s">
        <v>90</v>
      </c>
      <c r="AF924">
        <v>22</v>
      </c>
      <c r="AG924" t="s">
        <v>613</v>
      </c>
      <c r="AH924" t="s">
        <v>7535</v>
      </c>
      <c r="AI924">
        <v>21</v>
      </c>
      <c r="AJ924" t="s">
        <v>615</v>
      </c>
      <c r="AK924">
        <v>21</v>
      </c>
      <c r="AL924" t="s">
        <v>89</v>
      </c>
      <c r="AM924" t="s">
        <v>89</v>
      </c>
      <c r="AN924" t="s">
        <v>89</v>
      </c>
      <c r="AO924">
        <v>0</v>
      </c>
      <c r="AP924" t="s">
        <v>93</v>
      </c>
      <c r="AQ924" t="s">
        <v>89</v>
      </c>
      <c r="AR924" t="s">
        <v>89</v>
      </c>
      <c r="AS924" t="s">
        <v>93</v>
      </c>
      <c r="AT924" t="s">
        <v>89</v>
      </c>
      <c r="AU924" t="s">
        <v>89</v>
      </c>
      <c r="AV924" t="s">
        <v>89</v>
      </c>
      <c r="AW924">
        <v>13</v>
      </c>
      <c r="AX924" t="s">
        <v>89</v>
      </c>
      <c r="AY924" t="s">
        <v>111</v>
      </c>
      <c r="AZ924">
        <v>2</v>
      </c>
      <c r="BA924">
        <v>5</v>
      </c>
      <c r="BB924">
        <v>146</v>
      </c>
      <c r="BC924">
        <v>1</v>
      </c>
      <c r="BD924">
        <v>179</v>
      </c>
      <c r="BE924">
        <v>11177</v>
      </c>
      <c r="BF924">
        <v>40</v>
      </c>
      <c r="BG924" t="s">
        <v>89</v>
      </c>
      <c r="BH924">
        <v>184</v>
      </c>
      <c r="BI924">
        <v>11323</v>
      </c>
      <c r="BJ924">
        <v>41</v>
      </c>
      <c r="BK924">
        <f t="shared" si="128"/>
        <v>184</v>
      </c>
      <c r="BL924">
        <f t="shared" si="129"/>
        <v>11323</v>
      </c>
      <c r="BM924">
        <f t="shared" si="130"/>
        <v>41</v>
      </c>
      <c r="BN924">
        <f t="shared" si="131"/>
        <v>0</v>
      </c>
      <c r="BO924">
        <f t="shared" si="132"/>
        <v>0</v>
      </c>
      <c r="BP924">
        <f t="shared" si="133"/>
        <v>0</v>
      </c>
      <c r="BQ924" t="s">
        <v>123</v>
      </c>
      <c r="BR924" t="s">
        <v>112</v>
      </c>
      <c r="BS924" s="1">
        <v>32983</v>
      </c>
      <c r="BT924">
        <v>35</v>
      </c>
      <c r="BU924" t="s">
        <v>89</v>
      </c>
      <c r="BV924" t="s">
        <v>89</v>
      </c>
      <c r="BW924">
        <v>14</v>
      </c>
      <c r="BX924">
        <v>1990</v>
      </c>
      <c r="BY924">
        <v>14</v>
      </c>
      <c r="BZ924">
        <f t="shared" si="134"/>
        <v>-1</v>
      </c>
      <c r="CA924">
        <f t="shared" si="135"/>
        <v>0</v>
      </c>
      <c r="CB924" t="b">
        <f t="shared" si="136"/>
        <v>0</v>
      </c>
    </row>
    <row r="925" spans="1:80" x14ac:dyDescent="0.3">
      <c r="A925" t="s">
        <v>7536</v>
      </c>
      <c r="B925" t="s">
        <v>71</v>
      </c>
      <c r="C925" t="s">
        <v>7537</v>
      </c>
      <c r="D925">
        <v>45</v>
      </c>
      <c r="E925" s="1">
        <v>29396</v>
      </c>
      <c r="F925" t="s">
        <v>89</v>
      </c>
      <c r="G925" t="s">
        <v>211</v>
      </c>
      <c r="H925" t="s">
        <v>89</v>
      </c>
      <c r="I925" t="s">
        <v>299</v>
      </c>
      <c r="J925" t="s">
        <v>89</v>
      </c>
      <c r="K925" t="s">
        <v>89</v>
      </c>
      <c r="L925" t="s">
        <v>845</v>
      </c>
      <c r="M925">
        <v>22</v>
      </c>
      <c r="N925" t="s">
        <v>6317</v>
      </c>
      <c r="O925">
        <v>2002</v>
      </c>
      <c r="P925" t="s">
        <v>7538</v>
      </c>
      <c r="Q925" t="s">
        <v>7539</v>
      </c>
      <c r="R925">
        <v>23287</v>
      </c>
      <c r="S925" t="s">
        <v>7536</v>
      </c>
      <c r="T925" t="s">
        <v>7540</v>
      </c>
      <c r="U925">
        <v>1980</v>
      </c>
      <c r="V925" t="s">
        <v>1047</v>
      </c>
      <c r="W925">
        <v>1.74</v>
      </c>
      <c r="X925" t="s">
        <v>76</v>
      </c>
      <c r="Y925" t="s">
        <v>203</v>
      </c>
      <c r="Z925" t="s">
        <v>152</v>
      </c>
      <c r="AA925" t="s">
        <v>706</v>
      </c>
      <c r="AB925" s="1">
        <v>41980</v>
      </c>
      <c r="AC925" t="s">
        <v>108</v>
      </c>
      <c r="AD925" t="s">
        <v>89</v>
      </c>
      <c r="AE925" t="s">
        <v>7541</v>
      </c>
      <c r="AF925">
        <v>22</v>
      </c>
      <c r="AG925" t="s">
        <v>91</v>
      </c>
      <c r="AH925">
        <v>37721</v>
      </c>
      <c r="AI925">
        <v>23</v>
      </c>
      <c r="AJ925" t="s">
        <v>110</v>
      </c>
      <c r="AK925">
        <v>22</v>
      </c>
      <c r="AL925">
        <v>4</v>
      </c>
      <c r="AM925">
        <v>119</v>
      </c>
      <c r="AN925">
        <v>20</v>
      </c>
      <c r="AO925">
        <v>3</v>
      </c>
      <c r="AP925" t="s">
        <v>93</v>
      </c>
      <c r="AQ925" t="s">
        <v>89</v>
      </c>
      <c r="AR925" t="s">
        <v>89</v>
      </c>
      <c r="AS925" t="s">
        <v>111</v>
      </c>
      <c r="AT925" s="1">
        <v>41980</v>
      </c>
      <c r="AU925">
        <v>2014</v>
      </c>
      <c r="AV925">
        <v>12</v>
      </c>
      <c r="AW925">
        <v>12</v>
      </c>
      <c r="AX925" t="s">
        <v>89</v>
      </c>
      <c r="AY925" t="s">
        <v>93</v>
      </c>
      <c r="AZ925">
        <v>0</v>
      </c>
      <c r="BA925">
        <v>0</v>
      </c>
      <c r="BB925">
        <v>0</v>
      </c>
      <c r="BC925">
        <v>0</v>
      </c>
      <c r="BD925">
        <v>349</v>
      </c>
      <c r="BE925">
        <v>26462</v>
      </c>
      <c r="BF925">
        <v>16</v>
      </c>
      <c r="BG925">
        <v>34</v>
      </c>
      <c r="BH925">
        <v>349</v>
      </c>
      <c r="BI925">
        <v>26462</v>
      </c>
      <c r="BJ925">
        <v>16</v>
      </c>
      <c r="BK925">
        <f t="shared" si="128"/>
        <v>349</v>
      </c>
      <c r="BL925">
        <f t="shared" si="129"/>
        <v>26462</v>
      </c>
      <c r="BM925">
        <f t="shared" si="130"/>
        <v>16</v>
      </c>
      <c r="BN925">
        <f t="shared" si="131"/>
        <v>0</v>
      </c>
      <c r="BO925">
        <f t="shared" si="132"/>
        <v>0</v>
      </c>
      <c r="BP925">
        <f t="shared" si="133"/>
        <v>0</v>
      </c>
      <c r="BQ925" t="s">
        <v>203</v>
      </c>
      <c r="BR925" t="s">
        <v>140</v>
      </c>
      <c r="BS925" t="s">
        <v>89</v>
      </c>
      <c r="BT925">
        <v>46</v>
      </c>
      <c r="BU925" s="1">
        <v>41980</v>
      </c>
      <c r="BV925" s="1">
        <v>41832</v>
      </c>
      <c r="BW925">
        <v>12</v>
      </c>
      <c r="BX925">
        <v>1980</v>
      </c>
      <c r="BY925">
        <v>12</v>
      </c>
      <c r="BZ925">
        <f t="shared" si="134"/>
        <v>0</v>
      </c>
      <c r="CA925">
        <f t="shared" si="135"/>
        <v>0</v>
      </c>
      <c r="CB925" t="b">
        <f t="shared" si="136"/>
        <v>1</v>
      </c>
    </row>
    <row r="926" spans="1:80" x14ac:dyDescent="0.3">
      <c r="A926" t="s">
        <v>7536</v>
      </c>
      <c r="B926" t="s">
        <v>89</v>
      </c>
      <c r="C926" t="s">
        <v>7542</v>
      </c>
      <c r="D926">
        <v>35</v>
      </c>
      <c r="E926" t="s">
        <v>7543</v>
      </c>
      <c r="F926" t="s">
        <v>265</v>
      </c>
      <c r="G926" t="s">
        <v>321</v>
      </c>
      <c r="H926" t="s">
        <v>76</v>
      </c>
      <c r="I926" t="s">
        <v>357</v>
      </c>
      <c r="J926" t="s">
        <v>78</v>
      </c>
      <c r="K926" t="s">
        <v>7544</v>
      </c>
      <c r="L926" t="s">
        <v>228</v>
      </c>
      <c r="M926">
        <v>20</v>
      </c>
      <c r="N926" t="s">
        <v>268</v>
      </c>
      <c r="O926">
        <v>2010</v>
      </c>
      <c r="P926" t="s">
        <v>7545</v>
      </c>
      <c r="Q926" t="s">
        <v>7546</v>
      </c>
      <c r="R926">
        <v>58884</v>
      </c>
      <c r="S926" t="s">
        <v>7547</v>
      </c>
      <c r="T926" t="s">
        <v>7548</v>
      </c>
      <c r="U926">
        <v>1990</v>
      </c>
      <c r="V926" t="s">
        <v>122</v>
      </c>
      <c r="W926">
        <v>1.8</v>
      </c>
      <c r="X926" t="s">
        <v>76</v>
      </c>
      <c r="Y926" t="s">
        <v>235</v>
      </c>
      <c r="Z926" t="s">
        <v>87</v>
      </c>
      <c r="AA926" t="s">
        <v>7549</v>
      </c>
      <c r="AB926" t="s">
        <v>7550</v>
      </c>
      <c r="AC926" t="s">
        <v>170</v>
      </c>
      <c r="AD926" t="s">
        <v>89</v>
      </c>
      <c r="AE926" t="s">
        <v>816</v>
      </c>
      <c r="AF926">
        <v>21</v>
      </c>
      <c r="AG926" t="s">
        <v>91</v>
      </c>
      <c r="AH926" t="s">
        <v>274</v>
      </c>
      <c r="AI926">
        <v>22</v>
      </c>
      <c r="AJ926" t="s">
        <v>110</v>
      </c>
      <c r="AK926">
        <v>21</v>
      </c>
      <c r="AL926">
        <v>9</v>
      </c>
      <c r="AM926">
        <v>248</v>
      </c>
      <c r="AN926">
        <v>56</v>
      </c>
      <c r="AO926">
        <v>6</v>
      </c>
      <c r="AP926" t="s">
        <v>93</v>
      </c>
      <c r="AQ926" t="s">
        <v>89</v>
      </c>
      <c r="AR926" t="s">
        <v>89</v>
      </c>
      <c r="AS926" t="s">
        <v>93</v>
      </c>
      <c r="AT926" t="s">
        <v>89</v>
      </c>
      <c r="AU926" t="s">
        <v>89</v>
      </c>
      <c r="AV926" t="s">
        <v>89</v>
      </c>
      <c r="AW926">
        <v>15</v>
      </c>
      <c r="AX926">
        <v>6</v>
      </c>
      <c r="AY926" t="s">
        <v>111</v>
      </c>
      <c r="AZ926">
        <v>13</v>
      </c>
      <c r="BA926">
        <v>28</v>
      </c>
      <c r="BB926">
        <v>1802</v>
      </c>
      <c r="BC926">
        <v>1</v>
      </c>
      <c r="BD926">
        <v>409</v>
      </c>
      <c r="BE926">
        <v>30148</v>
      </c>
      <c r="BF926">
        <v>16</v>
      </c>
      <c r="BG926" t="s">
        <v>89</v>
      </c>
      <c r="BH926">
        <v>437</v>
      </c>
      <c r="BI926">
        <v>31950</v>
      </c>
      <c r="BJ926">
        <v>17</v>
      </c>
      <c r="BK926">
        <f t="shared" si="128"/>
        <v>437</v>
      </c>
      <c r="BL926">
        <f t="shared" si="129"/>
        <v>31950</v>
      </c>
      <c r="BM926">
        <f t="shared" si="130"/>
        <v>17</v>
      </c>
      <c r="BN926">
        <f t="shared" si="131"/>
        <v>0</v>
      </c>
      <c r="BO926">
        <f t="shared" si="132"/>
        <v>0</v>
      </c>
      <c r="BP926">
        <f t="shared" si="133"/>
        <v>0</v>
      </c>
      <c r="BQ926" t="s">
        <v>235</v>
      </c>
      <c r="BR926" t="s">
        <v>140</v>
      </c>
      <c r="BS926" s="1">
        <v>32891</v>
      </c>
      <c r="BT926">
        <v>36</v>
      </c>
      <c r="BU926" t="s">
        <v>89</v>
      </c>
      <c r="BV926" t="s">
        <v>89</v>
      </c>
      <c r="BW926">
        <v>15</v>
      </c>
      <c r="BX926">
        <v>1990</v>
      </c>
      <c r="BY926">
        <v>14</v>
      </c>
      <c r="BZ926">
        <f t="shared" si="134"/>
        <v>0</v>
      </c>
      <c r="CA926">
        <f t="shared" si="135"/>
        <v>1</v>
      </c>
      <c r="CB926" t="b">
        <f t="shared" si="136"/>
        <v>1</v>
      </c>
    </row>
    <row r="927" spans="1:80" x14ac:dyDescent="0.3">
      <c r="A927" t="s">
        <v>7551</v>
      </c>
      <c r="B927" t="s">
        <v>71</v>
      </c>
      <c r="C927" t="s">
        <v>7552</v>
      </c>
      <c r="D927">
        <v>37</v>
      </c>
      <c r="E927" s="1">
        <v>32133</v>
      </c>
      <c r="F927" t="s">
        <v>89</v>
      </c>
      <c r="G927" t="s">
        <v>211</v>
      </c>
      <c r="H927" t="s">
        <v>89</v>
      </c>
      <c r="I927" t="s">
        <v>750</v>
      </c>
      <c r="J927" t="s">
        <v>300</v>
      </c>
      <c r="K927" t="s">
        <v>89</v>
      </c>
      <c r="L927" t="s">
        <v>228</v>
      </c>
      <c r="M927">
        <v>22</v>
      </c>
      <c r="N927" t="s">
        <v>279</v>
      </c>
      <c r="O927">
        <v>2010</v>
      </c>
      <c r="P927" t="s">
        <v>7553</v>
      </c>
      <c r="Q927" t="s">
        <v>7554</v>
      </c>
      <c r="R927">
        <v>89473</v>
      </c>
      <c r="S927" t="s">
        <v>7551</v>
      </c>
      <c r="T927" t="s">
        <v>7555</v>
      </c>
      <c r="U927">
        <v>1987</v>
      </c>
      <c r="V927" t="s">
        <v>315</v>
      </c>
      <c r="W927">
        <v>1.75</v>
      </c>
      <c r="X927" t="s">
        <v>76</v>
      </c>
      <c r="Y927" t="s">
        <v>86</v>
      </c>
      <c r="Z927" t="s">
        <v>152</v>
      </c>
      <c r="AA927" t="s">
        <v>909</v>
      </c>
      <c r="AB927" t="s">
        <v>7556</v>
      </c>
      <c r="AC927" t="s">
        <v>108</v>
      </c>
      <c r="AD927" t="s">
        <v>89</v>
      </c>
      <c r="AE927">
        <v>2011</v>
      </c>
      <c r="AF927">
        <v>23</v>
      </c>
      <c r="AG927" t="s">
        <v>91</v>
      </c>
      <c r="AH927">
        <v>2012</v>
      </c>
      <c r="AI927">
        <v>24</v>
      </c>
      <c r="AJ927">
        <v>0</v>
      </c>
      <c r="AK927">
        <v>23</v>
      </c>
      <c r="AL927">
        <v>3</v>
      </c>
      <c r="AM927">
        <v>76</v>
      </c>
      <c r="AN927">
        <v>10</v>
      </c>
      <c r="AO927">
        <v>2</v>
      </c>
      <c r="AP927" t="s">
        <v>93</v>
      </c>
      <c r="AQ927" t="s">
        <v>89</v>
      </c>
      <c r="AR927" t="s">
        <v>89</v>
      </c>
      <c r="AS927" t="s">
        <v>111</v>
      </c>
      <c r="AT927" t="s">
        <v>7556</v>
      </c>
      <c r="AU927">
        <v>2023</v>
      </c>
      <c r="AV927">
        <v>13</v>
      </c>
      <c r="AW927">
        <v>13</v>
      </c>
      <c r="AX927">
        <v>10</v>
      </c>
      <c r="AY927" t="s">
        <v>93</v>
      </c>
      <c r="AZ927">
        <v>0</v>
      </c>
      <c r="BA927">
        <v>0</v>
      </c>
      <c r="BB927">
        <v>0</v>
      </c>
      <c r="BC927">
        <v>0</v>
      </c>
      <c r="BD927">
        <v>188</v>
      </c>
      <c r="BE927">
        <v>14093</v>
      </c>
      <c r="BF927">
        <v>10</v>
      </c>
      <c r="BG927">
        <v>36</v>
      </c>
      <c r="BH927">
        <v>188</v>
      </c>
      <c r="BI927">
        <v>14093</v>
      </c>
      <c r="BJ927">
        <v>10</v>
      </c>
      <c r="BK927">
        <f t="shared" si="128"/>
        <v>188</v>
      </c>
      <c r="BL927">
        <f t="shared" si="129"/>
        <v>14093</v>
      </c>
      <c r="BM927">
        <f t="shared" si="130"/>
        <v>10</v>
      </c>
      <c r="BN927">
        <f t="shared" si="131"/>
        <v>0</v>
      </c>
      <c r="BO927">
        <f t="shared" si="132"/>
        <v>0</v>
      </c>
      <c r="BP927">
        <f t="shared" si="133"/>
        <v>0</v>
      </c>
      <c r="BQ927" t="s">
        <v>86</v>
      </c>
      <c r="BR927" t="s">
        <v>94</v>
      </c>
      <c r="BS927" s="1">
        <v>32133</v>
      </c>
      <c r="BT927">
        <v>38</v>
      </c>
      <c r="BU927" t="s">
        <v>7556</v>
      </c>
      <c r="BV927" s="1">
        <v>45121</v>
      </c>
      <c r="BW927">
        <v>13</v>
      </c>
      <c r="BX927">
        <v>1987</v>
      </c>
      <c r="BY927">
        <v>13</v>
      </c>
      <c r="BZ927">
        <f t="shared" si="134"/>
        <v>0</v>
      </c>
      <c r="CA927">
        <f t="shared" si="135"/>
        <v>0</v>
      </c>
      <c r="CB927" t="b">
        <f t="shared" si="136"/>
        <v>1</v>
      </c>
    </row>
    <row r="928" spans="1:80" x14ac:dyDescent="0.3">
      <c r="A928" t="s">
        <v>7557</v>
      </c>
      <c r="B928" t="s">
        <v>729</v>
      </c>
      <c r="C928" t="s">
        <v>7558</v>
      </c>
      <c r="D928">
        <v>43</v>
      </c>
      <c r="E928" s="1">
        <v>30085</v>
      </c>
      <c r="F928" t="s">
        <v>89</v>
      </c>
      <c r="G928" t="s">
        <v>115</v>
      </c>
      <c r="H928" t="s">
        <v>732</v>
      </c>
      <c r="I928" t="s">
        <v>791</v>
      </c>
      <c r="J928" t="s">
        <v>78</v>
      </c>
      <c r="K928" t="s">
        <v>89</v>
      </c>
      <c r="L928" t="s">
        <v>180</v>
      </c>
      <c r="M928">
        <v>25</v>
      </c>
      <c r="N928" t="s">
        <v>197</v>
      </c>
      <c r="O928">
        <v>2007</v>
      </c>
      <c r="P928" t="s">
        <v>7559</v>
      </c>
      <c r="Q928" t="s">
        <v>7560</v>
      </c>
      <c r="R928">
        <v>67648</v>
      </c>
      <c r="S928" t="s">
        <v>7561</v>
      </c>
      <c r="T928" t="s">
        <v>7562</v>
      </c>
      <c r="U928">
        <v>1982</v>
      </c>
      <c r="V928" t="s">
        <v>736</v>
      </c>
      <c r="W928">
        <v>1.78</v>
      </c>
      <c r="X928" t="s">
        <v>1971</v>
      </c>
      <c r="Y928" t="s">
        <v>106</v>
      </c>
      <c r="Z928" t="s">
        <v>87</v>
      </c>
      <c r="AA928" t="s">
        <v>3340</v>
      </c>
      <c r="AB928" s="1">
        <v>44927</v>
      </c>
      <c r="AC928" t="s">
        <v>108</v>
      </c>
      <c r="AD928" t="s">
        <v>89</v>
      </c>
      <c r="AE928" t="s">
        <v>2219</v>
      </c>
      <c r="AF928">
        <v>24</v>
      </c>
      <c r="AG928">
        <v>0</v>
      </c>
      <c r="AH928">
        <v>41519</v>
      </c>
      <c r="AI928">
        <v>30</v>
      </c>
      <c r="AJ928" t="s">
        <v>110</v>
      </c>
      <c r="AK928">
        <v>24</v>
      </c>
      <c r="AL928">
        <v>10</v>
      </c>
      <c r="AM928">
        <v>455</v>
      </c>
      <c r="AN928">
        <v>74</v>
      </c>
      <c r="AO928">
        <v>6</v>
      </c>
      <c r="AP928" t="s">
        <v>93</v>
      </c>
      <c r="AQ928" t="s">
        <v>89</v>
      </c>
      <c r="AR928" t="s">
        <v>89</v>
      </c>
      <c r="AS928" t="s">
        <v>111</v>
      </c>
      <c r="AT928" s="1">
        <v>44927</v>
      </c>
      <c r="AU928">
        <v>2023</v>
      </c>
      <c r="AV928">
        <v>16</v>
      </c>
      <c r="AW928">
        <v>16</v>
      </c>
      <c r="AX928" t="s">
        <v>89</v>
      </c>
      <c r="AY928" t="s">
        <v>111</v>
      </c>
      <c r="AZ928">
        <v>1</v>
      </c>
      <c r="BA928">
        <v>1</v>
      </c>
      <c r="BB928">
        <v>62</v>
      </c>
      <c r="BC928">
        <v>0</v>
      </c>
      <c r="BD928">
        <v>241</v>
      </c>
      <c r="BE928">
        <v>14338</v>
      </c>
      <c r="BF928">
        <v>40</v>
      </c>
      <c r="BG928">
        <v>41</v>
      </c>
      <c r="BH928">
        <v>242</v>
      </c>
      <c r="BI928">
        <v>14400</v>
      </c>
      <c r="BJ928">
        <v>40</v>
      </c>
      <c r="BK928">
        <f t="shared" si="128"/>
        <v>242</v>
      </c>
      <c r="BL928">
        <f t="shared" si="129"/>
        <v>14400</v>
      </c>
      <c r="BM928">
        <f t="shared" si="130"/>
        <v>40</v>
      </c>
      <c r="BN928">
        <f t="shared" si="131"/>
        <v>0</v>
      </c>
      <c r="BO928">
        <f t="shared" si="132"/>
        <v>0</v>
      </c>
      <c r="BP928">
        <f t="shared" si="133"/>
        <v>0</v>
      </c>
      <c r="BQ928" t="s">
        <v>106</v>
      </c>
      <c r="BR928" t="s">
        <v>112</v>
      </c>
      <c r="BS928" t="s">
        <v>89</v>
      </c>
      <c r="BT928">
        <v>44</v>
      </c>
      <c r="BU928" s="1">
        <v>44927</v>
      </c>
      <c r="BV928" s="1">
        <v>44927</v>
      </c>
      <c r="BW928">
        <v>17</v>
      </c>
      <c r="BX928">
        <v>1982</v>
      </c>
      <c r="BY928">
        <v>17</v>
      </c>
      <c r="BZ928">
        <f t="shared" si="134"/>
        <v>-1</v>
      </c>
      <c r="CA928">
        <f t="shared" si="135"/>
        <v>0</v>
      </c>
      <c r="CB928" t="b">
        <f t="shared" si="136"/>
        <v>0</v>
      </c>
    </row>
    <row r="929" spans="1:80" x14ac:dyDescent="0.3">
      <c r="A929" t="s">
        <v>7563</v>
      </c>
      <c r="B929" t="s">
        <v>71</v>
      </c>
      <c r="C929" t="s">
        <v>7564</v>
      </c>
      <c r="D929">
        <v>39</v>
      </c>
      <c r="E929" s="1">
        <v>31469</v>
      </c>
      <c r="F929" t="s">
        <v>89</v>
      </c>
      <c r="G929" t="s">
        <v>75</v>
      </c>
      <c r="H929" t="s">
        <v>76</v>
      </c>
      <c r="I929" t="s">
        <v>195</v>
      </c>
      <c r="J929" t="s">
        <v>300</v>
      </c>
      <c r="K929" t="s">
        <v>89</v>
      </c>
      <c r="L929" t="s">
        <v>163</v>
      </c>
      <c r="M929">
        <v>20</v>
      </c>
      <c r="N929" t="s">
        <v>820</v>
      </c>
      <c r="O929">
        <v>2006</v>
      </c>
      <c r="P929" t="s">
        <v>7565</v>
      </c>
      <c r="Q929" t="s">
        <v>7566</v>
      </c>
      <c r="R929">
        <v>43003</v>
      </c>
      <c r="S929" t="s">
        <v>7563</v>
      </c>
      <c r="T929" t="s">
        <v>7567</v>
      </c>
      <c r="U929">
        <v>1986</v>
      </c>
      <c r="V929" t="s">
        <v>1185</v>
      </c>
      <c r="W929">
        <v>1.79</v>
      </c>
      <c r="X929" t="s">
        <v>76</v>
      </c>
      <c r="Y929" t="s">
        <v>203</v>
      </c>
      <c r="Z929" t="s">
        <v>152</v>
      </c>
      <c r="AA929" t="s">
        <v>1365</v>
      </c>
      <c r="AB929" t="s">
        <v>7568</v>
      </c>
      <c r="AC929" t="s">
        <v>108</v>
      </c>
      <c r="AD929" t="s">
        <v>395</v>
      </c>
      <c r="AE929" t="s">
        <v>7569</v>
      </c>
      <c r="AF929">
        <v>20</v>
      </c>
      <c r="AG929" t="s">
        <v>91</v>
      </c>
      <c r="AH929" t="s">
        <v>92</v>
      </c>
      <c r="AI929" t="s">
        <v>89</v>
      </c>
      <c r="AJ929" t="s">
        <v>92</v>
      </c>
      <c r="AK929">
        <v>20</v>
      </c>
      <c r="AL929">
        <v>18</v>
      </c>
      <c r="AM929">
        <v>790</v>
      </c>
      <c r="AN929">
        <v>139</v>
      </c>
      <c r="AO929">
        <v>12</v>
      </c>
      <c r="AP929" t="s">
        <v>93</v>
      </c>
      <c r="AQ929" t="s">
        <v>89</v>
      </c>
      <c r="AR929" t="s">
        <v>89</v>
      </c>
      <c r="AS929" t="s">
        <v>111</v>
      </c>
      <c r="AT929" t="s">
        <v>7568</v>
      </c>
      <c r="AU929">
        <v>2022</v>
      </c>
      <c r="AV929">
        <v>16</v>
      </c>
      <c r="AW929">
        <v>16</v>
      </c>
      <c r="AX929" t="s">
        <v>89</v>
      </c>
      <c r="AY929" t="s">
        <v>111</v>
      </c>
      <c r="AZ929">
        <v>9</v>
      </c>
      <c r="BA929">
        <v>10</v>
      </c>
      <c r="BB929">
        <v>733</v>
      </c>
      <c r="BC929">
        <v>1</v>
      </c>
      <c r="BD929">
        <v>487</v>
      </c>
      <c r="BE929">
        <v>40327</v>
      </c>
      <c r="BF929">
        <v>18</v>
      </c>
      <c r="BG929">
        <v>36</v>
      </c>
      <c r="BH929">
        <v>497</v>
      </c>
      <c r="BI929">
        <v>41060</v>
      </c>
      <c r="BJ929">
        <v>19</v>
      </c>
      <c r="BK929">
        <f t="shared" si="128"/>
        <v>497</v>
      </c>
      <c r="BL929">
        <f t="shared" si="129"/>
        <v>41060</v>
      </c>
      <c r="BM929">
        <f t="shared" si="130"/>
        <v>19</v>
      </c>
      <c r="BN929">
        <f t="shared" si="131"/>
        <v>0</v>
      </c>
      <c r="BO929">
        <f t="shared" si="132"/>
        <v>0</v>
      </c>
      <c r="BP929">
        <f t="shared" si="133"/>
        <v>0</v>
      </c>
      <c r="BQ929" t="s">
        <v>203</v>
      </c>
      <c r="BR929" t="s">
        <v>140</v>
      </c>
      <c r="BS929" s="1">
        <v>31469</v>
      </c>
      <c r="BT929">
        <v>39</v>
      </c>
      <c r="BU929" t="s">
        <v>7568</v>
      </c>
      <c r="BV929" s="1">
        <v>44789</v>
      </c>
      <c r="BW929">
        <v>16</v>
      </c>
      <c r="BX929">
        <v>1986</v>
      </c>
      <c r="BY929">
        <v>16</v>
      </c>
      <c r="BZ929">
        <f t="shared" si="134"/>
        <v>0</v>
      </c>
      <c r="CA929">
        <f t="shared" si="135"/>
        <v>0</v>
      </c>
      <c r="CB929" t="b">
        <f t="shared" si="136"/>
        <v>1</v>
      </c>
    </row>
    <row r="930" spans="1:80" x14ac:dyDescent="0.3">
      <c r="A930" t="s">
        <v>7570</v>
      </c>
      <c r="B930" t="s">
        <v>71</v>
      </c>
      <c r="C930" t="s">
        <v>7571</v>
      </c>
      <c r="D930">
        <v>46</v>
      </c>
      <c r="E930" s="1">
        <v>28940</v>
      </c>
      <c r="F930" t="s">
        <v>89</v>
      </c>
      <c r="G930" t="s">
        <v>143</v>
      </c>
      <c r="H930" t="s">
        <v>89</v>
      </c>
      <c r="I930" t="s">
        <v>437</v>
      </c>
      <c r="J930" t="s">
        <v>89</v>
      </c>
      <c r="K930" t="s">
        <v>89</v>
      </c>
      <c r="L930" t="s">
        <v>845</v>
      </c>
      <c r="M930">
        <v>23</v>
      </c>
      <c r="N930" t="s">
        <v>7572</v>
      </c>
      <c r="O930">
        <v>2002</v>
      </c>
      <c r="P930" t="s">
        <v>7573</v>
      </c>
      <c r="Q930" t="s">
        <v>7574</v>
      </c>
      <c r="R930">
        <v>12844</v>
      </c>
      <c r="S930" t="s">
        <v>7570</v>
      </c>
      <c r="T930" t="s">
        <v>7575</v>
      </c>
      <c r="U930">
        <v>1979</v>
      </c>
      <c r="V930" t="s">
        <v>292</v>
      </c>
      <c r="W930">
        <v>1.75</v>
      </c>
      <c r="X930" t="s">
        <v>76</v>
      </c>
      <c r="Y930" t="s">
        <v>494</v>
      </c>
      <c r="Z930" t="s">
        <v>87</v>
      </c>
      <c r="AA930" t="s">
        <v>7576</v>
      </c>
      <c r="AB930" s="1">
        <v>42742</v>
      </c>
      <c r="AC930" t="s">
        <v>108</v>
      </c>
      <c r="AD930" t="s">
        <v>89</v>
      </c>
      <c r="AE930">
        <v>37323</v>
      </c>
      <c r="AF930">
        <v>23</v>
      </c>
      <c r="AG930">
        <v>0</v>
      </c>
      <c r="AH930" t="s">
        <v>274</v>
      </c>
      <c r="AI930">
        <v>33</v>
      </c>
      <c r="AJ930" t="s">
        <v>110</v>
      </c>
      <c r="AK930">
        <v>23</v>
      </c>
      <c r="AL930">
        <v>2</v>
      </c>
      <c r="AM930">
        <v>65</v>
      </c>
      <c r="AN930">
        <v>12</v>
      </c>
      <c r="AO930">
        <v>2</v>
      </c>
      <c r="AP930" t="s">
        <v>93</v>
      </c>
      <c r="AQ930" t="s">
        <v>89</v>
      </c>
      <c r="AR930" t="s">
        <v>89</v>
      </c>
      <c r="AS930" t="s">
        <v>111</v>
      </c>
      <c r="AT930" s="1">
        <v>42742</v>
      </c>
      <c r="AU930">
        <v>2017</v>
      </c>
      <c r="AV930">
        <v>15</v>
      </c>
      <c r="AW930">
        <v>15</v>
      </c>
      <c r="AX930" t="s">
        <v>89</v>
      </c>
      <c r="AY930" t="s">
        <v>93</v>
      </c>
      <c r="AZ930">
        <v>0</v>
      </c>
      <c r="BA930">
        <v>0</v>
      </c>
      <c r="BB930">
        <v>0</v>
      </c>
      <c r="BC930">
        <v>0</v>
      </c>
      <c r="BD930">
        <v>420</v>
      </c>
      <c r="BE930">
        <v>24318</v>
      </c>
      <c r="BF930">
        <v>109</v>
      </c>
      <c r="BG930">
        <v>38</v>
      </c>
      <c r="BH930">
        <v>420</v>
      </c>
      <c r="BI930">
        <v>24318</v>
      </c>
      <c r="BJ930">
        <v>109</v>
      </c>
      <c r="BK930">
        <f t="shared" si="128"/>
        <v>420</v>
      </c>
      <c r="BL930">
        <f t="shared" si="129"/>
        <v>24318</v>
      </c>
      <c r="BM930">
        <f t="shared" si="130"/>
        <v>109</v>
      </c>
      <c r="BN930">
        <f t="shared" si="131"/>
        <v>0</v>
      </c>
      <c r="BO930">
        <f t="shared" si="132"/>
        <v>0</v>
      </c>
      <c r="BP930">
        <f t="shared" si="133"/>
        <v>0</v>
      </c>
      <c r="BQ930" t="s">
        <v>494</v>
      </c>
      <c r="BR930" t="s">
        <v>112</v>
      </c>
      <c r="BS930" s="1">
        <v>28940</v>
      </c>
      <c r="BT930">
        <v>46</v>
      </c>
      <c r="BU930" s="1">
        <v>42742</v>
      </c>
      <c r="BV930" s="1">
        <v>42917</v>
      </c>
      <c r="BW930">
        <v>15</v>
      </c>
      <c r="BX930">
        <v>1979</v>
      </c>
      <c r="BY930">
        <v>15</v>
      </c>
      <c r="BZ930">
        <f t="shared" si="134"/>
        <v>0</v>
      </c>
      <c r="CA930">
        <f t="shared" si="135"/>
        <v>0</v>
      </c>
      <c r="CB930" t="b">
        <f t="shared" si="136"/>
        <v>1</v>
      </c>
    </row>
    <row r="931" spans="1:80" x14ac:dyDescent="0.3">
      <c r="A931" t="s">
        <v>7577</v>
      </c>
      <c r="B931" t="s">
        <v>71</v>
      </c>
      <c r="C931" t="s">
        <v>7578</v>
      </c>
      <c r="D931">
        <v>44</v>
      </c>
      <c r="E931" s="1">
        <v>29582</v>
      </c>
      <c r="F931" t="s">
        <v>89</v>
      </c>
      <c r="G931" t="s">
        <v>400</v>
      </c>
      <c r="H931" t="s">
        <v>89</v>
      </c>
      <c r="I931" t="s">
        <v>227</v>
      </c>
      <c r="J931" t="s">
        <v>78</v>
      </c>
      <c r="K931" t="s">
        <v>89</v>
      </c>
      <c r="L931" t="s">
        <v>228</v>
      </c>
      <c r="M931">
        <v>29</v>
      </c>
      <c r="N931" t="s">
        <v>1955</v>
      </c>
      <c r="O931">
        <v>2010</v>
      </c>
      <c r="P931" t="s">
        <v>7579</v>
      </c>
      <c r="Q931" t="s">
        <v>7580</v>
      </c>
      <c r="R931">
        <v>73257</v>
      </c>
      <c r="S931" t="s">
        <v>7577</v>
      </c>
      <c r="T931" t="s">
        <v>7581</v>
      </c>
      <c r="U931">
        <v>1980</v>
      </c>
      <c r="V931" t="s">
        <v>122</v>
      </c>
      <c r="W931">
        <v>1.82</v>
      </c>
      <c r="X931" t="s">
        <v>76</v>
      </c>
      <c r="Y931" t="s">
        <v>136</v>
      </c>
      <c r="Z931" t="s">
        <v>87</v>
      </c>
      <c r="AA931" t="s">
        <v>3878</v>
      </c>
      <c r="AB931" s="1">
        <v>43107</v>
      </c>
      <c r="AC931" t="s">
        <v>108</v>
      </c>
      <c r="AD931" t="s">
        <v>89</v>
      </c>
      <c r="AE931" s="1">
        <v>41884</v>
      </c>
      <c r="AF931">
        <v>33</v>
      </c>
      <c r="AG931" t="s">
        <v>91</v>
      </c>
      <c r="AH931" t="s">
        <v>4644</v>
      </c>
      <c r="AI931">
        <v>29</v>
      </c>
      <c r="AJ931" t="s">
        <v>110</v>
      </c>
      <c r="AK931">
        <v>29</v>
      </c>
      <c r="AL931">
        <v>1</v>
      </c>
      <c r="AM931">
        <v>213</v>
      </c>
      <c r="AN931">
        <v>30</v>
      </c>
      <c r="AO931">
        <v>1</v>
      </c>
      <c r="AP931" t="s">
        <v>93</v>
      </c>
      <c r="AQ931" t="s">
        <v>89</v>
      </c>
      <c r="AR931" t="s">
        <v>89</v>
      </c>
      <c r="AS931" t="s">
        <v>111</v>
      </c>
      <c r="AT931" s="1">
        <v>43107</v>
      </c>
      <c r="AU931">
        <v>2018</v>
      </c>
      <c r="AV931">
        <v>8</v>
      </c>
      <c r="AW931">
        <v>8</v>
      </c>
      <c r="AX931" t="s">
        <v>89</v>
      </c>
      <c r="AY931" t="s">
        <v>93</v>
      </c>
      <c r="AZ931">
        <v>0</v>
      </c>
      <c r="BA931">
        <v>0</v>
      </c>
      <c r="BB931">
        <v>0</v>
      </c>
      <c r="BC931">
        <v>0</v>
      </c>
      <c r="BD931">
        <v>159</v>
      </c>
      <c r="BE931">
        <v>13211</v>
      </c>
      <c r="BF931">
        <v>14</v>
      </c>
      <c r="BG931">
        <v>38</v>
      </c>
      <c r="BH931">
        <v>159</v>
      </c>
      <c r="BI931">
        <v>13211</v>
      </c>
      <c r="BJ931">
        <v>14</v>
      </c>
      <c r="BK931">
        <f t="shared" si="128"/>
        <v>159</v>
      </c>
      <c r="BL931">
        <f t="shared" si="129"/>
        <v>13211</v>
      </c>
      <c r="BM931">
        <f t="shared" si="130"/>
        <v>14</v>
      </c>
      <c r="BN931">
        <f t="shared" si="131"/>
        <v>0</v>
      </c>
      <c r="BO931">
        <f t="shared" si="132"/>
        <v>0</v>
      </c>
      <c r="BP931">
        <f t="shared" si="133"/>
        <v>0</v>
      </c>
      <c r="BQ931" t="s">
        <v>136</v>
      </c>
      <c r="BR931" t="s">
        <v>140</v>
      </c>
      <c r="BS931" t="s">
        <v>89</v>
      </c>
      <c r="BT931">
        <v>46</v>
      </c>
      <c r="BU931" s="1">
        <v>43107</v>
      </c>
      <c r="BV931" s="1">
        <v>43282</v>
      </c>
      <c r="BW931">
        <v>9</v>
      </c>
      <c r="BX931">
        <v>1980</v>
      </c>
      <c r="BY931">
        <v>9</v>
      </c>
      <c r="BZ931">
        <f t="shared" si="134"/>
        <v>-1</v>
      </c>
      <c r="CA931">
        <f t="shared" si="135"/>
        <v>0</v>
      </c>
      <c r="CB931" t="b">
        <f t="shared" si="136"/>
        <v>0</v>
      </c>
    </row>
    <row r="932" spans="1:80" x14ac:dyDescent="0.3">
      <c r="A932" t="s">
        <v>7582</v>
      </c>
      <c r="B932" t="s">
        <v>776</v>
      </c>
      <c r="C932" t="s">
        <v>7583</v>
      </c>
      <c r="D932">
        <v>36</v>
      </c>
      <c r="E932" t="s">
        <v>2943</v>
      </c>
      <c r="F932" t="s">
        <v>7584</v>
      </c>
      <c r="G932" t="s">
        <v>277</v>
      </c>
      <c r="H932" t="s">
        <v>89</v>
      </c>
      <c r="I932" t="s">
        <v>227</v>
      </c>
      <c r="J932" t="s">
        <v>78</v>
      </c>
      <c r="K932" t="s">
        <v>1674</v>
      </c>
      <c r="L932" t="s">
        <v>80</v>
      </c>
      <c r="M932">
        <v>23</v>
      </c>
      <c r="N932" t="s">
        <v>7585</v>
      </c>
      <c r="O932">
        <v>2012</v>
      </c>
      <c r="P932" t="s">
        <v>7586</v>
      </c>
      <c r="Q932" t="s">
        <v>7587</v>
      </c>
      <c r="R932">
        <v>148666</v>
      </c>
      <c r="S932" t="s">
        <v>7582</v>
      </c>
      <c r="T932" t="s">
        <v>7588</v>
      </c>
      <c r="U932">
        <v>1988</v>
      </c>
      <c r="V932" t="s">
        <v>7589</v>
      </c>
      <c r="W932">
        <v>1.88</v>
      </c>
      <c r="X932" t="s">
        <v>2292</v>
      </c>
      <c r="Y932" t="s">
        <v>235</v>
      </c>
      <c r="Z932" t="s">
        <v>87</v>
      </c>
      <c r="AA932" t="s">
        <v>1674</v>
      </c>
      <c r="AB932" t="s">
        <v>7590</v>
      </c>
      <c r="AC932" t="s">
        <v>170</v>
      </c>
      <c r="AD932" t="s">
        <v>89</v>
      </c>
      <c r="AE932" t="s">
        <v>7591</v>
      </c>
      <c r="AF932">
        <v>22</v>
      </c>
      <c r="AG932" t="s">
        <v>786</v>
      </c>
      <c r="AH932">
        <v>40364</v>
      </c>
      <c r="AI932">
        <v>21</v>
      </c>
      <c r="AJ932" t="s">
        <v>986</v>
      </c>
      <c r="AK932">
        <v>21</v>
      </c>
      <c r="AL932">
        <v>12</v>
      </c>
      <c r="AM932">
        <v>215</v>
      </c>
      <c r="AN932">
        <v>37</v>
      </c>
      <c r="AO932">
        <v>7</v>
      </c>
      <c r="AP932" t="s">
        <v>93</v>
      </c>
      <c r="AQ932" t="s">
        <v>89</v>
      </c>
      <c r="AR932" t="s">
        <v>89</v>
      </c>
      <c r="AS932" t="s">
        <v>93</v>
      </c>
      <c r="AT932" t="s">
        <v>89</v>
      </c>
      <c r="AU932" t="s">
        <v>89</v>
      </c>
      <c r="AV932" t="s">
        <v>89</v>
      </c>
      <c r="AW932">
        <v>13</v>
      </c>
      <c r="AX932">
        <v>5</v>
      </c>
      <c r="AY932" t="s">
        <v>93</v>
      </c>
      <c r="AZ932">
        <v>0</v>
      </c>
      <c r="BA932">
        <v>0</v>
      </c>
      <c r="BB932">
        <v>0</v>
      </c>
      <c r="BC932">
        <v>0</v>
      </c>
      <c r="BD932">
        <v>291</v>
      </c>
      <c r="BE932">
        <v>23782</v>
      </c>
      <c r="BF932">
        <v>10</v>
      </c>
      <c r="BG932" t="s">
        <v>89</v>
      </c>
      <c r="BH932">
        <v>291</v>
      </c>
      <c r="BI932">
        <v>23782</v>
      </c>
      <c r="BJ932">
        <v>10</v>
      </c>
      <c r="BK932">
        <f t="shared" si="128"/>
        <v>291</v>
      </c>
      <c r="BL932">
        <f t="shared" si="129"/>
        <v>23782</v>
      </c>
      <c r="BM932">
        <f t="shared" si="130"/>
        <v>10</v>
      </c>
      <c r="BN932">
        <f t="shared" si="131"/>
        <v>0</v>
      </c>
      <c r="BO932">
        <f t="shared" si="132"/>
        <v>0</v>
      </c>
      <c r="BP932">
        <f t="shared" si="133"/>
        <v>0</v>
      </c>
      <c r="BQ932" t="s">
        <v>235</v>
      </c>
      <c r="BR932" t="s">
        <v>140</v>
      </c>
      <c r="BS932" t="s">
        <v>89</v>
      </c>
      <c r="BT932">
        <v>38</v>
      </c>
      <c r="BU932" t="s">
        <v>89</v>
      </c>
      <c r="BV932" t="s">
        <v>89</v>
      </c>
      <c r="BW932">
        <v>17</v>
      </c>
      <c r="BX932">
        <v>1988</v>
      </c>
      <c r="BY932">
        <v>15</v>
      </c>
      <c r="BZ932">
        <f t="shared" si="134"/>
        <v>-4</v>
      </c>
      <c r="CA932">
        <f t="shared" si="135"/>
        <v>2</v>
      </c>
      <c r="CB932" t="b">
        <f t="shared" si="136"/>
        <v>0</v>
      </c>
    </row>
    <row r="933" spans="1:80" x14ac:dyDescent="0.3">
      <c r="A933" t="s">
        <v>7592</v>
      </c>
      <c r="B933" t="s">
        <v>71</v>
      </c>
      <c r="C933" t="s">
        <v>7593</v>
      </c>
      <c r="D933">
        <v>45</v>
      </c>
      <c r="E933" s="1">
        <v>29409</v>
      </c>
      <c r="F933" t="s">
        <v>89</v>
      </c>
      <c r="G933" t="s">
        <v>193</v>
      </c>
      <c r="H933" t="s">
        <v>89</v>
      </c>
      <c r="I933" t="s">
        <v>227</v>
      </c>
      <c r="J933" t="s">
        <v>89</v>
      </c>
      <c r="K933" t="s">
        <v>89</v>
      </c>
      <c r="L933" t="s">
        <v>845</v>
      </c>
      <c r="M933">
        <v>22</v>
      </c>
      <c r="N933" t="s">
        <v>181</v>
      </c>
      <c r="O933">
        <v>2002</v>
      </c>
      <c r="P933" t="s">
        <v>7594</v>
      </c>
      <c r="Q933" t="s">
        <v>7595</v>
      </c>
      <c r="R933">
        <v>22974</v>
      </c>
      <c r="S933" t="s">
        <v>7596</v>
      </c>
      <c r="T933" t="s">
        <v>7597</v>
      </c>
      <c r="U933">
        <v>1980</v>
      </c>
      <c r="V933" t="s">
        <v>3063</v>
      </c>
      <c r="W933">
        <v>1.85</v>
      </c>
      <c r="X933" t="s">
        <v>76</v>
      </c>
      <c r="Y933" t="s">
        <v>235</v>
      </c>
      <c r="Z933" t="s">
        <v>152</v>
      </c>
      <c r="AA933" t="s">
        <v>7598</v>
      </c>
      <c r="AB933" t="s">
        <v>5815</v>
      </c>
      <c r="AC933" t="s">
        <v>108</v>
      </c>
      <c r="AD933" t="s">
        <v>89</v>
      </c>
      <c r="AE933" t="s">
        <v>505</v>
      </c>
      <c r="AF933">
        <v>24</v>
      </c>
      <c r="AG933" t="s">
        <v>91</v>
      </c>
      <c r="AH933" t="s">
        <v>7599</v>
      </c>
      <c r="AI933">
        <v>22</v>
      </c>
      <c r="AJ933" t="s">
        <v>110</v>
      </c>
      <c r="AK933">
        <v>22</v>
      </c>
      <c r="AL933">
        <v>2</v>
      </c>
      <c r="AM933">
        <v>44</v>
      </c>
      <c r="AN933">
        <v>6</v>
      </c>
      <c r="AO933">
        <v>2</v>
      </c>
      <c r="AP933" t="s">
        <v>93</v>
      </c>
      <c r="AQ933" t="s">
        <v>89</v>
      </c>
      <c r="AR933" t="s">
        <v>89</v>
      </c>
      <c r="AS933" t="s">
        <v>111</v>
      </c>
      <c r="AT933" t="s">
        <v>5815</v>
      </c>
      <c r="AU933">
        <v>2014</v>
      </c>
      <c r="AV933">
        <v>12</v>
      </c>
      <c r="AW933">
        <v>12</v>
      </c>
      <c r="AX933" t="s">
        <v>89</v>
      </c>
      <c r="AY933" t="s">
        <v>93</v>
      </c>
      <c r="AZ933">
        <v>0</v>
      </c>
      <c r="BA933">
        <v>0</v>
      </c>
      <c r="BB933">
        <v>0</v>
      </c>
      <c r="BC933">
        <v>0</v>
      </c>
      <c r="BD933">
        <v>202</v>
      </c>
      <c r="BE933">
        <v>16034</v>
      </c>
      <c r="BF933">
        <v>13</v>
      </c>
      <c r="BG933">
        <v>34</v>
      </c>
      <c r="BH933">
        <v>202</v>
      </c>
      <c r="BI933">
        <v>16034</v>
      </c>
      <c r="BJ933">
        <v>13</v>
      </c>
      <c r="BK933">
        <f t="shared" si="128"/>
        <v>202</v>
      </c>
      <c r="BL933">
        <f t="shared" si="129"/>
        <v>16034</v>
      </c>
      <c r="BM933">
        <f t="shared" si="130"/>
        <v>13</v>
      </c>
      <c r="BN933">
        <f t="shared" si="131"/>
        <v>0</v>
      </c>
      <c r="BO933">
        <f t="shared" si="132"/>
        <v>0</v>
      </c>
      <c r="BP933">
        <f t="shared" si="133"/>
        <v>0</v>
      </c>
      <c r="BQ933" t="s">
        <v>235</v>
      </c>
      <c r="BR933" t="s">
        <v>140</v>
      </c>
      <c r="BS933" t="s">
        <v>89</v>
      </c>
      <c r="BT933">
        <v>46</v>
      </c>
      <c r="BU933" t="s">
        <v>5815</v>
      </c>
      <c r="BV933" s="1">
        <v>41695</v>
      </c>
      <c r="BW933">
        <v>12</v>
      </c>
      <c r="BX933">
        <v>1980</v>
      </c>
      <c r="BY933">
        <v>12</v>
      </c>
      <c r="BZ933">
        <f t="shared" si="134"/>
        <v>0</v>
      </c>
      <c r="CA933">
        <f t="shared" si="135"/>
        <v>0</v>
      </c>
      <c r="CB933" t="b">
        <f t="shared" si="136"/>
        <v>1</v>
      </c>
    </row>
    <row r="934" spans="1:80" x14ac:dyDescent="0.3">
      <c r="A934" t="s">
        <v>7592</v>
      </c>
      <c r="B934" t="s">
        <v>89</v>
      </c>
      <c r="C934" t="s">
        <v>7600</v>
      </c>
      <c r="D934">
        <v>43</v>
      </c>
      <c r="E934" s="1">
        <v>30061</v>
      </c>
      <c r="F934" t="s">
        <v>89</v>
      </c>
      <c r="G934" t="s">
        <v>819</v>
      </c>
      <c r="H934" t="s">
        <v>76</v>
      </c>
      <c r="I934" t="s">
        <v>1104</v>
      </c>
      <c r="J934" t="s">
        <v>89</v>
      </c>
      <c r="K934" t="s">
        <v>89</v>
      </c>
      <c r="L934" t="s">
        <v>2014</v>
      </c>
      <c r="M934">
        <v>17</v>
      </c>
      <c r="N934" t="s">
        <v>644</v>
      </c>
      <c r="O934">
        <v>1999</v>
      </c>
      <c r="P934" t="s">
        <v>7601</v>
      </c>
      <c r="Q934" t="s">
        <v>7602</v>
      </c>
      <c r="R934">
        <v>7901</v>
      </c>
      <c r="S934" t="s">
        <v>7592</v>
      </c>
      <c r="T934" t="s">
        <v>7603</v>
      </c>
      <c r="U934">
        <v>1982</v>
      </c>
      <c r="V934" t="s">
        <v>258</v>
      </c>
      <c r="W934">
        <v>1.87</v>
      </c>
      <c r="X934" t="s">
        <v>76</v>
      </c>
      <c r="Y934" t="s">
        <v>203</v>
      </c>
      <c r="Z934" t="s">
        <v>152</v>
      </c>
      <c r="AA934" t="s">
        <v>293</v>
      </c>
      <c r="AB934" s="1">
        <v>43107</v>
      </c>
      <c r="AC934" t="s">
        <v>108</v>
      </c>
      <c r="AD934" t="s">
        <v>89</v>
      </c>
      <c r="AE934">
        <v>1999</v>
      </c>
      <c r="AF934">
        <v>17</v>
      </c>
      <c r="AG934" t="s">
        <v>91</v>
      </c>
      <c r="AH934">
        <v>1999</v>
      </c>
      <c r="AI934">
        <v>17</v>
      </c>
      <c r="AJ934">
        <v>0</v>
      </c>
      <c r="AK934">
        <v>17</v>
      </c>
      <c r="AL934" t="s">
        <v>89</v>
      </c>
      <c r="AM934" t="s">
        <v>89</v>
      </c>
      <c r="AN934" t="s">
        <v>89</v>
      </c>
      <c r="AO934">
        <v>0</v>
      </c>
      <c r="AP934" t="s">
        <v>93</v>
      </c>
      <c r="AQ934" t="s">
        <v>89</v>
      </c>
      <c r="AR934" t="s">
        <v>89</v>
      </c>
      <c r="AS934" t="s">
        <v>111</v>
      </c>
      <c r="AT934" s="1">
        <v>43107</v>
      </c>
      <c r="AU934">
        <v>2018</v>
      </c>
      <c r="AV934">
        <v>19</v>
      </c>
      <c r="AW934">
        <v>19</v>
      </c>
      <c r="AX934" t="s">
        <v>89</v>
      </c>
      <c r="AY934" t="s">
        <v>93</v>
      </c>
      <c r="AZ934">
        <v>0</v>
      </c>
      <c r="BA934">
        <v>0</v>
      </c>
      <c r="BB934">
        <v>0</v>
      </c>
      <c r="BC934">
        <v>0</v>
      </c>
      <c r="BD934">
        <v>220</v>
      </c>
      <c r="BE934">
        <v>15226</v>
      </c>
      <c r="BF934">
        <v>22</v>
      </c>
      <c r="BG934">
        <v>36</v>
      </c>
      <c r="BH934">
        <v>220</v>
      </c>
      <c r="BI934">
        <v>15226</v>
      </c>
      <c r="BJ934">
        <v>22</v>
      </c>
      <c r="BK934">
        <f t="shared" si="128"/>
        <v>220</v>
      </c>
      <c r="BL934">
        <f t="shared" si="129"/>
        <v>15226</v>
      </c>
      <c r="BM934">
        <f t="shared" si="130"/>
        <v>22</v>
      </c>
      <c r="BN934">
        <f t="shared" si="131"/>
        <v>0</v>
      </c>
      <c r="BO934">
        <f t="shared" si="132"/>
        <v>0</v>
      </c>
      <c r="BP934">
        <f t="shared" si="133"/>
        <v>0</v>
      </c>
      <c r="BQ934" t="s">
        <v>203</v>
      </c>
      <c r="BR934" t="s">
        <v>140</v>
      </c>
      <c r="BS934" t="s">
        <v>89</v>
      </c>
      <c r="BT934">
        <v>44</v>
      </c>
      <c r="BU934" s="1">
        <v>43107</v>
      </c>
      <c r="BV934" s="1">
        <v>43282</v>
      </c>
      <c r="BW934">
        <v>19</v>
      </c>
      <c r="BX934">
        <v>1982</v>
      </c>
      <c r="BY934">
        <v>19</v>
      </c>
      <c r="BZ934">
        <f t="shared" si="134"/>
        <v>0</v>
      </c>
      <c r="CA934">
        <f t="shared" si="135"/>
        <v>0</v>
      </c>
      <c r="CB934" t="b">
        <f t="shared" si="136"/>
        <v>1</v>
      </c>
    </row>
    <row r="935" spans="1:80" x14ac:dyDescent="0.3">
      <c r="A935" t="s">
        <v>7604</v>
      </c>
      <c r="B935" t="s">
        <v>7605</v>
      </c>
      <c r="C935" t="s">
        <v>7606</v>
      </c>
      <c r="D935">
        <v>39</v>
      </c>
      <c r="E935" t="s">
        <v>7607</v>
      </c>
      <c r="F935" t="s">
        <v>7608</v>
      </c>
      <c r="G935" t="s">
        <v>160</v>
      </c>
      <c r="H935" t="s">
        <v>7609</v>
      </c>
      <c r="I935" t="s">
        <v>750</v>
      </c>
      <c r="J935" t="s">
        <v>89</v>
      </c>
      <c r="K935" t="s">
        <v>415</v>
      </c>
      <c r="L935" t="s">
        <v>163</v>
      </c>
      <c r="M935">
        <v>20</v>
      </c>
      <c r="N935" t="s">
        <v>214</v>
      </c>
      <c r="O935">
        <v>2006</v>
      </c>
      <c r="P935" t="s">
        <v>7610</v>
      </c>
      <c r="Q935" t="s">
        <v>7611</v>
      </c>
      <c r="R935">
        <v>57808</v>
      </c>
      <c r="S935" t="s">
        <v>7604</v>
      </c>
      <c r="T935">
        <v>31661</v>
      </c>
      <c r="U935">
        <v>1986</v>
      </c>
      <c r="V935" t="s">
        <v>7612</v>
      </c>
      <c r="W935">
        <v>1.77</v>
      </c>
      <c r="X935" t="s">
        <v>7613</v>
      </c>
      <c r="Y935" t="s">
        <v>86</v>
      </c>
      <c r="Z935" t="s">
        <v>87</v>
      </c>
      <c r="AA935" t="s">
        <v>796</v>
      </c>
      <c r="AB935">
        <v>42742</v>
      </c>
      <c r="AC935" t="s">
        <v>798</v>
      </c>
      <c r="AD935" t="s">
        <v>223</v>
      </c>
      <c r="AE935" t="s">
        <v>2520</v>
      </c>
      <c r="AF935">
        <v>21</v>
      </c>
      <c r="AG935" t="s">
        <v>91</v>
      </c>
      <c r="AH935" t="s">
        <v>540</v>
      </c>
      <c r="AI935">
        <v>21</v>
      </c>
      <c r="AJ935" t="s">
        <v>110</v>
      </c>
      <c r="AK935">
        <v>21</v>
      </c>
      <c r="AL935">
        <v>6</v>
      </c>
      <c r="AM935">
        <v>132</v>
      </c>
      <c r="AN935">
        <v>28</v>
      </c>
      <c r="AO935">
        <v>3</v>
      </c>
      <c r="AP935" t="s">
        <v>93</v>
      </c>
      <c r="AQ935" t="s">
        <v>89</v>
      </c>
      <c r="AR935" t="s">
        <v>89</v>
      </c>
      <c r="AS935" t="s">
        <v>93</v>
      </c>
      <c r="AT935" t="s">
        <v>89</v>
      </c>
      <c r="AU935" t="s">
        <v>89</v>
      </c>
      <c r="AV935" t="s">
        <v>89</v>
      </c>
      <c r="AW935">
        <v>19</v>
      </c>
      <c r="AX935">
        <v>30</v>
      </c>
      <c r="AY935" t="s">
        <v>111</v>
      </c>
      <c r="AZ935">
        <v>2</v>
      </c>
      <c r="BA935">
        <v>2</v>
      </c>
      <c r="BB935">
        <v>135</v>
      </c>
      <c r="BC935">
        <v>0</v>
      </c>
      <c r="BD935">
        <v>282</v>
      </c>
      <c r="BE935">
        <v>18946</v>
      </c>
      <c r="BF935">
        <v>12</v>
      </c>
      <c r="BG935" t="s">
        <v>89</v>
      </c>
      <c r="BH935">
        <v>284</v>
      </c>
      <c r="BI935">
        <v>19081</v>
      </c>
      <c r="BJ935">
        <v>12</v>
      </c>
      <c r="BK935">
        <f t="shared" si="128"/>
        <v>284</v>
      </c>
      <c r="BL935">
        <f t="shared" si="129"/>
        <v>19081</v>
      </c>
      <c r="BM935">
        <f t="shared" si="130"/>
        <v>12</v>
      </c>
      <c r="BN935">
        <f t="shared" si="131"/>
        <v>0</v>
      </c>
      <c r="BO935">
        <f t="shared" si="132"/>
        <v>0</v>
      </c>
      <c r="BP935">
        <f t="shared" si="133"/>
        <v>0</v>
      </c>
      <c r="BQ935" t="s">
        <v>86</v>
      </c>
      <c r="BR935" t="s">
        <v>94</v>
      </c>
      <c r="BS935" t="s">
        <v>89</v>
      </c>
      <c r="BT935">
        <v>40</v>
      </c>
      <c r="BU935" t="s">
        <v>89</v>
      </c>
      <c r="BV935" t="s">
        <v>89</v>
      </c>
      <c r="BW935">
        <v>19</v>
      </c>
      <c r="BX935">
        <v>1986</v>
      </c>
      <c r="BY935">
        <v>18</v>
      </c>
      <c r="BZ935">
        <f t="shared" si="134"/>
        <v>0</v>
      </c>
      <c r="CA935">
        <f t="shared" si="135"/>
        <v>1</v>
      </c>
      <c r="CB935" t="b">
        <f t="shared" si="136"/>
        <v>1</v>
      </c>
    </row>
    <row r="936" spans="1:80" x14ac:dyDescent="0.3">
      <c r="A936" t="s">
        <v>7614</v>
      </c>
      <c r="B936" t="s">
        <v>2322</v>
      </c>
      <c r="C936" t="s">
        <v>7615</v>
      </c>
      <c r="D936">
        <v>41</v>
      </c>
      <c r="E936" s="1">
        <v>30648</v>
      </c>
      <c r="F936" t="s">
        <v>89</v>
      </c>
      <c r="G936" t="s">
        <v>75</v>
      </c>
      <c r="H936" t="s">
        <v>2324</v>
      </c>
      <c r="I936" t="s">
        <v>437</v>
      </c>
      <c r="J936" t="s">
        <v>78</v>
      </c>
      <c r="K936" t="s">
        <v>89</v>
      </c>
      <c r="L936" t="s">
        <v>845</v>
      </c>
      <c r="M936">
        <v>18</v>
      </c>
      <c r="N936" t="s">
        <v>7616</v>
      </c>
      <c r="O936">
        <v>2002</v>
      </c>
      <c r="P936" t="s">
        <v>7617</v>
      </c>
      <c r="Q936" t="s">
        <v>7618</v>
      </c>
      <c r="R936">
        <v>2050</v>
      </c>
      <c r="S936" t="s">
        <v>7614</v>
      </c>
      <c r="T936" t="s">
        <v>7619</v>
      </c>
      <c r="U936">
        <v>1983</v>
      </c>
      <c r="V936" t="s">
        <v>7620</v>
      </c>
      <c r="W936">
        <v>1.79</v>
      </c>
      <c r="X936" t="s">
        <v>2324</v>
      </c>
      <c r="Y936" t="s">
        <v>123</v>
      </c>
      <c r="Z936" t="s">
        <v>87</v>
      </c>
      <c r="AA936" t="s">
        <v>7621</v>
      </c>
      <c r="AB936" s="1">
        <v>44203</v>
      </c>
      <c r="AC936" t="s">
        <v>108</v>
      </c>
      <c r="AD936" t="s">
        <v>442</v>
      </c>
      <c r="AE936" t="s">
        <v>7622</v>
      </c>
      <c r="AF936">
        <v>19</v>
      </c>
      <c r="AG936" t="s">
        <v>2272</v>
      </c>
      <c r="AH936" t="s">
        <v>92</v>
      </c>
      <c r="AI936" t="s">
        <v>89</v>
      </c>
      <c r="AJ936" t="s">
        <v>92</v>
      </c>
      <c r="AK936">
        <v>19</v>
      </c>
      <c r="AL936">
        <v>10</v>
      </c>
      <c r="AM936">
        <v>466</v>
      </c>
      <c r="AN936">
        <v>50</v>
      </c>
      <c r="AO936">
        <v>5</v>
      </c>
      <c r="AP936" t="s">
        <v>93</v>
      </c>
      <c r="AQ936" t="s">
        <v>89</v>
      </c>
      <c r="AR936" t="s">
        <v>89</v>
      </c>
      <c r="AS936" t="s">
        <v>111</v>
      </c>
      <c r="AT936">
        <v>44203</v>
      </c>
      <c r="AU936">
        <v>2021</v>
      </c>
      <c r="AV936">
        <v>19</v>
      </c>
      <c r="AW936">
        <v>19</v>
      </c>
      <c r="AX936" t="s">
        <v>89</v>
      </c>
      <c r="AY936" t="s">
        <v>111</v>
      </c>
      <c r="AZ936">
        <v>7</v>
      </c>
      <c r="BA936">
        <v>18</v>
      </c>
      <c r="BB936">
        <v>1212</v>
      </c>
      <c r="BC936">
        <v>0</v>
      </c>
      <c r="BD936">
        <v>456</v>
      </c>
      <c r="BE936">
        <v>24089</v>
      </c>
      <c r="BF936">
        <v>98</v>
      </c>
      <c r="BG936">
        <v>38</v>
      </c>
      <c r="BH936">
        <v>474</v>
      </c>
      <c r="BI936">
        <v>25301</v>
      </c>
      <c r="BJ936">
        <v>98</v>
      </c>
      <c r="BK936">
        <f t="shared" si="128"/>
        <v>474</v>
      </c>
      <c r="BL936">
        <f t="shared" si="129"/>
        <v>25301</v>
      </c>
      <c r="BM936">
        <f t="shared" si="130"/>
        <v>98</v>
      </c>
      <c r="BN936">
        <f t="shared" si="131"/>
        <v>0</v>
      </c>
      <c r="BO936">
        <f t="shared" si="132"/>
        <v>0</v>
      </c>
      <c r="BP936">
        <f t="shared" si="133"/>
        <v>0</v>
      </c>
      <c r="BQ936" t="s">
        <v>123</v>
      </c>
      <c r="BR936" t="s">
        <v>112</v>
      </c>
      <c r="BS936" s="1">
        <v>30648</v>
      </c>
      <c r="BT936">
        <v>42</v>
      </c>
      <c r="BU936">
        <v>44203</v>
      </c>
      <c r="BV936" t="s">
        <v>89</v>
      </c>
      <c r="BW936">
        <v>19</v>
      </c>
      <c r="BX936">
        <v>1983</v>
      </c>
      <c r="BY936">
        <v>19</v>
      </c>
      <c r="BZ936">
        <f t="shared" si="134"/>
        <v>0</v>
      </c>
      <c r="CA936">
        <f t="shared" si="135"/>
        <v>0</v>
      </c>
      <c r="CB936" t="b">
        <f t="shared" si="136"/>
        <v>1</v>
      </c>
    </row>
    <row r="937" spans="1:80" x14ac:dyDescent="0.3">
      <c r="A937" t="s">
        <v>7623</v>
      </c>
      <c r="B937" t="s">
        <v>997</v>
      </c>
      <c r="C937" t="s">
        <v>7624</v>
      </c>
      <c r="D937">
        <v>32</v>
      </c>
      <c r="E937" t="s">
        <v>3911</v>
      </c>
      <c r="F937" t="s">
        <v>7625</v>
      </c>
      <c r="G937" t="s">
        <v>193</v>
      </c>
      <c r="H937" t="s">
        <v>999</v>
      </c>
      <c r="I937" t="s">
        <v>453</v>
      </c>
      <c r="J937" t="s">
        <v>78</v>
      </c>
      <c r="K937" t="s">
        <v>7626</v>
      </c>
      <c r="L937" t="s">
        <v>80</v>
      </c>
      <c r="M937">
        <v>19</v>
      </c>
      <c r="N937" t="s">
        <v>7358</v>
      </c>
      <c r="O937">
        <v>2012</v>
      </c>
      <c r="P937" t="s">
        <v>7627</v>
      </c>
      <c r="Q937" t="s">
        <v>7628</v>
      </c>
      <c r="R937">
        <v>168959</v>
      </c>
      <c r="S937" t="s">
        <v>7623</v>
      </c>
      <c r="T937" s="1">
        <v>34122</v>
      </c>
      <c r="U937">
        <v>1993</v>
      </c>
      <c r="V937" t="s">
        <v>7629</v>
      </c>
      <c r="W937">
        <v>1.86</v>
      </c>
      <c r="X937" t="s">
        <v>999</v>
      </c>
      <c r="Y937" t="s">
        <v>259</v>
      </c>
      <c r="Z937" t="s">
        <v>87</v>
      </c>
      <c r="AA937" t="s">
        <v>1336</v>
      </c>
      <c r="AB937">
        <v>44927</v>
      </c>
      <c r="AC937" t="s">
        <v>222</v>
      </c>
      <c r="AD937" t="s">
        <v>89</v>
      </c>
      <c r="AE937" t="s">
        <v>294</v>
      </c>
      <c r="AF937">
        <v>19</v>
      </c>
      <c r="AG937" t="s">
        <v>1006</v>
      </c>
      <c r="AH937" t="s">
        <v>92</v>
      </c>
      <c r="AI937" t="s">
        <v>89</v>
      </c>
      <c r="AJ937" t="s">
        <v>92</v>
      </c>
      <c r="AK937">
        <v>19</v>
      </c>
      <c r="AL937">
        <v>13</v>
      </c>
      <c r="AM937">
        <v>479</v>
      </c>
      <c r="AN937">
        <v>60</v>
      </c>
      <c r="AO937">
        <v>7</v>
      </c>
      <c r="AP937" t="s">
        <v>93</v>
      </c>
      <c r="AQ937" t="s">
        <v>89</v>
      </c>
      <c r="AR937" t="s">
        <v>89</v>
      </c>
      <c r="AS937" t="s">
        <v>93</v>
      </c>
      <c r="AT937" t="s">
        <v>89</v>
      </c>
      <c r="AU937" t="s">
        <v>89</v>
      </c>
      <c r="AV937" t="s">
        <v>89</v>
      </c>
      <c r="AW937">
        <v>13</v>
      </c>
      <c r="AX937">
        <v>6</v>
      </c>
      <c r="AY937" t="s">
        <v>111</v>
      </c>
      <c r="AZ937">
        <v>2</v>
      </c>
      <c r="BA937">
        <v>2</v>
      </c>
      <c r="BB937">
        <v>104</v>
      </c>
      <c r="BC937">
        <v>0</v>
      </c>
      <c r="BD937">
        <v>345</v>
      </c>
      <c r="BE937">
        <v>23775</v>
      </c>
      <c r="BF937">
        <v>3</v>
      </c>
      <c r="BG937" t="s">
        <v>89</v>
      </c>
      <c r="BH937">
        <v>347</v>
      </c>
      <c r="BI937">
        <v>23879</v>
      </c>
      <c r="BJ937">
        <v>3</v>
      </c>
      <c r="BK937">
        <f t="shared" si="128"/>
        <v>347</v>
      </c>
      <c r="BL937">
        <f t="shared" si="129"/>
        <v>23879</v>
      </c>
      <c r="BM937">
        <f t="shared" si="130"/>
        <v>3</v>
      </c>
      <c r="BN937">
        <f t="shared" si="131"/>
        <v>0</v>
      </c>
      <c r="BO937">
        <f t="shared" si="132"/>
        <v>0</v>
      </c>
      <c r="BP937">
        <f t="shared" si="133"/>
        <v>0</v>
      </c>
      <c r="BQ937" t="s">
        <v>259</v>
      </c>
      <c r="BR937" t="s">
        <v>94</v>
      </c>
      <c r="BS937" s="1">
        <v>34006</v>
      </c>
      <c r="BT937">
        <v>33</v>
      </c>
      <c r="BU937" t="s">
        <v>89</v>
      </c>
      <c r="BV937" t="s">
        <v>89</v>
      </c>
      <c r="BW937">
        <v>14</v>
      </c>
      <c r="BX937">
        <v>1993</v>
      </c>
      <c r="BY937">
        <v>13</v>
      </c>
      <c r="BZ937">
        <f t="shared" si="134"/>
        <v>-1</v>
      </c>
      <c r="CA937">
        <f t="shared" si="135"/>
        <v>1</v>
      </c>
      <c r="CB937" t="b">
        <f t="shared" si="136"/>
        <v>0</v>
      </c>
    </row>
    <row r="938" spans="1:80" x14ac:dyDescent="0.3">
      <c r="A938" t="s">
        <v>7630</v>
      </c>
      <c r="B938" t="s">
        <v>1274</v>
      </c>
      <c r="C938" t="s">
        <v>7631</v>
      </c>
      <c r="D938">
        <v>41</v>
      </c>
      <c r="E938" s="1">
        <v>30846</v>
      </c>
      <c r="F938" t="s">
        <v>89</v>
      </c>
      <c r="G938" t="s">
        <v>535</v>
      </c>
      <c r="H938" t="s">
        <v>1276</v>
      </c>
      <c r="I938" t="s">
        <v>7632</v>
      </c>
      <c r="J938" t="s">
        <v>639</v>
      </c>
      <c r="K938" t="s">
        <v>89</v>
      </c>
      <c r="L938" t="s">
        <v>196</v>
      </c>
      <c r="M938">
        <v>16</v>
      </c>
      <c r="N938" t="s">
        <v>204</v>
      </c>
      <c r="O938">
        <v>2000</v>
      </c>
      <c r="P938" t="s">
        <v>7633</v>
      </c>
      <c r="Q938" t="s">
        <v>7634</v>
      </c>
      <c r="R938">
        <v>9711</v>
      </c>
      <c r="S938" t="s">
        <v>7630</v>
      </c>
      <c r="T938" t="s">
        <v>7635</v>
      </c>
      <c r="U938">
        <v>1984</v>
      </c>
      <c r="V938" t="s">
        <v>7636</v>
      </c>
      <c r="W938">
        <v>1.7</v>
      </c>
      <c r="X938" t="s">
        <v>7637</v>
      </c>
      <c r="Y938" t="s">
        <v>494</v>
      </c>
      <c r="Z938" t="s">
        <v>152</v>
      </c>
      <c r="AA938" t="s">
        <v>162</v>
      </c>
      <c r="AB938" s="1">
        <v>41646</v>
      </c>
      <c r="AC938" t="s">
        <v>108</v>
      </c>
      <c r="AD938" t="s">
        <v>89</v>
      </c>
      <c r="AE938" s="1">
        <v>37107</v>
      </c>
      <c r="AF938">
        <v>16</v>
      </c>
      <c r="AG938" t="s">
        <v>1078</v>
      </c>
      <c r="AH938" t="s">
        <v>92</v>
      </c>
      <c r="AI938" t="s">
        <v>89</v>
      </c>
      <c r="AJ938" t="s">
        <v>92</v>
      </c>
      <c r="AK938">
        <v>16</v>
      </c>
      <c r="AL938">
        <v>2</v>
      </c>
      <c r="AM938">
        <v>63</v>
      </c>
      <c r="AN938">
        <v>6</v>
      </c>
      <c r="AO938">
        <v>1</v>
      </c>
      <c r="AP938" t="s">
        <v>93</v>
      </c>
      <c r="AQ938" t="s">
        <v>89</v>
      </c>
      <c r="AR938" t="s">
        <v>89</v>
      </c>
      <c r="AS938" t="s">
        <v>111</v>
      </c>
      <c r="AT938">
        <v>41646</v>
      </c>
      <c r="AU938">
        <v>2014</v>
      </c>
      <c r="AV938">
        <v>14</v>
      </c>
      <c r="AW938">
        <v>14</v>
      </c>
      <c r="AX938" t="s">
        <v>89</v>
      </c>
      <c r="AY938" t="s">
        <v>111</v>
      </c>
      <c r="AZ938">
        <v>1</v>
      </c>
      <c r="BA938">
        <v>7</v>
      </c>
      <c r="BB938">
        <v>226</v>
      </c>
      <c r="BC938">
        <v>1</v>
      </c>
      <c r="BD938">
        <v>216</v>
      </c>
      <c r="BE938">
        <v>11585</v>
      </c>
      <c r="BF938">
        <v>47</v>
      </c>
      <c r="BG938">
        <v>30</v>
      </c>
      <c r="BH938">
        <v>223</v>
      </c>
      <c r="BI938">
        <v>11811</v>
      </c>
      <c r="BJ938">
        <v>48</v>
      </c>
      <c r="BK938">
        <f t="shared" si="128"/>
        <v>223</v>
      </c>
      <c r="BL938">
        <f t="shared" si="129"/>
        <v>11811</v>
      </c>
      <c r="BM938">
        <f t="shared" si="130"/>
        <v>48</v>
      </c>
      <c r="BN938">
        <f t="shared" si="131"/>
        <v>0</v>
      </c>
      <c r="BO938">
        <f t="shared" si="132"/>
        <v>0</v>
      </c>
      <c r="BP938">
        <f t="shared" si="133"/>
        <v>0</v>
      </c>
      <c r="BQ938" t="s">
        <v>494</v>
      </c>
      <c r="BR938" t="s">
        <v>112</v>
      </c>
      <c r="BS938" s="1">
        <v>30846</v>
      </c>
      <c r="BT938">
        <v>41</v>
      </c>
      <c r="BU938">
        <v>41646</v>
      </c>
      <c r="BV938" t="s">
        <v>89</v>
      </c>
      <c r="BW938">
        <v>14</v>
      </c>
      <c r="BX938">
        <v>1984</v>
      </c>
      <c r="BY938">
        <v>14</v>
      </c>
      <c r="BZ938">
        <f t="shared" si="134"/>
        <v>0</v>
      </c>
      <c r="CA938">
        <f t="shared" si="135"/>
        <v>0</v>
      </c>
      <c r="CB938" t="b">
        <f t="shared" si="136"/>
        <v>1</v>
      </c>
    </row>
    <row r="939" spans="1:80" x14ac:dyDescent="0.3">
      <c r="A939" t="s">
        <v>7638</v>
      </c>
      <c r="B939" t="s">
        <v>776</v>
      </c>
      <c r="C939" t="s">
        <v>7639</v>
      </c>
      <c r="D939">
        <v>33</v>
      </c>
      <c r="E939" t="s">
        <v>7640</v>
      </c>
      <c r="F939" t="s">
        <v>7641</v>
      </c>
      <c r="G939" t="s">
        <v>211</v>
      </c>
      <c r="H939" t="s">
        <v>778</v>
      </c>
      <c r="I939" t="s">
        <v>386</v>
      </c>
      <c r="J939" t="s">
        <v>78</v>
      </c>
      <c r="K939" t="s">
        <v>6347</v>
      </c>
      <c r="L939" t="s">
        <v>324</v>
      </c>
      <c r="M939">
        <v>21</v>
      </c>
      <c r="N939" t="s">
        <v>644</v>
      </c>
      <c r="O939">
        <v>2013</v>
      </c>
      <c r="P939" t="s">
        <v>7642</v>
      </c>
      <c r="Q939" t="s">
        <v>7643</v>
      </c>
      <c r="R939">
        <v>68290</v>
      </c>
      <c r="S939" t="s">
        <v>7638</v>
      </c>
      <c r="T939">
        <v>33726</v>
      </c>
      <c r="U939">
        <v>1992</v>
      </c>
      <c r="V939" t="s">
        <v>7644</v>
      </c>
      <c r="W939">
        <v>1.75</v>
      </c>
      <c r="X939" t="s">
        <v>778</v>
      </c>
      <c r="Y939" t="s">
        <v>106</v>
      </c>
      <c r="Z939" t="s">
        <v>87</v>
      </c>
      <c r="AA939" t="s">
        <v>6347</v>
      </c>
      <c r="AB939" t="s">
        <v>1962</v>
      </c>
      <c r="AC939" t="s">
        <v>222</v>
      </c>
      <c r="AD939" t="s">
        <v>395</v>
      </c>
      <c r="AE939" s="1">
        <v>40091</v>
      </c>
      <c r="AF939">
        <v>17</v>
      </c>
      <c r="AG939" t="s">
        <v>786</v>
      </c>
      <c r="AH939" t="s">
        <v>92</v>
      </c>
      <c r="AI939" t="s">
        <v>89</v>
      </c>
      <c r="AJ939" t="s">
        <v>92</v>
      </c>
      <c r="AK939">
        <v>17</v>
      </c>
      <c r="AL939">
        <v>44</v>
      </c>
      <c r="AM939">
        <v>1520</v>
      </c>
      <c r="AN939">
        <v>263</v>
      </c>
      <c r="AO939">
        <v>13</v>
      </c>
      <c r="AP939" t="s">
        <v>93</v>
      </c>
      <c r="AQ939" t="s">
        <v>89</v>
      </c>
      <c r="AR939" t="s">
        <v>89</v>
      </c>
      <c r="AS939" t="s">
        <v>93</v>
      </c>
      <c r="AT939" t="s">
        <v>89</v>
      </c>
      <c r="AU939" t="s">
        <v>89</v>
      </c>
      <c r="AV939" t="s">
        <v>89</v>
      </c>
      <c r="AW939">
        <v>12</v>
      </c>
      <c r="AX939">
        <v>10</v>
      </c>
      <c r="AY939" t="s">
        <v>111</v>
      </c>
      <c r="AZ939">
        <v>13</v>
      </c>
      <c r="BA939">
        <v>77</v>
      </c>
      <c r="BB939">
        <v>6255</v>
      </c>
      <c r="BC939">
        <v>53</v>
      </c>
      <c r="BD939">
        <v>369</v>
      </c>
      <c r="BE939">
        <v>30535</v>
      </c>
      <c r="BF939">
        <v>224</v>
      </c>
      <c r="BG939" t="s">
        <v>89</v>
      </c>
      <c r="BH939">
        <v>446</v>
      </c>
      <c r="BI939">
        <v>36790</v>
      </c>
      <c r="BJ939">
        <v>277</v>
      </c>
      <c r="BK939">
        <f t="shared" si="128"/>
        <v>446</v>
      </c>
      <c r="BL939">
        <f t="shared" si="129"/>
        <v>36790</v>
      </c>
      <c r="BM939">
        <f t="shared" si="130"/>
        <v>277</v>
      </c>
      <c r="BN939">
        <f t="shared" si="131"/>
        <v>0</v>
      </c>
      <c r="BO939">
        <f t="shared" si="132"/>
        <v>0</v>
      </c>
      <c r="BP939">
        <f t="shared" si="133"/>
        <v>0</v>
      </c>
      <c r="BQ939" t="s">
        <v>106</v>
      </c>
      <c r="BR939" t="s">
        <v>112</v>
      </c>
      <c r="BS939" t="s">
        <v>89</v>
      </c>
      <c r="BT939">
        <v>34</v>
      </c>
      <c r="BU939" t="s">
        <v>89</v>
      </c>
      <c r="BV939" t="s">
        <v>89</v>
      </c>
      <c r="BW939">
        <v>17</v>
      </c>
      <c r="BX939">
        <v>1992</v>
      </c>
      <c r="BY939">
        <v>16</v>
      </c>
      <c r="BZ939">
        <f t="shared" si="134"/>
        <v>-5</v>
      </c>
      <c r="CA939">
        <f t="shared" si="135"/>
        <v>1</v>
      </c>
      <c r="CB939" t="b">
        <f t="shared" si="136"/>
        <v>0</v>
      </c>
    </row>
    <row r="940" spans="1:80" x14ac:dyDescent="0.3">
      <c r="A940" t="s">
        <v>7645</v>
      </c>
      <c r="B940" t="s">
        <v>6322</v>
      </c>
      <c r="C940" t="s">
        <v>7646</v>
      </c>
      <c r="D940">
        <v>37</v>
      </c>
      <c r="E940" s="1">
        <v>32180</v>
      </c>
      <c r="F940" t="s">
        <v>89</v>
      </c>
      <c r="G940" t="s">
        <v>97</v>
      </c>
      <c r="H940" t="s">
        <v>6324</v>
      </c>
      <c r="I940" t="s">
        <v>437</v>
      </c>
      <c r="J940" t="s">
        <v>78</v>
      </c>
      <c r="K940" t="s">
        <v>89</v>
      </c>
      <c r="L940" t="s">
        <v>163</v>
      </c>
      <c r="M940">
        <v>18</v>
      </c>
      <c r="N940" t="s">
        <v>2355</v>
      </c>
      <c r="O940">
        <v>2006</v>
      </c>
      <c r="P940" t="s">
        <v>7647</v>
      </c>
      <c r="Q940" t="s">
        <v>7648</v>
      </c>
      <c r="R940">
        <v>46006</v>
      </c>
      <c r="S940" t="s">
        <v>7649</v>
      </c>
      <c r="T940">
        <v>32326</v>
      </c>
      <c r="U940">
        <v>1988</v>
      </c>
      <c r="V940" t="s">
        <v>7650</v>
      </c>
      <c r="W940">
        <v>1.81</v>
      </c>
      <c r="X940" t="s">
        <v>6324</v>
      </c>
      <c r="Y940" t="s">
        <v>123</v>
      </c>
      <c r="Z940" t="s">
        <v>87</v>
      </c>
      <c r="AA940" t="s">
        <v>7651</v>
      </c>
      <c r="AB940" t="s">
        <v>7652</v>
      </c>
      <c r="AC940" t="s">
        <v>108</v>
      </c>
      <c r="AD940" t="s">
        <v>89</v>
      </c>
      <c r="AE940" t="s">
        <v>7653</v>
      </c>
      <c r="AF940">
        <v>18</v>
      </c>
      <c r="AG940" t="s">
        <v>573</v>
      </c>
      <c r="AH940" s="1">
        <v>40491</v>
      </c>
      <c r="AI940">
        <v>22</v>
      </c>
      <c r="AJ940" t="s">
        <v>110</v>
      </c>
      <c r="AK940">
        <v>18</v>
      </c>
      <c r="AL940">
        <v>5</v>
      </c>
      <c r="AM940">
        <v>316</v>
      </c>
      <c r="AN940">
        <v>48</v>
      </c>
      <c r="AO940">
        <v>5</v>
      </c>
      <c r="AP940" t="s">
        <v>93</v>
      </c>
      <c r="AQ940" t="s">
        <v>89</v>
      </c>
      <c r="AR940" t="s">
        <v>89</v>
      </c>
      <c r="AS940" t="s">
        <v>93</v>
      </c>
      <c r="AT940" t="s">
        <v>89</v>
      </c>
      <c r="AU940" t="s">
        <v>89</v>
      </c>
      <c r="AV940" t="s">
        <v>89</v>
      </c>
      <c r="AW940">
        <v>19</v>
      </c>
      <c r="AX940" t="s">
        <v>89</v>
      </c>
      <c r="AY940" t="s">
        <v>111</v>
      </c>
      <c r="AZ940">
        <v>1</v>
      </c>
      <c r="BA940">
        <v>2</v>
      </c>
      <c r="BB940">
        <v>97</v>
      </c>
      <c r="BC940">
        <v>1</v>
      </c>
      <c r="BD940">
        <v>246</v>
      </c>
      <c r="BE940">
        <v>15160</v>
      </c>
      <c r="BF940">
        <v>47</v>
      </c>
      <c r="BG940" t="s">
        <v>89</v>
      </c>
      <c r="BH940">
        <v>248</v>
      </c>
      <c r="BI940">
        <v>15257</v>
      </c>
      <c r="BJ940">
        <v>48</v>
      </c>
      <c r="BK940">
        <f t="shared" si="128"/>
        <v>248</v>
      </c>
      <c r="BL940">
        <f t="shared" si="129"/>
        <v>15257</v>
      </c>
      <c r="BM940">
        <f t="shared" si="130"/>
        <v>48</v>
      </c>
      <c r="BN940">
        <f t="shared" si="131"/>
        <v>0</v>
      </c>
      <c r="BO940">
        <f t="shared" si="132"/>
        <v>0</v>
      </c>
      <c r="BP940">
        <f t="shared" si="133"/>
        <v>0</v>
      </c>
      <c r="BQ940" t="s">
        <v>123</v>
      </c>
      <c r="BR940" t="s">
        <v>112</v>
      </c>
      <c r="BS940" t="s">
        <v>89</v>
      </c>
      <c r="BT940">
        <v>38</v>
      </c>
      <c r="BU940" t="s">
        <v>89</v>
      </c>
      <c r="BV940" t="s">
        <v>89</v>
      </c>
      <c r="BW940">
        <v>20</v>
      </c>
      <c r="BX940">
        <v>1988</v>
      </c>
      <c r="BY940">
        <v>19</v>
      </c>
      <c r="BZ940">
        <f t="shared" si="134"/>
        <v>-1</v>
      </c>
      <c r="CA940">
        <f t="shared" si="135"/>
        <v>1</v>
      </c>
      <c r="CB940" t="b">
        <f t="shared" si="136"/>
        <v>0</v>
      </c>
    </row>
    <row r="941" spans="1:80" x14ac:dyDescent="0.3">
      <c r="A941" t="s">
        <v>7654</v>
      </c>
      <c r="B941" t="s">
        <v>156</v>
      </c>
      <c r="C941" t="s">
        <v>7655</v>
      </c>
      <c r="D941">
        <v>39</v>
      </c>
      <c r="E941" s="1">
        <v>31414</v>
      </c>
      <c r="F941" t="s">
        <v>89</v>
      </c>
      <c r="G941" t="s">
        <v>321</v>
      </c>
      <c r="H941" t="s">
        <v>177</v>
      </c>
      <c r="I941" t="s">
        <v>386</v>
      </c>
      <c r="J941" t="s">
        <v>300</v>
      </c>
      <c r="K941" t="s">
        <v>89</v>
      </c>
      <c r="L941" t="s">
        <v>254</v>
      </c>
      <c r="M941">
        <v>23</v>
      </c>
      <c r="N941" t="s">
        <v>3933</v>
      </c>
      <c r="O941">
        <v>2009</v>
      </c>
      <c r="P941" t="s">
        <v>7656</v>
      </c>
      <c r="Q941" t="s">
        <v>7657</v>
      </c>
      <c r="R941">
        <v>52903</v>
      </c>
      <c r="S941" t="s">
        <v>7654</v>
      </c>
      <c r="T941">
        <v>31444</v>
      </c>
      <c r="U941">
        <v>1986</v>
      </c>
      <c r="V941" t="s">
        <v>1858</v>
      </c>
      <c r="W941">
        <v>1.8</v>
      </c>
      <c r="X941" t="s">
        <v>169</v>
      </c>
      <c r="Y941" t="s">
        <v>391</v>
      </c>
      <c r="Z941" t="s">
        <v>87</v>
      </c>
      <c r="AA941" t="s">
        <v>476</v>
      </c>
      <c r="AB941">
        <v>45658</v>
      </c>
      <c r="AC941" t="s">
        <v>108</v>
      </c>
      <c r="AD941" t="s">
        <v>89</v>
      </c>
      <c r="AE941" t="s">
        <v>5125</v>
      </c>
      <c r="AF941">
        <v>21</v>
      </c>
      <c r="AG941" t="s">
        <v>171</v>
      </c>
      <c r="AH941" t="s">
        <v>2396</v>
      </c>
      <c r="AI941">
        <v>27</v>
      </c>
      <c r="AJ941" t="s">
        <v>2210</v>
      </c>
      <c r="AK941">
        <v>21</v>
      </c>
      <c r="AL941">
        <v>5</v>
      </c>
      <c r="AM941">
        <v>85</v>
      </c>
      <c r="AN941">
        <v>14</v>
      </c>
      <c r="AO941">
        <v>3</v>
      </c>
      <c r="AP941" t="s">
        <v>93</v>
      </c>
      <c r="AQ941" t="s">
        <v>89</v>
      </c>
      <c r="AR941" t="s">
        <v>89</v>
      </c>
      <c r="AS941" t="s">
        <v>93</v>
      </c>
      <c r="AT941" t="s">
        <v>89</v>
      </c>
      <c r="AU941" t="s">
        <v>89</v>
      </c>
      <c r="AV941" t="s">
        <v>89</v>
      </c>
      <c r="AW941">
        <v>16</v>
      </c>
      <c r="AX941" t="s">
        <v>89</v>
      </c>
      <c r="AY941" t="s">
        <v>93</v>
      </c>
      <c r="AZ941">
        <v>0</v>
      </c>
      <c r="BA941">
        <v>0</v>
      </c>
      <c r="BB941">
        <v>0</v>
      </c>
      <c r="BC941">
        <v>0</v>
      </c>
      <c r="BD941">
        <v>278</v>
      </c>
      <c r="BE941">
        <v>16378</v>
      </c>
      <c r="BF941">
        <v>29</v>
      </c>
      <c r="BG941" t="s">
        <v>89</v>
      </c>
      <c r="BH941">
        <v>278</v>
      </c>
      <c r="BI941">
        <v>16378</v>
      </c>
      <c r="BJ941">
        <v>29</v>
      </c>
      <c r="BK941">
        <f t="shared" si="128"/>
        <v>278</v>
      </c>
      <c r="BL941">
        <f t="shared" si="129"/>
        <v>16378</v>
      </c>
      <c r="BM941">
        <f t="shared" si="130"/>
        <v>29</v>
      </c>
      <c r="BN941">
        <f t="shared" si="131"/>
        <v>0</v>
      </c>
      <c r="BO941">
        <f t="shared" si="132"/>
        <v>0</v>
      </c>
      <c r="BP941">
        <f t="shared" si="133"/>
        <v>0</v>
      </c>
      <c r="BQ941" t="s">
        <v>391</v>
      </c>
      <c r="BR941" t="s">
        <v>112</v>
      </c>
      <c r="BS941" t="s">
        <v>89</v>
      </c>
      <c r="BT941">
        <v>40</v>
      </c>
      <c r="BU941" t="s">
        <v>89</v>
      </c>
      <c r="BV941" t="s">
        <v>89</v>
      </c>
      <c r="BW941">
        <v>19</v>
      </c>
      <c r="BX941">
        <v>1986</v>
      </c>
      <c r="BY941">
        <v>18</v>
      </c>
      <c r="BZ941">
        <f t="shared" si="134"/>
        <v>-3</v>
      </c>
      <c r="CA941">
        <f t="shared" si="135"/>
        <v>1</v>
      </c>
      <c r="CB941" t="b">
        <f t="shared" si="136"/>
        <v>0</v>
      </c>
    </row>
    <row r="942" spans="1:80" x14ac:dyDescent="0.3">
      <c r="A942" t="s">
        <v>7658</v>
      </c>
      <c r="B942" t="s">
        <v>156</v>
      </c>
      <c r="C942" t="s">
        <v>7659</v>
      </c>
      <c r="D942">
        <v>37</v>
      </c>
      <c r="E942" t="s">
        <v>7660</v>
      </c>
      <c r="F942" t="s">
        <v>3304</v>
      </c>
      <c r="G942" t="s">
        <v>413</v>
      </c>
      <c r="H942" t="s">
        <v>177</v>
      </c>
      <c r="I942" t="s">
        <v>227</v>
      </c>
      <c r="J942" t="s">
        <v>78</v>
      </c>
      <c r="K942" t="s">
        <v>490</v>
      </c>
      <c r="L942" t="s">
        <v>228</v>
      </c>
      <c r="M942">
        <v>22</v>
      </c>
      <c r="N942" t="s">
        <v>1236</v>
      </c>
      <c r="O942">
        <v>2010</v>
      </c>
      <c r="P942" t="s">
        <v>7661</v>
      </c>
      <c r="Q942" t="s">
        <v>7662</v>
      </c>
      <c r="R942">
        <v>54781</v>
      </c>
      <c r="S942" t="s">
        <v>7658</v>
      </c>
      <c r="T942">
        <v>32479</v>
      </c>
      <c r="U942">
        <v>1988</v>
      </c>
      <c r="V942" t="s">
        <v>982</v>
      </c>
      <c r="W942">
        <v>1.83</v>
      </c>
      <c r="X942" t="s">
        <v>177</v>
      </c>
      <c r="Y942" t="s">
        <v>235</v>
      </c>
      <c r="Z942" t="s">
        <v>87</v>
      </c>
      <c r="AA942" t="s">
        <v>490</v>
      </c>
      <c r="AB942" t="s">
        <v>7663</v>
      </c>
      <c r="AC942" t="s">
        <v>170</v>
      </c>
      <c r="AD942" t="s">
        <v>223</v>
      </c>
      <c r="AE942">
        <v>39726</v>
      </c>
      <c r="AF942">
        <v>20</v>
      </c>
      <c r="AG942" t="s">
        <v>171</v>
      </c>
      <c r="AH942" t="s">
        <v>92</v>
      </c>
      <c r="AI942" t="s">
        <v>89</v>
      </c>
      <c r="AJ942" t="s">
        <v>92</v>
      </c>
      <c r="AK942">
        <v>20</v>
      </c>
      <c r="AL942">
        <v>8</v>
      </c>
      <c r="AM942">
        <v>77</v>
      </c>
      <c r="AN942">
        <v>16</v>
      </c>
      <c r="AO942">
        <v>5</v>
      </c>
      <c r="AP942" t="s">
        <v>93</v>
      </c>
      <c r="AQ942" t="s">
        <v>89</v>
      </c>
      <c r="AR942" t="s">
        <v>89</v>
      </c>
      <c r="AS942" t="s">
        <v>93</v>
      </c>
      <c r="AT942" t="s">
        <v>89</v>
      </c>
      <c r="AU942" t="s">
        <v>89</v>
      </c>
      <c r="AV942" t="s">
        <v>89</v>
      </c>
      <c r="AW942">
        <v>15</v>
      </c>
      <c r="AX942">
        <v>30</v>
      </c>
      <c r="AY942" t="s">
        <v>111</v>
      </c>
      <c r="AZ942">
        <v>17</v>
      </c>
      <c r="BA942">
        <v>88</v>
      </c>
      <c r="BB942">
        <v>7543</v>
      </c>
      <c r="BC942">
        <v>5</v>
      </c>
      <c r="BD942">
        <v>574</v>
      </c>
      <c r="BE942">
        <v>49715</v>
      </c>
      <c r="BF942">
        <v>39</v>
      </c>
      <c r="BG942" t="s">
        <v>89</v>
      </c>
      <c r="BH942">
        <v>662</v>
      </c>
      <c r="BI942">
        <v>57258</v>
      </c>
      <c r="BJ942">
        <v>44</v>
      </c>
      <c r="BK942">
        <f t="shared" si="128"/>
        <v>662</v>
      </c>
      <c r="BL942">
        <f t="shared" si="129"/>
        <v>57258</v>
      </c>
      <c r="BM942">
        <f t="shared" si="130"/>
        <v>44</v>
      </c>
      <c r="BN942">
        <f t="shared" si="131"/>
        <v>0</v>
      </c>
      <c r="BO942">
        <f t="shared" si="132"/>
        <v>0</v>
      </c>
      <c r="BP942">
        <f t="shared" si="133"/>
        <v>0</v>
      </c>
      <c r="BQ942" t="s">
        <v>235</v>
      </c>
      <c r="BR942" t="s">
        <v>140</v>
      </c>
      <c r="BS942" t="s">
        <v>89</v>
      </c>
      <c r="BT942">
        <v>38</v>
      </c>
      <c r="BU942" t="s">
        <v>89</v>
      </c>
      <c r="BV942" t="s">
        <v>89</v>
      </c>
      <c r="BW942">
        <v>18</v>
      </c>
      <c r="BX942">
        <v>1988</v>
      </c>
      <c r="BY942">
        <v>17</v>
      </c>
      <c r="BZ942">
        <f t="shared" si="134"/>
        <v>-3</v>
      </c>
      <c r="CA942">
        <f t="shared" si="135"/>
        <v>1</v>
      </c>
      <c r="CB942" t="b">
        <f t="shared" si="136"/>
        <v>0</v>
      </c>
    </row>
    <row r="943" spans="1:80" x14ac:dyDescent="0.3">
      <c r="A943" t="s">
        <v>7664</v>
      </c>
      <c r="B943" t="s">
        <v>156</v>
      </c>
      <c r="C943" t="s">
        <v>7665</v>
      </c>
      <c r="D943">
        <v>41</v>
      </c>
      <c r="E943" s="1">
        <v>30700</v>
      </c>
      <c r="F943" t="s">
        <v>89</v>
      </c>
      <c r="G943" t="s">
        <v>97</v>
      </c>
      <c r="H943" t="s">
        <v>177</v>
      </c>
      <c r="I943" t="s">
        <v>227</v>
      </c>
      <c r="J943" t="s">
        <v>78</v>
      </c>
      <c r="K943" t="s">
        <v>89</v>
      </c>
      <c r="L943" t="s">
        <v>163</v>
      </c>
      <c r="M943">
        <v>22</v>
      </c>
      <c r="N943" t="s">
        <v>7666</v>
      </c>
      <c r="O943">
        <v>2006</v>
      </c>
      <c r="P943" t="s">
        <v>7667</v>
      </c>
      <c r="Q943" t="s">
        <v>7668</v>
      </c>
      <c r="R943">
        <v>41281</v>
      </c>
      <c r="S943" t="s">
        <v>7664</v>
      </c>
      <c r="T943" t="s">
        <v>7669</v>
      </c>
      <c r="U943">
        <v>1984</v>
      </c>
      <c r="V943" t="s">
        <v>982</v>
      </c>
      <c r="W943">
        <v>1.81</v>
      </c>
      <c r="X943" t="s">
        <v>169</v>
      </c>
      <c r="Y943" t="s">
        <v>235</v>
      </c>
      <c r="Z943" t="s">
        <v>87</v>
      </c>
      <c r="AA943" t="s">
        <v>1278</v>
      </c>
      <c r="AB943">
        <v>44085</v>
      </c>
      <c r="AC943" t="s">
        <v>108</v>
      </c>
      <c r="AD943" t="s">
        <v>89</v>
      </c>
      <c r="AE943">
        <v>38300</v>
      </c>
      <c r="AF943">
        <v>20</v>
      </c>
      <c r="AG943" t="s">
        <v>189</v>
      </c>
      <c r="AH943" t="s">
        <v>92</v>
      </c>
      <c r="AI943" t="s">
        <v>89</v>
      </c>
      <c r="AJ943" t="s">
        <v>92</v>
      </c>
      <c r="AK943">
        <v>20</v>
      </c>
      <c r="AL943">
        <v>19</v>
      </c>
      <c r="AM943">
        <v>1330</v>
      </c>
      <c r="AN943">
        <v>187</v>
      </c>
      <c r="AO943">
        <v>9</v>
      </c>
      <c r="AP943" t="s">
        <v>93</v>
      </c>
      <c r="AQ943" t="s">
        <v>89</v>
      </c>
      <c r="AR943" t="s">
        <v>89</v>
      </c>
      <c r="AS943" t="s">
        <v>111</v>
      </c>
      <c r="AT943">
        <v>44085</v>
      </c>
      <c r="AU943">
        <v>2020</v>
      </c>
      <c r="AV943">
        <v>14</v>
      </c>
      <c r="AW943">
        <v>14</v>
      </c>
      <c r="AX943" t="s">
        <v>89</v>
      </c>
      <c r="AY943" t="s">
        <v>93</v>
      </c>
      <c r="AZ943">
        <v>0</v>
      </c>
      <c r="BA943">
        <v>0</v>
      </c>
      <c r="BB943">
        <v>0</v>
      </c>
      <c r="BC943">
        <v>0</v>
      </c>
      <c r="BD943">
        <v>283</v>
      </c>
      <c r="BE943">
        <v>23693</v>
      </c>
      <c r="BF943">
        <v>10</v>
      </c>
      <c r="BG943">
        <v>36</v>
      </c>
      <c r="BH943">
        <v>283</v>
      </c>
      <c r="BI943">
        <v>23693</v>
      </c>
      <c r="BJ943">
        <v>10</v>
      </c>
      <c r="BK943">
        <f t="shared" si="128"/>
        <v>283</v>
      </c>
      <c r="BL943">
        <f t="shared" si="129"/>
        <v>23693</v>
      </c>
      <c r="BM943">
        <f t="shared" si="130"/>
        <v>10</v>
      </c>
      <c r="BN943">
        <f t="shared" si="131"/>
        <v>0</v>
      </c>
      <c r="BO943">
        <f t="shared" si="132"/>
        <v>0</v>
      </c>
      <c r="BP943">
        <f t="shared" si="133"/>
        <v>0</v>
      </c>
      <c r="BQ943" t="s">
        <v>235</v>
      </c>
      <c r="BR943" t="s">
        <v>140</v>
      </c>
      <c r="BS943" s="1">
        <v>30700</v>
      </c>
      <c r="BT943">
        <v>42</v>
      </c>
      <c r="BU943">
        <v>44085</v>
      </c>
      <c r="BV943" t="s">
        <v>89</v>
      </c>
      <c r="BW943">
        <v>16</v>
      </c>
      <c r="BX943">
        <v>1984</v>
      </c>
      <c r="BY943">
        <v>16</v>
      </c>
      <c r="BZ943">
        <f t="shared" si="134"/>
        <v>-2</v>
      </c>
      <c r="CA943">
        <f t="shared" si="135"/>
        <v>0</v>
      </c>
      <c r="CB943" t="b">
        <f t="shared" si="136"/>
        <v>0</v>
      </c>
    </row>
    <row r="944" spans="1:80" x14ac:dyDescent="0.3">
      <c r="A944" t="s">
        <v>7670</v>
      </c>
      <c r="B944" t="s">
        <v>1069</v>
      </c>
      <c r="C944" t="s">
        <v>7671</v>
      </c>
      <c r="D944">
        <v>40</v>
      </c>
      <c r="E944" s="1">
        <v>31036</v>
      </c>
      <c r="F944" t="s">
        <v>89</v>
      </c>
      <c r="G944" t="s">
        <v>115</v>
      </c>
      <c r="H944" t="s">
        <v>1071</v>
      </c>
      <c r="I944" t="s">
        <v>195</v>
      </c>
      <c r="J944" t="s">
        <v>300</v>
      </c>
      <c r="K944" t="s">
        <v>89</v>
      </c>
      <c r="L944" t="s">
        <v>163</v>
      </c>
      <c r="M944">
        <v>21</v>
      </c>
      <c r="N944" t="s">
        <v>7672</v>
      </c>
      <c r="O944">
        <v>2006</v>
      </c>
      <c r="P944" t="s">
        <v>7673</v>
      </c>
      <c r="Q944" t="s">
        <v>7674</v>
      </c>
      <c r="R944">
        <v>42935</v>
      </c>
      <c r="S944" t="s">
        <v>7670</v>
      </c>
      <c r="T944" t="s">
        <v>7675</v>
      </c>
      <c r="U944">
        <v>1984</v>
      </c>
      <c r="V944" t="s">
        <v>7676</v>
      </c>
      <c r="W944">
        <v>1.78</v>
      </c>
      <c r="X944" t="s">
        <v>1071</v>
      </c>
      <c r="Y944" t="s">
        <v>203</v>
      </c>
      <c r="Z944" t="s">
        <v>152</v>
      </c>
      <c r="AA944" t="s">
        <v>6320</v>
      </c>
      <c r="AB944" s="1">
        <v>42956</v>
      </c>
      <c r="AC944" t="s">
        <v>108</v>
      </c>
      <c r="AD944" t="s">
        <v>89</v>
      </c>
      <c r="AE944">
        <v>2006</v>
      </c>
      <c r="AF944">
        <v>21</v>
      </c>
      <c r="AG944" t="s">
        <v>1078</v>
      </c>
      <c r="AH944">
        <v>2004</v>
      </c>
      <c r="AI944">
        <v>19</v>
      </c>
      <c r="AJ944">
        <v>0</v>
      </c>
      <c r="AK944">
        <v>19</v>
      </c>
      <c r="AL944">
        <v>3</v>
      </c>
      <c r="AM944">
        <v>75</v>
      </c>
      <c r="AN944">
        <v>18</v>
      </c>
      <c r="AO944">
        <v>3</v>
      </c>
      <c r="AP944" t="s">
        <v>93</v>
      </c>
      <c r="AQ944" t="s">
        <v>89</v>
      </c>
      <c r="AR944" t="s">
        <v>89</v>
      </c>
      <c r="AS944" t="s">
        <v>111</v>
      </c>
      <c r="AT944">
        <v>42956</v>
      </c>
      <c r="AU944">
        <v>2017</v>
      </c>
      <c r="AV944">
        <v>11</v>
      </c>
      <c r="AW944">
        <v>11</v>
      </c>
      <c r="AX944" t="s">
        <v>89</v>
      </c>
      <c r="AY944" t="s">
        <v>111</v>
      </c>
      <c r="AZ944">
        <v>2</v>
      </c>
      <c r="BA944">
        <v>1</v>
      </c>
      <c r="BB944">
        <v>77</v>
      </c>
      <c r="BC944">
        <v>0</v>
      </c>
      <c r="BD944">
        <v>154</v>
      </c>
      <c r="BE944">
        <v>11657</v>
      </c>
      <c r="BF944">
        <v>0</v>
      </c>
      <c r="BG944">
        <v>33</v>
      </c>
      <c r="BH944">
        <v>155</v>
      </c>
      <c r="BI944">
        <v>11734</v>
      </c>
      <c r="BJ944">
        <v>0</v>
      </c>
      <c r="BK944">
        <f t="shared" si="128"/>
        <v>155</v>
      </c>
      <c r="BL944">
        <f t="shared" si="129"/>
        <v>11734</v>
      </c>
      <c r="BM944">
        <f t="shared" si="130"/>
        <v>0</v>
      </c>
      <c r="BN944">
        <f t="shared" si="131"/>
        <v>0</v>
      </c>
      <c r="BO944">
        <f t="shared" si="132"/>
        <v>0</v>
      </c>
      <c r="BP944">
        <f t="shared" si="133"/>
        <v>0</v>
      </c>
      <c r="BQ944" t="s">
        <v>203</v>
      </c>
      <c r="BR944" t="s">
        <v>140</v>
      </c>
      <c r="BS944" s="1">
        <v>31036</v>
      </c>
      <c r="BT944">
        <v>41</v>
      </c>
      <c r="BU944">
        <v>42956</v>
      </c>
      <c r="BV944" t="s">
        <v>89</v>
      </c>
      <c r="BW944">
        <v>14</v>
      </c>
      <c r="BX944">
        <v>1984</v>
      </c>
      <c r="BY944">
        <v>14</v>
      </c>
      <c r="BZ944">
        <f t="shared" si="134"/>
        <v>-3</v>
      </c>
      <c r="CA944">
        <f t="shared" si="135"/>
        <v>0</v>
      </c>
      <c r="CB944" t="b">
        <f t="shared" si="136"/>
        <v>0</v>
      </c>
    </row>
    <row r="945" spans="1:80" x14ac:dyDescent="0.3">
      <c r="A945" t="s">
        <v>7677</v>
      </c>
      <c r="B945" t="s">
        <v>776</v>
      </c>
      <c r="C945" t="s">
        <v>7678</v>
      </c>
      <c r="D945">
        <v>41</v>
      </c>
      <c r="E945">
        <v>30877</v>
      </c>
      <c r="F945" t="s">
        <v>89</v>
      </c>
      <c r="G945" t="s">
        <v>115</v>
      </c>
      <c r="H945" t="s">
        <v>778</v>
      </c>
      <c r="I945" t="s">
        <v>437</v>
      </c>
      <c r="J945" t="s">
        <v>78</v>
      </c>
      <c r="K945" t="s">
        <v>89</v>
      </c>
      <c r="L945" t="s">
        <v>145</v>
      </c>
      <c r="M945">
        <v>20</v>
      </c>
      <c r="N945" t="s">
        <v>201</v>
      </c>
      <c r="O945">
        <v>2004</v>
      </c>
      <c r="P945" t="s">
        <v>7679</v>
      </c>
      <c r="Q945" t="s">
        <v>7680</v>
      </c>
      <c r="R945">
        <v>22750</v>
      </c>
      <c r="S945" t="s">
        <v>7677</v>
      </c>
      <c r="T945" t="s">
        <v>7478</v>
      </c>
      <c r="U945">
        <v>1984</v>
      </c>
      <c r="V945" t="s">
        <v>7681</v>
      </c>
      <c r="W945">
        <v>1.8</v>
      </c>
      <c r="X945" t="s">
        <v>778</v>
      </c>
      <c r="Y945" t="s">
        <v>123</v>
      </c>
      <c r="Z945" t="s">
        <v>87</v>
      </c>
      <c r="AA945" t="s">
        <v>6347</v>
      </c>
      <c r="AB945" t="s">
        <v>7682</v>
      </c>
      <c r="AC945" t="s">
        <v>108</v>
      </c>
      <c r="AD945" t="s">
        <v>89</v>
      </c>
      <c r="AE945" t="s">
        <v>4071</v>
      </c>
      <c r="AF945">
        <v>18</v>
      </c>
      <c r="AG945" t="s">
        <v>786</v>
      </c>
      <c r="AH945" t="s">
        <v>92</v>
      </c>
      <c r="AI945" t="s">
        <v>89</v>
      </c>
      <c r="AJ945" t="s">
        <v>92</v>
      </c>
      <c r="AK945">
        <v>18</v>
      </c>
      <c r="AL945">
        <v>1</v>
      </c>
      <c r="AM945">
        <v>62</v>
      </c>
      <c r="AN945">
        <v>11</v>
      </c>
      <c r="AO945">
        <v>1</v>
      </c>
      <c r="AP945" t="s">
        <v>93</v>
      </c>
      <c r="AQ945" t="s">
        <v>89</v>
      </c>
      <c r="AR945" t="s">
        <v>89</v>
      </c>
      <c r="AS945" t="s">
        <v>111</v>
      </c>
      <c r="AT945" t="s">
        <v>7682</v>
      </c>
      <c r="AU945">
        <v>2017</v>
      </c>
      <c r="AV945">
        <v>13</v>
      </c>
      <c r="AW945">
        <v>13</v>
      </c>
      <c r="AX945" t="s">
        <v>89</v>
      </c>
      <c r="AY945" t="s">
        <v>111</v>
      </c>
      <c r="AZ945">
        <v>2</v>
      </c>
      <c r="BA945">
        <v>5</v>
      </c>
      <c r="BB945">
        <v>154</v>
      </c>
      <c r="BC945">
        <v>0</v>
      </c>
      <c r="BD945">
        <v>172</v>
      </c>
      <c r="BE945">
        <v>10421</v>
      </c>
      <c r="BF945">
        <v>45</v>
      </c>
      <c r="BG945">
        <v>33</v>
      </c>
      <c r="BH945">
        <v>177</v>
      </c>
      <c r="BI945">
        <v>10575</v>
      </c>
      <c r="BJ945">
        <v>45</v>
      </c>
      <c r="BK945">
        <f t="shared" si="128"/>
        <v>177</v>
      </c>
      <c r="BL945">
        <f t="shared" si="129"/>
        <v>10575</v>
      </c>
      <c r="BM945">
        <f t="shared" si="130"/>
        <v>45</v>
      </c>
      <c r="BN945">
        <f t="shared" si="131"/>
        <v>0</v>
      </c>
      <c r="BO945">
        <f t="shared" si="132"/>
        <v>0</v>
      </c>
      <c r="BP945">
        <f t="shared" si="133"/>
        <v>0</v>
      </c>
      <c r="BQ945" t="s">
        <v>123</v>
      </c>
      <c r="BR945" t="s">
        <v>112</v>
      </c>
      <c r="BS945" s="1">
        <v>30877</v>
      </c>
      <c r="BT945">
        <v>41</v>
      </c>
      <c r="BU945" t="s">
        <v>7682</v>
      </c>
      <c r="BV945" s="1">
        <v>43082</v>
      </c>
      <c r="BW945">
        <v>15</v>
      </c>
      <c r="BX945">
        <v>1984</v>
      </c>
      <c r="BY945">
        <v>15</v>
      </c>
      <c r="BZ945">
        <f t="shared" si="134"/>
        <v>-2</v>
      </c>
      <c r="CA945">
        <f t="shared" si="135"/>
        <v>0</v>
      </c>
      <c r="CB945" t="b">
        <f t="shared" si="136"/>
        <v>0</v>
      </c>
    </row>
    <row r="946" spans="1:80" x14ac:dyDescent="0.3">
      <c r="A946" t="s">
        <v>7683</v>
      </c>
      <c r="B946" t="s">
        <v>71</v>
      </c>
      <c r="C946" t="s">
        <v>7684</v>
      </c>
      <c r="D946">
        <v>45</v>
      </c>
      <c r="E946" s="1">
        <v>29382</v>
      </c>
      <c r="F946" t="s">
        <v>89</v>
      </c>
      <c r="G946" t="s">
        <v>1946</v>
      </c>
      <c r="H946" t="s">
        <v>89</v>
      </c>
      <c r="I946" t="s">
        <v>401</v>
      </c>
      <c r="J946" t="s">
        <v>78</v>
      </c>
      <c r="K946" t="s">
        <v>89</v>
      </c>
      <c r="L946" t="s">
        <v>99</v>
      </c>
      <c r="M946">
        <v>21</v>
      </c>
      <c r="N946" t="s">
        <v>402</v>
      </c>
      <c r="O946">
        <v>2001</v>
      </c>
      <c r="P946" t="s">
        <v>7685</v>
      </c>
      <c r="Q946" t="s">
        <v>7686</v>
      </c>
      <c r="R946">
        <v>29178</v>
      </c>
      <c r="S946" t="s">
        <v>7683</v>
      </c>
      <c r="T946" t="s">
        <v>7687</v>
      </c>
      <c r="U946">
        <v>1980</v>
      </c>
      <c r="V946" t="s">
        <v>527</v>
      </c>
      <c r="W946">
        <v>1.69</v>
      </c>
      <c r="X946" t="s">
        <v>76</v>
      </c>
      <c r="Y946" t="s">
        <v>123</v>
      </c>
      <c r="Z946" t="s">
        <v>87</v>
      </c>
      <c r="AA946" t="s">
        <v>942</v>
      </c>
      <c r="AB946">
        <v>44203</v>
      </c>
      <c r="AC946" t="s">
        <v>108</v>
      </c>
      <c r="AD946" t="s">
        <v>89</v>
      </c>
      <c r="AE946" t="s">
        <v>6718</v>
      </c>
      <c r="AF946">
        <v>26</v>
      </c>
      <c r="AG946" t="s">
        <v>91</v>
      </c>
      <c r="AH946" s="1">
        <v>36292</v>
      </c>
      <c r="AI946">
        <v>19</v>
      </c>
      <c r="AJ946" t="s">
        <v>459</v>
      </c>
      <c r="AK946">
        <v>19</v>
      </c>
      <c r="AL946">
        <v>2</v>
      </c>
      <c r="AM946">
        <v>276</v>
      </c>
      <c r="AN946">
        <v>31</v>
      </c>
      <c r="AO946">
        <v>2</v>
      </c>
      <c r="AP946" t="s">
        <v>93</v>
      </c>
      <c r="AQ946" t="s">
        <v>89</v>
      </c>
      <c r="AR946" t="s">
        <v>89</v>
      </c>
      <c r="AS946" t="s">
        <v>111</v>
      </c>
      <c r="AT946">
        <v>44203</v>
      </c>
      <c r="AU946">
        <v>2021</v>
      </c>
      <c r="AV946">
        <v>20</v>
      </c>
      <c r="AW946">
        <v>20</v>
      </c>
      <c r="AX946" t="s">
        <v>89</v>
      </c>
      <c r="AY946" t="s">
        <v>93</v>
      </c>
      <c r="AZ946">
        <v>0</v>
      </c>
      <c r="BA946">
        <v>0</v>
      </c>
      <c r="BB946">
        <v>0</v>
      </c>
      <c r="BC946">
        <v>0</v>
      </c>
      <c r="BD946">
        <v>662</v>
      </c>
      <c r="BE946">
        <v>51823</v>
      </c>
      <c r="BF946">
        <v>206</v>
      </c>
      <c r="BG946">
        <v>41</v>
      </c>
      <c r="BH946">
        <v>662</v>
      </c>
      <c r="BI946">
        <v>51823</v>
      </c>
      <c r="BJ946">
        <v>206</v>
      </c>
      <c r="BK946">
        <f t="shared" si="128"/>
        <v>662</v>
      </c>
      <c r="BL946">
        <f t="shared" si="129"/>
        <v>51823</v>
      </c>
      <c r="BM946">
        <f t="shared" si="130"/>
        <v>206</v>
      </c>
      <c r="BN946">
        <f t="shared" si="131"/>
        <v>0</v>
      </c>
      <c r="BO946">
        <f t="shared" si="132"/>
        <v>0</v>
      </c>
      <c r="BP946">
        <f t="shared" si="133"/>
        <v>0</v>
      </c>
      <c r="BQ946" t="s">
        <v>123</v>
      </c>
      <c r="BR946" t="s">
        <v>112</v>
      </c>
      <c r="BS946" t="s">
        <v>89</v>
      </c>
      <c r="BT946">
        <v>46</v>
      </c>
      <c r="BU946">
        <v>44203</v>
      </c>
      <c r="BV946" t="s">
        <v>89</v>
      </c>
      <c r="BW946">
        <v>22</v>
      </c>
      <c r="BX946">
        <v>1980</v>
      </c>
      <c r="BY946">
        <v>22</v>
      </c>
      <c r="BZ946">
        <f t="shared" si="134"/>
        <v>-2</v>
      </c>
      <c r="CA946">
        <f t="shared" si="135"/>
        <v>0</v>
      </c>
      <c r="CB946" t="b">
        <f t="shared" si="136"/>
        <v>0</v>
      </c>
    </row>
    <row r="947" spans="1:80" x14ac:dyDescent="0.3">
      <c r="A947" t="s">
        <v>7688</v>
      </c>
      <c r="B947" t="s">
        <v>191</v>
      </c>
      <c r="C947" t="s">
        <v>7689</v>
      </c>
      <c r="D947">
        <v>46</v>
      </c>
      <c r="E947" s="1">
        <v>28959</v>
      </c>
      <c r="F947" t="s">
        <v>89</v>
      </c>
      <c r="G947" t="s">
        <v>115</v>
      </c>
      <c r="H947" t="s">
        <v>89</v>
      </c>
      <c r="I947" t="s">
        <v>227</v>
      </c>
      <c r="J947" t="s">
        <v>89</v>
      </c>
      <c r="K947" t="s">
        <v>89</v>
      </c>
      <c r="L947" t="s">
        <v>845</v>
      </c>
      <c r="M947">
        <v>23</v>
      </c>
      <c r="N947" t="s">
        <v>7690</v>
      </c>
      <c r="O947">
        <v>2002</v>
      </c>
      <c r="P947" t="s">
        <v>7691</v>
      </c>
      <c r="Q947" t="s">
        <v>7692</v>
      </c>
      <c r="R947">
        <v>5531</v>
      </c>
      <c r="S947" t="s">
        <v>7688</v>
      </c>
      <c r="T947" t="s">
        <v>7693</v>
      </c>
      <c r="U947">
        <v>1979</v>
      </c>
      <c r="V947" t="s">
        <v>7694</v>
      </c>
      <c r="W947">
        <v>1.8</v>
      </c>
      <c r="X947" t="s">
        <v>194</v>
      </c>
      <c r="Y947" t="s">
        <v>235</v>
      </c>
      <c r="Z947" t="s">
        <v>87</v>
      </c>
      <c r="AA947" t="s">
        <v>7695</v>
      </c>
      <c r="AB947" s="1">
        <v>42376</v>
      </c>
      <c r="AC947" t="s">
        <v>108</v>
      </c>
      <c r="AD947" t="s">
        <v>89</v>
      </c>
      <c r="AE947">
        <v>37323</v>
      </c>
      <c r="AF947">
        <v>23</v>
      </c>
      <c r="AG947" t="s">
        <v>206</v>
      </c>
      <c r="AH947" t="s">
        <v>7696</v>
      </c>
      <c r="AI947">
        <v>18</v>
      </c>
      <c r="AJ947" t="s">
        <v>1044</v>
      </c>
      <c r="AK947">
        <v>18</v>
      </c>
      <c r="AL947">
        <v>3</v>
      </c>
      <c r="AM947">
        <v>363</v>
      </c>
      <c r="AN947">
        <v>23</v>
      </c>
      <c r="AO947">
        <v>3</v>
      </c>
      <c r="AP947" t="s">
        <v>93</v>
      </c>
      <c r="AQ947" t="s">
        <v>89</v>
      </c>
      <c r="AR947" t="s">
        <v>89</v>
      </c>
      <c r="AS947" t="s">
        <v>111</v>
      </c>
      <c r="AT947">
        <v>42376</v>
      </c>
      <c r="AU947">
        <v>2016</v>
      </c>
      <c r="AV947">
        <v>14</v>
      </c>
      <c r="AW947">
        <v>14</v>
      </c>
      <c r="AX947" t="s">
        <v>89</v>
      </c>
      <c r="AY947" t="s">
        <v>93</v>
      </c>
      <c r="AZ947">
        <v>0</v>
      </c>
      <c r="BA947">
        <v>0</v>
      </c>
      <c r="BB947">
        <v>0</v>
      </c>
      <c r="BC947">
        <v>0</v>
      </c>
      <c r="BD947">
        <v>250</v>
      </c>
      <c r="BE947">
        <v>20191</v>
      </c>
      <c r="BF947">
        <v>11</v>
      </c>
      <c r="BG947">
        <v>37</v>
      </c>
      <c r="BH947">
        <v>250</v>
      </c>
      <c r="BI947">
        <v>20191</v>
      </c>
      <c r="BJ947">
        <v>11</v>
      </c>
      <c r="BK947">
        <f t="shared" si="128"/>
        <v>250</v>
      </c>
      <c r="BL947">
        <f t="shared" si="129"/>
        <v>20191</v>
      </c>
      <c r="BM947">
        <f t="shared" si="130"/>
        <v>11</v>
      </c>
      <c r="BN947">
        <f t="shared" si="131"/>
        <v>0</v>
      </c>
      <c r="BO947">
        <f t="shared" si="132"/>
        <v>0</v>
      </c>
      <c r="BP947">
        <f t="shared" si="133"/>
        <v>0</v>
      </c>
      <c r="BQ947" t="s">
        <v>235</v>
      </c>
      <c r="BR947" t="s">
        <v>140</v>
      </c>
      <c r="BS947" s="1">
        <v>28959</v>
      </c>
      <c r="BT947">
        <v>46</v>
      </c>
      <c r="BU947">
        <v>42376</v>
      </c>
      <c r="BV947" t="s">
        <v>89</v>
      </c>
      <c r="BW947">
        <v>19</v>
      </c>
      <c r="BX947">
        <v>1979</v>
      </c>
      <c r="BY947">
        <v>19</v>
      </c>
      <c r="BZ947">
        <f t="shared" si="134"/>
        <v>-5</v>
      </c>
      <c r="CA947">
        <f t="shared" si="135"/>
        <v>0</v>
      </c>
      <c r="CB947" t="b">
        <f t="shared" si="136"/>
        <v>0</v>
      </c>
    </row>
    <row r="948" spans="1:80" x14ac:dyDescent="0.3">
      <c r="A948" t="s">
        <v>7697</v>
      </c>
      <c r="B948" t="s">
        <v>71</v>
      </c>
      <c r="C948" t="s">
        <v>7698</v>
      </c>
      <c r="D948">
        <v>38</v>
      </c>
      <c r="E948" s="1">
        <v>31700</v>
      </c>
      <c r="F948" t="s">
        <v>89</v>
      </c>
      <c r="G948" t="s">
        <v>143</v>
      </c>
      <c r="H948" t="s">
        <v>76</v>
      </c>
      <c r="I948" t="s">
        <v>386</v>
      </c>
      <c r="J948" t="s">
        <v>78</v>
      </c>
      <c r="K948" t="s">
        <v>89</v>
      </c>
      <c r="L948" t="s">
        <v>228</v>
      </c>
      <c r="M948">
        <v>23</v>
      </c>
      <c r="N948" t="s">
        <v>644</v>
      </c>
      <c r="O948">
        <v>2010</v>
      </c>
      <c r="P948" t="s">
        <v>7699</v>
      </c>
      <c r="Q948" t="s">
        <v>7700</v>
      </c>
      <c r="R948">
        <v>70934</v>
      </c>
      <c r="S948" t="s">
        <v>7697</v>
      </c>
      <c r="T948" t="s">
        <v>7701</v>
      </c>
      <c r="U948">
        <v>1986</v>
      </c>
      <c r="V948" t="s">
        <v>7702</v>
      </c>
      <c r="W948">
        <v>1.75</v>
      </c>
      <c r="X948" t="s">
        <v>76</v>
      </c>
      <c r="Y948" t="s">
        <v>391</v>
      </c>
      <c r="Z948" t="s">
        <v>87</v>
      </c>
      <c r="AA948" t="s">
        <v>1652</v>
      </c>
      <c r="AB948" t="s">
        <v>7703</v>
      </c>
      <c r="AC948" t="s">
        <v>108</v>
      </c>
      <c r="AD948" t="s">
        <v>89</v>
      </c>
      <c r="AE948" s="1">
        <v>40247</v>
      </c>
      <c r="AF948">
        <v>23</v>
      </c>
      <c r="AG948" t="s">
        <v>91</v>
      </c>
      <c r="AH948" t="s">
        <v>614</v>
      </c>
      <c r="AI948">
        <v>23</v>
      </c>
      <c r="AJ948" t="s">
        <v>110</v>
      </c>
      <c r="AK948">
        <v>23</v>
      </c>
      <c r="AL948">
        <v>8</v>
      </c>
      <c r="AM948">
        <v>311</v>
      </c>
      <c r="AN948">
        <v>57</v>
      </c>
      <c r="AO948">
        <v>6</v>
      </c>
      <c r="AP948" t="s">
        <v>93</v>
      </c>
      <c r="AQ948" t="s">
        <v>89</v>
      </c>
      <c r="AR948" t="s">
        <v>89</v>
      </c>
      <c r="AS948" t="s">
        <v>111</v>
      </c>
      <c r="AT948" t="s">
        <v>7703</v>
      </c>
      <c r="AU948">
        <v>2023</v>
      </c>
      <c r="AV948">
        <v>13</v>
      </c>
      <c r="AW948">
        <v>13</v>
      </c>
      <c r="AX948" t="s">
        <v>89</v>
      </c>
      <c r="AY948" t="s">
        <v>111</v>
      </c>
      <c r="AZ948">
        <v>6</v>
      </c>
      <c r="BA948">
        <v>16</v>
      </c>
      <c r="BB948">
        <v>915</v>
      </c>
      <c r="BC948">
        <v>6</v>
      </c>
      <c r="BD948">
        <v>409</v>
      </c>
      <c r="BE948">
        <v>24899</v>
      </c>
      <c r="BF948">
        <v>97</v>
      </c>
      <c r="BG948">
        <v>37</v>
      </c>
      <c r="BH948">
        <v>425</v>
      </c>
      <c r="BI948">
        <v>25814</v>
      </c>
      <c r="BJ948">
        <v>103</v>
      </c>
      <c r="BK948">
        <f t="shared" si="128"/>
        <v>425</v>
      </c>
      <c r="BL948">
        <f t="shared" si="129"/>
        <v>25814</v>
      </c>
      <c r="BM948">
        <f t="shared" si="130"/>
        <v>103</v>
      </c>
      <c r="BN948">
        <f t="shared" si="131"/>
        <v>0</v>
      </c>
      <c r="BO948">
        <f t="shared" si="132"/>
        <v>0</v>
      </c>
      <c r="BP948">
        <f t="shared" si="133"/>
        <v>0</v>
      </c>
      <c r="BQ948" t="s">
        <v>391</v>
      </c>
      <c r="BR948" t="s">
        <v>112</v>
      </c>
      <c r="BS948" s="1">
        <v>31700</v>
      </c>
      <c r="BT948">
        <v>39</v>
      </c>
      <c r="BU948" t="s">
        <v>7703</v>
      </c>
      <c r="BV948" s="1">
        <v>45182</v>
      </c>
      <c r="BW948">
        <v>14</v>
      </c>
      <c r="BX948">
        <v>1986</v>
      </c>
      <c r="BY948">
        <v>14</v>
      </c>
      <c r="BZ948">
        <f t="shared" si="134"/>
        <v>-1</v>
      </c>
      <c r="CA948">
        <f t="shared" si="135"/>
        <v>0</v>
      </c>
      <c r="CB948" t="b">
        <f t="shared" si="136"/>
        <v>0</v>
      </c>
    </row>
    <row r="949" spans="1:80" x14ac:dyDescent="0.3">
      <c r="A949" t="s">
        <v>7704</v>
      </c>
      <c r="B949" t="s">
        <v>71</v>
      </c>
      <c r="C949" t="s">
        <v>7705</v>
      </c>
      <c r="D949">
        <v>32</v>
      </c>
      <c r="E949" t="s">
        <v>7706</v>
      </c>
      <c r="F949" t="s">
        <v>7707</v>
      </c>
      <c r="G949" t="s">
        <v>75</v>
      </c>
      <c r="H949" t="s">
        <v>76</v>
      </c>
      <c r="I949" t="s">
        <v>555</v>
      </c>
      <c r="J949" t="s">
        <v>89</v>
      </c>
      <c r="K949" t="s">
        <v>7708</v>
      </c>
      <c r="L949" t="s">
        <v>278</v>
      </c>
      <c r="M949">
        <v>18</v>
      </c>
      <c r="N949" t="s">
        <v>301</v>
      </c>
      <c r="O949">
        <v>2011</v>
      </c>
      <c r="P949" t="s">
        <v>7709</v>
      </c>
      <c r="Q949" t="s">
        <v>7710</v>
      </c>
      <c r="R949">
        <v>199132</v>
      </c>
      <c r="S949" t="s">
        <v>7704</v>
      </c>
      <c r="T949" t="s">
        <v>7711</v>
      </c>
      <c r="U949">
        <v>1993</v>
      </c>
      <c r="V949" t="s">
        <v>7712</v>
      </c>
      <c r="W949">
        <v>1.79</v>
      </c>
      <c r="X949" t="s">
        <v>76</v>
      </c>
      <c r="Y949" t="s">
        <v>259</v>
      </c>
      <c r="Z949" t="s">
        <v>87</v>
      </c>
      <c r="AA949" t="s">
        <v>7713</v>
      </c>
      <c r="AB949" s="1">
        <v>45419</v>
      </c>
      <c r="AC949" t="s">
        <v>170</v>
      </c>
      <c r="AD949" t="s">
        <v>89</v>
      </c>
      <c r="AE949">
        <v>41034</v>
      </c>
      <c r="AF949">
        <v>19</v>
      </c>
      <c r="AG949" t="s">
        <v>91</v>
      </c>
      <c r="AH949" t="s">
        <v>550</v>
      </c>
      <c r="AI949">
        <v>21</v>
      </c>
      <c r="AJ949" t="s">
        <v>110</v>
      </c>
      <c r="AK949">
        <v>19</v>
      </c>
      <c r="AL949">
        <v>3</v>
      </c>
      <c r="AM949">
        <v>56</v>
      </c>
      <c r="AN949">
        <v>7</v>
      </c>
      <c r="AO949">
        <v>3</v>
      </c>
      <c r="AP949" t="s">
        <v>93</v>
      </c>
      <c r="AQ949" t="s">
        <v>89</v>
      </c>
      <c r="AR949" t="s">
        <v>89</v>
      </c>
      <c r="AS949" t="s">
        <v>93</v>
      </c>
      <c r="AT949" t="s">
        <v>89</v>
      </c>
      <c r="AU949" t="s">
        <v>89</v>
      </c>
      <c r="AV949" t="s">
        <v>89</v>
      </c>
      <c r="AW949">
        <v>14</v>
      </c>
      <c r="AX949">
        <v>14</v>
      </c>
      <c r="AY949" t="s">
        <v>93</v>
      </c>
      <c r="AZ949">
        <v>0</v>
      </c>
      <c r="BA949">
        <v>0</v>
      </c>
      <c r="BB949">
        <v>0</v>
      </c>
      <c r="BC949">
        <v>0</v>
      </c>
      <c r="BD949">
        <v>160</v>
      </c>
      <c r="BE949">
        <v>9788</v>
      </c>
      <c r="BF949">
        <v>10</v>
      </c>
      <c r="BG949" t="s">
        <v>89</v>
      </c>
      <c r="BH949">
        <v>160</v>
      </c>
      <c r="BI949">
        <v>9788</v>
      </c>
      <c r="BJ949">
        <v>10</v>
      </c>
      <c r="BK949">
        <f t="shared" si="128"/>
        <v>160</v>
      </c>
      <c r="BL949">
        <f t="shared" si="129"/>
        <v>9788</v>
      </c>
      <c r="BM949">
        <f t="shared" si="130"/>
        <v>10</v>
      </c>
      <c r="BN949">
        <f t="shared" si="131"/>
        <v>0</v>
      </c>
      <c r="BO949">
        <f t="shared" si="132"/>
        <v>0</v>
      </c>
      <c r="BP949">
        <f t="shared" si="133"/>
        <v>0</v>
      </c>
      <c r="BQ949" t="s">
        <v>259</v>
      </c>
      <c r="BR949" t="s">
        <v>94</v>
      </c>
      <c r="BS949" s="1">
        <v>34058</v>
      </c>
      <c r="BT949">
        <v>32</v>
      </c>
      <c r="BU949" t="s">
        <v>89</v>
      </c>
      <c r="BV949" t="s">
        <v>89</v>
      </c>
      <c r="BW949">
        <v>13</v>
      </c>
      <c r="BX949">
        <v>1993</v>
      </c>
      <c r="BY949">
        <v>13</v>
      </c>
      <c r="BZ949">
        <f t="shared" si="134"/>
        <v>1</v>
      </c>
      <c r="CA949">
        <f t="shared" si="135"/>
        <v>0</v>
      </c>
      <c r="CB949" t="b">
        <f t="shared" si="136"/>
        <v>0</v>
      </c>
    </row>
    <row r="950" spans="1:80" x14ac:dyDescent="0.3">
      <c r="A950" t="s">
        <v>7714</v>
      </c>
      <c r="B950" t="s">
        <v>552</v>
      </c>
      <c r="C950" t="s">
        <v>7715</v>
      </c>
      <c r="D950">
        <v>38</v>
      </c>
      <c r="E950" t="s">
        <v>7716</v>
      </c>
      <c r="F950" t="s">
        <v>7717</v>
      </c>
      <c r="G950" t="s">
        <v>143</v>
      </c>
      <c r="H950" t="s">
        <v>7474</v>
      </c>
      <c r="I950" t="s">
        <v>77</v>
      </c>
      <c r="J950" t="s">
        <v>78</v>
      </c>
      <c r="K950" t="s">
        <v>7718</v>
      </c>
      <c r="L950" t="s">
        <v>180</v>
      </c>
      <c r="M950">
        <v>20</v>
      </c>
      <c r="N950" t="s">
        <v>7719</v>
      </c>
      <c r="O950">
        <v>2007</v>
      </c>
      <c r="P950" t="s">
        <v>7720</v>
      </c>
      <c r="Q950" t="s">
        <v>7721</v>
      </c>
      <c r="R950">
        <v>55619</v>
      </c>
      <c r="S950" t="s">
        <v>7714</v>
      </c>
      <c r="T950" t="s">
        <v>7722</v>
      </c>
      <c r="U950">
        <v>1987</v>
      </c>
      <c r="V950" t="s">
        <v>7723</v>
      </c>
      <c r="W950">
        <v>1.78</v>
      </c>
      <c r="X950" t="s">
        <v>7479</v>
      </c>
      <c r="Y950" t="s">
        <v>494</v>
      </c>
      <c r="Z950" t="s">
        <v>87</v>
      </c>
      <c r="AA950" t="s">
        <v>7718</v>
      </c>
      <c r="AB950" s="1">
        <v>45663</v>
      </c>
      <c r="AC950" t="s">
        <v>108</v>
      </c>
      <c r="AD950" t="s">
        <v>395</v>
      </c>
      <c r="AE950" t="s">
        <v>1681</v>
      </c>
      <c r="AF950">
        <v>20</v>
      </c>
      <c r="AG950" t="s">
        <v>5212</v>
      </c>
      <c r="AH950">
        <v>39029</v>
      </c>
      <c r="AI950">
        <v>19</v>
      </c>
      <c r="AJ950" t="s">
        <v>4025</v>
      </c>
      <c r="AK950">
        <v>19</v>
      </c>
      <c r="AL950">
        <v>16</v>
      </c>
      <c r="AM950">
        <v>276</v>
      </c>
      <c r="AN950">
        <v>50</v>
      </c>
      <c r="AO950">
        <v>11</v>
      </c>
      <c r="AP950" t="s">
        <v>93</v>
      </c>
      <c r="AQ950" t="s">
        <v>89</v>
      </c>
      <c r="AR950" t="s">
        <v>89</v>
      </c>
      <c r="AS950" t="s">
        <v>93</v>
      </c>
      <c r="AT950" t="s">
        <v>89</v>
      </c>
      <c r="AU950" t="s">
        <v>89</v>
      </c>
      <c r="AV950" t="s">
        <v>89</v>
      </c>
      <c r="AW950">
        <v>18</v>
      </c>
      <c r="AX950">
        <v>11</v>
      </c>
      <c r="AY950" t="s">
        <v>111</v>
      </c>
      <c r="AZ950">
        <v>15</v>
      </c>
      <c r="BA950">
        <v>54</v>
      </c>
      <c r="BB950">
        <v>3596</v>
      </c>
      <c r="BC950">
        <v>5</v>
      </c>
      <c r="BD950">
        <v>522</v>
      </c>
      <c r="BE950">
        <v>33670</v>
      </c>
      <c r="BF950">
        <v>73</v>
      </c>
      <c r="BG950" t="s">
        <v>89</v>
      </c>
      <c r="BH950">
        <v>576</v>
      </c>
      <c r="BI950">
        <v>37266</v>
      </c>
      <c r="BJ950">
        <v>78</v>
      </c>
      <c r="BK950">
        <f t="shared" si="128"/>
        <v>576</v>
      </c>
      <c r="BL950">
        <f t="shared" si="129"/>
        <v>37266</v>
      </c>
      <c r="BM950">
        <f t="shared" si="130"/>
        <v>78</v>
      </c>
      <c r="BN950">
        <f t="shared" si="131"/>
        <v>0</v>
      </c>
      <c r="BO950">
        <f t="shared" si="132"/>
        <v>0</v>
      </c>
      <c r="BP950">
        <f t="shared" si="133"/>
        <v>0</v>
      </c>
      <c r="BQ950" t="s">
        <v>494</v>
      </c>
      <c r="BR950" t="s">
        <v>112</v>
      </c>
      <c r="BS950" s="1">
        <v>31867</v>
      </c>
      <c r="BT950">
        <v>38</v>
      </c>
      <c r="BU950" t="s">
        <v>89</v>
      </c>
      <c r="BV950" t="s">
        <v>89</v>
      </c>
      <c r="BW950">
        <v>19</v>
      </c>
      <c r="BX950">
        <v>1987</v>
      </c>
      <c r="BY950">
        <v>19</v>
      </c>
      <c r="BZ950">
        <f t="shared" si="134"/>
        <v>-1</v>
      </c>
      <c r="CA950">
        <f t="shared" si="135"/>
        <v>0</v>
      </c>
      <c r="CB950" t="b">
        <f t="shared" si="136"/>
        <v>0</v>
      </c>
    </row>
    <row r="951" spans="1:80" x14ac:dyDescent="0.3">
      <c r="A951" t="s">
        <v>7724</v>
      </c>
      <c r="B951" t="s">
        <v>4646</v>
      </c>
      <c r="C951" t="s">
        <v>7725</v>
      </c>
      <c r="D951">
        <v>34</v>
      </c>
      <c r="E951" s="1">
        <v>33186</v>
      </c>
      <c r="F951" t="s">
        <v>89</v>
      </c>
      <c r="G951" t="s">
        <v>400</v>
      </c>
      <c r="H951" t="s">
        <v>4648</v>
      </c>
      <c r="I951" t="s">
        <v>750</v>
      </c>
      <c r="J951" t="s">
        <v>89</v>
      </c>
      <c r="K951" t="s">
        <v>89</v>
      </c>
      <c r="L951">
        <v>2009</v>
      </c>
      <c r="M951">
        <v>18</v>
      </c>
      <c r="N951" t="s">
        <v>7726</v>
      </c>
      <c r="O951">
        <v>2009</v>
      </c>
      <c r="P951" t="s">
        <v>7727</v>
      </c>
      <c r="Q951" t="s">
        <v>7728</v>
      </c>
      <c r="R951">
        <v>108636</v>
      </c>
      <c r="S951" t="s">
        <v>7724</v>
      </c>
      <c r="T951">
        <v>33127</v>
      </c>
      <c r="U951">
        <v>1990</v>
      </c>
      <c r="V951" t="s">
        <v>7729</v>
      </c>
      <c r="W951">
        <v>1.82</v>
      </c>
      <c r="X951" t="s">
        <v>4648</v>
      </c>
      <c r="Y951" t="s">
        <v>86</v>
      </c>
      <c r="Z951" t="s">
        <v>87</v>
      </c>
      <c r="AA951" t="s">
        <v>476</v>
      </c>
      <c r="AB951" s="1">
        <v>43472</v>
      </c>
      <c r="AC951" t="s">
        <v>108</v>
      </c>
      <c r="AD951" t="s">
        <v>89</v>
      </c>
      <c r="AE951" t="s">
        <v>7730</v>
      </c>
      <c r="AF951">
        <v>18</v>
      </c>
      <c r="AG951" t="s">
        <v>1360</v>
      </c>
      <c r="AH951" t="s">
        <v>92</v>
      </c>
      <c r="AI951" t="s">
        <v>89</v>
      </c>
      <c r="AJ951" t="s">
        <v>92</v>
      </c>
      <c r="AK951">
        <v>18</v>
      </c>
      <c r="AL951">
        <v>2</v>
      </c>
      <c r="AM951">
        <v>61</v>
      </c>
      <c r="AN951">
        <v>9</v>
      </c>
      <c r="AO951">
        <v>2</v>
      </c>
      <c r="AP951" t="s">
        <v>93</v>
      </c>
      <c r="AQ951" t="s">
        <v>89</v>
      </c>
      <c r="AR951" t="s">
        <v>89</v>
      </c>
      <c r="AS951" t="s">
        <v>93</v>
      </c>
      <c r="AT951" t="s">
        <v>89</v>
      </c>
      <c r="AU951" t="s">
        <v>89</v>
      </c>
      <c r="AV951" t="s">
        <v>89</v>
      </c>
      <c r="AW951">
        <v>16</v>
      </c>
      <c r="AX951" t="s">
        <v>89</v>
      </c>
      <c r="AY951" t="s">
        <v>111</v>
      </c>
      <c r="AZ951">
        <v>4</v>
      </c>
      <c r="BA951">
        <v>4</v>
      </c>
      <c r="BB951">
        <v>216</v>
      </c>
      <c r="BC951">
        <v>0</v>
      </c>
      <c r="BD951">
        <v>128</v>
      </c>
      <c r="BE951">
        <v>8499</v>
      </c>
      <c r="BF951">
        <v>17</v>
      </c>
      <c r="BG951" t="s">
        <v>89</v>
      </c>
      <c r="BH951">
        <v>132</v>
      </c>
      <c r="BI951">
        <v>8715</v>
      </c>
      <c r="BJ951">
        <v>17</v>
      </c>
      <c r="BK951">
        <f t="shared" si="128"/>
        <v>132</v>
      </c>
      <c r="BL951">
        <f t="shared" si="129"/>
        <v>8715</v>
      </c>
      <c r="BM951">
        <f t="shared" si="130"/>
        <v>17</v>
      </c>
      <c r="BN951">
        <f t="shared" si="131"/>
        <v>0</v>
      </c>
      <c r="BO951">
        <f t="shared" si="132"/>
        <v>0</v>
      </c>
      <c r="BP951">
        <f t="shared" si="133"/>
        <v>0</v>
      </c>
      <c r="BQ951" t="s">
        <v>86</v>
      </c>
      <c r="BR951" t="s">
        <v>94</v>
      </c>
      <c r="BS951" t="s">
        <v>89</v>
      </c>
      <c r="BT951">
        <v>36</v>
      </c>
      <c r="BU951" t="s">
        <v>89</v>
      </c>
      <c r="BV951" t="s">
        <v>89</v>
      </c>
      <c r="BW951">
        <v>18</v>
      </c>
      <c r="BX951">
        <v>1990</v>
      </c>
      <c r="BY951">
        <v>16</v>
      </c>
      <c r="BZ951">
        <f t="shared" si="134"/>
        <v>-2</v>
      </c>
      <c r="CA951">
        <f t="shared" si="135"/>
        <v>2</v>
      </c>
      <c r="CB951" t="b">
        <f t="shared" si="136"/>
        <v>0</v>
      </c>
    </row>
    <row r="952" spans="1:80" x14ac:dyDescent="0.3">
      <c r="A952" t="s">
        <v>7731</v>
      </c>
      <c r="B952" t="s">
        <v>1461</v>
      </c>
      <c r="C952" t="s">
        <v>7732</v>
      </c>
      <c r="D952">
        <v>36</v>
      </c>
      <c r="E952">
        <v>32391</v>
      </c>
      <c r="F952" t="s">
        <v>89</v>
      </c>
      <c r="G952" t="s">
        <v>115</v>
      </c>
      <c r="H952" t="s">
        <v>4355</v>
      </c>
      <c r="I952" t="s">
        <v>253</v>
      </c>
      <c r="J952" t="s">
        <v>300</v>
      </c>
      <c r="K952" t="s">
        <v>89</v>
      </c>
      <c r="L952" t="s">
        <v>117</v>
      </c>
      <c r="M952">
        <v>16</v>
      </c>
      <c r="N952" t="s">
        <v>1439</v>
      </c>
      <c r="O952">
        <v>2005</v>
      </c>
      <c r="P952" t="s">
        <v>7733</v>
      </c>
      <c r="Q952" t="s">
        <v>7734</v>
      </c>
      <c r="R952">
        <v>31095</v>
      </c>
      <c r="S952" t="s">
        <v>7731</v>
      </c>
      <c r="T952" s="1">
        <v>32272</v>
      </c>
      <c r="U952">
        <v>1988</v>
      </c>
      <c r="V952" t="s">
        <v>7735</v>
      </c>
      <c r="W952">
        <v>1.8</v>
      </c>
      <c r="X952" t="s">
        <v>4360</v>
      </c>
      <c r="Y952" t="s">
        <v>259</v>
      </c>
      <c r="Z952" t="s">
        <v>152</v>
      </c>
      <c r="AA952" t="s">
        <v>6146</v>
      </c>
      <c r="AB952" s="1">
        <v>44568</v>
      </c>
      <c r="AC952" t="s">
        <v>108</v>
      </c>
      <c r="AD952" t="s">
        <v>89</v>
      </c>
      <c r="AE952">
        <v>38511</v>
      </c>
      <c r="AF952">
        <v>16</v>
      </c>
      <c r="AG952" t="s">
        <v>2272</v>
      </c>
      <c r="AH952" t="s">
        <v>92</v>
      </c>
      <c r="AI952" t="s">
        <v>89</v>
      </c>
      <c r="AJ952" t="s">
        <v>92</v>
      </c>
      <c r="AK952">
        <v>16</v>
      </c>
      <c r="AL952">
        <v>27</v>
      </c>
      <c r="AM952">
        <v>855</v>
      </c>
      <c r="AN952">
        <v>149</v>
      </c>
      <c r="AO952">
        <v>12</v>
      </c>
      <c r="AP952" t="s">
        <v>93</v>
      </c>
      <c r="AQ952" t="s">
        <v>89</v>
      </c>
      <c r="AR952" t="s">
        <v>89</v>
      </c>
      <c r="AS952" t="s">
        <v>111</v>
      </c>
      <c r="AT952">
        <v>44568</v>
      </c>
      <c r="AU952">
        <v>2022</v>
      </c>
      <c r="AV952">
        <v>17</v>
      </c>
      <c r="AW952">
        <v>17</v>
      </c>
      <c r="AX952" t="s">
        <v>89</v>
      </c>
      <c r="AY952" t="s">
        <v>111</v>
      </c>
      <c r="AZ952">
        <v>8</v>
      </c>
      <c r="BA952">
        <v>23</v>
      </c>
      <c r="BB952">
        <v>1203</v>
      </c>
      <c r="BC952">
        <v>0</v>
      </c>
      <c r="BD952">
        <v>390</v>
      </c>
      <c r="BE952">
        <v>28886</v>
      </c>
      <c r="BF952">
        <v>32</v>
      </c>
      <c r="BG952">
        <v>34</v>
      </c>
      <c r="BH952">
        <v>413</v>
      </c>
      <c r="BI952">
        <v>30089</v>
      </c>
      <c r="BJ952">
        <v>32</v>
      </c>
      <c r="BK952">
        <f t="shared" si="128"/>
        <v>413</v>
      </c>
      <c r="BL952">
        <f t="shared" si="129"/>
        <v>30089</v>
      </c>
      <c r="BM952">
        <f t="shared" si="130"/>
        <v>32</v>
      </c>
      <c r="BN952">
        <f t="shared" si="131"/>
        <v>0</v>
      </c>
      <c r="BO952">
        <f t="shared" si="132"/>
        <v>0</v>
      </c>
      <c r="BP952">
        <f t="shared" si="133"/>
        <v>0</v>
      </c>
      <c r="BQ952" t="s">
        <v>259</v>
      </c>
      <c r="BR952" t="s">
        <v>94</v>
      </c>
      <c r="BS952" s="1">
        <v>32391</v>
      </c>
      <c r="BT952">
        <v>37</v>
      </c>
      <c r="BU952">
        <v>44568</v>
      </c>
      <c r="BV952" t="s">
        <v>89</v>
      </c>
      <c r="BW952">
        <v>18</v>
      </c>
      <c r="BX952">
        <v>1988</v>
      </c>
      <c r="BY952">
        <v>18</v>
      </c>
      <c r="BZ952">
        <f t="shared" si="134"/>
        <v>-1</v>
      </c>
      <c r="CA952">
        <f t="shared" si="135"/>
        <v>0</v>
      </c>
      <c r="CB952" t="b">
        <f t="shared" si="136"/>
        <v>0</v>
      </c>
    </row>
    <row r="953" spans="1:80" x14ac:dyDescent="0.3">
      <c r="A953" t="s">
        <v>7736</v>
      </c>
      <c r="B953" t="s">
        <v>4646</v>
      </c>
      <c r="C953" t="s">
        <v>7737</v>
      </c>
      <c r="D953">
        <v>40</v>
      </c>
      <c r="E953" s="1">
        <v>30983</v>
      </c>
      <c r="F953" t="s">
        <v>89</v>
      </c>
      <c r="G953" t="s">
        <v>535</v>
      </c>
      <c r="H953" t="s">
        <v>4648</v>
      </c>
      <c r="I953" t="s">
        <v>437</v>
      </c>
      <c r="J953" t="s">
        <v>639</v>
      </c>
      <c r="K953" t="s">
        <v>89</v>
      </c>
      <c r="L953" t="s">
        <v>845</v>
      </c>
      <c r="M953">
        <v>17</v>
      </c>
      <c r="N953" t="s">
        <v>3381</v>
      </c>
      <c r="O953">
        <v>2002</v>
      </c>
      <c r="P953" t="s">
        <v>7738</v>
      </c>
      <c r="Q953" t="s">
        <v>7739</v>
      </c>
      <c r="R953">
        <v>5794</v>
      </c>
      <c r="S953" t="s">
        <v>7736</v>
      </c>
      <c r="T953" t="s">
        <v>7740</v>
      </c>
      <c r="U953">
        <v>1984</v>
      </c>
      <c r="V953" t="s">
        <v>7741</v>
      </c>
      <c r="W953" t="s">
        <v>89</v>
      </c>
      <c r="X953" t="s">
        <v>7742</v>
      </c>
      <c r="Y953" t="s">
        <v>123</v>
      </c>
      <c r="Z953" t="s">
        <v>89</v>
      </c>
      <c r="AA953" t="s">
        <v>7743</v>
      </c>
      <c r="AB953" s="1">
        <v>44197</v>
      </c>
      <c r="AC953" t="s">
        <v>108</v>
      </c>
      <c r="AD953" t="s">
        <v>223</v>
      </c>
      <c r="AE953" t="s">
        <v>853</v>
      </c>
      <c r="AF953">
        <v>18</v>
      </c>
      <c r="AG953" t="s">
        <v>573</v>
      </c>
      <c r="AH953" t="s">
        <v>92</v>
      </c>
      <c r="AI953" t="s">
        <v>89</v>
      </c>
      <c r="AJ953" t="s">
        <v>92</v>
      </c>
      <c r="AK953">
        <v>18</v>
      </c>
      <c r="AL953">
        <v>13</v>
      </c>
      <c r="AM953">
        <v>1317</v>
      </c>
      <c r="AN953">
        <v>57</v>
      </c>
      <c r="AO953">
        <v>7</v>
      </c>
      <c r="AP953" t="s">
        <v>93</v>
      </c>
      <c r="AQ953" t="s">
        <v>89</v>
      </c>
      <c r="AR953" t="s">
        <v>89</v>
      </c>
      <c r="AS953" t="s">
        <v>111</v>
      </c>
      <c r="AT953" s="1">
        <v>44197</v>
      </c>
      <c r="AU953">
        <v>2021</v>
      </c>
      <c r="AV953">
        <v>19</v>
      </c>
      <c r="AW953">
        <v>19</v>
      </c>
      <c r="AX953" t="s">
        <v>89</v>
      </c>
      <c r="AY953" t="s">
        <v>111</v>
      </c>
      <c r="AZ953">
        <v>4</v>
      </c>
      <c r="BA953">
        <v>9</v>
      </c>
      <c r="BB953">
        <v>358</v>
      </c>
      <c r="BC953">
        <v>1</v>
      </c>
      <c r="BD953">
        <v>414</v>
      </c>
      <c r="BE953">
        <v>27918</v>
      </c>
      <c r="BF953">
        <v>153</v>
      </c>
      <c r="BG953">
        <v>37</v>
      </c>
      <c r="BH953">
        <v>423</v>
      </c>
      <c r="BI953">
        <v>28276</v>
      </c>
      <c r="BJ953">
        <v>154</v>
      </c>
      <c r="BK953">
        <f t="shared" si="128"/>
        <v>423</v>
      </c>
      <c r="BL953">
        <f t="shared" si="129"/>
        <v>28276</v>
      </c>
      <c r="BM953">
        <f t="shared" si="130"/>
        <v>154</v>
      </c>
      <c r="BN953">
        <f t="shared" si="131"/>
        <v>0</v>
      </c>
      <c r="BO953">
        <f t="shared" si="132"/>
        <v>0</v>
      </c>
      <c r="BP953">
        <f t="shared" si="133"/>
        <v>0</v>
      </c>
      <c r="BQ953" t="s">
        <v>123</v>
      </c>
      <c r="BR953" t="s">
        <v>112</v>
      </c>
      <c r="BS953" s="1">
        <v>30983</v>
      </c>
      <c r="BT953">
        <v>41</v>
      </c>
      <c r="BU953" s="1">
        <v>44197</v>
      </c>
      <c r="BV953" s="1">
        <v>44197</v>
      </c>
      <c r="BW953">
        <v>19</v>
      </c>
      <c r="BX953">
        <v>1984</v>
      </c>
      <c r="BY953">
        <v>19</v>
      </c>
      <c r="BZ953">
        <f t="shared" si="134"/>
        <v>0</v>
      </c>
      <c r="CA953">
        <f t="shared" si="135"/>
        <v>0</v>
      </c>
      <c r="CB953" t="b">
        <f t="shared" si="136"/>
        <v>1</v>
      </c>
    </row>
    <row r="954" spans="1:80" x14ac:dyDescent="0.3">
      <c r="A954" t="s">
        <v>7744</v>
      </c>
      <c r="B954" t="s">
        <v>4646</v>
      </c>
      <c r="C954" t="s">
        <v>7745</v>
      </c>
      <c r="D954">
        <v>36</v>
      </c>
      <c r="E954" t="s">
        <v>7746</v>
      </c>
      <c r="F954" t="s">
        <v>7747</v>
      </c>
      <c r="G954" t="s">
        <v>277</v>
      </c>
      <c r="H954" t="s">
        <v>4648</v>
      </c>
      <c r="I954" t="s">
        <v>437</v>
      </c>
      <c r="J954" t="s">
        <v>78</v>
      </c>
      <c r="K954" t="s">
        <v>7748</v>
      </c>
      <c r="L954">
        <v>2007</v>
      </c>
      <c r="M954">
        <v>17</v>
      </c>
      <c r="N954" t="s">
        <v>7749</v>
      </c>
      <c r="O954">
        <v>2007</v>
      </c>
      <c r="P954" t="s">
        <v>7750</v>
      </c>
      <c r="Q954" t="s">
        <v>7751</v>
      </c>
      <c r="R954">
        <v>62121</v>
      </c>
      <c r="S954" t="s">
        <v>7744</v>
      </c>
      <c r="T954" t="s">
        <v>7752</v>
      </c>
      <c r="U954">
        <v>1989</v>
      </c>
      <c r="V954" t="s">
        <v>7741</v>
      </c>
      <c r="W954">
        <v>1.81</v>
      </c>
      <c r="X954" t="s">
        <v>7742</v>
      </c>
      <c r="Y954" t="s">
        <v>123</v>
      </c>
      <c r="Z954" t="s">
        <v>87</v>
      </c>
      <c r="AA954" t="s">
        <v>476</v>
      </c>
      <c r="AB954">
        <v>45664</v>
      </c>
      <c r="AC954" t="s">
        <v>108</v>
      </c>
      <c r="AD954" t="s">
        <v>223</v>
      </c>
      <c r="AE954" t="s">
        <v>636</v>
      </c>
      <c r="AF954">
        <v>18</v>
      </c>
      <c r="AG954" t="s">
        <v>1360</v>
      </c>
      <c r="AH954" s="1">
        <v>40725</v>
      </c>
      <c r="AI954">
        <v>21</v>
      </c>
      <c r="AJ954" t="s">
        <v>110</v>
      </c>
      <c r="AK954">
        <v>18</v>
      </c>
      <c r="AL954">
        <v>6</v>
      </c>
      <c r="AM954">
        <v>198</v>
      </c>
      <c r="AN954">
        <v>34</v>
      </c>
      <c r="AO954">
        <v>6</v>
      </c>
      <c r="AP954" t="s">
        <v>93</v>
      </c>
      <c r="AQ954" t="s">
        <v>89</v>
      </c>
      <c r="AR954" t="s">
        <v>89</v>
      </c>
      <c r="AS954" t="s">
        <v>93</v>
      </c>
      <c r="AT954" t="s">
        <v>89</v>
      </c>
      <c r="AU954" t="s">
        <v>89</v>
      </c>
      <c r="AV954" t="s">
        <v>89</v>
      </c>
      <c r="AW954">
        <v>18</v>
      </c>
      <c r="AX954" t="s">
        <v>89</v>
      </c>
      <c r="AY954" t="s">
        <v>111</v>
      </c>
      <c r="AZ954">
        <v>10</v>
      </c>
      <c r="BA954">
        <v>35</v>
      </c>
      <c r="BB954">
        <v>2297</v>
      </c>
      <c r="BC954">
        <v>15</v>
      </c>
      <c r="BD954">
        <v>458</v>
      </c>
      <c r="BE954">
        <v>30787</v>
      </c>
      <c r="BF954">
        <v>191</v>
      </c>
      <c r="BG954" t="s">
        <v>89</v>
      </c>
      <c r="BH954">
        <v>493</v>
      </c>
      <c r="BI954">
        <v>33084</v>
      </c>
      <c r="BJ954">
        <v>206</v>
      </c>
      <c r="BK954">
        <f t="shared" si="128"/>
        <v>493</v>
      </c>
      <c r="BL954">
        <f t="shared" si="129"/>
        <v>33084</v>
      </c>
      <c r="BM954">
        <f t="shared" si="130"/>
        <v>206</v>
      </c>
      <c r="BN954">
        <f t="shared" si="131"/>
        <v>0</v>
      </c>
      <c r="BO954">
        <f t="shared" si="132"/>
        <v>0</v>
      </c>
      <c r="BP954">
        <f t="shared" si="133"/>
        <v>0</v>
      </c>
      <c r="BQ954" t="s">
        <v>123</v>
      </c>
      <c r="BR954" t="s">
        <v>112</v>
      </c>
      <c r="BS954" s="1">
        <v>32675</v>
      </c>
      <c r="BT954">
        <v>36</v>
      </c>
      <c r="BU954" t="s">
        <v>89</v>
      </c>
      <c r="BV954" t="s">
        <v>89</v>
      </c>
      <c r="BW954">
        <v>18</v>
      </c>
      <c r="BX954">
        <v>1989</v>
      </c>
      <c r="BY954">
        <v>18</v>
      </c>
      <c r="BZ954">
        <f t="shared" si="134"/>
        <v>0</v>
      </c>
      <c r="CA954">
        <f t="shared" si="135"/>
        <v>0</v>
      </c>
      <c r="CB954" t="b">
        <f t="shared" si="136"/>
        <v>1</v>
      </c>
    </row>
    <row r="955" spans="1:80" x14ac:dyDescent="0.3">
      <c r="A955" t="s">
        <v>7753</v>
      </c>
      <c r="B955" t="s">
        <v>5915</v>
      </c>
      <c r="C955" t="s">
        <v>7754</v>
      </c>
      <c r="D955">
        <v>43</v>
      </c>
      <c r="E955" s="1">
        <v>30084</v>
      </c>
      <c r="F955" t="s">
        <v>89</v>
      </c>
      <c r="G955" t="s">
        <v>6003</v>
      </c>
      <c r="H955" t="s">
        <v>5917</v>
      </c>
      <c r="I955" t="s">
        <v>227</v>
      </c>
      <c r="J955" t="s">
        <v>78</v>
      </c>
      <c r="K955" t="s">
        <v>89</v>
      </c>
      <c r="L955" t="s">
        <v>657</v>
      </c>
      <c r="M955">
        <v>21</v>
      </c>
      <c r="N955" t="s">
        <v>7755</v>
      </c>
      <c r="O955">
        <v>2003</v>
      </c>
      <c r="P955" t="s">
        <v>7756</v>
      </c>
      <c r="Q955" t="s">
        <v>7757</v>
      </c>
      <c r="R955">
        <v>12517</v>
      </c>
      <c r="S955" t="s">
        <v>7753</v>
      </c>
      <c r="T955" t="s">
        <v>861</v>
      </c>
      <c r="U955">
        <v>1982</v>
      </c>
      <c r="V955" t="s">
        <v>7758</v>
      </c>
      <c r="W955">
        <v>1.93</v>
      </c>
      <c r="X955" t="s">
        <v>7759</v>
      </c>
      <c r="Y955" t="s">
        <v>235</v>
      </c>
      <c r="Z955" t="s">
        <v>87</v>
      </c>
      <c r="AA955" t="s">
        <v>7760</v>
      </c>
      <c r="AB955" t="s">
        <v>7761</v>
      </c>
      <c r="AC955" t="s">
        <v>108</v>
      </c>
      <c r="AD955" t="s">
        <v>89</v>
      </c>
      <c r="AE955" t="s">
        <v>7762</v>
      </c>
      <c r="AF955">
        <v>21</v>
      </c>
      <c r="AG955" t="s">
        <v>1161</v>
      </c>
      <c r="AH955" t="s">
        <v>7763</v>
      </c>
      <c r="AI955">
        <v>20</v>
      </c>
      <c r="AJ955" t="s">
        <v>1044</v>
      </c>
      <c r="AK955">
        <v>20</v>
      </c>
      <c r="AL955">
        <v>6</v>
      </c>
      <c r="AM955">
        <v>273</v>
      </c>
      <c r="AN955">
        <v>62</v>
      </c>
      <c r="AO955">
        <v>3</v>
      </c>
      <c r="AP955" t="s">
        <v>93</v>
      </c>
      <c r="AQ955" t="s">
        <v>89</v>
      </c>
      <c r="AR955" t="s">
        <v>89</v>
      </c>
      <c r="AS955" t="s">
        <v>111</v>
      </c>
      <c r="AT955" t="s">
        <v>7761</v>
      </c>
      <c r="AU955">
        <v>2018</v>
      </c>
      <c r="AV955">
        <v>15</v>
      </c>
      <c r="AW955">
        <v>15</v>
      </c>
      <c r="AX955" t="s">
        <v>89</v>
      </c>
      <c r="AY955" t="s">
        <v>111</v>
      </c>
      <c r="AZ955">
        <v>7</v>
      </c>
      <c r="BA955">
        <v>32</v>
      </c>
      <c r="BB955">
        <v>2706</v>
      </c>
      <c r="BC955">
        <v>1</v>
      </c>
      <c r="BD955">
        <v>277</v>
      </c>
      <c r="BE955">
        <v>23691</v>
      </c>
      <c r="BF955">
        <v>20</v>
      </c>
      <c r="BG955">
        <v>36</v>
      </c>
      <c r="BH955">
        <v>309</v>
      </c>
      <c r="BI955">
        <v>26397</v>
      </c>
      <c r="BJ955">
        <v>21</v>
      </c>
      <c r="BK955">
        <f t="shared" si="128"/>
        <v>309</v>
      </c>
      <c r="BL955">
        <f t="shared" si="129"/>
        <v>26397</v>
      </c>
      <c r="BM955">
        <f t="shared" si="130"/>
        <v>21</v>
      </c>
      <c r="BN955">
        <f t="shared" si="131"/>
        <v>0</v>
      </c>
      <c r="BO955">
        <f t="shared" si="132"/>
        <v>0</v>
      </c>
      <c r="BP955">
        <f t="shared" si="133"/>
        <v>0</v>
      </c>
      <c r="BQ955" t="s">
        <v>235</v>
      </c>
      <c r="BR955" t="s">
        <v>140</v>
      </c>
      <c r="BS955" s="1">
        <v>30084</v>
      </c>
      <c r="BT955">
        <v>43</v>
      </c>
      <c r="BU955" t="s">
        <v>7761</v>
      </c>
      <c r="BV955" s="1">
        <v>43360</v>
      </c>
      <c r="BW955">
        <v>16</v>
      </c>
      <c r="BX955">
        <v>1982</v>
      </c>
      <c r="BY955">
        <v>16</v>
      </c>
      <c r="BZ955">
        <f t="shared" si="134"/>
        <v>-1</v>
      </c>
      <c r="CA955">
        <f t="shared" si="135"/>
        <v>0</v>
      </c>
      <c r="CB955" t="b">
        <f t="shared" si="136"/>
        <v>0</v>
      </c>
    </row>
    <row r="956" spans="1:80" x14ac:dyDescent="0.3">
      <c r="A956" t="s">
        <v>7764</v>
      </c>
      <c r="B956" t="s">
        <v>71</v>
      </c>
      <c r="C956" t="s">
        <v>7765</v>
      </c>
      <c r="D956">
        <v>35</v>
      </c>
      <c r="E956" t="s">
        <v>7766</v>
      </c>
      <c r="F956" t="s">
        <v>7767</v>
      </c>
      <c r="G956" t="s">
        <v>374</v>
      </c>
      <c r="H956" t="s">
        <v>76</v>
      </c>
      <c r="I956" t="s">
        <v>178</v>
      </c>
      <c r="J956" t="s">
        <v>300</v>
      </c>
      <c r="K956" t="s">
        <v>3482</v>
      </c>
      <c r="L956" t="s">
        <v>130</v>
      </c>
      <c r="M956">
        <v>18</v>
      </c>
      <c r="N956" t="s">
        <v>644</v>
      </c>
      <c r="O956">
        <v>2008</v>
      </c>
      <c r="P956" t="s">
        <v>7768</v>
      </c>
      <c r="Q956" t="s">
        <v>7769</v>
      </c>
      <c r="R956">
        <v>8176</v>
      </c>
      <c r="S956" t="s">
        <v>7764</v>
      </c>
      <c r="T956" t="s">
        <v>7770</v>
      </c>
      <c r="U956">
        <v>1989</v>
      </c>
      <c r="V956" t="s">
        <v>7771</v>
      </c>
      <c r="W956">
        <v>1.89</v>
      </c>
      <c r="X956" t="s">
        <v>76</v>
      </c>
      <c r="Y956" t="s">
        <v>186</v>
      </c>
      <c r="Z956" t="s">
        <v>152</v>
      </c>
      <c r="AA956" t="s">
        <v>476</v>
      </c>
      <c r="AB956" s="1">
        <v>45664</v>
      </c>
      <c r="AC956" t="s">
        <v>108</v>
      </c>
      <c r="AD956" t="s">
        <v>89</v>
      </c>
      <c r="AE956" t="s">
        <v>3291</v>
      </c>
      <c r="AF956">
        <v>19</v>
      </c>
      <c r="AG956" t="s">
        <v>91</v>
      </c>
      <c r="AH956">
        <v>40307</v>
      </c>
      <c r="AI956">
        <v>20</v>
      </c>
      <c r="AJ956" t="s">
        <v>110</v>
      </c>
      <c r="AK956">
        <v>19</v>
      </c>
      <c r="AL956">
        <v>2</v>
      </c>
      <c r="AM956">
        <v>78</v>
      </c>
      <c r="AN956">
        <v>16</v>
      </c>
      <c r="AO956">
        <v>2</v>
      </c>
      <c r="AP956" t="s">
        <v>93</v>
      </c>
      <c r="AQ956" t="s">
        <v>89</v>
      </c>
      <c r="AR956" t="s">
        <v>89</v>
      </c>
      <c r="AS956" t="s">
        <v>93</v>
      </c>
      <c r="AT956" t="s">
        <v>89</v>
      </c>
      <c r="AU956" t="s">
        <v>89</v>
      </c>
      <c r="AV956" t="s">
        <v>89</v>
      </c>
      <c r="AW956">
        <v>17</v>
      </c>
      <c r="AX956" t="s">
        <v>89</v>
      </c>
      <c r="AY956" t="s">
        <v>93</v>
      </c>
      <c r="AZ956">
        <v>0</v>
      </c>
      <c r="BA956">
        <v>0</v>
      </c>
      <c r="BB956">
        <v>0</v>
      </c>
      <c r="BC956">
        <v>0</v>
      </c>
      <c r="BD956">
        <v>142</v>
      </c>
      <c r="BE956">
        <v>12707</v>
      </c>
      <c r="BF956">
        <v>0</v>
      </c>
      <c r="BG956" t="s">
        <v>89</v>
      </c>
      <c r="BH956">
        <v>142</v>
      </c>
      <c r="BI956">
        <v>12707</v>
      </c>
      <c r="BJ956">
        <v>0</v>
      </c>
      <c r="BK956">
        <f t="shared" si="128"/>
        <v>142</v>
      </c>
      <c r="BL956">
        <f t="shared" si="129"/>
        <v>12707</v>
      </c>
      <c r="BM956">
        <f t="shared" si="130"/>
        <v>0</v>
      </c>
      <c r="BN956">
        <f t="shared" si="131"/>
        <v>0</v>
      </c>
      <c r="BO956">
        <f t="shared" si="132"/>
        <v>0</v>
      </c>
      <c r="BP956">
        <f t="shared" si="133"/>
        <v>0</v>
      </c>
      <c r="BQ956" t="s">
        <v>186</v>
      </c>
      <c r="BR956" t="s">
        <v>186</v>
      </c>
      <c r="BS956" s="1">
        <v>32765</v>
      </c>
      <c r="BT956">
        <v>36</v>
      </c>
      <c r="BU956" t="s">
        <v>89</v>
      </c>
      <c r="BV956" t="s">
        <v>89</v>
      </c>
      <c r="BW956">
        <v>17</v>
      </c>
      <c r="BX956">
        <v>1989</v>
      </c>
      <c r="BY956">
        <v>16</v>
      </c>
      <c r="BZ956">
        <f t="shared" si="134"/>
        <v>0</v>
      </c>
      <c r="CA956">
        <f t="shared" si="135"/>
        <v>1</v>
      </c>
      <c r="CB956" t="b">
        <f t="shared" si="136"/>
        <v>1</v>
      </c>
    </row>
    <row r="957" spans="1:80" x14ac:dyDescent="0.3">
      <c r="A957" t="s">
        <v>7772</v>
      </c>
      <c r="B957" t="s">
        <v>71</v>
      </c>
      <c r="C957" t="s">
        <v>7773</v>
      </c>
      <c r="D957">
        <v>39</v>
      </c>
      <c r="E957" s="1">
        <v>31557</v>
      </c>
      <c r="F957" t="s">
        <v>89</v>
      </c>
      <c r="G957" t="s">
        <v>75</v>
      </c>
      <c r="H957" t="s">
        <v>89</v>
      </c>
      <c r="I957" t="s">
        <v>3208</v>
      </c>
      <c r="J957" t="s">
        <v>78</v>
      </c>
      <c r="K957" t="s">
        <v>89</v>
      </c>
      <c r="L957" t="s">
        <v>130</v>
      </c>
      <c r="M957">
        <v>22</v>
      </c>
      <c r="N957" t="s">
        <v>820</v>
      </c>
      <c r="O957">
        <v>2008</v>
      </c>
      <c r="P957" t="s">
        <v>7774</v>
      </c>
      <c r="Q957" t="s">
        <v>7775</v>
      </c>
      <c r="R957">
        <v>63040</v>
      </c>
      <c r="S957" t="s">
        <v>7772</v>
      </c>
      <c r="T957" t="s">
        <v>7776</v>
      </c>
      <c r="U957">
        <v>1986</v>
      </c>
      <c r="V957" t="s">
        <v>5030</v>
      </c>
      <c r="W957">
        <v>1.78</v>
      </c>
      <c r="X957" t="s">
        <v>76</v>
      </c>
      <c r="Y957" t="s">
        <v>259</v>
      </c>
      <c r="Z957" t="s">
        <v>87</v>
      </c>
      <c r="AA957" t="s">
        <v>1916</v>
      </c>
      <c r="AB957" s="1">
        <v>44933</v>
      </c>
      <c r="AC957" t="s">
        <v>108</v>
      </c>
      <c r="AD957" t="s">
        <v>89</v>
      </c>
      <c r="AE957" t="s">
        <v>3233</v>
      </c>
      <c r="AF957">
        <v>22</v>
      </c>
      <c r="AG957" t="s">
        <v>91</v>
      </c>
      <c r="AH957" t="s">
        <v>7777</v>
      </c>
      <c r="AI957">
        <v>25</v>
      </c>
      <c r="AJ957" t="s">
        <v>110</v>
      </c>
      <c r="AK957">
        <v>22</v>
      </c>
      <c r="AL957">
        <v>7</v>
      </c>
      <c r="AM957">
        <v>538</v>
      </c>
      <c r="AN957">
        <v>68</v>
      </c>
      <c r="AO957">
        <v>6</v>
      </c>
      <c r="AP957" t="s">
        <v>93</v>
      </c>
      <c r="AQ957" t="s">
        <v>89</v>
      </c>
      <c r="AR957" t="s">
        <v>89</v>
      </c>
      <c r="AS957" t="s">
        <v>111</v>
      </c>
      <c r="AT957" s="1">
        <v>44933</v>
      </c>
      <c r="AU957">
        <v>2023</v>
      </c>
      <c r="AV957">
        <v>15</v>
      </c>
      <c r="AW957">
        <v>15</v>
      </c>
      <c r="AX957" t="s">
        <v>89</v>
      </c>
      <c r="AY957" t="s">
        <v>93</v>
      </c>
      <c r="AZ957">
        <v>0</v>
      </c>
      <c r="BA957">
        <v>0</v>
      </c>
      <c r="BB957">
        <v>0</v>
      </c>
      <c r="BC957">
        <v>0</v>
      </c>
      <c r="BD957">
        <v>383</v>
      </c>
      <c r="BE957">
        <v>28657</v>
      </c>
      <c r="BF957">
        <v>16</v>
      </c>
      <c r="BG957">
        <v>37</v>
      </c>
      <c r="BH957">
        <v>383</v>
      </c>
      <c r="BI957">
        <v>28657</v>
      </c>
      <c r="BJ957">
        <v>16</v>
      </c>
      <c r="BK957">
        <f t="shared" si="128"/>
        <v>383</v>
      </c>
      <c r="BL957">
        <f t="shared" si="129"/>
        <v>28657</v>
      </c>
      <c r="BM957">
        <f t="shared" si="130"/>
        <v>16</v>
      </c>
      <c r="BN957">
        <f t="shared" si="131"/>
        <v>0</v>
      </c>
      <c r="BO957">
        <f t="shared" si="132"/>
        <v>0</v>
      </c>
      <c r="BP957">
        <f t="shared" si="133"/>
        <v>0</v>
      </c>
      <c r="BQ957" t="s">
        <v>259</v>
      </c>
      <c r="BR957" t="s">
        <v>94</v>
      </c>
      <c r="BS957" s="1">
        <v>31557</v>
      </c>
      <c r="BT957">
        <v>39</v>
      </c>
      <c r="BU957" s="1">
        <v>44933</v>
      </c>
      <c r="BV957" s="1">
        <v>45108</v>
      </c>
      <c r="BW957">
        <v>15</v>
      </c>
      <c r="BX957">
        <v>1986</v>
      </c>
      <c r="BY957">
        <v>15</v>
      </c>
      <c r="BZ957">
        <f t="shared" si="134"/>
        <v>0</v>
      </c>
      <c r="CA957">
        <f t="shared" si="135"/>
        <v>0</v>
      </c>
      <c r="CB957" t="b">
        <f t="shared" si="136"/>
        <v>1</v>
      </c>
    </row>
    <row r="958" spans="1:80" x14ac:dyDescent="0.3">
      <c r="A958" t="s">
        <v>7778</v>
      </c>
      <c r="B958" t="s">
        <v>7779</v>
      </c>
      <c r="C958" t="s">
        <v>7780</v>
      </c>
      <c r="D958">
        <v>38</v>
      </c>
      <c r="E958" s="1">
        <v>31951</v>
      </c>
      <c r="F958" t="s">
        <v>89</v>
      </c>
      <c r="G958" t="s">
        <v>400</v>
      </c>
      <c r="H958" t="s">
        <v>7781</v>
      </c>
      <c r="I958" t="s">
        <v>340</v>
      </c>
      <c r="J958" t="s">
        <v>78</v>
      </c>
      <c r="K958" t="s">
        <v>89</v>
      </c>
      <c r="L958" t="s">
        <v>145</v>
      </c>
      <c r="M958">
        <v>17</v>
      </c>
      <c r="N958" t="s">
        <v>7782</v>
      </c>
      <c r="O958">
        <v>2004</v>
      </c>
      <c r="P958" t="s">
        <v>7783</v>
      </c>
      <c r="Q958" t="s">
        <v>7784</v>
      </c>
      <c r="R958">
        <v>31776</v>
      </c>
      <c r="S958" t="s">
        <v>7778</v>
      </c>
      <c r="T958" t="s">
        <v>4810</v>
      </c>
      <c r="U958">
        <v>1987</v>
      </c>
      <c r="V958" t="s">
        <v>7785</v>
      </c>
      <c r="W958">
        <v>1.82</v>
      </c>
      <c r="X958" t="s">
        <v>7786</v>
      </c>
      <c r="Y958" t="s">
        <v>391</v>
      </c>
      <c r="Z958" t="s">
        <v>87</v>
      </c>
      <c r="AA958" t="s">
        <v>7787</v>
      </c>
      <c r="AB958" s="1">
        <v>43101</v>
      </c>
      <c r="AC958" t="s">
        <v>108</v>
      </c>
      <c r="AD958" t="s">
        <v>89</v>
      </c>
      <c r="AE958" t="s">
        <v>7788</v>
      </c>
      <c r="AF958">
        <v>17</v>
      </c>
      <c r="AG958" t="s">
        <v>1742</v>
      </c>
      <c r="AH958">
        <v>38203</v>
      </c>
      <c r="AI958">
        <v>16</v>
      </c>
      <c r="AJ958" t="s">
        <v>7789</v>
      </c>
      <c r="AK958">
        <v>16</v>
      </c>
      <c r="AL958">
        <v>6</v>
      </c>
      <c r="AM958">
        <v>119</v>
      </c>
      <c r="AN958">
        <v>31</v>
      </c>
      <c r="AO958">
        <v>4</v>
      </c>
      <c r="AP958" t="s">
        <v>93</v>
      </c>
      <c r="AQ958" t="s">
        <v>89</v>
      </c>
      <c r="AR958" t="s">
        <v>89</v>
      </c>
      <c r="AS958" t="s">
        <v>111</v>
      </c>
      <c r="AT958">
        <v>43101</v>
      </c>
      <c r="AU958">
        <v>2018</v>
      </c>
      <c r="AV958">
        <v>14</v>
      </c>
      <c r="AW958">
        <v>14</v>
      </c>
      <c r="AX958" t="s">
        <v>89</v>
      </c>
      <c r="AY958" t="s">
        <v>93</v>
      </c>
      <c r="AZ958">
        <v>0</v>
      </c>
      <c r="BA958">
        <v>0</v>
      </c>
      <c r="BB958">
        <v>0</v>
      </c>
      <c r="BC958">
        <v>0</v>
      </c>
      <c r="BD958">
        <v>205</v>
      </c>
      <c r="BE958">
        <v>10391</v>
      </c>
      <c r="BF958">
        <v>32</v>
      </c>
      <c r="BG958">
        <v>31</v>
      </c>
      <c r="BH958">
        <v>205</v>
      </c>
      <c r="BI958">
        <v>10391</v>
      </c>
      <c r="BJ958">
        <v>32</v>
      </c>
      <c r="BK958">
        <f t="shared" si="128"/>
        <v>205</v>
      </c>
      <c r="BL958">
        <f t="shared" si="129"/>
        <v>10391</v>
      </c>
      <c r="BM958">
        <f t="shared" si="130"/>
        <v>32</v>
      </c>
      <c r="BN958">
        <f t="shared" si="131"/>
        <v>0</v>
      </c>
      <c r="BO958">
        <f t="shared" si="132"/>
        <v>0</v>
      </c>
      <c r="BP958">
        <f t="shared" si="133"/>
        <v>0</v>
      </c>
      <c r="BQ958" t="s">
        <v>391</v>
      </c>
      <c r="BR958" t="s">
        <v>112</v>
      </c>
      <c r="BS958" s="1">
        <v>31951</v>
      </c>
      <c r="BT958">
        <v>38</v>
      </c>
      <c r="BU958">
        <v>43101</v>
      </c>
      <c r="BV958" t="s">
        <v>89</v>
      </c>
      <c r="BW958">
        <v>15</v>
      </c>
      <c r="BX958">
        <v>1987</v>
      </c>
      <c r="BY958">
        <v>15</v>
      </c>
      <c r="BZ958">
        <f t="shared" si="134"/>
        <v>-1</v>
      </c>
      <c r="CA958">
        <f t="shared" si="135"/>
        <v>0</v>
      </c>
      <c r="CB958" t="b">
        <f t="shared" si="136"/>
        <v>0</v>
      </c>
    </row>
    <row r="959" spans="1:80" x14ac:dyDescent="0.3">
      <c r="A959" t="s">
        <v>7790</v>
      </c>
      <c r="B959" t="s">
        <v>4192</v>
      </c>
      <c r="C959" t="s">
        <v>7791</v>
      </c>
      <c r="D959">
        <v>45</v>
      </c>
      <c r="E959" s="1">
        <v>29308</v>
      </c>
      <c r="F959" t="s">
        <v>89</v>
      </c>
      <c r="G959" t="s">
        <v>241</v>
      </c>
      <c r="H959" t="s">
        <v>89</v>
      </c>
      <c r="I959" t="s">
        <v>865</v>
      </c>
      <c r="J959" t="s">
        <v>89</v>
      </c>
      <c r="K959" t="s">
        <v>89</v>
      </c>
      <c r="L959" t="s">
        <v>845</v>
      </c>
      <c r="M959">
        <v>22</v>
      </c>
      <c r="N959" t="s">
        <v>1034</v>
      </c>
      <c r="O959">
        <v>2002</v>
      </c>
      <c r="P959" t="s">
        <v>7792</v>
      </c>
      <c r="Q959" t="s">
        <v>7793</v>
      </c>
      <c r="R959">
        <v>5490</v>
      </c>
      <c r="S959" t="s">
        <v>7790</v>
      </c>
      <c r="T959" t="s">
        <v>7794</v>
      </c>
      <c r="U959">
        <v>1980</v>
      </c>
      <c r="V959" t="s">
        <v>7795</v>
      </c>
      <c r="W959">
        <v>1.88</v>
      </c>
      <c r="X959" t="s">
        <v>4197</v>
      </c>
      <c r="Y959" t="s">
        <v>151</v>
      </c>
      <c r="Z959" t="s">
        <v>152</v>
      </c>
      <c r="AA959" t="s">
        <v>7796</v>
      </c>
      <c r="AB959" s="1">
        <v>43837</v>
      </c>
      <c r="AC959" t="s">
        <v>108</v>
      </c>
      <c r="AD959" t="s">
        <v>89</v>
      </c>
      <c r="AE959">
        <v>37323</v>
      </c>
      <c r="AF959">
        <v>22</v>
      </c>
      <c r="AG959" t="s">
        <v>206</v>
      </c>
      <c r="AH959" t="s">
        <v>7797</v>
      </c>
      <c r="AI959">
        <v>19</v>
      </c>
      <c r="AJ959" t="s">
        <v>1044</v>
      </c>
      <c r="AK959">
        <v>19</v>
      </c>
      <c r="AL959" t="s">
        <v>89</v>
      </c>
      <c r="AM959" t="s">
        <v>89</v>
      </c>
      <c r="AN959" t="s">
        <v>89</v>
      </c>
      <c r="AO959">
        <v>0</v>
      </c>
      <c r="AP959" t="s">
        <v>93</v>
      </c>
      <c r="AQ959" t="s">
        <v>89</v>
      </c>
      <c r="AR959" t="s">
        <v>89</v>
      </c>
      <c r="AS959" t="s">
        <v>111</v>
      </c>
      <c r="AT959" s="1">
        <v>43837</v>
      </c>
      <c r="AU959">
        <v>2020</v>
      </c>
      <c r="AV959">
        <v>18</v>
      </c>
      <c r="AW959">
        <v>18</v>
      </c>
      <c r="AX959" t="s">
        <v>89</v>
      </c>
      <c r="AY959" t="s">
        <v>93</v>
      </c>
      <c r="AZ959">
        <v>0</v>
      </c>
      <c r="BA959">
        <v>0</v>
      </c>
      <c r="BB959">
        <v>0</v>
      </c>
      <c r="BC959">
        <v>0</v>
      </c>
      <c r="BD959">
        <v>255</v>
      </c>
      <c r="BE959">
        <v>16739</v>
      </c>
      <c r="BF959">
        <v>33</v>
      </c>
      <c r="BG959">
        <v>40</v>
      </c>
      <c r="BH959">
        <v>255</v>
      </c>
      <c r="BI959">
        <v>16739</v>
      </c>
      <c r="BJ959">
        <v>33</v>
      </c>
      <c r="BK959">
        <f t="shared" si="128"/>
        <v>255</v>
      </c>
      <c r="BL959">
        <f t="shared" si="129"/>
        <v>16739</v>
      </c>
      <c r="BM959">
        <f t="shared" si="130"/>
        <v>33</v>
      </c>
      <c r="BN959">
        <f t="shared" si="131"/>
        <v>0</v>
      </c>
      <c r="BO959">
        <f t="shared" si="132"/>
        <v>0</v>
      </c>
      <c r="BP959">
        <f t="shared" si="133"/>
        <v>0</v>
      </c>
      <c r="BQ959" t="s">
        <v>151</v>
      </c>
      <c r="BR959" t="s">
        <v>94</v>
      </c>
      <c r="BS959" s="1">
        <v>29369</v>
      </c>
      <c r="BT959">
        <v>45</v>
      </c>
      <c r="BU959" s="1">
        <v>43837</v>
      </c>
      <c r="BV959" s="1">
        <v>44013</v>
      </c>
      <c r="BW959">
        <v>21</v>
      </c>
      <c r="BX959">
        <v>1980</v>
      </c>
      <c r="BY959">
        <v>21</v>
      </c>
      <c r="BZ959">
        <f t="shared" si="134"/>
        <v>-3</v>
      </c>
      <c r="CA959">
        <f t="shared" si="135"/>
        <v>0</v>
      </c>
      <c r="CB959" t="b">
        <f t="shared" si="136"/>
        <v>0</v>
      </c>
    </row>
    <row r="960" spans="1:80" x14ac:dyDescent="0.3">
      <c r="A960" t="s">
        <v>7798</v>
      </c>
      <c r="B960" t="s">
        <v>3343</v>
      </c>
      <c r="C960" t="s">
        <v>7799</v>
      </c>
      <c r="D960">
        <v>32</v>
      </c>
      <c r="E960" t="s">
        <v>7800</v>
      </c>
      <c r="F960" t="s">
        <v>517</v>
      </c>
      <c r="G960" t="s">
        <v>97</v>
      </c>
      <c r="H960" t="s">
        <v>3347</v>
      </c>
      <c r="I960" t="s">
        <v>288</v>
      </c>
      <c r="J960" t="s">
        <v>78</v>
      </c>
      <c r="K960" t="s">
        <v>164</v>
      </c>
      <c r="L960" t="s">
        <v>80</v>
      </c>
      <c r="M960">
        <v>19</v>
      </c>
      <c r="N960" t="s">
        <v>268</v>
      </c>
      <c r="O960">
        <v>2012</v>
      </c>
      <c r="P960" t="s">
        <v>7801</v>
      </c>
      <c r="Q960" t="s">
        <v>7802</v>
      </c>
      <c r="R960">
        <v>142031</v>
      </c>
      <c r="S960" t="s">
        <v>7798</v>
      </c>
      <c r="T960">
        <v>34002</v>
      </c>
      <c r="U960">
        <v>1993</v>
      </c>
      <c r="V960" t="s">
        <v>523</v>
      </c>
      <c r="W960">
        <v>1.81</v>
      </c>
      <c r="X960" t="s">
        <v>3352</v>
      </c>
      <c r="Y960" t="s">
        <v>259</v>
      </c>
      <c r="Z960" t="s">
        <v>87</v>
      </c>
      <c r="AA960" t="s">
        <v>548</v>
      </c>
      <c r="AB960">
        <v>44933</v>
      </c>
      <c r="AC960" t="s">
        <v>170</v>
      </c>
      <c r="AD960" t="s">
        <v>442</v>
      </c>
      <c r="AE960">
        <v>41280</v>
      </c>
      <c r="AF960">
        <v>20</v>
      </c>
      <c r="AG960" t="s">
        <v>91</v>
      </c>
      <c r="AH960" t="s">
        <v>7803</v>
      </c>
      <c r="AI960">
        <v>19</v>
      </c>
      <c r="AJ960" t="s">
        <v>110</v>
      </c>
      <c r="AK960">
        <v>19</v>
      </c>
      <c r="AL960">
        <v>12</v>
      </c>
      <c r="AM960">
        <v>716</v>
      </c>
      <c r="AN960">
        <v>77</v>
      </c>
      <c r="AO960">
        <v>6</v>
      </c>
      <c r="AP960" t="s">
        <v>93</v>
      </c>
      <c r="AQ960" t="s">
        <v>89</v>
      </c>
      <c r="AR960" t="s">
        <v>89</v>
      </c>
      <c r="AS960" t="s">
        <v>93</v>
      </c>
      <c r="AT960" t="s">
        <v>89</v>
      </c>
      <c r="AU960" t="s">
        <v>89</v>
      </c>
      <c r="AV960" t="s">
        <v>89</v>
      </c>
      <c r="AW960">
        <v>13</v>
      </c>
      <c r="AX960">
        <v>5</v>
      </c>
      <c r="AY960" t="s">
        <v>111</v>
      </c>
      <c r="AZ960">
        <v>2</v>
      </c>
      <c r="BA960">
        <v>10</v>
      </c>
      <c r="BB960">
        <v>878</v>
      </c>
      <c r="BC960">
        <v>0</v>
      </c>
      <c r="BD960">
        <v>361</v>
      </c>
      <c r="BE960">
        <v>26510</v>
      </c>
      <c r="BF960">
        <v>10</v>
      </c>
      <c r="BG960" t="s">
        <v>89</v>
      </c>
      <c r="BH960">
        <v>371</v>
      </c>
      <c r="BI960">
        <v>27388</v>
      </c>
      <c r="BJ960">
        <v>10</v>
      </c>
      <c r="BK960">
        <f t="shared" si="128"/>
        <v>371</v>
      </c>
      <c r="BL960">
        <f t="shared" si="129"/>
        <v>27388</v>
      </c>
      <c r="BM960">
        <f t="shared" si="130"/>
        <v>10</v>
      </c>
      <c r="BN960">
        <f t="shared" si="131"/>
        <v>0</v>
      </c>
      <c r="BO960">
        <f t="shared" si="132"/>
        <v>0</v>
      </c>
      <c r="BP960">
        <f t="shared" si="133"/>
        <v>0</v>
      </c>
      <c r="BQ960" t="s">
        <v>259</v>
      </c>
      <c r="BR960" t="s">
        <v>94</v>
      </c>
      <c r="BS960" t="s">
        <v>89</v>
      </c>
      <c r="BT960">
        <v>33</v>
      </c>
      <c r="BU960" t="s">
        <v>89</v>
      </c>
      <c r="BV960" t="s">
        <v>89</v>
      </c>
      <c r="BW960">
        <v>14</v>
      </c>
      <c r="BX960">
        <v>1993</v>
      </c>
      <c r="BY960">
        <v>13</v>
      </c>
      <c r="BZ960">
        <f t="shared" si="134"/>
        <v>-1</v>
      </c>
      <c r="CA960">
        <f t="shared" si="135"/>
        <v>1</v>
      </c>
      <c r="CB960" t="b">
        <f t="shared" si="136"/>
        <v>0</v>
      </c>
    </row>
    <row r="961" spans="1:80" x14ac:dyDescent="0.3">
      <c r="A961" t="s">
        <v>7804</v>
      </c>
      <c r="B961" t="s">
        <v>71</v>
      </c>
      <c r="C961" t="s">
        <v>7805</v>
      </c>
      <c r="D961">
        <v>37</v>
      </c>
      <c r="E961" s="1">
        <v>32168</v>
      </c>
      <c r="F961" t="s">
        <v>89</v>
      </c>
      <c r="G961" t="s">
        <v>518</v>
      </c>
      <c r="H961" t="s">
        <v>76</v>
      </c>
      <c r="I961" t="s">
        <v>340</v>
      </c>
      <c r="J961" t="s">
        <v>300</v>
      </c>
      <c r="K961" t="s">
        <v>89</v>
      </c>
      <c r="L961" t="s">
        <v>163</v>
      </c>
      <c r="M961">
        <v>18</v>
      </c>
      <c r="N961" t="s">
        <v>519</v>
      </c>
      <c r="O961">
        <v>2006</v>
      </c>
      <c r="P961" t="s">
        <v>7806</v>
      </c>
      <c r="Q961" t="s">
        <v>7807</v>
      </c>
      <c r="R961">
        <v>58112</v>
      </c>
      <c r="S961" t="s">
        <v>7804</v>
      </c>
      <c r="T961" t="s">
        <v>7808</v>
      </c>
      <c r="U961">
        <v>1988</v>
      </c>
      <c r="V961" t="s">
        <v>523</v>
      </c>
      <c r="W961">
        <v>1.76</v>
      </c>
      <c r="X961" t="s">
        <v>76</v>
      </c>
      <c r="Y961" t="s">
        <v>391</v>
      </c>
      <c r="Z961" t="s">
        <v>152</v>
      </c>
      <c r="AA961" t="s">
        <v>7809</v>
      </c>
      <c r="AB961">
        <v>45664</v>
      </c>
      <c r="AC961" t="s">
        <v>170</v>
      </c>
      <c r="AD961" t="s">
        <v>89</v>
      </c>
      <c r="AE961" t="s">
        <v>371</v>
      </c>
      <c r="AF961">
        <v>21</v>
      </c>
      <c r="AG961" t="s">
        <v>91</v>
      </c>
      <c r="AH961" t="s">
        <v>7810</v>
      </c>
      <c r="AI961">
        <v>18</v>
      </c>
      <c r="AJ961" t="s">
        <v>110</v>
      </c>
      <c r="AK961">
        <v>18</v>
      </c>
      <c r="AL961">
        <v>5</v>
      </c>
      <c r="AM961">
        <v>404</v>
      </c>
      <c r="AN961">
        <v>42</v>
      </c>
      <c r="AO961">
        <v>3</v>
      </c>
      <c r="AP961" t="s">
        <v>93</v>
      </c>
      <c r="AQ961" t="s">
        <v>89</v>
      </c>
      <c r="AR961" t="s">
        <v>89</v>
      </c>
      <c r="AS961" t="s">
        <v>93</v>
      </c>
      <c r="AT961" t="s">
        <v>89</v>
      </c>
      <c r="AU961" t="s">
        <v>89</v>
      </c>
      <c r="AV961" t="s">
        <v>89</v>
      </c>
      <c r="AW961">
        <v>19</v>
      </c>
      <c r="AX961">
        <v>23</v>
      </c>
      <c r="AY961" t="s">
        <v>93</v>
      </c>
      <c r="AZ961">
        <v>0</v>
      </c>
      <c r="BA961">
        <v>0</v>
      </c>
      <c r="BB961">
        <v>0</v>
      </c>
      <c r="BC961">
        <v>0</v>
      </c>
      <c r="BD961">
        <v>316</v>
      </c>
      <c r="BE961">
        <v>17731</v>
      </c>
      <c r="BF961">
        <v>10</v>
      </c>
      <c r="BG961" t="s">
        <v>89</v>
      </c>
      <c r="BH961">
        <v>316</v>
      </c>
      <c r="BI961">
        <v>17731</v>
      </c>
      <c r="BJ961">
        <v>10</v>
      </c>
      <c r="BK961">
        <f t="shared" si="128"/>
        <v>316</v>
      </c>
      <c r="BL961">
        <f t="shared" si="129"/>
        <v>17731</v>
      </c>
      <c r="BM961">
        <f t="shared" si="130"/>
        <v>10</v>
      </c>
      <c r="BN961">
        <f t="shared" si="131"/>
        <v>0</v>
      </c>
      <c r="BO961">
        <f t="shared" si="132"/>
        <v>0</v>
      </c>
      <c r="BP961">
        <f t="shared" si="133"/>
        <v>0</v>
      </c>
      <c r="BQ961" t="s">
        <v>391</v>
      </c>
      <c r="BR961" t="s">
        <v>112</v>
      </c>
      <c r="BS961" t="s">
        <v>89</v>
      </c>
      <c r="BT961">
        <v>38</v>
      </c>
      <c r="BU961" t="s">
        <v>89</v>
      </c>
      <c r="BV961" t="s">
        <v>89</v>
      </c>
      <c r="BW961">
        <v>20</v>
      </c>
      <c r="BX961">
        <v>1988</v>
      </c>
      <c r="BY961">
        <v>19</v>
      </c>
      <c r="BZ961">
        <f t="shared" si="134"/>
        <v>-1</v>
      </c>
      <c r="CA961">
        <f t="shared" si="135"/>
        <v>1</v>
      </c>
      <c r="CB961" t="b">
        <f t="shared" si="136"/>
        <v>0</v>
      </c>
    </row>
    <row r="962" spans="1:80" x14ac:dyDescent="0.3">
      <c r="A962" t="s">
        <v>7811</v>
      </c>
      <c r="B962" t="s">
        <v>1069</v>
      </c>
      <c r="C962" t="s">
        <v>7812</v>
      </c>
      <c r="D962">
        <v>40</v>
      </c>
      <c r="E962" s="1">
        <v>31239</v>
      </c>
      <c r="F962" t="s">
        <v>89</v>
      </c>
      <c r="G962" t="s">
        <v>374</v>
      </c>
      <c r="H962" t="s">
        <v>1071</v>
      </c>
      <c r="I962" t="s">
        <v>178</v>
      </c>
      <c r="J962" t="s">
        <v>78</v>
      </c>
      <c r="K962" t="s">
        <v>89</v>
      </c>
      <c r="L962" t="s">
        <v>254</v>
      </c>
      <c r="M962">
        <v>24</v>
      </c>
      <c r="N962" t="s">
        <v>6762</v>
      </c>
      <c r="O962">
        <v>2009</v>
      </c>
      <c r="P962" t="s">
        <v>7813</v>
      </c>
      <c r="Q962" t="s">
        <v>7814</v>
      </c>
      <c r="R962">
        <v>16408</v>
      </c>
      <c r="S962" t="s">
        <v>7811</v>
      </c>
      <c r="T962">
        <v>31358</v>
      </c>
      <c r="U962">
        <v>1985</v>
      </c>
      <c r="V962" t="s">
        <v>7815</v>
      </c>
      <c r="W962">
        <v>1.9</v>
      </c>
      <c r="X962" t="s">
        <v>1071</v>
      </c>
      <c r="Y962" t="s">
        <v>186</v>
      </c>
      <c r="Z962" t="s">
        <v>87</v>
      </c>
      <c r="AA962" t="s">
        <v>678</v>
      </c>
      <c r="AB962" s="1">
        <v>44568</v>
      </c>
      <c r="AC962" t="s">
        <v>108</v>
      </c>
      <c r="AD962" t="s">
        <v>89</v>
      </c>
      <c r="AE962" t="s">
        <v>7816</v>
      </c>
      <c r="AF962">
        <v>24</v>
      </c>
      <c r="AG962" t="s">
        <v>962</v>
      </c>
      <c r="AH962" t="s">
        <v>92</v>
      </c>
      <c r="AI962" t="s">
        <v>89</v>
      </c>
      <c r="AJ962" t="s">
        <v>92</v>
      </c>
      <c r="AK962">
        <v>24</v>
      </c>
      <c r="AL962">
        <v>5</v>
      </c>
      <c r="AM962">
        <v>72</v>
      </c>
      <c r="AN962">
        <v>8</v>
      </c>
      <c r="AO962">
        <v>4</v>
      </c>
      <c r="AP962" t="s">
        <v>93</v>
      </c>
      <c r="AQ962" t="s">
        <v>89</v>
      </c>
      <c r="AR962" t="s">
        <v>89</v>
      </c>
      <c r="AS962" t="s">
        <v>111</v>
      </c>
      <c r="AT962" s="1">
        <v>44568</v>
      </c>
      <c r="AU962">
        <v>2022</v>
      </c>
      <c r="AV962">
        <v>13</v>
      </c>
      <c r="AW962">
        <v>13</v>
      </c>
      <c r="AX962" t="s">
        <v>89</v>
      </c>
      <c r="AY962" t="s">
        <v>111</v>
      </c>
      <c r="AZ962">
        <v>9</v>
      </c>
      <c r="BA962">
        <v>42</v>
      </c>
      <c r="BB962">
        <v>3622</v>
      </c>
      <c r="BC962">
        <v>0</v>
      </c>
      <c r="BD962">
        <v>194</v>
      </c>
      <c r="BE962">
        <v>17240</v>
      </c>
      <c r="BF962">
        <v>0</v>
      </c>
      <c r="BG962">
        <v>37</v>
      </c>
      <c r="BH962">
        <v>236</v>
      </c>
      <c r="BI962">
        <v>20862</v>
      </c>
      <c r="BJ962">
        <v>0</v>
      </c>
      <c r="BK962">
        <f t="shared" si="128"/>
        <v>236</v>
      </c>
      <c r="BL962">
        <f t="shared" si="129"/>
        <v>20862</v>
      </c>
      <c r="BM962">
        <f t="shared" si="130"/>
        <v>0</v>
      </c>
      <c r="BN962">
        <f t="shared" si="131"/>
        <v>0</v>
      </c>
      <c r="BO962">
        <f t="shared" si="132"/>
        <v>0</v>
      </c>
      <c r="BP962">
        <f t="shared" si="133"/>
        <v>0</v>
      </c>
      <c r="BQ962" t="s">
        <v>186</v>
      </c>
      <c r="BR962" t="s">
        <v>186</v>
      </c>
      <c r="BS962" t="s">
        <v>89</v>
      </c>
      <c r="BT962">
        <v>41</v>
      </c>
      <c r="BU962" s="1">
        <v>44568</v>
      </c>
      <c r="BV962" s="1">
        <v>44743</v>
      </c>
      <c r="BW962">
        <v>13</v>
      </c>
      <c r="BX962">
        <v>1985</v>
      </c>
      <c r="BY962">
        <v>13</v>
      </c>
      <c r="BZ962">
        <f t="shared" si="134"/>
        <v>0</v>
      </c>
      <c r="CA962">
        <f t="shared" si="135"/>
        <v>0</v>
      </c>
      <c r="CB962" t="b">
        <f t="shared" si="136"/>
        <v>1</v>
      </c>
    </row>
    <row r="963" spans="1:80" x14ac:dyDescent="0.3">
      <c r="A963" t="s">
        <v>7817</v>
      </c>
      <c r="B963" t="s">
        <v>71</v>
      </c>
      <c r="C963" t="s">
        <v>7818</v>
      </c>
      <c r="D963">
        <v>39</v>
      </c>
      <c r="E963" s="1">
        <v>31596</v>
      </c>
      <c r="F963" t="s">
        <v>89</v>
      </c>
      <c r="G963" t="s">
        <v>176</v>
      </c>
      <c r="H963" t="s">
        <v>89</v>
      </c>
      <c r="I963" t="s">
        <v>437</v>
      </c>
      <c r="J963" t="s">
        <v>78</v>
      </c>
      <c r="K963" t="s">
        <v>89</v>
      </c>
      <c r="L963" t="s">
        <v>254</v>
      </c>
      <c r="M963">
        <v>23</v>
      </c>
      <c r="N963" t="s">
        <v>289</v>
      </c>
      <c r="O963">
        <v>2009</v>
      </c>
      <c r="P963" t="s">
        <v>7819</v>
      </c>
      <c r="Q963" t="s">
        <v>7820</v>
      </c>
      <c r="R963">
        <v>71671</v>
      </c>
      <c r="S963" t="s">
        <v>7817</v>
      </c>
      <c r="T963">
        <v>31478</v>
      </c>
      <c r="U963">
        <v>1986</v>
      </c>
      <c r="V963" t="s">
        <v>7821</v>
      </c>
      <c r="W963">
        <v>1.86</v>
      </c>
      <c r="X963" t="s">
        <v>76</v>
      </c>
      <c r="Y963" t="s">
        <v>123</v>
      </c>
      <c r="Z963" t="s">
        <v>87</v>
      </c>
      <c r="AA963" t="s">
        <v>726</v>
      </c>
      <c r="AB963">
        <v>44112</v>
      </c>
      <c r="AC963" t="s">
        <v>108</v>
      </c>
      <c r="AD963" t="s">
        <v>89</v>
      </c>
      <c r="AE963" t="s">
        <v>331</v>
      </c>
      <c r="AF963">
        <v>27</v>
      </c>
      <c r="AG963" t="s">
        <v>91</v>
      </c>
      <c r="AH963" t="s">
        <v>1316</v>
      </c>
      <c r="AI963">
        <v>23</v>
      </c>
      <c r="AJ963" t="s">
        <v>110</v>
      </c>
      <c r="AK963">
        <v>23</v>
      </c>
      <c r="AL963">
        <v>3</v>
      </c>
      <c r="AM963">
        <v>69</v>
      </c>
      <c r="AN963">
        <v>9</v>
      </c>
      <c r="AO963">
        <v>2</v>
      </c>
      <c r="AP963" t="s">
        <v>93</v>
      </c>
      <c r="AQ963" t="s">
        <v>89</v>
      </c>
      <c r="AR963" t="s">
        <v>89</v>
      </c>
      <c r="AS963" t="s">
        <v>111</v>
      </c>
      <c r="AT963">
        <v>44112</v>
      </c>
      <c r="AU963">
        <v>2020</v>
      </c>
      <c r="AV963">
        <v>11</v>
      </c>
      <c r="AW963">
        <v>11</v>
      </c>
      <c r="AX963" t="s">
        <v>89</v>
      </c>
      <c r="AY963" t="s">
        <v>93</v>
      </c>
      <c r="AZ963">
        <v>0</v>
      </c>
      <c r="BA963">
        <v>0</v>
      </c>
      <c r="BB963">
        <v>0</v>
      </c>
      <c r="BC963">
        <v>0</v>
      </c>
      <c r="BD963">
        <v>317</v>
      </c>
      <c r="BE963">
        <v>19474</v>
      </c>
      <c r="BF963">
        <v>81</v>
      </c>
      <c r="BG963">
        <v>34</v>
      </c>
      <c r="BH963">
        <v>317</v>
      </c>
      <c r="BI963">
        <v>19474</v>
      </c>
      <c r="BJ963">
        <v>81</v>
      </c>
      <c r="BK963">
        <f t="shared" ref="BK963:BK1026" si="137">+BA963+BD963</f>
        <v>317</v>
      </c>
      <c r="BL963">
        <f t="shared" ref="BL963:BL1026" si="138">+BB963+BE963</f>
        <v>19474</v>
      </c>
      <c r="BM963">
        <f t="shared" ref="BM963:BM1026" si="139">+BC963+BF963</f>
        <v>81</v>
      </c>
      <c r="BN963">
        <f t="shared" ref="BN963:BN1026" si="140">+BK963-BH963</f>
        <v>0</v>
      </c>
      <c r="BO963">
        <f t="shared" ref="BO963:BO1026" si="141">+BL963-BI963</f>
        <v>0</v>
      </c>
      <c r="BP963">
        <f t="shared" ref="BP963:BP1026" si="142">+BM963-BJ963</f>
        <v>0</v>
      </c>
      <c r="BQ963" t="s">
        <v>123</v>
      </c>
      <c r="BR963" t="s">
        <v>112</v>
      </c>
      <c r="BS963" t="s">
        <v>89</v>
      </c>
      <c r="BT963">
        <v>40</v>
      </c>
      <c r="BU963">
        <v>44112</v>
      </c>
      <c r="BV963" t="s">
        <v>89</v>
      </c>
      <c r="BW963">
        <v>11</v>
      </c>
      <c r="BX963">
        <v>1986</v>
      </c>
      <c r="BY963">
        <v>11</v>
      </c>
      <c r="BZ963">
        <f t="shared" ref="BZ963:BZ1026" si="143">+AW963-BW963</f>
        <v>0</v>
      </c>
      <c r="CA963">
        <f t="shared" ref="CA963:CA1026" si="144">+BW963-BY963</f>
        <v>0</v>
      </c>
      <c r="CB963" t="b">
        <f t="shared" ref="CB963:CB1026" si="145">+BW963=AW963</f>
        <v>1</v>
      </c>
    </row>
    <row r="964" spans="1:80" x14ac:dyDescent="0.3">
      <c r="A964" t="s">
        <v>7822</v>
      </c>
      <c r="B964" t="s">
        <v>71</v>
      </c>
      <c r="C964" t="s">
        <v>7823</v>
      </c>
      <c r="D964">
        <v>33</v>
      </c>
      <c r="E964" s="1">
        <v>33505</v>
      </c>
      <c r="F964" t="s">
        <v>89</v>
      </c>
      <c r="G964" t="s">
        <v>413</v>
      </c>
      <c r="H964" t="s">
        <v>76</v>
      </c>
      <c r="I964" t="s">
        <v>288</v>
      </c>
      <c r="J964" t="s">
        <v>78</v>
      </c>
      <c r="K964" t="s">
        <v>89</v>
      </c>
      <c r="L964" t="s">
        <v>228</v>
      </c>
      <c r="M964">
        <v>18</v>
      </c>
      <c r="N964" t="s">
        <v>649</v>
      </c>
      <c r="O964">
        <v>2010</v>
      </c>
      <c r="P964" t="s">
        <v>7824</v>
      </c>
      <c r="Q964" t="s">
        <v>7825</v>
      </c>
      <c r="R964">
        <v>66100</v>
      </c>
      <c r="S964" t="s">
        <v>7822</v>
      </c>
      <c r="T964" t="s">
        <v>7826</v>
      </c>
      <c r="U964">
        <v>1991</v>
      </c>
      <c r="V964" t="s">
        <v>7827</v>
      </c>
      <c r="W964">
        <v>1.83</v>
      </c>
      <c r="X964" t="s">
        <v>76</v>
      </c>
      <c r="Y964" t="s">
        <v>259</v>
      </c>
      <c r="Z964" t="s">
        <v>87</v>
      </c>
      <c r="AA964" t="s">
        <v>476</v>
      </c>
      <c r="AB964" t="s">
        <v>797</v>
      </c>
      <c r="AC964" t="s">
        <v>108</v>
      </c>
      <c r="AD964" t="s">
        <v>3735</v>
      </c>
      <c r="AE964" t="s">
        <v>5628</v>
      </c>
      <c r="AF964">
        <v>19</v>
      </c>
      <c r="AG964" t="s">
        <v>91</v>
      </c>
      <c r="AH964" t="s">
        <v>614</v>
      </c>
      <c r="AI964">
        <v>18</v>
      </c>
      <c r="AJ964" t="s">
        <v>110</v>
      </c>
      <c r="AK964">
        <v>18</v>
      </c>
      <c r="AL964">
        <v>11</v>
      </c>
      <c r="AM964">
        <v>480</v>
      </c>
      <c r="AN964">
        <v>108</v>
      </c>
      <c r="AO964">
        <v>7</v>
      </c>
      <c r="AP964" t="s">
        <v>93</v>
      </c>
      <c r="AQ964" t="s">
        <v>89</v>
      </c>
      <c r="AR964" t="s">
        <v>89</v>
      </c>
      <c r="AS964" t="s">
        <v>93</v>
      </c>
      <c r="AT964" t="s">
        <v>89</v>
      </c>
      <c r="AU964" t="s">
        <v>89</v>
      </c>
      <c r="AV964" t="s">
        <v>89</v>
      </c>
      <c r="AW964">
        <v>15</v>
      </c>
      <c r="AX964" t="s">
        <v>89</v>
      </c>
      <c r="AY964" t="s">
        <v>93</v>
      </c>
      <c r="AZ964">
        <v>0</v>
      </c>
      <c r="BA964">
        <v>0</v>
      </c>
      <c r="BB964">
        <v>0</v>
      </c>
      <c r="BC964">
        <v>0</v>
      </c>
      <c r="BD964">
        <v>447</v>
      </c>
      <c r="BE964">
        <v>31550</v>
      </c>
      <c r="BF964">
        <v>11</v>
      </c>
      <c r="BG964" t="s">
        <v>89</v>
      </c>
      <c r="BH964">
        <v>447</v>
      </c>
      <c r="BI964">
        <v>31550</v>
      </c>
      <c r="BJ964">
        <v>11</v>
      </c>
      <c r="BK964">
        <f t="shared" si="137"/>
        <v>447</v>
      </c>
      <c r="BL964">
        <f t="shared" si="138"/>
        <v>31550</v>
      </c>
      <c r="BM964">
        <f t="shared" si="139"/>
        <v>11</v>
      </c>
      <c r="BN964">
        <f t="shared" si="140"/>
        <v>0</v>
      </c>
      <c r="BO964">
        <f t="shared" si="141"/>
        <v>0</v>
      </c>
      <c r="BP964">
        <f t="shared" si="142"/>
        <v>0</v>
      </c>
      <c r="BQ964" t="s">
        <v>259</v>
      </c>
      <c r="BR964" t="s">
        <v>94</v>
      </c>
      <c r="BS964" s="1">
        <v>33505</v>
      </c>
      <c r="BT964">
        <v>34</v>
      </c>
      <c r="BU964" t="s">
        <v>89</v>
      </c>
      <c r="BV964" t="s">
        <v>89</v>
      </c>
      <c r="BW964">
        <v>16</v>
      </c>
      <c r="BX964">
        <v>1991</v>
      </c>
      <c r="BY964">
        <v>15</v>
      </c>
      <c r="BZ964">
        <f t="shared" si="143"/>
        <v>-1</v>
      </c>
      <c r="CA964">
        <f t="shared" si="144"/>
        <v>1</v>
      </c>
      <c r="CB964" t="b">
        <f t="shared" si="145"/>
        <v>0</v>
      </c>
    </row>
    <row r="965" spans="1:80" x14ac:dyDescent="0.3">
      <c r="A965" t="s">
        <v>7828</v>
      </c>
      <c r="B965" t="s">
        <v>71</v>
      </c>
      <c r="C965" t="s">
        <v>7829</v>
      </c>
      <c r="D965">
        <v>37</v>
      </c>
      <c r="E965" t="s">
        <v>7830</v>
      </c>
      <c r="F965" t="s">
        <v>7831</v>
      </c>
      <c r="G965" t="s">
        <v>1381</v>
      </c>
      <c r="H965" t="s">
        <v>89</v>
      </c>
      <c r="I965" t="s">
        <v>243</v>
      </c>
      <c r="J965" t="s">
        <v>89</v>
      </c>
      <c r="K965" t="s">
        <v>7832</v>
      </c>
      <c r="L965" t="s">
        <v>254</v>
      </c>
      <c r="M965">
        <v>21</v>
      </c>
      <c r="N965" t="s">
        <v>416</v>
      </c>
      <c r="O965">
        <v>2009</v>
      </c>
      <c r="P965" t="s">
        <v>7833</v>
      </c>
      <c r="Q965" t="s">
        <v>7834</v>
      </c>
      <c r="R965">
        <v>89370</v>
      </c>
      <c r="S965" t="s">
        <v>7828</v>
      </c>
      <c r="T965" t="s">
        <v>7835</v>
      </c>
      <c r="U965">
        <v>1988</v>
      </c>
      <c r="V965" t="s">
        <v>7836</v>
      </c>
      <c r="W965">
        <v>1.92</v>
      </c>
      <c r="X965" t="s">
        <v>76</v>
      </c>
      <c r="Y965" t="s">
        <v>235</v>
      </c>
      <c r="Z965" t="s">
        <v>152</v>
      </c>
      <c r="AA965" t="s">
        <v>7837</v>
      </c>
      <c r="AB965" s="1">
        <v>45566</v>
      </c>
      <c r="AC965" t="s">
        <v>108</v>
      </c>
      <c r="AD965" t="s">
        <v>3735</v>
      </c>
      <c r="AE965">
        <v>40036</v>
      </c>
      <c r="AF965">
        <v>21</v>
      </c>
      <c r="AG965" t="s">
        <v>91</v>
      </c>
      <c r="AH965">
        <v>45354</v>
      </c>
      <c r="AI965">
        <v>35</v>
      </c>
      <c r="AJ965">
        <v>0</v>
      </c>
      <c r="AK965">
        <v>21</v>
      </c>
      <c r="AL965">
        <v>7</v>
      </c>
      <c r="AM965">
        <v>283</v>
      </c>
      <c r="AN965">
        <v>39</v>
      </c>
      <c r="AO965">
        <v>5</v>
      </c>
      <c r="AP965" t="s">
        <v>93</v>
      </c>
      <c r="AQ965" t="s">
        <v>89</v>
      </c>
      <c r="AR965" t="s">
        <v>89</v>
      </c>
      <c r="AS965" t="s">
        <v>93</v>
      </c>
      <c r="AT965" t="s">
        <v>89</v>
      </c>
      <c r="AU965" t="s">
        <v>89</v>
      </c>
      <c r="AV965" t="s">
        <v>89</v>
      </c>
      <c r="AW965">
        <v>16</v>
      </c>
      <c r="AX965">
        <v>5</v>
      </c>
      <c r="AY965" t="s">
        <v>93</v>
      </c>
      <c r="AZ965">
        <v>0</v>
      </c>
      <c r="BA965">
        <v>0</v>
      </c>
      <c r="BB965">
        <v>0</v>
      </c>
      <c r="BC965">
        <v>0</v>
      </c>
      <c r="BD965">
        <v>312</v>
      </c>
      <c r="BE965">
        <v>26803</v>
      </c>
      <c r="BF965">
        <v>24</v>
      </c>
      <c r="BG965" t="s">
        <v>89</v>
      </c>
      <c r="BH965">
        <v>312</v>
      </c>
      <c r="BI965">
        <v>26803</v>
      </c>
      <c r="BJ965">
        <v>24</v>
      </c>
      <c r="BK965">
        <f t="shared" si="137"/>
        <v>312</v>
      </c>
      <c r="BL965">
        <f t="shared" si="138"/>
        <v>26803</v>
      </c>
      <c r="BM965">
        <f t="shared" si="139"/>
        <v>24</v>
      </c>
      <c r="BN965">
        <f t="shared" si="140"/>
        <v>0</v>
      </c>
      <c r="BO965">
        <f t="shared" si="141"/>
        <v>0</v>
      </c>
      <c r="BP965">
        <f t="shared" si="142"/>
        <v>0</v>
      </c>
      <c r="BQ965" t="s">
        <v>235</v>
      </c>
      <c r="BR965" t="s">
        <v>140</v>
      </c>
      <c r="BS965" t="s">
        <v>89</v>
      </c>
      <c r="BT965">
        <v>38</v>
      </c>
      <c r="BU965" t="s">
        <v>89</v>
      </c>
      <c r="BV965" t="s">
        <v>89</v>
      </c>
      <c r="BW965">
        <v>17</v>
      </c>
      <c r="BX965">
        <v>1988</v>
      </c>
      <c r="BY965">
        <v>16</v>
      </c>
      <c r="BZ965">
        <f t="shared" si="143"/>
        <v>-1</v>
      </c>
      <c r="CA965">
        <f t="shared" si="144"/>
        <v>1</v>
      </c>
      <c r="CB965" t="b">
        <f t="shared" si="145"/>
        <v>0</v>
      </c>
    </row>
    <row r="966" spans="1:80" x14ac:dyDescent="0.3">
      <c r="A966" t="s">
        <v>7838</v>
      </c>
      <c r="B966" t="s">
        <v>71</v>
      </c>
      <c r="C966" t="s">
        <v>7839</v>
      </c>
      <c r="D966">
        <v>31</v>
      </c>
      <c r="E966" s="1">
        <v>34354</v>
      </c>
      <c r="F966" t="s">
        <v>89</v>
      </c>
      <c r="G966" t="s">
        <v>226</v>
      </c>
      <c r="H966" t="s">
        <v>76</v>
      </c>
      <c r="I966" t="s">
        <v>243</v>
      </c>
      <c r="J966" t="s">
        <v>78</v>
      </c>
      <c r="K966" t="s">
        <v>89</v>
      </c>
      <c r="L966" t="s">
        <v>278</v>
      </c>
      <c r="M966">
        <v>17</v>
      </c>
      <c r="N966" t="s">
        <v>2060</v>
      </c>
      <c r="O966">
        <v>2011</v>
      </c>
      <c r="P966" t="s">
        <v>7840</v>
      </c>
      <c r="Q966" t="s">
        <v>7841</v>
      </c>
      <c r="R966">
        <v>165008</v>
      </c>
      <c r="S966" t="s">
        <v>7842</v>
      </c>
      <c r="T966" t="s">
        <v>6549</v>
      </c>
      <c r="U966">
        <v>1994</v>
      </c>
      <c r="V966" t="s">
        <v>214</v>
      </c>
      <c r="W966">
        <v>1.83</v>
      </c>
      <c r="X966" t="s">
        <v>76</v>
      </c>
      <c r="Y966" t="s">
        <v>235</v>
      </c>
      <c r="Z966" t="s">
        <v>87</v>
      </c>
      <c r="AA966" t="s">
        <v>3238</v>
      </c>
      <c r="AB966" s="1">
        <v>45298</v>
      </c>
      <c r="AC966" t="s">
        <v>108</v>
      </c>
      <c r="AD966" t="s">
        <v>89</v>
      </c>
      <c r="AE966">
        <v>2013</v>
      </c>
      <c r="AF966">
        <v>19</v>
      </c>
      <c r="AG966" t="s">
        <v>91</v>
      </c>
      <c r="AH966">
        <v>2012</v>
      </c>
      <c r="AI966">
        <v>17</v>
      </c>
      <c r="AJ966">
        <v>0</v>
      </c>
      <c r="AK966">
        <v>17</v>
      </c>
      <c r="AL966">
        <v>6</v>
      </c>
      <c r="AM966">
        <v>554</v>
      </c>
      <c r="AN966">
        <v>83</v>
      </c>
      <c r="AO966">
        <v>5</v>
      </c>
      <c r="AP966" t="s">
        <v>93</v>
      </c>
      <c r="AQ966" t="s">
        <v>89</v>
      </c>
      <c r="AR966" t="s">
        <v>89</v>
      </c>
      <c r="AS966" t="s">
        <v>111</v>
      </c>
      <c r="AT966" s="1">
        <v>45298</v>
      </c>
      <c r="AU966">
        <v>2024</v>
      </c>
      <c r="AV966">
        <v>13</v>
      </c>
      <c r="AW966">
        <v>13</v>
      </c>
      <c r="AX966" t="s">
        <v>89</v>
      </c>
      <c r="AY966" t="s">
        <v>93</v>
      </c>
      <c r="AZ966">
        <v>0</v>
      </c>
      <c r="BA966">
        <v>0</v>
      </c>
      <c r="BB966">
        <v>0</v>
      </c>
      <c r="BC966">
        <v>0</v>
      </c>
      <c r="BD966">
        <v>88</v>
      </c>
      <c r="BE966">
        <v>6149</v>
      </c>
      <c r="BF966">
        <v>2</v>
      </c>
      <c r="BG966">
        <v>30</v>
      </c>
      <c r="BH966">
        <v>88</v>
      </c>
      <c r="BI966">
        <v>6149</v>
      </c>
      <c r="BJ966">
        <v>2</v>
      </c>
      <c r="BK966">
        <f t="shared" si="137"/>
        <v>88</v>
      </c>
      <c r="BL966">
        <f t="shared" si="138"/>
        <v>6149</v>
      </c>
      <c r="BM966">
        <f t="shared" si="139"/>
        <v>2</v>
      </c>
      <c r="BN966">
        <f t="shared" si="140"/>
        <v>0</v>
      </c>
      <c r="BO966">
        <f t="shared" si="141"/>
        <v>0</v>
      </c>
      <c r="BP966">
        <f t="shared" si="142"/>
        <v>0</v>
      </c>
      <c r="BQ966" t="s">
        <v>235</v>
      </c>
      <c r="BR966" t="s">
        <v>140</v>
      </c>
      <c r="BS966" s="1">
        <v>34354</v>
      </c>
      <c r="BT966">
        <v>32</v>
      </c>
      <c r="BU966" s="1">
        <v>45298</v>
      </c>
      <c r="BV966" s="1">
        <v>45474</v>
      </c>
      <c r="BW966">
        <v>13</v>
      </c>
      <c r="BX966">
        <v>1994</v>
      </c>
      <c r="BY966">
        <v>13</v>
      </c>
      <c r="BZ966">
        <f t="shared" si="143"/>
        <v>0</v>
      </c>
      <c r="CA966">
        <f t="shared" si="144"/>
        <v>0</v>
      </c>
      <c r="CB966" t="b">
        <f t="shared" si="145"/>
        <v>1</v>
      </c>
    </row>
    <row r="967" spans="1:80" x14ac:dyDescent="0.3">
      <c r="A967" t="s">
        <v>7843</v>
      </c>
      <c r="B967" t="s">
        <v>156</v>
      </c>
      <c r="C967" t="s">
        <v>7844</v>
      </c>
      <c r="D967">
        <v>41</v>
      </c>
      <c r="E967">
        <v>30789</v>
      </c>
      <c r="F967" t="s">
        <v>89</v>
      </c>
      <c r="G967" t="s">
        <v>160</v>
      </c>
      <c r="H967" t="s">
        <v>89</v>
      </c>
      <c r="I967" t="s">
        <v>1747</v>
      </c>
      <c r="J967" t="s">
        <v>78</v>
      </c>
      <c r="K967" t="s">
        <v>89</v>
      </c>
      <c r="L967" t="s">
        <v>180</v>
      </c>
      <c r="M967">
        <v>23</v>
      </c>
      <c r="N967" t="s">
        <v>7845</v>
      </c>
      <c r="O967">
        <v>2007</v>
      </c>
      <c r="P967" t="s">
        <v>7846</v>
      </c>
      <c r="Q967" t="s">
        <v>7847</v>
      </c>
      <c r="R967">
        <v>55993</v>
      </c>
      <c r="S967" t="s">
        <v>7843</v>
      </c>
      <c r="T967" t="s">
        <v>7848</v>
      </c>
      <c r="U967">
        <v>1984</v>
      </c>
      <c r="V967" t="s">
        <v>7849</v>
      </c>
      <c r="W967">
        <v>1.77</v>
      </c>
      <c r="X967" t="s">
        <v>219</v>
      </c>
      <c r="Y967" t="s">
        <v>136</v>
      </c>
      <c r="Z967" t="s">
        <v>87</v>
      </c>
      <c r="AA967" t="s">
        <v>7850</v>
      </c>
      <c r="AB967">
        <v>43837</v>
      </c>
      <c r="AC967" t="s">
        <v>108</v>
      </c>
      <c r="AD967" t="s">
        <v>89</v>
      </c>
      <c r="AE967">
        <v>38235</v>
      </c>
      <c r="AF967">
        <v>20</v>
      </c>
      <c r="AG967" t="s">
        <v>171</v>
      </c>
      <c r="AH967" t="s">
        <v>92</v>
      </c>
      <c r="AI967" t="s">
        <v>89</v>
      </c>
      <c r="AJ967" t="s">
        <v>92</v>
      </c>
      <c r="AK967">
        <v>20</v>
      </c>
      <c r="AL967">
        <v>8</v>
      </c>
      <c r="AM967">
        <v>153</v>
      </c>
      <c r="AN967">
        <v>25</v>
      </c>
      <c r="AO967">
        <v>4</v>
      </c>
      <c r="AP967" t="s">
        <v>93</v>
      </c>
      <c r="AQ967" t="s">
        <v>89</v>
      </c>
      <c r="AR967" t="s">
        <v>89</v>
      </c>
      <c r="AS967" t="s">
        <v>111</v>
      </c>
      <c r="AT967">
        <v>43837</v>
      </c>
      <c r="AU967">
        <v>2020</v>
      </c>
      <c r="AV967">
        <v>13</v>
      </c>
      <c r="AW967">
        <v>13</v>
      </c>
      <c r="AX967" t="s">
        <v>89</v>
      </c>
      <c r="AY967" t="s">
        <v>93</v>
      </c>
      <c r="AZ967">
        <v>0</v>
      </c>
      <c r="BA967">
        <v>0</v>
      </c>
      <c r="BB967">
        <v>0</v>
      </c>
      <c r="BC967">
        <v>0</v>
      </c>
      <c r="BD967">
        <v>188</v>
      </c>
      <c r="BE967">
        <v>14658</v>
      </c>
      <c r="BF967">
        <v>1</v>
      </c>
      <c r="BG967">
        <v>36</v>
      </c>
      <c r="BH967">
        <v>188</v>
      </c>
      <c r="BI967">
        <v>14658</v>
      </c>
      <c r="BJ967">
        <v>1</v>
      </c>
      <c r="BK967">
        <f t="shared" si="137"/>
        <v>188</v>
      </c>
      <c r="BL967">
        <f t="shared" si="138"/>
        <v>14658</v>
      </c>
      <c r="BM967">
        <f t="shared" si="139"/>
        <v>1</v>
      </c>
      <c r="BN967">
        <f t="shared" si="140"/>
        <v>0</v>
      </c>
      <c r="BO967">
        <f t="shared" si="141"/>
        <v>0</v>
      </c>
      <c r="BP967">
        <f t="shared" si="142"/>
        <v>0</v>
      </c>
      <c r="BQ967" t="s">
        <v>136</v>
      </c>
      <c r="BR967" t="s">
        <v>140</v>
      </c>
      <c r="BS967" s="1">
        <v>30789</v>
      </c>
      <c r="BT967">
        <v>41</v>
      </c>
      <c r="BU967">
        <v>43837</v>
      </c>
      <c r="BV967" t="s">
        <v>89</v>
      </c>
      <c r="BW967">
        <v>16</v>
      </c>
      <c r="BX967">
        <v>1984</v>
      </c>
      <c r="BY967">
        <v>16</v>
      </c>
      <c r="BZ967">
        <f t="shared" si="143"/>
        <v>-3</v>
      </c>
      <c r="CA967">
        <f t="shared" si="144"/>
        <v>0</v>
      </c>
      <c r="CB967" t="b">
        <f t="shared" si="145"/>
        <v>0</v>
      </c>
    </row>
    <row r="968" spans="1:80" x14ac:dyDescent="0.3">
      <c r="A968" t="s">
        <v>7843</v>
      </c>
      <c r="B968" t="s">
        <v>71</v>
      </c>
      <c r="C968" t="s">
        <v>7851</v>
      </c>
      <c r="D968">
        <v>45</v>
      </c>
      <c r="E968" s="1">
        <v>29355</v>
      </c>
      <c r="F968" t="s">
        <v>89</v>
      </c>
      <c r="G968" t="s">
        <v>211</v>
      </c>
      <c r="H968" t="s">
        <v>89</v>
      </c>
      <c r="I968" t="s">
        <v>3616</v>
      </c>
      <c r="J968" t="s">
        <v>78</v>
      </c>
      <c r="K968" t="s">
        <v>89</v>
      </c>
      <c r="L968" t="s">
        <v>99</v>
      </c>
      <c r="M968">
        <v>21</v>
      </c>
      <c r="N968" t="s">
        <v>279</v>
      </c>
      <c r="O968">
        <v>2001</v>
      </c>
      <c r="P968" t="s">
        <v>7852</v>
      </c>
      <c r="Q968" t="s">
        <v>7847</v>
      </c>
      <c r="R968">
        <v>44000</v>
      </c>
      <c r="S968" t="s">
        <v>7843</v>
      </c>
      <c r="T968" t="s">
        <v>7853</v>
      </c>
      <c r="U968">
        <v>1980</v>
      </c>
      <c r="V968" t="s">
        <v>716</v>
      </c>
      <c r="W968">
        <v>1.74</v>
      </c>
      <c r="X968" t="s">
        <v>76</v>
      </c>
      <c r="Y968" t="s">
        <v>494</v>
      </c>
      <c r="Z968" t="s">
        <v>87</v>
      </c>
      <c r="AA968" t="s">
        <v>5594</v>
      </c>
      <c r="AB968">
        <v>43472</v>
      </c>
      <c r="AC968" t="s">
        <v>108</v>
      </c>
      <c r="AD968" t="s">
        <v>89</v>
      </c>
      <c r="AE968">
        <v>39143</v>
      </c>
      <c r="AF968">
        <v>26</v>
      </c>
      <c r="AG968" t="s">
        <v>91</v>
      </c>
      <c r="AH968" t="s">
        <v>7854</v>
      </c>
      <c r="AI968">
        <v>21</v>
      </c>
      <c r="AJ968" t="s">
        <v>110</v>
      </c>
      <c r="AK968">
        <v>21</v>
      </c>
      <c r="AL968">
        <v>1</v>
      </c>
      <c r="AM968">
        <v>66</v>
      </c>
      <c r="AN968">
        <v>11</v>
      </c>
      <c r="AO968">
        <v>1</v>
      </c>
      <c r="AP968" t="s">
        <v>93</v>
      </c>
      <c r="AQ968" t="s">
        <v>89</v>
      </c>
      <c r="AR968" t="s">
        <v>89</v>
      </c>
      <c r="AS968" t="s">
        <v>111</v>
      </c>
      <c r="AT968">
        <v>43472</v>
      </c>
      <c r="AU968">
        <v>2019</v>
      </c>
      <c r="AV968">
        <v>18</v>
      </c>
      <c r="AW968">
        <v>18</v>
      </c>
      <c r="AX968" t="s">
        <v>89</v>
      </c>
      <c r="AY968" t="s">
        <v>93</v>
      </c>
      <c r="AZ968">
        <v>0</v>
      </c>
      <c r="BA968">
        <v>0</v>
      </c>
      <c r="BB968">
        <v>0</v>
      </c>
      <c r="BC968">
        <v>0</v>
      </c>
      <c r="BD968">
        <v>320</v>
      </c>
      <c r="BE968">
        <v>20392</v>
      </c>
      <c r="BF968">
        <v>34</v>
      </c>
      <c r="BG968">
        <v>39</v>
      </c>
      <c r="BH968">
        <v>320</v>
      </c>
      <c r="BI968">
        <v>20392</v>
      </c>
      <c r="BJ968">
        <v>34</v>
      </c>
      <c r="BK968">
        <f t="shared" si="137"/>
        <v>320</v>
      </c>
      <c r="BL968">
        <f t="shared" si="138"/>
        <v>20392</v>
      </c>
      <c r="BM968">
        <f t="shared" si="139"/>
        <v>34</v>
      </c>
      <c r="BN968">
        <f t="shared" si="140"/>
        <v>0</v>
      </c>
      <c r="BO968">
        <f t="shared" si="141"/>
        <v>0</v>
      </c>
      <c r="BP968">
        <f t="shared" si="142"/>
        <v>0</v>
      </c>
      <c r="BQ968" t="s">
        <v>494</v>
      </c>
      <c r="BR968" t="s">
        <v>112</v>
      </c>
      <c r="BS968" t="s">
        <v>89</v>
      </c>
      <c r="BT968">
        <v>46</v>
      </c>
      <c r="BU968">
        <v>43472</v>
      </c>
      <c r="BV968" t="s">
        <v>89</v>
      </c>
      <c r="BW968">
        <v>18</v>
      </c>
      <c r="BX968">
        <v>1980</v>
      </c>
      <c r="BY968">
        <v>18</v>
      </c>
      <c r="BZ968">
        <f t="shared" si="143"/>
        <v>0</v>
      </c>
      <c r="CA968">
        <f t="shared" si="144"/>
        <v>0</v>
      </c>
      <c r="CB968" t="b">
        <f t="shared" si="145"/>
        <v>1</v>
      </c>
    </row>
    <row r="969" spans="1:80" x14ac:dyDescent="0.3">
      <c r="A969" t="s">
        <v>7855</v>
      </c>
      <c r="B969" t="s">
        <v>71</v>
      </c>
      <c r="C969" t="s">
        <v>7856</v>
      </c>
      <c r="D969">
        <v>36</v>
      </c>
      <c r="E969" s="1">
        <v>32590</v>
      </c>
      <c r="F969" t="s">
        <v>89</v>
      </c>
      <c r="G969" t="s">
        <v>176</v>
      </c>
      <c r="H969" t="s">
        <v>89</v>
      </c>
      <c r="I969" t="s">
        <v>178</v>
      </c>
      <c r="J969" t="s">
        <v>78</v>
      </c>
      <c r="K969" t="s">
        <v>89</v>
      </c>
      <c r="L969" t="s">
        <v>80</v>
      </c>
      <c r="M969">
        <v>23</v>
      </c>
      <c r="N969" t="s">
        <v>508</v>
      </c>
      <c r="O969">
        <v>2012</v>
      </c>
      <c r="P969" t="s">
        <v>7857</v>
      </c>
      <c r="Q969" t="s">
        <v>7858</v>
      </c>
      <c r="R969">
        <v>138800</v>
      </c>
      <c r="S969" t="s">
        <v>7855</v>
      </c>
      <c r="T969" t="s">
        <v>3231</v>
      </c>
      <c r="U969">
        <v>1989</v>
      </c>
      <c r="V969" t="s">
        <v>508</v>
      </c>
      <c r="W969">
        <v>1.84</v>
      </c>
      <c r="X969" t="s">
        <v>76</v>
      </c>
      <c r="Y969" t="s">
        <v>186</v>
      </c>
      <c r="Z969" t="s">
        <v>87</v>
      </c>
      <c r="AA969" t="s">
        <v>726</v>
      </c>
      <c r="AB969" s="1">
        <v>43961</v>
      </c>
      <c r="AC969" t="s">
        <v>108</v>
      </c>
      <c r="AD969" t="s">
        <v>89</v>
      </c>
      <c r="AE969" t="s">
        <v>7859</v>
      </c>
      <c r="AF969">
        <v>23</v>
      </c>
      <c r="AG969" t="s">
        <v>91</v>
      </c>
      <c r="AH969" t="s">
        <v>7860</v>
      </c>
      <c r="AI969">
        <v>25</v>
      </c>
      <c r="AJ969" t="s">
        <v>110</v>
      </c>
      <c r="AK969">
        <v>23</v>
      </c>
      <c r="AL969">
        <v>1</v>
      </c>
      <c r="AM969">
        <v>183</v>
      </c>
      <c r="AN969">
        <v>22</v>
      </c>
      <c r="AO969">
        <v>1</v>
      </c>
      <c r="AP969" t="s">
        <v>93</v>
      </c>
      <c r="AQ969" t="s">
        <v>89</v>
      </c>
      <c r="AR969" t="s">
        <v>89</v>
      </c>
      <c r="AS969" t="s">
        <v>111</v>
      </c>
      <c r="AT969" s="1">
        <v>43961</v>
      </c>
      <c r="AU969">
        <v>2020</v>
      </c>
      <c r="AV969">
        <v>8</v>
      </c>
      <c r="AW969">
        <v>8</v>
      </c>
      <c r="AX969" t="s">
        <v>89</v>
      </c>
      <c r="AY969" t="s">
        <v>93</v>
      </c>
      <c r="AZ969">
        <v>0</v>
      </c>
      <c r="BA969">
        <v>0</v>
      </c>
      <c r="BB969">
        <v>0</v>
      </c>
      <c r="BC969">
        <v>0</v>
      </c>
      <c r="BD969">
        <v>11</v>
      </c>
      <c r="BE969">
        <v>842</v>
      </c>
      <c r="BF969">
        <v>0</v>
      </c>
      <c r="BG969">
        <v>31</v>
      </c>
      <c r="BH969">
        <v>11</v>
      </c>
      <c r="BI969">
        <v>842</v>
      </c>
      <c r="BJ969">
        <v>0</v>
      </c>
      <c r="BK969">
        <f t="shared" si="137"/>
        <v>11</v>
      </c>
      <c r="BL969">
        <f t="shared" si="138"/>
        <v>842</v>
      </c>
      <c r="BM969">
        <f t="shared" si="139"/>
        <v>0</v>
      </c>
      <c r="BN969">
        <f t="shared" si="140"/>
        <v>0</v>
      </c>
      <c r="BO969">
        <f t="shared" si="141"/>
        <v>0</v>
      </c>
      <c r="BP969">
        <f t="shared" si="142"/>
        <v>0</v>
      </c>
      <c r="BQ969" t="s">
        <v>186</v>
      </c>
      <c r="BR969" t="s">
        <v>186</v>
      </c>
      <c r="BS969" s="1">
        <v>32590</v>
      </c>
      <c r="BT969">
        <v>36</v>
      </c>
      <c r="BU969" s="1">
        <v>43961</v>
      </c>
      <c r="BV969" s="1">
        <v>44109</v>
      </c>
      <c r="BW969">
        <v>8</v>
      </c>
      <c r="BX969">
        <v>1989</v>
      </c>
      <c r="BY969">
        <v>8</v>
      </c>
      <c r="BZ969">
        <f t="shared" si="143"/>
        <v>0</v>
      </c>
      <c r="CA969">
        <f t="shared" si="144"/>
        <v>0</v>
      </c>
      <c r="CB969" t="b">
        <f t="shared" si="145"/>
        <v>1</v>
      </c>
    </row>
    <row r="970" spans="1:80" x14ac:dyDescent="0.3">
      <c r="A970" t="s">
        <v>7861</v>
      </c>
      <c r="B970" t="s">
        <v>1274</v>
      </c>
      <c r="C970" t="s">
        <v>7862</v>
      </c>
      <c r="D970">
        <v>38</v>
      </c>
      <c r="E970" t="s">
        <v>7863</v>
      </c>
      <c r="F970" t="s">
        <v>7864</v>
      </c>
      <c r="G970" t="s">
        <v>143</v>
      </c>
      <c r="H970" t="s">
        <v>1276</v>
      </c>
      <c r="I970" t="s">
        <v>668</v>
      </c>
      <c r="J970" t="s">
        <v>78</v>
      </c>
      <c r="K970" t="s">
        <v>7865</v>
      </c>
      <c r="L970" t="s">
        <v>117</v>
      </c>
      <c r="M970">
        <v>18</v>
      </c>
      <c r="N970" t="s">
        <v>3274</v>
      </c>
      <c r="O970">
        <v>2005</v>
      </c>
      <c r="P970" t="s">
        <v>7866</v>
      </c>
      <c r="Q970" t="s">
        <v>7867</v>
      </c>
      <c r="R970">
        <v>51079</v>
      </c>
      <c r="S970" t="s">
        <v>7861</v>
      </c>
      <c r="T970" t="s">
        <v>7868</v>
      </c>
      <c r="U970">
        <v>1987</v>
      </c>
      <c r="V970" t="s">
        <v>7869</v>
      </c>
      <c r="W970">
        <v>1.75</v>
      </c>
      <c r="X970" t="s">
        <v>1276</v>
      </c>
      <c r="Y970" t="s">
        <v>494</v>
      </c>
      <c r="Z970" t="s">
        <v>87</v>
      </c>
      <c r="AA970" t="s">
        <v>7870</v>
      </c>
      <c r="AB970" s="1">
        <v>44323</v>
      </c>
      <c r="AC970" t="s">
        <v>222</v>
      </c>
      <c r="AD970" t="s">
        <v>89</v>
      </c>
      <c r="AE970">
        <v>39389</v>
      </c>
      <c r="AF970">
        <v>19</v>
      </c>
      <c r="AG970" t="s">
        <v>1286</v>
      </c>
      <c r="AH970">
        <v>39174</v>
      </c>
      <c r="AI970">
        <v>19</v>
      </c>
      <c r="AJ970" t="s">
        <v>3282</v>
      </c>
      <c r="AK970">
        <v>19</v>
      </c>
      <c r="AL970">
        <v>1</v>
      </c>
      <c r="AM970">
        <v>184</v>
      </c>
      <c r="AN970">
        <v>34</v>
      </c>
      <c r="AO970">
        <v>1</v>
      </c>
      <c r="AP970" t="s">
        <v>93</v>
      </c>
      <c r="AQ970" t="s">
        <v>89</v>
      </c>
      <c r="AR970" t="s">
        <v>89</v>
      </c>
      <c r="AS970" t="s">
        <v>93</v>
      </c>
      <c r="AT970" t="s">
        <v>89</v>
      </c>
      <c r="AU970" t="s">
        <v>89</v>
      </c>
      <c r="AV970" t="s">
        <v>89</v>
      </c>
      <c r="AW970">
        <v>20</v>
      </c>
      <c r="AX970">
        <v>8</v>
      </c>
      <c r="AY970" t="s">
        <v>111</v>
      </c>
      <c r="AZ970">
        <v>4</v>
      </c>
      <c r="BA970">
        <v>12</v>
      </c>
      <c r="BB970">
        <v>529</v>
      </c>
      <c r="BC970">
        <v>0</v>
      </c>
      <c r="BD970">
        <v>471</v>
      </c>
      <c r="BE970">
        <v>32292</v>
      </c>
      <c r="BF970">
        <v>57</v>
      </c>
      <c r="BG970" t="s">
        <v>89</v>
      </c>
      <c r="BH970">
        <v>483</v>
      </c>
      <c r="BI970">
        <v>32821</v>
      </c>
      <c r="BJ970">
        <v>57</v>
      </c>
      <c r="BK970">
        <f t="shared" si="137"/>
        <v>483</v>
      </c>
      <c r="BL970">
        <f t="shared" si="138"/>
        <v>32821</v>
      </c>
      <c r="BM970">
        <f t="shared" si="139"/>
        <v>57</v>
      </c>
      <c r="BN970">
        <f t="shared" si="140"/>
        <v>0</v>
      </c>
      <c r="BO970">
        <f t="shared" si="141"/>
        <v>0</v>
      </c>
      <c r="BP970">
        <f t="shared" si="142"/>
        <v>0</v>
      </c>
      <c r="BQ970" t="s">
        <v>494</v>
      </c>
      <c r="BR970" t="s">
        <v>112</v>
      </c>
      <c r="BS970" s="1">
        <v>31949</v>
      </c>
      <c r="BT970">
        <v>38</v>
      </c>
      <c r="BU970" t="s">
        <v>89</v>
      </c>
      <c r="BV970" t="s">
        <v>89</v>
      </c>
      <c r="BW970">
        <v>19</v>
      </c>
      <c r="BX970">
        <v>1987</v>
      </c>
      <c r="BY970">
        <v>19</v>
      </c>
      <c r="BZ970">
        <f t="shared" si="143"/>
        <v>1</v>
      </c>
      <c r="CA970">
        <f t="shared" si="144"/>
        <v>0</v>
      </c>
      <c r="CB970" t="b">
        <f t="shared" si="145"/>
        <v>0</v>
      </c>
    </row>
    <row r="971" spans="1:80" x14ac:dyDescent="0.3">
      <c r="A971" t="s">
        <v>7871</v>
      </c>
      <c r="B971" t="s">
        <v>729</v>
      </c>
      <c r="C971" t="s">
        <v>7872</v>
      </c>
      <c r="D971">
        <v>40</v>
      </c>
      <c r="E971" s="1">
        <v>31159</v>
      </c>
      <c r="F971" t="s">
        <v>89</v>
      </c>
      <c r="G971" t="s">
        <v>321</v>
      </c>
      <c r="H971" t="s">
        <v>89</v>
      </c>
      <c r="I971" t="s">
        <v>195</v>
      </c>
      <c r="J971" t="s">
        <v>89</v>
      </c>
      <c r="K971" t="s">
        <v>89</v>
      </c>
      <c r="L971" t="s">
        <v>180</v>
      </c>
      <c r="M971">
        <v>22</v>
      </c>
      <c r="N971" t="s">
        <v>7873</v>
      </c>
      <c r="O971">
        <v>2007</v>
      </c>
      <c r="P971" t="s">
        <v>7874</v>
      </c>
      <c r="Q971" t="s">
        <v>7875</v>
      </c>
      <c r="R971">
        <v>40790</v>
      </c>
      <c r="S971" t="s">
        <v>7871</v>
      </c>
      <c r="T971" t="s">
        <v>7876</v>
      </c>
      <c r="U971">
        <v>1985</v>
      </c>
      <c r="V971" t="s">
        <v>736</v>
      </c>
      <c r="W971" t="s">
        <v>89</v>
      </c>
      <c r="X971" t="s">
        <v>2217</v>
      </c>
      <c r="Y971" t="s">
        <v>203</v>
      </c>
      <c r="Z971" t="s">
        <v>89</v>
      </c>
      <c r="AA971" t="s">
        <v>7877</v>
      </c>
      <c r="AB971" s="1">
        <v>43101</v>
      </c>
      <c r="AC971" t="s">
        <v>108</v>
      </c>
      <c r="AD971" t="s">
        <v>89</v>
      </c>
      <c r="AE971">
        <v>39424</v>
      </c>
      <c r="AF971">
        <v>22</v>
      </c>
      <c r="AG971" t="s">
        <v>2272</v>
      </c>
      <c r="AH971">
        <v>39794</v>
      </c>
      <c r="AI971">
        <v>23</v>
      </c>
      <c r="AJ971" t="s">
        <v>250</v>
      </c>
      <c r="AK971">
        <v>22</v>
      </c>
      <c r="AL971" t="s">
        <v>89</v>
      </c>
      <c r="AM971" t="s">
        <v>89</v>
      </c>
      <c r="AN971" t="s">
        <v>89</v>
      </c>
      <c r="AO971">
        <v>0</v>
      </c>
      <c r="AP971" t="s">
        <v>93</v>
      </c>
      <c r="AQ971" t="s">
        <v>89</v>
      </c>
      <c r="AR971" t="s">
        <v>89</v>
      </c>
      <c r="AS971" t="s">
        <v>111</v>
      </c>
      <c r="AT971" s="1">
        <v>43101</v>
      </c>
      <c r="AU971">
        <v>2018</v>
      </c>
      <c r="AV971">
        <v>11</v>
      </c>
      <c r="AW971">
        <v>11</v>
      </c>
      <c r="AX971" t="s">
        <v>89</v>
      </c>
      <c r="AY971" t="s">
        <v>93</v>
      </c>
      <c r="AZ971">
        <v>0</v>
      </c>
      <c r="BA971">
        <v>0</v>
      </c>
      <c r="BB971">
        <v>0</v>
      </c>
      <c r="BC971">
        <v>0</v>
      </c>
      <c r="BD971">
        <v>90</v>
      </c>
      <c r="BE971">
        <v>7501</v>
      </c>
      <c r="BF971">
        <v>1</v>
      </c>
      <c r="BG971">
        <v>33</v>
      </c>
      <c r="BH971">
        <v>90</v>
      </c>
      <c r="BI971">
        <v>7501</v>
      </c>
      <c r="BJ971">
        <v>1</v>
      </c>
      <c r="BK971">
        <f t="shared" si="137"/>
        <v>90</v>
      </c>
      <c r="BL971">
        <f t="shared" si="138"/>
        <v>7501</v>
      </c>
      <c r="BM971">
        <f t="shared" si="139"/>
        <v>1</v>
      </c>
      <c r="BN971">
        <f t="shared" si="140"/>
        <v>0</v>
      </c>
      <c r="BO971">
        <f t="shared" si="141"/>
        <v>0</v>
      </c>
      <c r="BP971">
        <f t="shared" si="142"/>
        <v>0</v>
      </c>
      <c r="BQ971" t="s">
        <v>203</v>
      </c>
      <c r="BR971" t="s">
        <v>140</v>
      </c>
      <c r="BS971" s="1">
        <v>31159</v>
      </c>
      <c r="BT971">
        <v>40</v>
      </c>
      <c r="BU971" s="1">
        <v>43101</v>
      </c>
      <c r="BV971" s="1">
        <v>43101</v>
      </c>
      <c r="BW971">
        <v>11</v>
      </c>
      <c r="BX971">
        <v>1985</v>
      </c>
      <c r="BY971">
        <v>11</v>
      </c>
      <c r="BZ971">
        <f t="shared" si="143"/>
        <v>0</v>
      </c>
      <c r="CA971">
        <f t="shared" si="144"/>
        <v>0</v>
      </c>
      <c r="CB971" t="b">
        <f t="shared" si="145"/>
        <v>1</v>
      </c>
    </row>
    <row r="972" spans="1:80" x14ac:dyDescent="0.3">
      <c r="A972" t="s">
        <v>7878</v>
      </c>
      <c r="B972" t="s">
        <v>71</v>
      </c>
      <c r="C972" t="s">
        <v>7879</v>
      </c>
      <c r="D972">
        <v>29</v>
      </c>
      <c r="E972" t="s">
        <v>7880</v>
      </c>
      <c r="F972" t="s">
        <v>265</v>
      </c>
      <c r="G972" t="s">
        <v>115</v>
      </c>
      <c r="H972" t="s">
        <v>89</v>
      </c>
      <c r="I972" t="s">
        <v>555</v>
      </c>
      <c r="J972" t="s">
        <v>78</v>
      </c>
      <c r="K972" t="s">
        <v>7881</v>
      </c>
      <c r="L972" t="s">
        <v>762</v>
      </c>
      <c r="M972">
        <v>18</v>
      </c>
      <c r="N972" t="s">
        <v>162</v>
      </c>
      <c r="O972">
        <v>2014</v>
      </c>
      <c r="P972" t="s">
        <v>7882</v>
      </c>
      <c r="Q972" t="s">
        <v>7883</v>
      </c>
      <c r="R972">
        <v>348553</v>
      </c>
      <c r="S972" t="s">
        <v>7878</v>
      </c>
      <c r="T972" s="1">
        <v>35068</v>
      </c>
      <c r="U972">
        <v>1996</v>
      </c>
      <c r="V972" t="s">
        <v>122</v>
      </c>
      <c r="W972">
        <v>1.76</v>
      </c>
      <c r="X972" t="s">
        <v>76</v>
      </c>
      <c r="Y972" t="s">
        <v>86</v>
      </c>
      <c r="Z972" t="s">
        <v>87</v>
      </c>
      <c r="AA972" t="s">
        <v>7884</v>
      </c>
      <c r="AB972" t="s">
        <v>7885</v>
      </c>
      <c r="AC972" t="s">
        <v>170</v>
      </c>
      <c r="AD972" t="s">
        <v>89</v>
      </c>
      <c r="AE972" t="s">
        <v>7886</v>
      </c>
      <c r="AF972">
        <v>18</v>
      </c>
      <c r="AG972" t="s">
        <v>91</v>
      </c>
      <c r="AH972" t="s">
        <v>694</v>
      </c>
      <c r="AI972">
        <v>20</v>
      </c>
      <c r="AJ972" t="s">
        <v>110</v>
      </c>
      <c r="AK972">
        <v>18</v>
      </c>
      <c r="AL972">
        <v>1</v>
      </c>
      <c r="AM972">
        <v>8</v>
      </c>
      <c r="AN972">
        <v>1</v>
      </c>
      <c r="AO972">
        <v>1</v>
      </c>
      <c r="AP972" t="s">
        <v>93</v>
      </c>
      <c r="AQ972" t="s">
        <v>89</v>
      </c>
      <c r="AR972" t="s">
        <v>89</v>
      </c>
      <c r="AS972" t="s">
        <v>93</v>
      </c>
      <c r="AT972" t="s">
        <v>89</v>
      </c>
      <c r="AU972" t="s">
        <v>89</v>
      </c>
      <c r="AV972" t="s">
        <v>89</v>
      </c>
      <c r="AW972">
        <v>11</v>
      </c>
      <c r="AX972">
        <v>14</v>
      </c>
      <c r="AY972" t="s">
        <v>93</v>
      </c>
      <c r="AZ972">
        <v>0</v>
      </c>
      <c r="BA972">
        <v>0</v>
      </c>
      <c r="BB972">
        <v>0</v>
      </c>
      <c r="BC972">
        <v>0</v>
      </c>
      <c r="BD972">
        <v>138</v>
      </c>
      <c r="BE972">
        <v>8534</v>
      </c>
      <c r="BF972">
        <v>1</v>
      </c>
      <c r="BG972" t="s">
        <v>89</v>
      </c>
      <c r="BH972">
        <v>138</v>
      </c>
      <c r="BI972">
        <v>8534</v>
      </c>
      <c r="BJ972">
        <v>1</v>
      </c>
      <c r="BK972">
        <f t="shared" si="137"/>
        <v>138</v>
      </c>
      <c r="BL972">
        <f t="shared" si="138"/>
        <v>8534</v>
      </c>
      <c r="BM972">
        <f t="shared" si="139"/>
        <v>1</v>
      </c>
      <c r="BN972">
        <f t="shared" si="140"/>
        <v>0</v>
      </c>
      <c r="BO972">
        <f t="shared" si="141"/>
        <v>0</v>
      </c>
      <c r="BP972">
        <f t="shared" si="142"/>
        <v>0</v>
      </c>
      <c r="BQ972" t="s">
        <v>86</v>
      </c>
      <c r="BR972" t="s">
        <v>94</v>
      </c>
      <c r="BS972" s="1">
        <v>35156</v>
      </c>
      <c r="BT972">
        <v>29</v>
      </c>
      <c r="BU972" t="s">
        <v>89</v>
      </c>
      <c r="BV972" t="s">
        <v>89</v>
      </c>
      <c r="BW972">
        <v>11</v>
      </c>
      <c r="BX972">
        <v>1996</v>
      </c>
      <c r="BY972">
        <v>11</v>
      </c>
      <c r="BZ972">
        <f t="shared" si="143"/>
        <v>0</v>
      </c>
      <c r="CA972">
        <f t="shared" si="144"/>
        <v>0</v>
      </c>
      <c r="CB972" t="b">
        <f t="shared" si="145"/>
        <v>1</v>
      </c>
    </row>
    <row r="973" spans="1:80" x14ac:dyDescent="0.3">
      <c r="A973" t="s">
        <v>7887</v>
      </c>
      <c r="B973" t="s">
        <v>1089</v>
      </c>
      <c r="C973" t="s">
        <v>7888</v>
      </c>
      <c r="D973">
        <v>38</v>
      </c>
      <c r="E973" t="s">
        <v>7889</v>
      </c>
      <c r="F973" t="s">
        <v>7890</v>
      </c>
      <c r="G973" t="s">
        <v>176</v>
      </c>
      <c r="H973" t="s">
        <v>7891</v>
      </c>
      <c r="I973" t="s">
        <v>3931</v>
      </c>
      <c r="J973" t="s">
        <v>300</v>
      </c>
      <c r="K973" t="s">
        <v>7892</v>
      </c>
      <c r="L973">
        <v>2010</v>
      </c>
      <c r="M973">
        <v>23</v>
      </c>
      <c r="N973" t="s">
        <v>7893</v>
      </c>
      <c r="O973">
        <v>2010</v>
      </c>
      <c r="P973" t="s">
        <v>7894</v>
      </c>
      <c r="Q973" t="s">
        <v>7895</v>
      </c>
      <c r="R973">
        <v>91763</v>
      </c>
      <c r="S973" t="s">
        <v>7887</v>
      </c>
      <c r="T973" t="s">
        <v>7896</v>
      </c>
      <c r="U973">
        <v>1986</v>
      </c>
      <c r="V973" t="s">
        <v>7897</v>
      </c>
      <c r="W973">
        <v>1.84</v>
      </c>
      <c r="X973" t="s">
        <v>7898</v>
      </c>
      <c r="Y973" t="s">
        <v>86</v>
      </c>
      <c r="Z973" t="s">
        <v>152</v>
      </c>
      <c r="AA973" t="s">
        <v>7899</v>
      </c>
      <c r="AB973" s="1">
        <v>45658</v>
      </c>
      <c r="AC973" t="s">
        <v>108</v>
      </c>
      <c r="AD973" t="s">
        <v>89</v>
      </c>
      <c r="AE973" s="1">
        <v>39458</v>
      </c>
      <c r="AF973">
        <v>22</v>
      </c>
      <c r="AG973" t="s">
        <v>985</v>
      </c>
      <c r="AH973" t="s">
        <v>7900</v>
      </c>
      <c r="AI973">
        <v>37</v>
      </c>
      <c r="AJ973" t="s">
        <v>2210</v>
      </c>
      <c r="AK973">
        <v>22</v>
      </c>
      <c r="AL973">
        <v>15</v>
      </c>
      <c r="AM973">
        <v>503</v>
      </c>
      <c r="AN973">
        <v>68</v>
      </c>
      <c r="AO973">
        <v>8</v>
      </c>
      <c r="AP973" t="s">
        <v>93</v>
      </c>
      <c r="AQ973" t="s">
        <v>89</v>
      </c>
      <c r="AR973" t="s">
        <v>89</v>
      </c>
      <c r="AS973" t="s">
        <v>111</v>
      </c>
      <c r="AT973" s="1">
        <v>45658</v>
      </c>
      <c r="AU973">
        <v>2025</v>
      </c>
      <c r="AV973">
        <v>15</v>
      </c>
      <c r="AW973">
        <v>15</v>
      </c>
      <c r="AX973" t="s">
        <v>89</v>
      </c>
      <c r="AY973" t="s">
        <v>111</v>
      </c>
      <c r="AZ973">
        <v>8</v>
      </c>
      <c r="BA973">
        <v>23</v>
      </c>
      <c r="BB973">
        <v>1584</v>
      </c>
      <c r="BC973">
        <v>3</v>
      </c>
      <c r="BD973">
        <v>260</v>
      </c>
      <c r="BE973">
        <v>18403</v>
      </c>
      <c r="BF973">
        <v>22</v>
      </c>
      <c r="BG973">
        <v>39</v>
      </c>
      <c r="BH973">
        <v>283</v>
      </c>
      <c r="BI973">
        <v>19987</v>
      </c>
      <c r="BJ973">
        <v>25</v>
      </c>
      <c r="BK973">
        <f t="shared" si="137"/>
        <v>283</v>
      </c>
      <c r="BL973">
        <f t="shared" si="138"/>
        <v>19987</v>
      </c>
      <c r="BM973">
        <f t="shared" si="139"/>
        <v>25</v>
      </c>
      <c r="BN973">
        <f t="shared" si="140"/>
        <v>0</v>
      </c>
      <c r="BO973">
        <f t="shared" si="141"/>
        <v>0</v>
      </c>
      <c r="BP973">
        <f t="shared" si="142"/>
        <v>0</v>
      </c>
      <c r="BQ973" t="s">
        <v>86</v>
      </c>
      <c r="BR973" t="s">
        <v>94</v>
      </c>
      <c r="BS973" t="s">
        <v>89</v>
      </c>
      <c r="BT973">
        <v>40</v>
      </c>
      <c r="BU973" s="1">
        <v>45658</v>
      </c>
      <c r="BV973" s="1">
        <v>45658</v>
      </c>
      <c r="BW973">
        <v>17</v>
      </c>
      <c r="BX973">
        <v>1986</v>
      </c>
      <c r="BY973">
        <v>17</v>
      </c>
      <c r="BZ973">
        <f t="shared" si="143"/>
        <v>-2</v>
      </c>
      <c r="CA973">
        <f t="shared" si="144"/>
        <v>0</v>
      </c>
      <c r="CB973" t="b">
        <f t="shared" si="145"/>
        <v>0</v>
      </c>
    </row>
    <row r="974" spans="1:80" x14ac:dyDescent="0.3">
      <c r="A974" t="s">
        <v>7887</v>
      </c>
      <c r="B974" t="s">
        <v>71</v>
      </c>
      <c r="C974" t="s">
        <v>7901</v>
      </c>
      <c r="D974">
        <v>40</v>
      </c>
      <c r="E974">
        <v>31148</v>
      </c>
      <c r="F974" t="s">
        <v>89</v>
      </c>
      <c r="G974" t="s">
        <v>687</v>
      </c>
      <c r="H974" t="s">
        <v>76</v>
      </c>
      <c r="I974" t="s">
        <v>668</v>
      </c>
      <c r="J974" t="s">
        <v>78</v>
      </c>
      <c r="K974" t="s">
        <v>89</v>
      </c>
      <c r="L974" t="s">
        <v>117</v>
      </c>
      <c r="M974">
        <v>20</v>
      </c>
      <c r="N974" t="s">
        <v>214</v>
      </c>
      <c r="O974">
        <v>2005</v>
      </c>
      <c r="P974" t="s">
        <v>7902</v>
      </c>
      <c r="Q974" t="s">
        <v>7895</v>
      </c>
      <c r="R974">
        <v>46220</v>
      </c>
      <c r="S974" t="s">
        <v>7887</v>
      </c>
      <c r="T974" s="1">
        <v>31355</v>
      </c>
      <c r="U974">
        <v>1985</v>
      </c>
      <c r="V974" t="s">
        <v>480</v>
      </c>
      <c r="W974">
        <v>1.73</v>
      </c>
      <c r="X974" t="s">
        <v>76</v>
      </c>
      <c r="Y974" t="s">
        <v>494</v>
      </c>
      <c r="Z974" t="s">
        <v>87</v>
      </c>
      <c r="AA974" t="s">
        <v>480</v>
      </c>
      <c r="AB974" t="s">
        <v>7556</v>
      </c>
      <c r="AC974" t="s">
        <v>108</v>
      </c>
      <c r="AD974" t="s">
        <v>89</v>
      </c>
      <c r="AE974" t="s">
        <v>7903</v>
      </c>
      <c r="AF974">
        <v>21</v>
      </c>
      <c r="AG974" t="s">
        <v>91</v>
      </c>
      <c r="AH974" t="s">
        <v>626</v>
      </c>
      <c r="AI974">
        <v>21</v>
      </c>
      <c r="AJ974" t="s">
        <v>110</v>
      </c>
      <c r="AK974">
        <v>21</v>
      </c>
      <c r="AL974">
        <v>9</v>
      </c>
      <c r="AM974">
        <v>311</v>
      </c>
      <c r="AN974">
        <v>51</v>
      </c>
      <c r="AO974">
        <v>5</v>
      </c>
      <c r="AP974" t="s">
        <v>93</v>
      </c>
      <c r="AQ974" t="s">
        <v>89</v>
      </c>
      <c r="AR974" t="s">
        <v>89</v>
      </c>
      <c r="AS974" t="s">
        <v>111</v>
      </c>
      <c r="AT974" t="s">
        <v>7556</v>
      </c>
      <c r="AU974">
        <v>2023</v>
      </c>
      <c r="AV974">
        <v>18</v>
      </c>
      <c r="AW974">
        <v>18</v>
      </c>
      <c r="AX974" t="s">
        <v>89</v>
      </c>
      <c r="AY974" t="s">
        <v>111</v>
      </c>
      <c r="AZ974">
        <v>2</v>
      </c>
      <c r="BA974">
        <v>3</v>
      </c>
      <c r="BB974">
        <v>67</v>
      </c>
      <c r="BC974">
        <v>0</v>
      </c>
      <c r="BD974">
        <v>471</v>
      </c>
      <c r="BE974">
        <v>32046</v>
      </c>
      <c r="BF974">
        <v>78</v>
      </c>
      <c r="BG974">
        <v>38</v>
      </c>
      <c r="BH974">
        <v>474</v>
      </c>
      <c r="BI974">
        <v>32113</v>
      </c>
      <c r="BJ974">
        <v>78</v>
      </c>
      <c r="BK974">
        <f t="shared" si="137"/>
        <v>474</v>
      </c>
      <c r="BL974">
        <f t="shared" si="138"/>
        <v>32113</v>
      </c>
      <c r="BM974">
        <f t="shared" si="139"/>
        <v>78</v>
      </c>
      <c r="BN974">
        <f t="shared" si="140"/>
        <v>0</v>
      </c>
      <c r="BO974">
        <f t="shared" si="141"/>
        <v>0</v>
      </c>
      <c r="BP974">
        <f t="shared" si="142"/>
        <v>0</v>
      </c>
      <c r="BQ974" t="s">
        <v>494</v>
      </c>
      <c r="BR974" t="s">
        <v>112</v>
      </c>
      <c r="BS974" s="1">
        <v>31148</v>
      </c>
      <c r="BT974">
        <v>40</v>
      </c>
      <c r="BU974" t="s">
        <v>7556</v>
      </c>
      <c r="BV974" s="1">
        <v>45121</v>
      </c>
      <c r="BW974">
        <v>17</v>
      </c>
      <c r="BX974">
        <v>1985</v>
      </c>
      <c r="BY974">
        <v>17</v>
      </c>
      <c r="BZ974">
        <f t="shared" si="143"/>
        <v>1</v>
      </c>
      <c r="CA974">
        <f t="shared" si="144"/>
        <v>0</v>
      </c>
      <c r="CB974" t="b">
        <f t="shared" si="145"/>
        <v>0</v>
      </c>
    </row>
    <row r="975" spans="1:80" x14ac:dyDescent="0.3">
      <c r="A975" t="s">
        <v>7904</v>
      </c>
      <c r="B975" t="s">
        <v>71</v>
      </c>
      <c r="C975" t="s">
        <v>7905</v>
      </c>
      <c r="D975">
        <v>32</v>
      </c>
      <c r="E975" t="s">
        <v>5655</v>
      </c>
      <c r="F975" t="s">
        <v>7906</v>
      </c>
      <c r="G975" t="s">
        <v>211</v>
      </c>
      <c r="H975" t="s">
        <v>76</v>
      </c>
      <c r="I975" t="s">
        <v>7907</v>
      </c>
      <c r="J975" t="s">
        <v>78</v>
      </c>
      <c r="K975" t="s">
        <v>5421</v>
      </c>
      <c r="L975" t="s">
        <v>324</v>
      </c>
      <c r="M975">
        <v>20</v>
      </c>
      <c r="N975" t="s">
        <v>1365</v>
      </c>
      <c r="O975">
        <v>2013</v>
      </c>
      <c r="P975" t="s">
        <v>7908</v>
      </c>
      <c r="Q975" t="s">
        <v>7909</v>
      </c>
      <c r="R975">
        <v>142027</v>
      </c>
      <c r="S975" t="s">
        <v>7904</v>
      </c>
      <c r="T975" s="1">
        <v>34184</v>
      </c>
      <c r="U975">
        <v>1993</v>
      </c>
      <c r="V975" t="s">
        <v>234</v>
      </c>
      <c r="W975">
        <v>1.74</v>
      </c>
      <c r="X975" t="s">
        <v>76</v>
      </c>
      <c r="Y975" t="s">
        <v>494</v>
      </c>
      <c r="Z975" t="s">
        <v>87</v>
      </c>
      <c r="AA975" t="s">
        <v>2174</v>
      </c>
      <c r="AB975">
        <v>45937</v>
      </c>
      <c r="AC975" t="s">
        <v>170</v>
      </c>
      <c r="AD975" t="s">
        <v>89</v>
      </c>
      <c r="AE975" t="s">
        <v>7910</v>
      </c>
      <c r="AF975">
        <v>21</v>
      </c>
      <c r="AG975" t="s">
        <v>91</v>
      </c>
      <c r="AH975" s="1">
        <v>42282</v>
      </c>
      <c r="AI975">
        <v>22</v>
      </c>
      <c r="AJ975" t="s">
        <v>110</v>
      </c>
      <c r="AK975">
        <v>21</v>
      </c>
      <c r="AL975">
        <v>6</v>
      </c>
      <c r="AM975">
        <v>485</v>
      </c>
      <c r="AN975">
        <v>53</v>
      </c>
      <c r="AO975">
        <v>4</v>
      </c>
      <c r="AP975" t="s">
        <v>93</v>
      </c>
      <c r="AQ975" t="s">
        <v>89</v>
      </c>
      <c r="AR975" t="s">
        <v>89</v>
      </c>
      <c r="AS975" t="s">
        <v>93</v>
      </c>
      <c r="AT975" t="s">
        <v>89</v>
      </c>
      <c r="AU975" t="s">
        <v>89</v>
      </c>
      <c r="AV975" t="s">
        <v>89</v>
      </c>
      <c r="AW975">
        <v>12</v>
      </c>
      <c r="AX975">
        <v>21</v>
      </c>
      <c r="AY975" t="s">
        <v>93</v>
      </c>
      <c r="AZ975">
        <v>0</v>
      </c>
      <c r="BA975">
        <v>0</v>
      </c>
      <c r="BB975">
        <v>0</v>
      </c>
      <c r="BC975">
        <v>0</v>
      </c>
      <c r="BD975">
        <v>242</v>
      </c>
      <c r="BE975">
        <v>13147</v>
      </c>
      <c r="BF975">
        <v>13</v>
      </c>
      <c r="BG975" t="s">
        <v>89</v>
      </c>
      <c r="BH975">
        <v>242</v>
      </c>
      <c r="BI975">
        <v>13147</v>
      </c>
      <c r="BJ975">
        <v>13</v>
      </c>
      <c r="BK975">
        <f t="shared" si="137"/>
        <v>242</v>
      </c>
      <c r="BL975">
        <f t="shared" si="138"/>
        <v>13147</v>
      </c>
      <c r="BM975">
        <f t="shared" si="139"/>
        <v>13</v>
      </c>
      <c r="BN975">
        <f t="shared" si="140"/>
        <v>0</v>
      </c>
      <c r="BO975">
        <f t="shared" si="141"/>
        <v>0</v>
      </c>
      <c r="BP975">
        <f t="shared" si="142"/>
        <v>0</v>
      </c>
      <c r="BQ975" t="s">
        <v>494</v>
      </c>
      <c r="BR975" t="s">
        <v>112</v>
      </c>
      <c r="BS975" s="1">
        <v>34036</v>
      </c>
      <c r="BT975">
        <v>32</v>
      </c>
      <c r="BU975" t="s">
        <v>89</v>
      </c>
      <c r="BV975" t="s">
        <v>89</v>
      </c>
      <c r="BW975">
        <v>11</v>
      </c>
      <c r="BX975">
        <v>1993</v>
      </c>
      <c r="BY975">
        <v>11</v>
      </c>
      <c r="BZ975">
        <f t="shared" si="143"/>
        <v>1</v>
      </c>
      <c r="CA975">
        <f t="shared" si="144"/>
        <v>0</v>
      </c>
      <c r="CB975" t="b">
        <f t="shared" si="145"/>
        <v>0</v>
      </c>
    </row>
    <row r="976" spans="1:80" x14ac:dyDescent="0.3">
      <c r="A976" t="s">
        <v>7911</v>
      </c>
      <c r="B976" t="s">
        <v>71</v>
      </c>
      <c r="C976" t="s">
        <v>7912</v>
      </c>
      <c r="D976">
        <v>31</v>
      </c>
      <c r="E976" t="s">
        <v>7913</v>
      </c>
      <c r="F976" t="s">
        <v>7914</v>
      </c>
      <c r="G976" t="s">
        <v>413</v>
      </c>
      <c r="H976" t="s">
        <v>76</v>
      </c>
      <c r="I976" t="s">
        <v>227</v>
      </c>
      <c r="J976" t="s">
        <v>78</v>
      </c>
      <c r="K976" t="s">
        <v>508</v>
      </c>
      <c r="L976" t="s">
        <v>80</v>
      </c>
      <c r="M976">
        <v>18</v>
      </c>
      <c r="N976" t="s">
        <v>741</v>
      </c>
      <c r="O976">
        <v>2012</v>
      </c>
      <c r="P976" t="s">
        <v>7915</v>
      </c>
      <c r="Q976" t="s">
        <v>7916</v>
      </c>
      <c r="R976">
        <v>171362</v>
      </c>
      <c r="S976" t="s">
        <v>7911</v>
      </c>
      <c r="T976" s="1">
        <v>34221</v>
      </c>
      <c r="U976">
        <v>1993</v>
      </c>
      <c r="V976" t="s">
        <v>258</v>
      </c>
      <c r="W976">
        <v>1.87</v>
      </c>
      <c r="X976" t="s">
        <v>76</v>
      </c>
      <c r="Y976" t="s">
        <v>235</v>
      </c>
      <c r="Z976" t="s">
        <v>87</v>
      </c>
      <c r="AA976" t="s">
        <v>1900</v>
      </c>
      <c r="AB976" t="s">
        <v>7447</v>
      </c>
      <c r="AC976" t="s">
        <v>170</v>
      </c>
      <c r="AD976" t="s">
        <v>89</v>
      </c>
      <c r="AE976" t="s">
        <v>7917</v>
      </c>
      <c r="AF976">
        <v>19</v>
      </c>
      <c r="AG976" t="s">
        <v>91</v>
      </c>
      <c r="AH976" t="s">
        <v>421</v>
      </c>
      <c r="AI976">
        <v>19</v>
      </c>
      <c r="AJ976" t="s">
        <v>110</v>
      </c>
      <c r="AK976">
        <v>19</v>
      </c>
      <c r="AL976">
        <v>9</v>
      </c>
      <c r="AM976">
        <v>429</v>
      </c>
      <c r="AN976">
        <v>53</v>
      </c>
      <c r="AO976">
        <v>5</v>
      </c>
      <c r="AP976" t="s">
        <v>93</v>
      </c>
      <c r="AQ976" t="s">
        <v>89</v>
      </c>
      <c r="AR976" t="s">
        <v>89</v>
      </c>
      <c r="AS976" t="s">
        <v>93</v>
      </c>
      <c r="AT976" t="s">
        <v>89</v>
      </c>
      <c r="AU976" t="s">
        <v>89</v>
      </c>
      <c r="AV976" t="s">
        <v>89</v>
      </c>
      <c r="AW976">
        <v>13</v>
      </c>
      <c r="AX976">
        <v>4</v>
      </c>
      <c r="AY976" t="s">
        <v>93</v>
      </c>
      <c r="AZ976">
        <v>0</v>
      </c>
      <c r="BA976">
        <v>0</v>
      </c>
      <c r="BB976">
        <v>0</v>
      </c>
      <c r="BC976">
        <v>0</v>
      </c>
      <c r="BD976">
        <v>286</v>
      </c>
      <c r="BE976">
        <v>23318</v>
      </c>
      <c r="BF976">
        <v>10</v>
      </c>
      <c r="BG976" t="s">
        <v>89</v>
      </c>
      <c r="BH976">
        <v>286</v>
      </c>
      <c r="BI976">
        <v>23318</v>
      </c>
      <c r="BJ976">
        <v>10</v>
      </c>
      <c r="BK976">
        <f t="shared" si="137"/>
        <v>286</v>
      </c>
      <c r="BL976">
        <f t="shared" si="138"/>
        <v>23318</v>
      </c>
      <c r="BM976">
        <f t="shared" si="139"/>
        <v>10</v>
      </c>
      <c r="BN976">
        <f t="shared" si="140"/>
        <v>0</v>
      </c>
      <c r="BO976">
        <f t="shared" si="141"/>
        <v>0</v>
      </c>
      <c r="BP976">
        <f t="shared" si="142"/>
        <v>0</v>
      </c>
      <c r="BQ976" t="s">
        <v>235</v>
      </c>
      <c r="BR976" t="s">
        <v>140</v>
      </c>
      <c r="BS976" s="1">
        <v>34221</v>
      </c>
      <c r="BT976">
        <v>32</v>
      </c>
      <c r="BU976" t="s">
        <v>89</v>
      </c>
      <c r="BV976" t="s">
        <v>89</v>
      </c>
      <c r="BW976">
        <v>13</v>
      </c>
      <c r="BX976">
        <v>1993</v>
      </c>
      <c r="BY976">
        <v>12</v>
      </c>
      <c r="BZ976">
        <f t="shared" si="143"/>
        <v>0</v>
      </c>
      <c r="CA976">
        <f t="shared" si="144"/>
        <v>1</v>
      </c>
      <c r="CB976" t="b">
        <f t="shared" si="145"/>
        <v>1</v>
      </c>
    </row>
    <row r="977" spans="1:80" x14ac:dyDescent="0.3">
      <c r="A977" t="s">
        <v>7918</v>
      </c>
      <c r="B977" t="s">
        <v>71</v>
      </c>
      <c r="C977" t="s">
        <v>7919</v>
      </c>
      <c r="D977">
        <v>31</v>
      </c>
      <c r="E977" t="s">
        <v>7920</v>
      </c>
      <c r="F977" t="s">
        <v>1904</v>
      </c>
      <c r="G977" t="s">
        <v>334</v>
      </c>
      <c r="H977" t="s">
        <v>89</v>
      </c>
      <c r="I977" t="s">
        <v>227</v>
      </c>
      <c r="J977" t="s">
        <v>300</v>
      </c>
      <c r="K977" t="s">
        <v>2763</v>
      </c>
      <c r="L977" t="s">
        <v>278</v>
      </c>
      <c r="M977">
        <v>17</v>
      </c>
      <c r="N977" t="s">
        <v>164</v>
      </c>
      <c r="O977">
        <v>2011</v>
      </c>
      <c r="P977" t="s">
        <v>7921</v>
      </c>
      <c r="Q977" t="s">
        <v>7922</v>
      </c>
      <c r="R977">
        <v>210178</v>
      </c>
      <c r="S977" t="s">
        <v>7918</v>
      </c>
      <c r="T977" t="s">
        <v>7923</v>
      </c>
      <c r="U977">
        <v>1993</v>
      </c>
      <c r="V977" t="s">
        <v>7924</v>
      </c>
      <c r="W977">
        <v>1.93</v>
      </c>
      <c r="X977" t="s">
        <v>76</v>
      </c>
      <c r="Y977" t="s">
        <v>235</v>
      </c>
      <c r="Z977" t="s">
        <v>152</v>
      </c>
      <c r="AA977" t="s">
        <v>2763</v>
      </c>
      <c r="AB977" t="s">
        <v>7925</v>
      </c>
      <c r="AC977" t="s">
        <v>88</v>
      </c>
      <c r="AD977" t="s">
        <v>442</v>
      </c>
      <c r="AE977" s="1">
        <v>40736</v>
      </c>
      <c r="AF977">
        <v>18</v>
      </c>
      <c r="AG977" t="s">
        <v>91</v>
      </c>
      <c r="AH977" t="s">
        <v>3953</v>
      </c>
      <c r="AI977">
        <v>21</v>
      </c>
      <c r="AJ977" t="s">
        <v>110</v>
      </c>
      <c r="AK977">
        <v>18</v>
      </c>
      <c r="AL977">
        <v>10</v>
      </c>
      <c r="AM977">
        <v>416</v>
      </c>
      <c r="AN977">
        <v>67</v>
      </c>
      <c r="AO977">
        <v>6</v>
      </c>
      <c r="AP977" t="s">
        <v>93</v>
      </c>
      <c r="AQ977" t="s">
        <v>89</v>
      </c>
      <c r="AR977" t="s">
        <v>89</v>
      </c>
      <c r="AS977" t="s">
        <v>93</v>
      </c>
      <c r="AT977" t="s">
        <v>89</v>
      </c>
      <c r="AU977" t="s">
        <v>89</v>
      </c>
      <c r="AV977" t="s">
        <v>89</v>
      </c>
      <c r="AW977">
        <v>14</v>
      </c>
      <c r="AX977">
        <v>18</v>
      </c>
      <c r="AY977" t="s">
        <v>93</v>
      </c>
      <c r="AZ977">
        <v>0</v>
      </c>
      <c r="BA977">
        <v>0</v>
      </c>
      <c r="BB977">
        <v>0</v>
      </c>
      <c r="BC977">
        <v>0</v>
      </c>
      <c r="BD977">
        <v>284</v>
      </c>
      <c r="BE977">
        <v>23887</v>
      </c>
      <c r="BF977">
        <v>13</v>
      </c>
      <c r="BG977" t="s">
        <v>89</v>
      </c>
      <c r="BH977">
        <v>284</v>
      </c>
      <c r="BI977">
        <v>23887</v>
      </c>
      <c r="BJ977">
        <v>13</v>
      </c>
      <c r="BK977">
        <f t="shared" si="137"/>
        <v>284</v>
      </c>
      <c r="BL977">
        <f t="shared" si="138"/>
        <v>23887</v>
      </c>
      <c r="BM977">
        <f t="shared" si="139"/>
        <v>13</v>
      </c>
      <c r="BN977">
        <f t="shared" si="140"/>
        <v>0</v>
      </c>
      <c r="BO977">
        <f t="shared" si="141"/>
        <v>0</v>
      </c>
      <c r="BP977">
        <f t="shared" si="142"/>
        <v>0</v>
      </c>
      <c r="BQ977" t="s">
        <v>235</v>
      </c>
      <c r="BR977" t="s">
        <v>140</v>
      </c>
      <c r="BS977" t="s">
        <v>89</v>
      </c>
      <c r="BT977">
        <v>33</v>
      </c>
      <c r="BU977" t="s">
        <v>89</v>
      </c>
      <c r="BV977" t="s">
        <v>89</v>
      </c>
      <c r="BW977">
        <v>15</v>
      </c>
      <c r="BX977">
        <v>1993</v>
      </c>
      <c r="BY977">
        <v>13</v>
      </c>
      <c r="BZ977">
        <f t="shared" si="143"/>
        <v>-1</v>
      </c>
      <c r="CA977">
        <f t="shared" si="144"/>
        <v>2</v>
      </c>
      <c r="CB977" t="b">
        <f t="shared" si="145"/>
        <v>0</v>
      </c>
    </row>
    <row r="978" spans="1:80" x14ac:dyDescent="0.3">
      <c r="A978" t="s">
        <v>7926</v>
      </c>
      <c r="B978" t="s">
        <v>71</v>
      </c>
      <c r="C978" t="s">
        <v>7927</v>
      </c>
      <c r="D978">
        <v>46</v>
      </c>
      <c r="E978" s="1">
        <v>28892</v>
      </c>
      <c r="F978" t="s">
        <v>89</v>
      </c>
      <c r="G978" t="s">
        <v>321</v>
      </c>
      <c r="H978" t="s">
        <v>76</v>
      </c>
      <c r="I978" t="s">
        <v>253</v>
      </c>
      <c r="J978" t="s">
        <v>78</v>
      </c>
      <c r="K978" t="s">
        <v>89</v>
      </c>
      <c r="L978" t="s">
        <v>196</v>
      </c>
      <c r="M978">
        <v>21</v>
      </c>
      <c r="N978" t="s">
        <v>137</v>
      </c>
      <c r="O978">
        <v>2000</v>
      </c>
      <c r="P978" t="s">
        <v>7928</v>
      </c>
      <c r="Q978" t="s">
        <v>7929</v>
      </c>
      <c r="R978">
        <v>7633</v>
      </c>
      <c r="S978" t="s">
        <v>7926</v>
      </c>
      <c r="T978">
        <v>29008</v>
      </c>
      <c r="U978">
        <v>1979</v>
      </c>
      <c r="V978" t="s">
        <v>1185</v>
      </c>
      <c r="W978">
        <v>1.79</v>
      </c>
      <c r="X978" t="s">
        <v>76</v>
      </c>
      <c r="Y978" t="s">
        <v>259</v>
      </c>
      <c r="Z978" t="s">
        <v>87</v>
      </c>
      <c r="AA978" t="s">
        <v>7930</v>
      </c>
      <c r="AB978" s="1">
        <v>42376</v>
      </c>
      <c r="AC978" t="s">
        <v>108</v>
      </c>
      <c r="AD978" t="s">
        <v>89</v>
      </c>
      <c r="AE978" s="1">
        <v>36778</v>
      </c>
      <c r="AF978">
        <v>21</v>
      </c>
      <c r="AG978" t="s">
        <v>91</v>
      </c>
      <c r="AH978">
        <v>35554</v>
      </c>
      <c r="AI978">
        <v>18</v>
      </c>
      <c r="AJ978" t="s">
        <v>110</v>
      </c>
      <c r="AK978">
        <v>18</v>
      </c>
      <c r="AL978">
        <v>2</v>
      </c>
      <c r="AM978">
        <v>154</v>
      </c>
      <c r="AN978">
        <v>24</v>
      </c>
      <c r="AO978">
        <v>2</v>
      </c>
      <c r="AP978" t="s">
        <v>93</v>
      </c>
      <c r="AQ978" t="s">
        <v>89</v>
      </c>
      <c r="AR978" t="s">
        <v>89</v>
      </c>
      <c r="AS978" t="s">
        <v>111</v>
      </c>
      <c r="AT978" s="1">
        <v>42376</v>
      </c>
      <c r="AU978">
        <v>2016</v>
      </c>
      <c r="AV978">
        <v>16</v>
      </c>
      <c r="AW978">
        <v>16</v>
      </c>
      <c r="AX978" t="s">
        <v>89</v>
      </c>
      <c r="AY978" t="s">
        <v>93</v>
      </c>
      <c r="AZ978">
        <v>0</v>
      </c>
      <c r="BA978">
        <v>0</v>
      </c>
      <c r="BB978">
        <v>0</v>
      </c>
      <c r="BC978">
        <v>0</v>
      </c>
      <c r="BD978">
        <v>341</v>
      </c>
      <c r="BE978">
        <v>26024</v>
      </c>
      <c r="BF978">
        <v>13</v>
      </c>
      <c r="BG978">
        <v>37</v>
      </c>
      <c r="BH978">
        <v>341</v>
      </c>
      <c r="BI978">
        <v>26024</v>
      </c>
      <c r="BJ978">
        <v>13</v>
      </c>
      <c r="BK978">
        <f t="shared" si="137"/>
        <v>341</v>
      </c>
      <c r="BL978">
        <f t="shared" si="138"/>
        <v>26024</v>
      </c>
      <c r="BM978">
        <f t="shared" si="139"/>
        <v>13</v>
      </c>
      <c r="BN978">
        <f t="shared" si="140"/>
        <v>0</v>
      </c>
      <c r="BO978">
        <f t="shared" si="141"/>
        <v>0</v>
      </c>
      <c r="BP978">
        <f t="shared" si="142"/>
        <v>0</v>
      </c>
      <c r="BQ978" t="s">
        <v>259</v>
      </c>
      <c r="BR978" t="s">
        <v>94</v>
      </c>
      <c r="BS978" t="s">
        <v>89</v>
      </c>
      <c r="BT978">
        <v>47</v>
      </c>
      <c r="BU978" s="1">
        <v>42376</v>
      </c>
      <c r="BV978" s="1">
        <v>42552</v>
      </c>
      <c r="BW978">
        <v>19</v>
      </c>
      <c r="BX978">
        <v>1979</v>
      </c>
      <c r="BY978">
        <v>19</v>
      </c>
      <c r="BZ978">
        <f t="shared" si="143"/>
        <v>-3</v>
      </c>
      <c r="CA978">
        <f t="shared" si="144"/>
        <v>0</v>
      </c>
      <c r="CB978" t="b">
        <f t="shared" si="145"/>
        <v>0</v>
      </c>
    </row>
    <row r="979" spans="1:80" x14ac:dyDescent="0.3">
      <c r="A979" t="s">
        <v>7931</v>
      </c>
      <c r="B979" t="s">
        <v>156</v>
      </c>
      <c r="C979" t="s">
        <v>7932</v>
      </c>
      <c r="D979">
        <v>39</v>
      </c>
      <c r="E979" s="1">
        <v>31269</v>
      </c>
      <c r="F979" t="s">
        <v>89</v>
      </c>
      <c r="G979" t="s">
        <v>143</v>
      </c>
      <c r="H979" t="s">
        <v>177</v>
      </c>
      <c r="I979" t="s">
        <v>2537</v>
      </c>
      <c r="J979" t="s">
        <v>78</v>
      </c>
      <c r="K979" t="s">
        <v>89</v>
      </c>
      <c r="L979" t="s">
        <v>324</v>
      </c>
      <c r="M979">
        <v>27</v>
      </c>
      <c r="N979" t="s">
        <v>1047</v>
      </c>
      <c r="O979">
        <v>2013</v>
      </c>
      <c r="P979" t="s">
        <v>7933</v>
      </c>
      <c r="Q979" t="s">
        <v>7934</v>
      </c>
      <c r="R979">
        <v>55884</v>
      </c>
      <c r="S979" t="s">
        <v>7931</v>
      </c>
      <c r="T979" t="s">
        <v>7935</v>
      </c>
      <c r="U979">
        <v>1985</v>
      </c>
      <c r="V979" t="s">
        <v>218</v>
      </c>
      <c r="W979">
        <v>1.75</v>
      </c>
      <c r="X979" t="s">
        <v>177</v>
      </c>
      <c r="Y979" t="s">
        <v>86</v>
      </c>
      <c r="Z979" t="s">
        <v>87</v>
      </c>
      <c r="AA979" t="s">
        <v>7936</v>
      </c>
      <c r="AB979" t="s">
        <v>7937</v>
      </c>
      <c r="AC979" t="s">
        <v>108</v>
      </c>
      <c r="AD979" t="s">
        <v>89</v>
      </c>
      <c r="AE979" s="1">
        <v>2006</v>
      </c>
      <c r="AF979">
        <v>21</v>
      </c>
      <c r="AG979" t="s">
        <v>6900</v>
      </c>
      <c r="AH979" s="1">
        <v>2010</v>
      </c>
      <c r="AI979">
        <v>24</v>
      </c>
      <c r="AJ979">
        <v>0</v>
      </c>
      <c r="AK979">
        <v>21</v>
      </c>
      <c r="AL979">
        <v>14</v>
      </c>
      <c r="AM979">
        <v>360</v>
      </c>
      <c r="AN979">
        <v>60</v>
      </c>
      <c r="AO979">
        <v>7</v>
      </c>
      <c r="AP979" t="s">
        <v>93</v>
      </c>
      <c r="AQ979" t="s">
        <v>89</v>
      </c>
      <c r="AR979" t="s">
        <v>89</v>
      </c>
      <c r="AS979" t="s">
        <v>111</v>
      </c>
      <c r="AT979" t="s">
        <v>7937</v>
      </c>
      <c r="AU979">
        <v>2024</v>
      </c>
      <c r="AV979">
        <v>11</v>
      </c>
      <c r="AW979">
        <v>11</v>
      </c>
      <c r="AX979" t="s">
        <v>89</v>
      </c>
      <c r="AY979" t="s">
        <v>111</v>
      </c>
      <c r="AZ979">
        <v>3</v>
      </c>
      <c r="BA979">
        <v>2</v>
      </c>
      <c r="BB979">
        <v>46</v>
      </c>
      <c r="BC979">
        <v>0</v>
      </c>
      <c r="BD979">
        <v>237</v>
      </c>
      <c r="BE979">
        <v>15550</v>
      </c>
      <c r="BF979">
        <v>18</v>
      </c>
      <c r="BG979">
        <v>39</v>
      </c>
      <c r="BH979">
        <v>239</v>
      </c>
      <c r="BI979">
        <v>15596</v>
      </c>
      <c r="BJ979">
        <v>18</v>
      </c>
      <c r="BK979">
        <f t="shared" si="137"/>
        <v>239</v>
      </c>
      <c r="BL979">
        <f t="shared" si="138"/>
        <v>15596</v>
      </c>
      <c r="BM979">
        <f t="shared" si="139"/>
        <v>18</v>
      </c>
      <c r="BN979">
        <f t="shared" si="140"/>
        <v>0</v>
      </c>
      <c r="BO979">
        <f t="shared" si="141"/>
        <v>0</v>
      </c>
      <c r="BP979">
        <f t="shared" si="142"/>
        <v>0</v>
      </c>
      <c r="BQ979" t="s">
        <v>86</v>
      </c>
      <c r="BR979" t="s">
        <v>94</v>
      </c>
      <c r="BS979" t="s">
        <v>89</v>
      </c>
      <c r="BT979">
        <v>41</v>
      </c>
      <c r="BU979" t="s">
        <v>7937</v>
      </c>
      <c r="BV979" s="1">
        <v>45345</v>
      </c>
      <c r="BW979">
        <v>18</v>
      </c>
      <c r="BX979">
        <v>1985</v>
      </c>
      <c r="BY979">
        <v>18</v>
      </c>
      <c r="BZ979">
        <f t="shared" si="143"/>
        <v>-7</v>
      </c>
      <c r="CA979">
        <f t="shared" si="144"/>
        <v>0</v>
      </c>
      <c r="CB979" t="b">
        <f t="shared" si="145"/>
        <v>0</v>
      </c>
    </row>
    <row r="980" spans="1:80" x14ac:dyDescent="0.3">
      <c r="A980" t="s">
        <v>7938</v>
      </c>
      <c r="B980" t="s">
        <v>156</v>
      </c>
      <c r="C980" t="s">
        <v>7939</v>
      </c>
      <c r="D980">
        <v>36</v>
      </c>
      <c r="E980" s="1">
        <v>32598</v>
      </c>
      <c r="F980" t="s">
        <v>89</v>
      </c>
      <c r="G980" t="s">
        <v>7940</v>
      </c>
      <c r="H980" t="s">
        <v>177</v>
      </c>
      <c r="I980" t="s">
        <v>865</v>
      </c>
      <c r="J980" t="s">
        <v>300</v>
      </c>
      <c r="K980" t="s">
        <v>89</v>
      </c>
      <c r="L980" t="s">
        <v>130</v>
      </c>
      <c r="M980">
        <v>19</v>
      </c>
      <c r="N980" t="s">
        <v>527</v>
      </c>
      <c r="O980">
        <v>2008</v>
      </c>
      <c r="P980" t="s">
        <v>7941</v>
      </c>
      <c r="Q980" t="s">
        <v>7942</v>
      </c>
      <c r="R980">
        <v>56067</v>
      </c>
      <c r="S980" t="s">
        <v>7938</v>
      </c>
      <c r="T980" t="s">
        <v>7943</v>
      </c>
      <c r="U980">
        <v>1989</v>
      </c>
      <c r="V980" t="s">
        <v>7944</v>
      </c>
      <c r="W980">
        <v>1.64</v>
      </c>
      <c r="X980" t="s">
        <v>169</v>
      </c>
      <c r="Y980" t="s">
        <v>106</v>
      </c>
      <c r="Z980" t="s">
        <v>152</v>
      </c>
      <c r="AA980" t="s">
        <v>3638</v>
      </c>
      <c r="AB980">
        <v>45658</v>
      </c>
      <c r="AC980" t="s">
        <v>108</v>
      </c>
      <c r="AD980" t="s">
        <v>89</v>
      </c>
      <c r="AE980">
        <v>39175</v>
      </c>
      <c r="AF980">
        <v>17</v>
      </c>
      <c r="AG980" t="s">
        <v>171</v>
      </c>
      <c r="AH980" t="s">
        <v>92</v>
      </c>
      <c r="AI980" t="s">
        <v>89</v>
      </c>
      <c r="AJ980" t="s">
        <v>92</v>
      </c>
      <c r="AK980">
        <v>17</v>
      </c>
      <c r="AL980">
        <v>25</v>
      </c>
      <c r="AM980">
        <v>1073</v>
      </c>
      <c r="AN980">
        <v>154</v>
      </c>
      <c r="AO980">
        <v>12</v>
      </c>
      <c r="AP980" t="s">
        <v>93</v>
      </c>
      <c r="AQ980" t="s">
        <v>89</v>
      </c>
      <c r="AR980" t="s">
        <v>89</v>
      </c>
      <c r="AS980" t="s">
        <v>111</v>
      </c>
      <c r="AT980">
        <v>45658</v>
      </c>
      <c r="AU980">
        <v>2025</v>
      </c>
      <c r="AV980">
        <v>17</v>
      </c>
      <c r="AW980">
        <v>17</v>
      </c>
      <c r="AX980" t="s">
        <v>89</v>
      </c>
      <c r="AY980" t="s">
        <v>93</v>
      </c>
      <c r="AZ980">
        <v>0</v>
      </c>
      <c r="BA980">
        <v>0</v>
      </c>
      <c r="BB980">
        <v>0</v>
      </c>
      <c r="BC980">
        <v>0</v>
      </c>
      <c r="BD980">
        <v>440</v>
      </c>
      <c r="BE980">
        <v>25338</v>
      </c>
      <c r="BF980">
        <v>63</v>
      </c>
      <c r="BG980">
        <v>36</v>
      </c>
      <c r="BH980">
        <v>440</v>
      </c>
      <c r="BI980">
        <v>25338</v>
      </c>
      <c r="BJ980">
        <v>63</v>
      </c>
      <c r="BK980">
        <f t="shared" si="137"/>
        <v>440</v>
      </c>
      <c r="BL980">
        <f t="shared" si="138"/>
        <v>25338</v>
      </c>
      <c r="BM980">
        <f t="shared" si="139"/>
        <v>63</v>
      </c>
      <c r="BN980">
        <f t="shared" si="140"/>
        <v>0</v>
      </c>
      <c r="BO980">
        <f t="shared" si="141"/>
        <v>0</v>
      </c>
      <c r="BP980">
        <f t="shared" si="142"/>
        <v>0</v>
      </c>
      <c r="BQ980" t="s">
        <v>106</v>
      </c>
      <c r="BR980" t="s">
        <v>112</v>
      </c>
      <c r="BS980" s="1">
        <v>32598</v>
      </c>
      <c r="BT980">
        <v>36</v>
      </c>
      <c r="BU980">
        <v>45658</v>
      </c>
      <c r="BV980" t="s">
        <v>89</v>
      </c>
      <c r="BW980">
        <v>19</v>
      </c>
      <c r="BX980">
        <v>1989</v>
      </c>
      <c r="BY980">
        <v>19</v>
      </c>
      <c r="BZ980">
        <f t="shared" si="143"/>
        <v>-2</v>
      </c>
      <c r="CA980">
        <f t="shared" si="144"/>
        <v>0</v>
      </c>
      <c r="CB980" t="b">
        <f t="shared" si="145"/>
        <v>0</v>
      </c>
    </row>
    <row r="981" spans="1:80" x14ac:dyDescent="0.3">
      <c r="A981" t="s">
        <v>7945</v>
      </c>
      <c r="B981" t="s">
        <v>71</v>
      </c>
      <c r="C981" t="s">
        <v>7946</v>
      </c>
      <c r="D981">
        <v>51</v>
      </c>
      <c r="E981" s="1">
        <v>27219</v>
      </c>
      <c r="F981" t="s">
        <v>89</v>
      </c>
      <c r="G981" t="s">
        <v>687</v>
      </c>
      <c r="H981" t="s">
        <v>89</v>
      </c>
      <c r="I981" t="s">
        <v>348</v>
      </c>
      <c r="J981" t="s">
        <v>89</v>
      </c>
      <c r="K981" t="s">
        <v>89</v>
      </c>
      <c r="L981" t="s">
        <v>1919</v>
      </c>
      <c r="M981">
        <v>23</v>
      </c>
      <c r="N981" t="s">
        <v>6803</v>
      </c>
      <c r="O981">
        <v>1997</v>
      </c>
      <c r="P981" t="s">
        <v>7947</v>
      </c>
      <c r="Q981" t="s">
        <v>7948</v>
      </c>
      <c r="R981">
        <v>23290</v>
      </c>
      <c r="S981" t="s">
        <v>7949</v>
      </c>
      <c r="T981">
        <v>27279</v>
      </c>
      <c r="U981">
        <v>1974</v>
      </c>
      <c r="V981" t="s">
        <v>7950</v>
      </c>
      <c r="W981">
        <v>1.73</v>
      </c>
      <c r="X981" t="s">
        <v>76</v>
      </c>
      <c r="Y981" t="s">
        <v>136</v>
      </c>
      <c r="Z981" t="s">
        <v>392</v>
      </c>
      <c r="AA981" t="s">
        <v>370</v>
      </c>
      <c r="AB981" s="1">
        <v>40550</v>
      </c>
      <c r="AC981" t="s">
        <v>108</v>
      </c>
      <c r="AD981" t="s">
        <v>89</v>
      </c>
      <c r="AE981">
        <v>36100</v>
      </c>
      <c r="AF981">
        <v>23</v>
      </c>
      <c r="AG981" t="s">
        <v>91</v>
      </c>
      <c r="AH981" t="s">
        <v>7951</v>
      </c>
      <c r="AI981">
        <v>25</v>
      </c>
      <c r="AJ981" t="s">
        <v>459</v>
      </c>
      <c r="AK981">
        <v>23</v>
      </c>
      <c r="AL981" t="s">
        <v>89</v>
      </c>
      <c r="AM981" t="s">
        <v>89</v>
      </c>
      <c r="AN981" t="s">
        <v>89</v>
      </c>
      <c r="AO981">
        <v>0</v>
      </c>
      <c r="AP981" t="s">
        <v>93</v>
      </c>
      <c r="AQ981" t="s">
        <v>89</v>
      </c>
      <c r="AR981" t="s">
        <v>89</v>
      </c>
      <c r="AS981" t="s">
        <v>111</v>
      </c>
      <c r="AT981" s="1">
        <v>40550</v>
      </c>
      <c r="AU981">
        <v>2011</v>
      </c>
      <c r="AV981">
        <v>14</v>
      </c>
      <c r="AW981">
        <v>14</v>
      </c>
      <c r="AX981" t="s">
        <v>89</v>
      </c>
      <c r="AY981" t="s">
        <v>93</v>
      </c>
      <c r="AZ981">
        <v>0</v>
      </c>
      <c r="BA981">
        <v>0</v>
      </c>
      <c r="BB981">
        <v>0</v>
      </c>
      <c r="BC981">
        <v>0</v>
      </c>
      <c r="BD981">
        <v>285</v>
      </c>
      <c r="BE981">
        <v>24249</v>
      </c>
      <c r="BF981">
        <v>3</v>
      </c>
      <c r="BG981">
        <v>37</v>
      </c>
      <c r="BH981">
        <v>285</v>
      </c>
      <c r="BI981">
        <v>24249</v>
      </c>
      <c r="BJ981">
        <v>3</v>
      </c>
      <c r="BK981">
        <f t="shared" si="137"/>
        <v>285</v>
      </c>
      <c r="BL981">
        <f t="shared" si="138"/>
        <v>24249</v>
      </c>
      <c r="BM981">
        <f t="shared" si="139"/>
        <v>3</v>
      </c>
      <c r="BN981">
        <f t="shared" si="140"/>
        <v>0</v>
      </c>
      <c r="BO981">
        <f t="shared" si="141"/>
        <v>0</v>
      </c>
      <c r="BP981">
        <f t="shared" si="142"/>
        <v>0</v>
      </c>
      <c r="BQ981" t="s">
        <v>136</v>
      </c>
      <c r="BR981" t="s">
        <v>140</v>
      </c>
      <c r="BS981" t="s">
        <v>89</v>
      </c>
      <c r="BT981">
        <v>52</v>
      </c>
      <c r="BU981" s="1">
        <v>40550</v>
      </c>
      <c r="BV981" s="1">
        <v>40725</v>
      </c>
      <c r="BW981">
        <v>14</v>
      </c>
      <c r="BX981">
        <v>1974</v>
      </c>
      <c r="BY981">
        <v>14</v>
      </c>
      <c r="BZ981">
        <f t="shared" si="143"/>
        <v>0</v>
      </c>
      <c r="CA981">
        <f t="shared" si="144"/>
        <v>0</v>
      </c>
      <c r="CB981" t="b">
        <f t="shared" si="145"/>
        <v>1</v>
      </c>
    </row>
    <row r="982" spans="1:80" x14ac:dyDescent="0.3">
      <c r="A982" t="s">
        <v>7952</v>
      </c>
      <c r="B982" t="s">
        <v>729</v>
      </c>
      <c r="C982" t="s">
        <v>7953</v>
      </c>
      <c r="D982">
        <v>38</v>
      </c>
      <c r="E982" s="1">
        <v>31959</v>
      </c>
      <c r="F982" t="s">
        <v>89</v>
      </c>
      <c r="G982" t="s">
        <v>400</v>
      </c>
      <c r="H982" t="s">
        <v>732</v>
      </c>
      <c r="I982" t="s">
        <v>348</v>
      </c>
      <c r="J982" t="s">
        <v>78</v>
      </c>
      <c r="K982" t="s">
        <v>89</v>
      </c>
      <c r="L982" t="s">
        <v>228</v>
      </c>
      <c r="M982">
        <v>23</v>
      </c>
      <c r="N982" t="s">
        <v>181</v>
      </c>
      <c r="O982">
        <v>2010</v>
      </c>
      <c r="P982" t="s">
        <v>7954</v>
      </c>
      <c r="Q982" t="s">
        <v>7955</v>
      </c>
      <c r="R982">
        <v>76728</v>
      </c>
      <c r="S982" t="s">
        <v>7952</v>
      </c>
      <c r="T982">
        <v>31784</v>
      </c>
      <c r="U982">
        <v>1987</v>
      </c>
      <c r="V982" t="s">
        <v>736</v>
      </c>
      <c r="W982">
        <v>1.82</v>
      </c>
      <c r="X982" t="s">
        <v>732</v>
      </c>
      <c r="Y982" t="s">
        <v>136</v>
      </c>
      <c r="Z982" t="s">
        <v>87</v>
      </c>
      <c r="AA982" t="s">
        <v>7956</v>
      </c>
      <c r="AB982" t="s">
        <v>7957</v>
      </c>
      <c r="AC982" t="s">
        <v>108</v>
      </c>
      <c r="AD982" t="s">
        <v>89</v>
      </c>
      <c r="AE982" t="s">
        <v>7653</v>
      </c>
      <c r="AF982">
        <v>19</v>
      </c>
      <c r="AG982" t="s">
        <v>985</v>
      </c>
      <c r="AH982" t="s">
        <v>92</v>
      </c>
      <c r="AI982" t="s">
        <v>89</v>
      </c>
      <c r="AJ982" t="s">
        <v>92</v>
      </c>
      <c r="AK982">
        <v>19</v>
      </c>
      <c r="AL982">
        <v>2</v>
      </c>
      <c r="AM982">
        <v>37</v>
      </c>
      <c r="AN982">
        <v>4</v>
      </c>
      <c r="AO982">
        <v>1</v>
      </c>
      <c r="AP982" t="s">
        <v>93</v>
      </c>
      <c r="AQ982" t="s">
        <v>89</v>
      </c>
      <c r="AR982" t="s">
        <v>89</v>
      </c>
      <c r="AS982" t="s">
        <v>111</v>
      </c>
      <c r="AT982" t="s">
        <v>7957</v>
      </c>
      <c r="AU982">
        <v>2021</v>
      </c>
      <c r="AV982">
        <v>11</v>
      </c>
      <c r="AW982">
        <v>11</v>
      </c>
      <c r="AX982" t="s">
        <v>89</v>
      </c>
      <c r="AY982" t="s">
        <v>93</v>
      </c>
      <c r="AZ982">
        <v>0</v>
      </c>
      <c r="BA982">
        <v>0</v>
      </c>
      <c r="BB982">
        <v>0</v>
      </c>
      <c r="BC982">
        <v>0</v>
      </c>
      <c r="BD982">
        <v>50</v>
      </c>
      <c r="BE982">
        <v>2977</v>
      </c>
      <c r="BF982">
        <v>1</v>
      </c>
      <c r="BG982">
        <v>34</v>
      </c>
      <c r="BH982">
        <v>50</v>
      </c>
      <c r="BI982">
        <v>2977</v>
      </c>
      <c r="BJ982">
        <v>1</v>
      </c>
      <c r="BK982">
        <f t="shared" si="137"/>
        <v>50</v>
      </c>
      <c r="BL982">
        <f t="shared" si="138"/>
        <v>2977</v>
      </c>
      <c r="BM982">
        <f t="shared" si="139"/>
        <v>1</v>
      </c>
      <c r="BN982">
        <f t="shared" si="140"/>
        <v>0</v>
      </c>
      <c r="BO982">
        <f t="shared" si="141"/>
        <v>0</v>
      </c>
      <c r="BP982">
        <f t="shared" si="142"/>
        <v>0</v>
      </c>
      <c r="BQ982" t="s">
        <v>136</v>
      </c>
      <c r="BR982" t="s">
        <v>140</v>
      </c>
      <c r="BS982" t="s">
        <v>89</v>
      </c>
      <c r="BT982">
        <v>39</v>
      </c>
      <c r="BU982" t="s">
        <v>7957</v>
      </c>
      <c r="BV982" s="1">
        <v>44456</v>
      </c>
      <c r="BW982">
        <v>15</v>
      </c>
      <c r="BX982">
        <v>1987</v>
      </c>
      <c r="BY982">
        <v>15</v>
      </c>
      <c r="BZ982">
        <f t="shared" si="143"/>
        <v>-4</v>
      </c>
      <c r="CA982">
        <f t="shared" si="144"/>
        <v>0</v>
      </c>
      <c r="CB982" t="b">
        <f t="shared" si="145"/>
        <v>0</v>
      </c>
    </row>
    <row r="983" spans="1:80" x14ac:dyDescent="0.3">
      <c r="A983" t="s">
        <v>7958</v>
      </c>
      <c r="B983" t="s">
        <v>71</v>
      </c>
      <c r="C983" t="s">
        <v>7959</v>
      </c>
      <c r="D983">
        <v>33</v>
      </c>
      <c r="E983" t="s">
        <v>7960</v>
      </c>
      <c r="F983" t="s">
        <v>265</v>
      </c>
      <c r="G983" t="s">
        <v>298</v>
      </c>
      <c r="H983" t="s">
        <v>76</v>
      </c>
      <c r="I983" t="s">
        <v>116</v>
      </c>
      <c r="J983" t="s">
        <v>300</v>
      </c>
      <c r="K983" t="s">
        <v>7961</v>
      </c>
      <c r="L983" t="s">
        <v>278</v>
      </c>
      <c r="M983">
        <v>19</v>
      </c>
      <c r="N983" t="s">
        <v>181</v>
      </c>
      <c r="O983">
        <v>2011</v>
      </c>
      <c r="P983" t="s">
        <v>7962</v>
      </c>
      <c r="Q983" t="s">
        <v>7963</v>
      </c>
      <c r="R983">
        <v>74230</v>
      </c>
      <c r="S983" t="s">
        <v>7958</v>
      </c>
      <c r="T983">
        <v>33913</v>
      </c>
      <c r="U983">
        <v>1992</v>
      </c>
      <c r="V983" t="s">
        <v>122</v>
      </c>
      <c r="W983">
        <v>1.74</v>
      </c>
      <c r="X983" t="s">
        <v>76</v>
      </c>
      <c r="Y983" t="s">
        <v>494</v>
      </c>
      <c r="Z983" t="s">
        <v>152</v>
      </c>
      <c r="AA983" t="s">
        <v>4977</v>
      </c>
      <c r="AB983">
        <v>45664</v>
      </c>
      <c r="AC983" t="s">
        <v>88</v>
      </c>
      <c r="AD983" t="s">
        <v>395</v>
      </c>
      <c r="AE983" t="s">
        <v>654</v>
      </c>
      <c r="AF983">
        <v>19</v>
      </c>
      <c r="AG983" t="s">
        <v>91</v>
      </c>
      <c r="AH983" t="s">
        <v>92</v>
      </c>
      <c r="AI983" t="s">
        <v>89</v>
      </c>
      <c r="AJ983" t="s">
        <v>92</v>
      </c>
      <c r="AK983">
        <v>19</v>
      </c>
      <c r="AL983">
        <v>10</v>
      </c>
      <c r="AM983">
        <v>136</v>
      </c>
      <c r="AN983">
        <v>29</v>
      </c>
      <c r="AO983">
        <v>6</v>
      </c>
      <c r="AP983" t="s">
        <v>93</v>
      </c>
      <c r="AQ983" t="s">
        <v>89</v>
      </c>
      <c r="AR983" t="s">
        <v>89</v>
      </c>
      <c r="AS983" t="s">
        <v>93</v>
      </c>
      <c r="AT983" t="s">
        <v>89</v>
      </c>
      <c r="AU983" t="s">
        <v>89</v>
      </c>
      <c r="AV983" t="s">
        <v>89</v>
      </c>
      <c r="AW983">
        <v>14</v>
      </c>
      <c r="AX983">
        <v>7</v>
      </c>
      <c r="AY983" t="s">
        <v>111</v>
      </c>
      <c r="AZ983">
        <v>9</v>
      </c>
      <c r="BA983">
        <v>26</v>
      </c>
      <c r="BB983">
        <v>1333</v>
      </c>
      <c r="BC983">
        <v>9</v>
      </c>
      <c r="BD983">
        <v>495</v>
      </c>
      <c r="BE983">
        <v>30043</v>
      </c>
      <c r="BF983">
        <v>96</v>
      </c>
      <c r="BG983" t="s">
        <v>89</v>
      </c>
      <c r="BH983">
        <v>521</v>
      </c>
      <c r="BI983">
        <v>31376</v>
      </c>
      <c r="BJ983">
        <v>105</v>
      </c>
      <c r="BK983">
        <f t="shared" si="137"/>
        <v>521</v>
      </c>
      <c r="BL983">
        <f t="shared" si="138"/>
        <v>31376</v>
      </c>
      <c r="BM983">
        <f t="shared" si="139"/>
        <v>105</v>
      </c>
      <c r="BN983">
        <f t="shared" si="140"/>
        <v>0</v>
      </c>
      <c r="BO983">
        <f t="shared" si="141"/>
        <v>0</v>
      </c>
      <c r="BP983">
        <f t="shared" si="142"/>
        <v>0</v>
      </c>
      <c r="BQ983" t="s">
        <v>494</v>
      </c>
      <c r="BR983" t="s">
        <v>112</v>
      </c>
      <c r="BS983" t="s">
        <v>89</v>
      </c>
      <c r="BT983">
        <v>34</v>
      </c>
      <c r="BU983" t="s">
        <v>89</v>
      </c>
      <c r="BV983" t="s">
        <v>89</v>
      </c>
      <c r="BW983">
        <v>15</v>
      </c>
      <c r="BX983">
        <v>1992</v>
      </c>
      <c r="BY983">
        <v>14</v>
      </c>
      <c r="BZ983">
        <f t="shared" si="143"/>
        <v>-1</v>
      </c>
      <c r="CA983">
        <f t="shared" si="144"/>
        <v>1</v>
      </c>
      <c r="CB983" t="b">
        <f t="shared" si="145"/>
        <v>0</v>
      </c>
    </row>
    <row r="984" spans="1:80" x14ac:dyDescent="0.3">
      <c r="A984" t="s">
        <v>7964</v>
      </c>
      <c r="B984" t="s">
        <v>71</v>
      </c>
      <c r="C984" t="s">
        <v>7965</v>
      </c>
      <c r="D984">
        <v>31</v>
      </c>
      <c r="E984" t="s">
        <v>7966</v>
      </c>
      <c r="F984" t="s">
        <v>7967</v>
      </c>
      <c r="G984" t="s">
        <v>298</v>
      </c>
      <c r="H984" t="s">
        <v>76</v>
      </c>
      <c r="I984" t="s">
        <v>437</v>
      </c>
      <c r="J984" t="s">
        <v>78</v>
      </c>
      <c r="K984" t="s">
        <v>7968</v>
      </c>
      <c r="L984" t="s">
        <v>278</v>
      </c>
      <c r="M984">
        <v>17</v>
      </c>
      <c r="N984" t="s">
        <v>214</v>
      </c>
      <c r="O984">
        <v>2011</v>
      </c>
      <c r="P984" t="s">
        <v>7969</v>
      </c>
      <c r="Q984" t="s">
        <v>7970</v>
      </c>
      <c r="R984">
        <v>126716</v>
      </c>
      <c r="S984" t="s">
        <v>7964</v>
      </c>
      <c r="T984" t="s">
        <v>7971</v>
      </c>
      <c r="U984">
        <v>1993</v>
      </c>
      <c r="V984" t="s">
        <v>754</v>
      </c>
      <c r="W984">
        <v>1.75</v>
      </c>
      <c r="X984" t="s">
        <v>76</v>
      </c>
      <c r="Y984" t="s">
        <v>123</v>
      </c>
      <c r="Z984" t="s">
        <v>87</v>
      </c>
      <c r="AA984" t="s">
        <v>476</v>
      </c>
      <c r="AB984" s="1">
        <v>45664</v>
      </c>
      <c r="AC984" t="s">
        <v>108</v>
      </c>
      <c r="AD984" t="s">
        <v>223</v>
      </c>
      <c r="AE984" t="s">
        <v>2580</v>
      </c>
      <c r="AF984">
        <v>18</v>
      </c>
      <c r="AG984" t="s">
        <v>91</v>
      </c>
      <c r="AH984" t="s">
        <v>92</v>
      </c>
      <c r="AI984" t="s">
        <v>89</v>
      </c>
      <c r="AJ984" t="s">
        <v>92</v>
      </c>
      <c r="AK984">
        <v>18</v>
      </c>
      <c r="AL984">
        <v>17</v>
      </c>
      <c r="AM984">
        <v>396</v>
      </c>
      <c r="AN984">
        <v>71</v>
      </c>
      <c r="AO984">
        <v>7</v>
      </c>
      <c r="AP984" t="s">
        <v>93</v>
      </c>
      <c r="AQ984" t="s">
        <v>89</v>
      </c>
      <c r="AR984" t="s">
        <v>89</v>
      </c>
      <c r="AS984" t="s">
        <v>93</v>
      </c>
      <c r="AT984" t="s">
        <v>89</v>
      </c>
      <c r="AU984" t="s">
        <v>89</v>
      </c>
      <c r="AV984" t="s">
        <v>89</v>
      </c>
      <c r="AW984">
        <v>14</v>
      </c>
      <c r="AX984" t="s">
        <v>89</v>
      </c>
      <c r="AY984" t="s">
        <v>111</v>
      </c>
      <c r="AZ984">
        <v>8</v>
      </c>
      <c r="BA984">
        <v>19</v>
      </c>
      <c r="BB984">
        <v>976</v>
      </c>
      <c r="BC984">
        <v>12</v>
      </c>
      <c r="BD984">
        <v>311</v>
      </c>
      <c r="BE984">
        <v>17339</v>
      </c>
      <c r="BF984">
        <v>107</v>
      </c>
      <c r="BG984" t="s">
        <v>89</v>
      </c>
      <c r="BH984">
        <v>330</v>
      </c>
      <c r="BI984">
        <v>18315</v>
      </c>
      <c r="BJ984">
        <v>119</v>
      </c>
      <c r="BK984">
        <f t="shared" si="137"/>
        <v>330</v>
      </c>
      <c r="BL984">
        <f t="shared" si="138"/>
        <v>18315</v>
      </c>
      <c r="BM984">
        <f t="shared" si="139"/>
        <v>119</v>
      </c>
      <c r="BN984">
        <f t="shared" si="140"/>
        <v>0</v>
      </c>
      <c r="BO984">
        <f t="shared" si="141"/>
        <v>0</v>
      </c>
      <c r="BP984">
        <f t="shared" si="142"/>
        <v>0</v>
      </c>
      <c r="BQ984" t="s">
        <v>123</v>
      </c>
      <c r="BR984" t="s">
        <v>112</v>
      </c>
      <c r="BS984" s="1">
        <v>34211</v>
      </c>
      <c r="BT984">
        <v>32</v>
      </c>
      <c r="BU984" t="s">
        <v>89</v>
      </c>
      <c r="BV984" t="s">
        <v>89</v>
      </c>
      <c r="BW984">
        <v>14</v>
      </c>
      <c r="BX984">
        <v>1993</v>
      </c>
      <c r="BY984">
        <v>13</v>
      </c>
      <c r="BZ984">
        <f t="shared" si="143"/>
        <v>0</v>
      </c>
      <c r="CA984">
        <f t="shared" si="144"/>
        <v>1</v>
      </c>
      <c r="CB984" t="b">
        <f t="shared" si="145"/>
        <v>1</v>
      </c>
    </row>
    <row r="985" spans="1:80" x14ac:dyDescent="0.3">
      <c r="A985" t="s">
        <v>7972</v>
      </c>
      <c r="B985" t="s">
        <v>71</v>
      </c>
      <c r="C985" t="s">
        <v>7973</v>
      </c>
      <c r="D985">
        <v>38</v>
      </c>
      <c r="E985">
        <v>31693</v>
      </c>
      <c r="F985" t="s">
        <v>89</v>
      </c>
      <c r="G985" t="s">
        <v>518</v>
      </c>
      <c r="H985" t="s">
        <v>76</v>
      </c>
      <c r="I985" t="s">
        <v>340</v>
      </c>
      <c r="J985" t="s">
        <v>78</v>
      </c>
      <c r="K985" t="s">
        <v>89</v>
      </c>
      <c r="L985" t="s">
        <v>117</v>
      </c>
      <c r="M985">
        <v>18</v>
      </c>
      <c r="N985" t="s">
        <v>644</v>
      </c>
      <c r="O985">
        <v>2005</v>
      </c>
      <c r="P985" t="s">
        <v>7974</v>
      </c>
      <c r="Q985" t="s">
        <v>7975</v>
      </c>
      <c r="R985">
        <v>40442</v>
      </c>
      <c r="S985" t="s">
        <v>7972</v>
      </c>
      <c r="T985">
        <v>31634</v>
      </c>
      <c r="U985">
        <v>1986</v>
      </c>
      <c r="V985" t="s">
        <v>1023</v>
      </c>
      <c r="W985">
        <v>1.72</v>
      </c>
      <c r="X985" t="s">
        <v>76</v>
      </c>
      <c r="Y985" t="s">
        <v>391</v>
      </c>
      <c r="Z985" t="s">
        <v>87</v>
      </c>
      <c r="AA985" t="s">
        <v>420</v>
      </c>
      <c r="AB985" s="1">
        <v>43472</v>
      </c>
      <c r="AC985" t="s">
        <v>108</v>
      </c>
      <c r="AD985" t="s">
        <v>89</v>
      </c>
      <c r="AE985" t="s">
        <v>7976</v>
      </c>
      <c r="AF985">
        <v>19</v>
      </c>
      <c r="AG985" t="s">
        <v>91</v>
      </c>
      <c r="AH985" t="s">
        <v>237</v>
      </c>
      <c r="AI985">
        <v>23</v>
      </c>
      <c r="AJ985" t="s">
        <v>110</v>
      </c>
      <c r="AK985">
        <v>19</v>
      </c>
      <c r="AL985">
        <v>3</v>
      </c>
      <c r="AM985">
        <v>248</v>
      </c>
      <c r="AN985">
        <v>36</v>
      </c>
      <c r="AO985">
        <v>3</v>
      </c>
      <c r="AP985" t="s">
        <v>93</v>
      </c>
      <c r="AQ985" t="s">
        <v>89</v>
      </c>
      <c r="AR985" t="s">
        <v>89</v>
      </c>
      <c r="AS985" t="s">
        <v>111</v>
      </c>
      <c r="AT985">
        <v>43472</v>
      </c>
      <c r="AU985">
        <v>2019</v>
      </c>
      <c r="AV985">
        <v>14</v>
      </c>
      <c r="AW985">
        <v>14</v>
      </c>
      <c r="AX985" t="s">
        <v>89</v>
      </c>
      <c r="AY985" t="s">
        <v>93</v>
      </c>
      <c r="AZ985">
        <v>0</v>
      </c>
      <c r="BA985">
        <v>0</v>
      </c>
      <c r="BB985">
        <v>0</v>
      </c>
      <c r="BC985">
        <v>0</v>
      </c>
      <c r="BD985">
        <v>248</v>
      </c>
      <c r="BE985">
        <v>15970</v>
      </c>
      <c r="BF985">
        <v>27</v>
      </c>
      <c r="BG985">
        <v>33</v>
      </c>
      <c r="BH985">
        <v>248</v>
      </c>
      <c r="BI985">
        <v>15970</v>
      </c>
      <c r="BJ985">
        <v>27</v>
      </c>
      <c r="BK985">
        <f t="shared" si="137"/>
        <v>248</v>
      </c>
      <c r="BL985">
        <f t="shared" si="138"/>
        <v>15970</v>
      </c>
      <c r="BM985">
        <f t="shared" si="139"/>
        <v>27</v>
      </c>
      <c r="BN985">
        <f t="shared" si="140"/>
        <v>0</v>
      </c>
      <c r="BO985">
        <f t="shared" si="141"/>
        <v>0</v>
      </c>
      <c r="BP985">
        <f t="shared" si="142"/>
        <v>0</v>
      </c>
      <c r="BQ985" t="s">
        <v>391</v>
      </c>
      <c r="BR985" t="s">
        <v>112</v>
      </c>
      <c r="BS985" t="s">
        <v>89</v>
      </c>
      <c r="BT985">
        <v>40</v>
      </c>
      <c r="BU985">
        <v>43472</v>
      </c>
      <c r="BV985" t="s">
        <v>89</v>
      </c>
      <c r="BW985">
        <v>14</v>
      </c>
      <c r="BX985">
        <v>1986</v>
      </c>
      <c r="BY985">
        <v>14</v>
      </c>
      <c r="BZ985">
        <f t="shared" si="143"/>
        <v>0</v>
      </c>
      <c r="CA985">
        <f t="shared" si="144"/>
        <v>0</v>
      </c>
      <c r="CB985" t="b">
        <f t="shared" si="145"/>
        <v>1</v>
      </c>
    </row>
    <row r="986" spans="1:80" x14ac:dyDescent="0.3">
      <c r="A986" t="s">
        <v>7977</v>
      </c>
      <c r="B986" t="s">
        <v>71</v>
      </c>
      <c r="C986" t="s">
        <v>7978</v>
      </c>
      <c r="D986">
        <v>47</v>
      </c>
      <c r="E986" s="1">
        <v>28696</v>
      </c>
      <c r="F986" t="s">
        <v>89</v>
      </c>
      <c r="G986" t="s">
        <v>535</v>
      </c>
      <c r="H986" t="s">
        <v>89</v>
      </c>
      <c r="I986" t="s">
        <v>2732</v>
      </c>
      <c r="J986" t="s">
        <v>89</v>
      </c>
      <c r="K986" t="s">
        <v>89</v>
      </c>
      <c r="L986" t="s">
        <v>99</v>
      </c>
      <c r="M986">
        <v>23</v>
      </c>
      <c r="N986" t="s">
        <v>751</v>
      </c>
      <c r="O986">
        <v>2001</v>
      </c>
      <c r="P986" t="s">
        <v>7979</v>
      </c>
      <c r="Q986" t="s">
        <v>7980</v>
      </c>
      <c r="R986">
        <v>8132</v>
      </c>
      <c r="S986" t="s">
        <v>7977</v>
      </c>
      <c r="T986" t="s">
        <v>7981</v>
      </c>
      <c r="U986">
        <v>1978</v>
      </c>
      <c r="V986" t="s">
        <v>7982</v>
      </c>
      <c r="W986">
        <v>1.7</v>
      </c>
      <c r="X986" t="s">
        <v>76</v>
      </c>
      <c r="Y986" t="s">
        <v>203</v>
      </c>
      <c r="Z986" t="s">
        <v>152</v>
      </c>
      <c r="AA986" t="s">
        <v>970</v>
      </c>
      <c r="AB986" s="1">
        <v>44203</v>
      </c>
      <c r="AC986" t="s">
        <v>108</v>
      </c>
      <c r="AD986" t="s">
        <v>89</v>
      </c>
      <c r="AE986" t="s">
        <v>1229</v>
      </c>
      <c r="AF986">
        <v>25</v>
      </c>
      <c r="AG986" t="s">
        <v>91</v>
      </c>
      <c r="AH986" t="s">
        <v>3162</v>
      </c>
      <c r="AI986">
        <v>19</v>
      </c>
      <c r="AJ986" t="s">
        <v>110</v>
      </c>
      <c r="AK986">
        <v>19</v>
      </c>
      <c r="AL986">
        <v>1</v>
      </c>
      <c r="AM986">
        <v>43</v>
      </c>
      <c r="AN986">
        <v>3</v>
      </c>
      <c r="AO986">
        <v>1</v>
      </c>
      <c r="AP986" t="s">
        <v>93</v>
      </c>
      <c r="AQ986" t="s">
        <v>89</v>
      </c>
      <c r="AR986" t="s">
        <v>89</v>
      </c>
      <c r="AS986" t="s">
        <v>111</v>
      </c>
      <c r="AT986">
        <v>44203</v>
      </c>
      <c r="AU986">
        <v>2021</v>
      </c>
      <c r="AV986">
        <v>20</v>
      </c>
      <c r="AW986">
        <v>20</v>
      </c>
      <c r="AX986" t="s">
        <v>89</v>
      </c>
      <c r="AY986" t="s">
        <v>93</v>
      </c>
      <c r="AZ986">
        <v>0</v>
      </c>
      <c r="BA986">
        <v>0</v>
      </c>
      <c r="BB986">
        <v>0</v>
      </c>
      <c r="BC986">
        <v>0</v>
      </c>
      <c r="BD986">
        <v>428</v>
      </c>
      <c r="BE986">
        <v>37277</v>
      </c>
      <c r="BF986">
        <v>2</v>
      </c>
      <c r="BG986">
        <v>43</v>
      </c>
      <c r="BH986">
        <v>428</v>
      </c>
      <c r="BI986">
        <v>37277</v>
      </c>
      <c r="BJ986">
        <v>2</v>
      </c>
      <c r="BK986">
        <f t="shared" si="137"/>
        <v>428</v>
      </c>
      <c r="BL986">
        <f t="shared" si="138"/>
        <v>37277</v>
      </c>
      <c r="BM986">
        <f t="shared" si="139"/>
        <v>2</v>
      </c>
      <c r="BN986">
        <f t="shared" si="140"/>
        <v>0</v>
      </c>
      <c r="BO986">
        <f t="shared" si="141"/>
        <v>0</v>
      </c>
      <c r="BP986">
        <f t="shared" si="142"/>
        <v>0</v>
      </c>
      <c r="BQ986" t="s">
        <v>203</v>
      </c>
      <c r="BR986" t="s">
        <v>140</v>
      </c>
      <c r="BS986" s="1">
        <v>28696</v>
      </c>
      <c r="BT986">
        <v>47</v>
      </c>
      <c r="BU986">
        <v>44203</v>
      </c>
      <c r="BV986" t="s">
        <v>89</v>
      </c>
      <c r="BW986">
        <v>24</v>
      </c>
      <c r="BX986">
        <v>1978</v>
      </c>
      <c r="BY986">
        <v>24</v>
      </c>
      <c r="BZ986">
        <f t="shared" si="143"/>
        <v>-4</v>
      </c>
      <c r="CA986">
        <f t="shared" si="144"/>
        <v>0</v>
      </c>
      <c r="CB986" t="b">
        <f t="shared" si="145"/>
        <v>0</v>
      </c>
    </row>
    <row r="987" spans="1:80" x14ac:dyDescent="0.3">
      <c r="A987" t="s">
        <v>7983</v>
      </c>
      <c r="B987" t="s">
        <v>603</v>
      </c>
      <c r="C987" t="s">
        <v>7984</v>
      </c>
      <c r="D987">
        <v>39</v>
      </c>
      <c r="E987" s="1">
        <v>31490</v>
      </c>
      <c r="F987" t="s">
        <v>89</v>
      </c>
      <c r="G987" t="s">
        <v>115</v>
      </c>
      <c r="H987" t="s">
        <v>606</v>
      </c>
      <c r="I987" t="s">
        <v>288</v>
      </c>
      <c r="J987" t="s">
        <v>78</v>
      </c>
      <c r="K987" t="s">
        <v>89</v>
      </c>
      <c r="L987" t="s">
        <v>163</v>
      </c>
      <c r="M987">
        <v>20</v>
      </c>
      <c r="N987" t="s">
        <v>3083</v>
      </c>
      <c r="O987">
        <v>2006</v>
      </c>
      <c r="P987" t="s">
        <v>7985</v>
      </c>
      <c r="Q987" t="s">
        <v>7986</v>
      </c>
      <c r="R987">
        <v>39907</v>
      </c>
      <c r="S987" t="s">
        <v>7987</v>
      </c>
      <c r="T987" t="s">
        <v>7988</v>
      </c>
      <c r="U987">
        <v>1986</v>
      </c>
      <c r="V987" t="s">
        <v>7989</v>
      </c>
      <c r="W987">
        <v>1.8</v>
      </c>
      <c r="X987" t="s">
        <v>4254</v>
      </c>
      <c r="Y987" t="s">
        <v>259</v>
      </c>
      <c r="Z987" t="s">
        <v>87</v>
      </c>
      <c r="AA987" t="s">
        <v>1652</v>
      </c>
      <c r="AB987" s="1">
        <v>44933</v>
      </c>
      <c r="AC987" t="s">
        <v>108</v>
      </c>
      <c r="AD987" t="s">
        <v>89</v>
      </c>
      <c r="AE987" s="1">
        <v>2006</v>
      </c>
      <c r="AF987">
        <v>20</v>
      </c>
      <c r="AG987" t="s">
        <v>206</v>
      </c>
      <c r="AH987">
        <v>2006</v>
      </c>
      <c r="AI987">
        <v>20</v>
      </c>
      <c r="AJ987">
        <v>0</v>
      </c>
      <c r="AK987">
        <v>20</v>
      </c>
      <c r="AL987">
        <v>19</v>
      </c>
      <c r="AM987">
        <v>516</v>
      </c>
      <c r="AN987">
        <v>55</v>
      </c>
      <c r="AO987">
        <v>11</v>
      </c>
      <c r="AP987" t="s">
        <v>93</v>
      </c>
      <c r="AQ987" t="s">
        <v>89</v>
      </c>
      <c r="AR987" t="s">
        <v>89</v>
      </c>
      <c r="AS987" t="s">
        <v>111</v>
      </c>
      <c r="AT987" s="1">
        <v>44933</v>
      </c>
      <c r="AU987">
        <v>2023</v>
      </c>
      <c r="AV987">
        <v>17</v>
      </c>
      <c r="AW987">
        <v>17</v>
      </c>
      <c r="AX987" t="s">
        <v>89</v>
      </c>
      <c r="AY987" t="s">
        <v>111</v>
      </c>
      <c r="AZ987">
        <v>10</v>
      </c>
      <c r="BA987">
        <v>17</v>
      </c>
      <c r="BB987">
        <v>995</v>
      </c>
      <c r="BC987">
        <v>2</v>
      </c>
      <c r="BD987">
        <v>432</v>
      </c>
      <c r="BE987">
        <v>31698</v>
      </c>
      <c r="BF987">
        <v>19</v>
      </c>
      <c r="BG987">
        <v>37</v>
      </c>
      <c r="BH987">
        <v>449</v>
      </c>
      <c r="BI987">
        <v>32693</v>
      </c>
      <c r="BJ987">
        <v>21</v>
      </c>
      <c r="BK987">
        <f t="shared" si="137"/>
        <v>449</v>
      </c>
      <c r="BL987">
        <f t="shared" si="138"/>
        <v>32693</v>
      </c>
      <c r="BM987">
        <f t="shared" si="139"/>
        <v>21</v>
      </c>
      <c r="BN987">
        <f t="shared" si="140"/>
        <v>0</v>
      </c>
      <c r="BO987">
        <f t="shared" si="141"/>
        <v>0</v>
      </c>
      <c r="BP987">
        <f t="shared" si="142"/>
        <v>0</v>
      </c>
      <c r="BQ987" t="s">
        <v>259</v>
      </c>
      <c r="BR987" t="s">
        <v>94</v>
      </c>
      <c r="BS987" t="s">
        <v>89</v>
      </c>
      <c r="BT987">
        <v>40</v>
      </c>
      <c r="BU987" s="1">
        <v>44933</v>
      </c>
      <c r="BV987" s="1">
        <v>45108</v>
      </c>
      <c r="BW987">
        <v>17</v>
      </c>
      <c r="BX987">
        <v>1986</v>
      </c>
      <c r="BY987">
        <v>17</v>
      </c>
      <c r="BZ987">
        <f t="shared" si="143"/>
        <v>0</v>
      </c>
      <c r="CA987">
        <f t="shared" si="144"/>
        <v>0</v>
      </c>
      <c r="CB987" t="b">
        <f t="shared" si="145"/>
        <v>1</v>
      </c>
    </row>
    <row r="988" spans="1:80" x14ac:dyDescent="0.3">
      <c r="A988" t="s">
        <v>7990</v>
      </c>
      <c r="B988" t="s">
        <v>603</v>
      </c>
      <c r="C988" t="s">
        <v>7991</v>
      </c>
      <c r="D988">
        <v>41</v>
      </c>
      <c r="E988" s="1">
        <v>30854</v>
      </c>
      <c r="F988" t="s">
        <v>89</v>
      </c>
      <c r="G988" t="s">
        <v>176</v>
      </c>
      <c r="H988" t="s">
        <v>606</v>
      </c>
      <c r="I988" t="s">
        <v>227</v>
      </c>
      <c r="J988" t="s">
        <v>78</v>
      </c>
      <c r="K988" t="s">
        <v>89</v>
      </c>
      <c r="L988" t="s">
        <v>117</v>
      </c>
      <c r="M988">
        <v>21</v>
      </c>
      <c r="N988" t="s">
        <v>1126</v>
      </c>
      <c r="O988">
        <v>2005</v>
      </c>
      <c r="P988" t="s">
        <v>7992</v>
      </c>
      <c r="Q988" t="s">
        <v>7993</v>
      </c>
      <c r="R988">
        <v>28318</v>
      </c>
      <c r="S988" t="s">
        <v>7990</v>
      </c>
      <c r="T988" t="s">
        <v>7994</v>
      </c>
      <c r="U988">
        <v>1984</v>
      </c>
      <c r="V988" t="s">
        <v>1594</v>
      </c>
      <c r="W988">
        <v>1.82</v>
      </c>
      <c r="X988" t="s">
        <v>4254</v>
      </c>
      <c r="Y988" t="s">
        <v>235</v>
      </c>
      <c r="Z988" t="s">
        <v>87</v>
      </c>
      <c r="AA988" t="s">
        <v>7995</v>
      </c>
      <c r="AB988" s="1">
        <v>43079</v>
      </c>
      <c r="AC988" t="s">
        <v>108</v>
      </c>
      <c r="AD988" t="s">
        <v>89</v>
      </c>
      <c r="AE988">
        <v>2005</v>
      </c>
      <c r="AF988">
        <v>21</v>
      </c>
      <c r="AG988" t="s">
        <v>206</v>
      </c>
      <c r="AH988">
        <v>2001</v>
      </c>
      <c r="AI988">
        <v>17</v>
      </c>
      <c r="AJ988">
        <v>0</v>
      </c>
      <c r="AK988">
        <v>17</v>
      </c>
      <c r="AL988">
        <v>4</v>
      </c>
      <c r="AM988">
        <v>213</v>
      </c>
      <c r="AN988">
        <v>30</v>
      </c>
      <c r="AO988">
        <v>4</v>
      </c>
      <c r="AP988" t="s">
        <v>93</v>
      </c>
      <c r="AQ988" t="s">
        <v>89</v>
      </c>
      <c r="AR988" t="s">
        <v>89</v>
      </c>
      <c r="AS988" t="s">
        <v>111</v>
      </c>
      <c r="AT988" s="1">
        <v>43079</v>
      </c>
      <c r="AU988">
        <v>2017</v>
      </c>
      <c r="AV988">
        <v>12</v>
      </c>
      <c r="AW988">
        <v>12</v>
      </c>
      <c r="AX988" t="s">
        <v>89</v>
      </c>
      <c r="AY988" t="s">
        <v>111</v>
      </c>
      <c r="AZ988">
        <v>1</v>
      </c>
      <c r="BA988">
        <v>1</v>
      </c>
      <c r="BB988">
        <v>90</v>
      </c>
      <c r="BC988">
        <v>0</v>
      </c>
      <c r="BD988">
        <v>235</v>
      </c>
      <c r="BE988">
        <v>20063</v>
      </c>
      <c r="BF988">
        <v>5</v>
      </c>
      <c r="BG988">
        <v>33</v>
      </c>
      <c r="BH988">
        <v>236</v>
      </c>
      <c r="BI988">
        <v>20153</v>
      </c>
      <c r="BJ988">
        <v>5</v>
      </c>
      <c r="BK988">
        <f t="shared" si="137"/>
        <v>236</v>
      </c>
      <c r="BL988">
        <f t="shared" si="138"/>
        <v>20153</v>
      </c>
      <c r="BM988">
        <f t="shared" si="139"/>
        <v>5</v>
      </c>
      <c r="BN988">
        <f t="shared" si="140"/>
        <v>0</v>
      </c>
      <c r="BO988">
        <f t="shared" si="141"/>
        <v>0</v>
      </c>
      <c r="BP988">
        <f t="shared" si="142"/>
        <v>0</v>
      </c>
      <c r="BQ988" t="s">
        <v>235</v>
      </c>
      <c r="BR988" t="s">
        <v>140</v>
      </c>
      <c r="BS988" s="1">
        <v>30854</v>
      </c>
      <c r="BT988">
        <v>41</v>
      </c>
      <c r="BU988" s="1">
        <v>43079</v>
      </c>
      <c r="BV988" s="1">
        <v>43020</v>
      </c>
      <c r="BW988">
        <v>16</v>
      </c>
      <c r="BX988">
        <v>1984</v>
      </c>
      <c r="BY988">
        <v>16</v>
      </c>
      <c r="BZ988">
        <f t="shared" si="143"/>
        <v>-4</v>
      </c>
      <c r="CA988">
        <f t="shared" si="144"/>
        <v>0</v>
      </c>
      <c r="CB988" t="b">
        <f t="shared" si="145"/>
        <v>0</v>
      </c>
    </row>
    <row r="989" spans="1:80" x14ac:dyDescent="0.3">
      <c r="A989" t="s">
        <v>7996</v>
      </c>
      <c r="B989" t="s">
        <v>603</v>
      </c>
      <c r="C989" t="s">
        <v>7997</v>
      </c>
      <c r="D989">
        <v>35</v>
      </c>
      <c r="E989">
        <v>32883</v>
      </c>
      <c r="F989" t="s">
        <v>89</v>
      </c>
      <c r="G989" t="s">
        <v>176</v>
      </c>
      <c r="H989" t="s">
        <v>606</v>
      </c>
      <c r="I989" t="s">
        <v>555</v>
      </c>
      <c r="J989" t="s">
        <v>89</v>
      </c>
      <c r="K989" t="s">
        <v>89</v>
      </c>
      <c r="L989" t="s">
        <v>278</v>
      </c>
      <c r="M989">
        <v>21</v>
      </c>
      <c r="N989" t="s">
        <v>162</v>
      </c>
      <c r="O989">
        <v>2011</v>
      </c>
      <c r="P989" t="s">
        <v>7998</v>
      </c>
      <c r="Q989" t="s">
        <v>7999</v>
      </c>
      <c r="R989">
        <v>176610</v>
      </c>
      <c r="S989" t="s">
        <v>7996</v>
      </c>
      <c r="T989">
        <v>33147</v>
      </c>
      <c r="U989">
        <v>1990</v>
      </c>
      <c r="V989" t="s">
        <v>1594</v>
      </c>
      <c r="W989">
        <v>1.82</v>
      </c>
      <c r="X989" t="s">
        <v>606</v>
      </c>
      <c r="Y989" t="s">
        <v>86</v>
      </c>
      <c r="Z989" t="s">
        <v>87</v>
      </c>
      <c r="AA989" t="s">
        <v>476</v>
      </c>
      <c r="AB989" s="1">
        <v>45298</v>
      </c>
      <c r="AC989" t="s">
        <v>108</v>
      </c>
      <c r="AD989" t="s">
        <v>89</v>
      </c>
      <c r="AE989" t="s">
        <v>6160</v>
      </c>
      <c r="AF989">
        <v>22</v>
      </c>
      <c r="AG989" t="s">
        <v>1360</v>
      </c>
      <c r="AH989" t="s">
        <v>1729</v>
      </c>
      <c r="AI989">
        <v>24</v>
      </c>
      <c r="AJ989" t="s">
        <v>110</v>
      </c>
      <c r="AK989">
        <v>22</v>
      </c>
      <c r="AL989">
        <v>2</v>
      </c>
      <c r="AM989">
        <v>74</v>
      </c>
      <c r="AN989">
        <v>10</v>
      </c>
      <c r="AO989">
        <v>2</v>
      </c>
      <c r="AP989" t="s">
        <v>93</v>
      </c>
      <c r="AQ989" t="s">
        <v>89</v>
      </c>
      <c r="AR989" t="s">
        <v>89</v>
      </c>
      <c r="AS989" t="s">
        <v>93</v>
      </c>
      <c r="AT989" t="s">
        <v>89</v>
      </c>
      <c r="AU989" t="s">
        <v>89</v>
      </c>
      <c r="AV989" t="s">
        <v>89</v>
      </c>
      <c r="AW989">
        <v>14</v>
      </c>
      <c r="AX989" t="s">
        <v>89</v>
      </c>
      <c r="AY989" t="s">
        <v>93</v>
      </c>
      <c r="AZ989">
        <v>0</v>
      </c>
      <c r="BA989">
        <v>0</v>
      </c>
      <c r="BB989">
        <v>0</v>
      </c>
      <c r="BC989">
        <v>0</v>
      </c>
      <c r="BD989">
        <v>205</v>
      </c>
      <c r="BE989">
        <v>13232</v>
      </c>
      <c r="BF989">
        <v>17</v>
      </c>
      <c r="BG989" t="s">
        <v>89</v>
      </c>
      <c r="BH989">
        <v>205</v>
      </c>
      <c r="BI989">
        <v>13232</v>
      </c>
      <c r="BJ989">
        <v>17</v>
      </c>
      <c r="BK989">
        <f t="shared" si="137"/>
        <v>205</v>
      </c>
      <c r="BL989">
        <f t="shared" si="138"/>
        <v>13232</v>
      </c>
      <c r="BM989">
        <f t="shared" si="139"/>
        <v>17</v>
      </c>
      <c r="BN989">
        <f t="shared" si="140"/>
        <v>0</v>
      </c>
      <c r="BO989">
        <f t="shared" si="141"/>
        <v>0</v>
      </c>
      <c r="BP989">
        <f t="shared" si="142"/>
        <v>0</v>
      </c>
      <c r="BQ989" t="s">
        <v>86</v>
      </c>
      <c r="BR989" t="s">
        <v>94</v>
      </c>
      <c r="BS989" t="s">
        <v>89</v>
      </c>
      <c r="BT989">
        <v>36</v>
      </c>
      <c r="BU989" t="s">
        <v>89</v>
      </c>
      <c r="BV989" t="s">
        <v>89</v>
      </c>
      <c r="BW989">
        <v>14</v>
      </c>
      <c r="BX989">
        <v>1990</v>
      </c>
      <c r="BY989">
        <v>13</v>
      </c>
      <c r="BZ989">
        <f t="shared" si="143"/>
        <v>0</v>
      </c>
      <c r="CA989">
        <f t="shared" si="144"/>
        <v>1</v>
      </c>
      <c r="CB989" t="b">
        <f t="shared" si="145"/>
        <v>1</v>
      </c>
    </row>
    <row r="990" spans="1:80" x14ac:dyDescent="0.3">
      <c r="A990" t="s">
        <v>8000</v>
      </c>
      <c r="B990" t="s">
        <v>6287</v>
      </c>
      <c r="C990" t="s">
        <v>8001</v>
      </c>
      <c r="D990">
        <v>40</v>
      </c>
      <c r="E990" s="1">
        <v>31238</v>
      </c>
      <c r="F990" t="s">
        <v>89</v>
      </c>
      <c r="G990" t="s">
        <v>400</v>
      </c>
      <c r="H990" t="s">
        <v>6289</v>
      </c>
      <c r="I990" t="s">
        <v>161</v>
      </c>
      <c r="J990" t="s">
        <v>78</v>
      </c>
      <c r="K990" t="s">
        <v>89</v>
      </c>
      <c r="L990" t="s">
        <v>130</v>
      </c>
      <c r="M990">
        <v>23</v>
      </c>
      <c r="N990" t="s">
        <v>197</v>
      </c>
      <c r="O990">
        <v>2008</v>
      </c>
      <c r="P990" t="s">
        <v>8002</v>
      </c>
      <c r="Q990" t="s">
        <v>8003</v>
      </c>
      <c r="R990">
        <v>30982</v>
      </c>
      <c r="S990" t="s">
        <v>8004</v>
      </c>
      <c r="T990" t="s">
        <v>8005</v>
      </c>
      <c r="U990">
        <v>1985</v>
      </c>
      <c r="V990" t="s">
        <v>8006</v>
      </c>
      <c r="W990">
        <v>1.82</v>
      </c>
      <c r="X990" t="s">
        <v>6293</v>
      </c>
      <c r="Y990" t="s">
        <v>123</v>
      </c>
      <c r="Z990" t="s">
        <v>87</v>
      </c>
      <c r="AA990" t="s">
        <v>8007</v>
      </c>
      <c r="AB990">
        <v>45658</v>
      </c>
      <c r="AC990" t="s">
        <v>108</v>
      </c>
      <c r="AD990" t="s">
        <v>3735</v>
      </c>
      <c r="AE990" t="s">
        <v>295</v>
      </c>
      <c r="AF990">
        <v>19</v>
      </c>
      <c r="AG990" t="s">
        <v>8008</v>
      </c>
      <c r="AH990">
        <v>41672</v>
      </c>
      <c r="AI990">
        <v>28</v>
      </c>
      <c r="AJ990" t="s">
        <v>855</v>
      </c>
      <c r="AK990">
        <v>19</v>
      </c>
      <c r="AL990">
        <v>3</v>
      </c>
      <c r="AM990">
        <v>246</v>
      </c>
      <c r="AN990">
        <v>30</v>
      </c>
      <c r="AO990">
        <v>3</v>
      </c>
      <c r="AP990" t="s">
        <v>93</v>
      </c>
      <c r="AQ990" t="s">
        <v>89</v>
      </c>
      <c r="AR990" t="s">
        <v>89</v>
      </c>
      <c r="AS990" t="s">
        <v>111</v>
      </c>
      <c r="AT990">
        <v>45658</v>
      </c>
      <c r="AU990">
        <v>2025</v>
      </c>
      <c r="AV990">
        <v>17</v>
      </c>
      <c r="AW990">
        <v>17</v>
      </c>
      <c r="AX990" t="s">
        <v>89</v>
      </c>
      <c r="AY990" t="s">
        <v>111</v>
      </c>
      <c r="AZ990">
        <v>8</v>
      </c>
      <c r="BA990">
        <v>35</v>
      </c>
      <c r="BB990">
        <v>2445</v>
      </c>
      <c r="BC990">
        <v>14</v>
      </c>
      <c r="BD990">
        <v>318</v>
      </c>
      <c r="BE990">
        <v>20595</v>
      </c>
      <c r="BF990">
        <v>72</v>
      </c>
      <c r="BG990">
        <v>40</v>
      </c>
      <c r="BH990">
        <v>353</v>
      </c>
      <c r="BI990">
        <v>23040</v>
      </c>
      <c r="BJ990">
        <v>86</v>
      </c>
      <c r="BK990">
        <f t="shared" si="137"/>
        <v>353</v>
      </c>
      <c r="BL990">
        <f t="shared" si="138"/>
        <v>23040</v>
      </c>
      <c r="BM990">
        <f t="shared" si="139"/>
        <v>86</v>
      </c>
      <c r="BN990">
        <f t="shared" si="140"/>
        <v>0</v>
      </c>
      <c r="BO990">
        <f t="shared" si="141"/>
        <v>0</v>
      </c>
      <c r="BP990">
        <f t="shared" si="142"/>
        <v>0</v>
      </c>
      <c r="BQ990" t="s">
        <v>123</v>
      </c>
      <c r="BR990" t="s">
        <v>112</v>
      </c>
      <c r="BS990" t="s">
        <v>89</v>
      </c>
      <c r="BT990">
        <v>41</v>
      </c>
      <c r="BU990">
        <v>45658</v>
      </c>
      <c r="BV990" t="s">
        <v>89</v>
      </c>
      <c r="BW990">
        <v>21</v>
      </c>
      <c r="BX990">
        <v>1985</v>
      </c>
      <c r="BY990">
        <v>21</v>
      </c>
      <c r="BZ990">
        <f t="shared" si="143"/>
        <v>-4</v>
      </c>
      <c r="CA990">
        <f t="shared" si="144"/>
        <v>0</v>
      </c>
      <c r="CB990" t="b">
        <f t="shared" si="145"/>
        <v>0</v>
      </c>
    </row>
    <row r="991" spans="1:80" x14ac:dyDescent="0.3">
      <c r="A991" t="s">
        <v>8009</v>
      </c>
      <c r="B991" t="s">
        <v>2262</v>
      </c>
      <c r="C991" t="s">
        <v>8010</v>
      </c>
      <c r="D991">
        <v>38</v>
      </c>
      <c r="E991">
        <v>31853</v>
      </c>
      <c r="F991" t="s">
        <v>89</v>
      </c>
      <c r="G991" t="s">
        <v>535</v>
      </c>
      <c r="H991" t="s">
        <v>2264</v>
      </c>
      <c r="I991" t="s">
        <v>340</v>
      </c>
      <c r="J991" t="s">
        <v>78</v>
      </c>
      <c r="K991" t="s">
        <v>89</v>
      </c>
      <c r="L991" t="s">
        <v>163</v>
      </c>
      <c r="M991">
        <v>19</v>
      </c>
      <c r="N991" t="s">
        <v>8011</v>
      </c>
      <c r="O991">
        <v>2006</v>
      </c>
      <c r="P991" t="s">
        <v>8012</v>
      </c>
      <c r="Q991" t="s">
        <v>8013</v>
      </c>
      <c r="R991">
        <v>32622</v>
      </c>
      <c r="S991" t="s">
        <v>8009</v>
      </c>
      <c r="T991" t="s">
        <v>3630</v>
      </c>
      <c r="U991">
        <v>1987</v>
      </c>
      <c r="V991" t="s">
        <v>8014</v>
      </c>
      <c r="W991">
        <v>1.75</v>
      </c>
      <c r="X991" t="s">
        <v>2264</v>
      </c>
      <c r="Y991" t="s">
        <v>494</v>
      </c>
      <c r="Z991" t="s">
        <v>87</v>
      </c>
      <c r="AA991" t="s">
        <v>8015</v>
      </c>
      <c r="AB991" t="s">
        <v>8016</v>
      </c>
      <c r="AC991" t="s">
        <v>108</v>
      </c>
      <c r="AD991" t="s">
        <v>89</v>
      </c>
      <c r="AE991" t="s">
        <v>8017</v>
      </c>
      <c r="AF991">
        <v>19</v>
      </c>
      <c r="AG991" t="s">
        <v>2272</v>
      </c>
      <c r="AH991" t="s">
        <v>1378</v>
      </c>
      <c r="AI991">
        <v>23</v>
      </c>
      <c r="AJ991" t="s">
        <v>250</v>
      </c>
      <c r="AK991">
        <v>19</v>
      </c>
      <c r="AL991">
        <v>28</v>
      </c>
      <c r="AM991">
        <v>819</v>
      </c>
      <c r="AN991">
        <v>154</v>
      </c>
      <c r="AO991">
        <v>10</v>
      </c>
      <c r="AP991" t="s">
        <v>93</v>
      </c>
      <c r="AQ991" t="s">
        <v>89</v>
      </c>
      <c r="AR991" t="s">
        <v>89</v>
      </c>
      <c r="AS991" t="s">
        <v>111</v>
      </c>
      <c r="AT991" t="s">
        <v>8016</v>
      </c>
      <c r="AU991">
        <v>2022</v>
      </c>
      <c r="AV991">
        <v>16</v>
      </c>
      <c r="AW991">
        <v>16</v>
      </c>
      <c r="AX991" t="s">
        <v>89</v>
      </c>
      <c r="AY991" t="s">
        <v>93</v>
      </c>
      <c r="AZ991">
        <v>0</v>
      </c>
      <c r="BA991">
        <v>0</v>
      </c>
      <c r="BB991">
        <v>0</v>
      </c>
      <c r="BC991">
        <v>0</v>
      </c>
      <c r="BD991">
        <v>285</v>
      </c>
      <c r="BE991">
        <v>19661</v>
      </c>
      <c r="BF991">
        <v>28</v>
      </c>
      <c r="BG991">
        <v>35</v>
      </c>
      <c r="BH991">
        <v>285</v>
      </c>
      <c r="BI991">
        <v>19661</v>
      </c>
      <c r="BJ991">
        <v>28</v>
      </c>
      <c r="BK991">
        <f t="shared" si="137"/>
        <v>285</v>
      </c>
      <c r="BL991">
        <f t="shared" si="138"/>
        <v>19661</v>
      </c>
      <c r="BM991">
        <f t="shared" si="139"/>
        <v>28</v>
      </c>
      <c r="BN991">
        <f t="shared" si="140"/>
        <v>0</v>
      </c>
      <c r="BO991">
        <f t="shared" si="141"/>
        <v>0</v>
      </c>
      <c r="BP991">
        <f t="shared" si="142"/>
        <v>0</v>
      </c>
      <c r="BQ991" t="s">
        <v>494</v>
      </c>
      <c r="BR991" t="s">
        <v>112</v>
      </c>
      <c r="BS991" s="1">
        <v>31853</v>
      </c>
      <c r="BT991">
        <v>38</v>
      </c>
      <c r="BU991" t="s">
        <v>8016</v>
      </c>
      <c r="BV991" s="1">
        <v>44916</v>
      </c>
      <c r="BW991">
        <v>16</v>
      </c>
      <c r="BX991">
        <v>1987</v>
      </c>
      <c r="BY991">
        <v>16</v>
      </c>
      <c r="BZ991">
        <f t="shared" si="143"/>
        <v>0</v>
      </c>
      <c r="CA991">
        <f t="shared" si="144"/>
        <v>0</v>
      </c>
      <c r="CB991" t="b">
        <f t="shared" si="145"/>
        <v>1</v>
      </c>
    </row>
    <row r="992" spans="1:80" x14ac:dyDescent="0.3">
      <c r="A992" t="s">
        <v>8018</v>
      </c>
      <c r="B992" t="s">
        <v>1056</v>
      </c>
      <c r="C992" t="s">
        <v>8019</v>
      </c>
      <c r="D992">
        <v>35</v>
      </c>
      <c r="E992" s="1">
        <v>32958</v>
      </c>
      <c r="F992" t="s">
        <v>89</v>
      </c>
      <c r="G992" t="s">
        <v>115</v>
      </c>
      <c r="H992" t="s">
        <v>1058</v>
      </c>
      <c r="I992" t="s">
        <v>253</v>
      </c>
      <c r="J992" t="s">
        <v>78</v>
      </c>
      <c r="K992" t="s">
        <v>89</v>
      </c>
      <c r="L992" t="s">
        <v>278</v>
      </c>
      <c r="M992">
        <v>21</v>
      </c>
      <c r="N992" t="s">
        <v>4396</v>
      </c>
      <c r="O992">
        <v>2011</v>
      </c>
      <c r="P992" t="s">
        <v>8020</v>
      </c>
      <c r="Q992" t="s">
        <v>8021</v>
      </c>
      <c r="R992">
        <v>118008</v>
      </c>
      <c r="S992" t="s">
        <v>8018</v>
      </c>
      <c r="T992" t="s">
        <v>8022</v>
      </c>
      <c r="U992">
        <v>1990</v>
      </c>
      <c r="V992" t="s">
        <v>4437</v>
      </c>
      <c r="W992">
        <v>1.82</v>
      </c>
      <c r="X992" t="s">
        <v>1058</v>
      </c>
      <c r="Y992" t="s">
        <v>86</v>
      </c>
      <c r="Z992" t="s">
        <v>87</v>
      </c>
      <c r="AA992" t="s">
        <v>89</v>
      </c>
      <c r="AB992" t="s">
        <v>89</v>
      </c>
      <c r="AC992" t="s">
        <v>89</v>
      </c>
      <c r="AD992" t="s">
        <v>89</v>
      </c>
      <c r="AE992" t="s">
        <v>8023</v>
      </c>
      <c r="AF992">
        <v>23</v>
      </c>
      <c r="AG992" t="s">
        <v>8024</v>
      </c>
      <c r="AH992" t="s">
        <v>8025</v>
      </c>
      <c r="AI992">
        <v>20</v>
      </c>
      <c r="AJ992" t="s">
        <v>1044</v>
      </c>
      <c r="AK992">
        <v>20</v>
      </c>
      <c r="AL992" t="s">
        <v>89</v>
      </c>
      <c r="AM992" t="s">
        <v>89</v>
      </c>
      <c r="AN992" t="s">
        <v>89</v>
      </c>
      <c r="AO992">
        <v>0</v>
      </c>
      <c r="AP992" t="s">
        <v>111</v>
      </c>
      <c r="AQ992" t="s">
        <v>8026</v>
      </c>
      <c r="AR992">
        <v>26</v>
      </c>
      <c r="AS992" t="s">
        <v>93</v>
      </c>
      <c r="AT992" t="s">
        <v>89</v>
      </c>
      <c r="AU992" t="s">
        <v>89</v>
      </c>
      <c r="AV992">
        <v>5</v>
      </c>
      <c r="AW992">
        <v>5</v>
      </c>
      <c r="AX992" t="s">
        <v>89</v>
      </c>
      <c r="AY992" t="s">
        <v>111</v>
      </c>
      <c r="AZ992">
        <v>2</v>
      </c>
      <c r="BA992">
        <v>1</v>
      </c>
      <c r="BB992">
        <v>34</v>
      </c>
      <c r="BC992">
        <v>0</v>
      </c>
      <c r="BD992">
        <v>87</v>
      </c>
      <c r="BE992">
        <v>5191</v>
      </c>
      <c r="BF992">
        <v>4</v>
      </c>
      <c r="BG992" t="s">
        <v>89</v>
      </c>
      <c r="BH992">
        <v>88</v>
      </c>
      <c r="BI992">
        <v>5225</v>
      </c>
      <c r="BJ992">
        <v>4</v>
      </c>
      <c r="BK992">
        <f t="shared" si="137"/>
        <v>88</v>
      </c>
      <c r="BL992">
        <f t="shared" si="138"/>
        <v>5225</v>
      </c>
      <c r="BM992">
        <f t="shared" si="139"/>
        <v>4</v>
      </c>
      <c r="BN992">
        <f t="shared" si="140"/>
        <v>0</v>
      </c>
      <c r="BO992">
        <f t="shared" si="141"/>
        <v>0</v>
      </c>
      <c r="BP992">
        <f t="shared" si="142"/>
        <v>0</v>
      </c>
      <c r="BQ992" t="s">
        <v>86</v>
      </c>
      <c r="BR992" t="s">
        <v>94</v>
      </c>
      <c r="BS992" s="1">
        <v>32958</v>
      </c>
      <c r="BT992">
        <v>35</v>
      </c>
      <c r="BU992" t="s">
        <v>89</v>
      </c>
      <c r="BV992" t="s">
        <v>89</v>
      </c>
      <c r="BW992">
        <v>6</v>
      </c>
      <c r="BX992">
        <v>1990</v>
      </c>
      <c r="BY992">
        <v>6</v>
      </c>
      <c r="BZ992">
        <f t="shared" si="143"/>
        <v>-1</v>
      </c>
      <c r="CA992">
        <f t="shared" si="144"/>
        <v>0</v>
      </c>
      <c r="CB992" t="b">
        <f t="shared" si="145"/>
        <v>0</v>
      </c>
    </row>
    <row r="993" spans="1:80" x14ac:dyDescent="0.3">
      <c r="A993" t="s">
        <v>8027</v>
      </c>
      <c r="B993" t="s">
        <v>6322</v>
      </c>
      <c r="C993" t="s">
        <v>8028</v>
      </c>
      <c r="D993">
        <v>44</v>
      </c>
      <c r="E993" s="1">
        <v>29614</v>
      </c>
      <c r="F993" t="s">
        <v>89</v>
      </c>
      <c r="G993" t="s">
        <v>1289</v>
      </c>
      <c r="H993" t="s">
        <v>6324</v>
      </c>
      <c r="I993" t="s">
        <v>195</v>
      </c>
      <c r="J993" t="s">
        <v>300</v>
      </c>
      <c r="K993" t="s">
        <v>89</v>
      </c>
      <c r="L993" t="s">
        <v>845</v>
      </c>
      <c r="M993">
        <v>21</v>
      </c>
      <c r="N993" t="s">
        <v>7475</v>
      </c>
      <c r="O993">
        <v>2002</v>
      </c>
      <c r="P993" t="s">
        <v>8029</v>
      </c>
      <c r="Q993" t="s">
        <v>8030</v>
      </c>
      <c r="R993">
        <v>19058</v>
      </c>
      <c r="S993" t="s">
        <v>8027</v>
      </c>
      <c r="T993" t="s">
        <v>8031</v>
      </c>
      <c r="U993">
        <v>1981</v>
      </c>
      <c r="V993" t="s">
        <v>7210</v>
      </c>
      <c r="W993">
        <v>1.71</v>
      </c>
      <c r="X993" t="s">
        <v>8032</v>
      </c>
      <c r="Y993" t="s">
        <v>203</v>
      </c>
      <c r="Z993" t="s">
        <v>152</v>
      </c>
      <c r="AA993" t="s">
        <v>8033</v>
      </c>
      <c r="AB993" s="1">
        <v>43101</v>
      </c>
      <c r="AC993" t="s">
        <v>108</v>
      </c>
      <c r="AD993" t="s">
        <v>89</v>
      </c>
      <c r="AE993" t="s">
        <v>7481</v>
      </c>
      <c r="AF993">
        <v>21</v>
      </c>
      <c r="AG993" t="s">
        <v>4114</v>
      </c>
      <c r="AH993" t="s">
        <v>8034</v>
      </c>
      <c r="AI993">
        <v>18</v>
      </c>
      <c r="AJ993" t="s">
        <v>4025</v>
      </c>
      <c r="AK993">
        <v>18</v>
      </c>
      <c r="AL993">
        <v>3</v>
      </c>
      <c r="AM993">
        <v>217</v>
      </c>
      <c r="AN993">
        <v>22</v>
      </c>
      <c r="AO993">
        <v>2</v>
      </c>
      <c r="AP993" t="s">
        <v>93</v>
      </c>
      <c r="AQ993" t="s">
        <v>89</v>
      </c>
      <c r="AR993" t="s">
        <v>89</v>
      </c>
      <c r="AS993" t="s">
        <v>111</v>
      </c>
      <c r="AT993" s="1">
        <v>43101</v>
      </c>
      <c r="AU993">
        <v>2018</v>
      </c>
      <c r="AV993">
        <v>16</v>
      </c>
      <c r="AW993">
        <v>16</v>
      </c>
      <c r="AX993" t="s">
        <v>89</v>
      </c>
      <c r="AY993" t="s">
        <v>111</v>
      </c>
      <c r="AZ993">
        <v>2</v>
      </c>
      <c r="BA993">
        <v>1</v>
      </c>
      <c r="BB993">
        <v>37</v>
      </c>
      <c r="BC993">
        <v>0</v>
      </c>
      <c r="BD993">
        <v>333</v>
      </c>
      <c r="BE993">
        <v>28644</v>
      </c>
      <c r="BF993">
        <v>11</v>
      </c>
      <c r="BG993">
        <v>37</v>
      </c>
      <c r="BH993">
        <v>334</v>
      </c>
      <c r="BI993">
        <v>28681</v>
      </c>
      <c r="BJ993">
        <v>11</v>
      </c>
      <c r="BK993">
        <f t="shared" si="137"/>
        <v>334</v>
      </c>
      <c r="BL993">
        <f t="shared" si="138"/>
        <v>28681</v>
      </c>
      <c r="BM993">
        <f t="shared" si="139"/>
        <v>11</v>
      </c>
      <c r="BN993">
        <f t="shared" si="140"/>
        <v>0</v>
      </c>
      <c r="BO993">
        <f t="shared" si="141"/>
        <v>0</v>
      </c>
      <c r="BP993">
        <f t="shared" si="142"/>
        <v>0</v>
      </c>
      <c r="BQ993" t="s">
        <v>203</v>
      </c>
      <c r="BR993" t="s">
        <v>140</v>
      </c>
      <c r="BS993" s="1">
        <v>29614</v>
      </c>
      <c r="BT993">
        <v>45</v>
      </c>
      <c r="BU993" s="1">
        <v>43101</v>
      </c>
      <c r="BV993" s="1">
        <v>43101</v>
      </c>
      <c r="BW993">
        <v>19</v>
      </c>
      <c r="BX993">
        <v>1981</v>
      </c>
      <c r="BY993">
        <v>19</v>
      </c>
      <c r="BZ993">
        <f t="shared" si="143"/>
        <v>-3</v>
      </c>
      <c r="CA993">
        <f t="shared" si="144"/>
        <v>0</v>
      </c>
      <c r="CB993" t="b">
        <f t="shared" si="145"/>
        <v>0</v>
      </c>
    </row>
    <row r="994" spans="1:80" x14ac:dyDescent="0.3">
      <c r="A994" t="s">
        <v>8035</v>
      </c>
      <c r="B994" t="s">
        <v>71</v>
      </c>
      <c r="C994" t="s">
        <v>8036</v>
      </c>
      <c r="D994">
        <v>38</v>
      </c>
      <c r="E994" s="1">
        <v>31868</v>
      </c>
      <c r="F994" t="s">
        <v>89</v>
      </c>
      <c r="G994" t="s">
        <v>115</v>
      </c>
      <c r="H994" t="s">
        <v>89</v>
      </c>
      <c r="I994" t="s">
        <v>1438</v>
      </c>
      <c r="J994" t="s">
        <v>78</v>
      </c>
      <c r="K994" t="s">
        <v>89</v>
      </c>
      <c r="L994" t="s">
        <v>130</v>
      </c>
      <c r="M994">
        <v>21</v>
      </c>
      <c r="N994" t="s">
        <v>519</v>
      </c>
      <c r="O994">
        <v>2008</v>
      </c>
      <c r="P994" t="s">
        <v>8037</v>
      </c>
      <c r="Q994" t="s">
        <v>8038</v>
      </c>
      <c r="R994">
        <v>73138</v>
      </c>
      <c r="S994" t="s">
        <v>8035</v>
      </c>
      <c r="T994">
        <v>31781</v>
      </c>
      <c r="U994">
        <v>1987</v>
      </c>
      <c r="V994" t="s">
        <v>2526</v>
      </c>
      <c r="W994">
        <v>1.8</v>
      </c>
      <c r="X994" t="s">
        <v>76</v>
      </c>
      <c r="Y994" t="s">
        <v>136</v>
      </c>
      <c r="Z994" t="s">
        <v>87</v>
      </c>
      <c r="AA994" t="s">
        <v>8039</v>
      </c>
      <c r="AB994" s="1">
        <v>45664</v>
      </c>
      <c r="AC994" t="s">
        <v>108</v>
      </c>
      <c r="AD994" t="s">
        <v>89</v>
      </c>
      <c r="AE994" t="s">
        <v>237</v>
      </c>
      <c r="AF994">
        <v>23</v>
      </c>
      <c r="AG994" t="s">
        <v>91</v>
      </c>
      <c r="AH994">
        <v>39792</v>
      </c>
      <c r="AI994">
        <v>21</v>
      </c>
      <c r="AJ994" t="s">
        <v>110</v>
      </c>
      <c r="AK994">
        <v>21</v>
      </c>
      <c r="AL994">
        <v>4</v>
      </c>
      <c r="AM994">
        <v>274</v>
      </c>
      <c r="AN994">
        <v>35</v>
      </c>
      <c r="AO994">
        <v>4</v>
      </c>
      <c r="AP994" t="s">
        <v>93</v>
      </c>
      <c r="AQ994" t="s">
        <v>89</v>
      </c>
      <c r="AR994" t="s">
        <v>89</v>
      </c>
      <c r="AS994" t="s">
        <v>111</v>
      </c>
      <c r="AT994" s="1">
        <v>45664</v>
      </c>
      <c r="AU994">
        <v>2025</v>
      </c>
      <c r="AV994">
        <v>17</v>
      </c>
      <c r="AW994">
        <v>17</v>
      </c>
      <c r="AX994" t="s">
        <v>89</v>
      </c>
      <c r="AY994" t="s">
        <v>93</v>
      </c>
      <c r="AZ994">
        <v>0</v>
      </c>
      <c r="BA994">
        <v>0</v>
      </c>
      <c r="BB994">
        <v>0</v>
      </c>
      <c r="BC994">
        <v>0</v>
      </c>
      <c r="BD994">
        <v>199</v>
      </c>
      <c r="BE994">
        <v>16428</v>
      </c>
      <c r="BF994">
        <v>4</v>
      </c>
      <c r="BG994">
        <v>38</v>
      </c>
      <c r="BH994">
        <v>199</v>
      </c>
      <c r="BI994">
        <v>16428</v>
      </c>
      <c r="BJ994">
        <v>4</v>
      </c>
      <c r="BK994">
        <f t="shared" si="137"/>
        <v>199</v>
      </c>
      <c r="BL994">
        <f t="shared" si="138"/>
        <v>16428</v>
      </c>
      <c r="BM994">
        <f t="shared" si="139"/>
        <v>4</v>
      </c>
      <c r="BN994">
        <f t="shared" si="140"/>
        <v>0</v>
      </c>
      <c r="BO994">
        <f t="shared" si="141"/>
        <v>0</v>
      </c>
      <c r="BP994">
        <f t="shared" si="142"/>
        <v>0</v>
      </c>
      <c r="BQ994" t="s">
        <v>136</v>
      </c>
      <c r="BR994" t="s">
        <v>140</v>
      </c>
      <c r="BS994" t="s">
        <v>89</v>
      </c>
      <c r="BT994">
        <v>39</v>
      </c>
      <c r="BU994" s="1">
        <v>45664</v>
      </c>
      <c r="BV994" s="1">
        <v>45839</v>
      </c>
      <c r="BW994">
        <v>17</v>
      </c>
      <c r="BX994">
        <v>1987</v>
      </c>
      <c r="BY994">
        <v>17</v>
      </c>
      <c r="BZ994">
        <f t="shared" si="143"/>
        <v>0</v>
      </c>
      <c r="CA994">
        <f t="shared" si="144"/>
        <v>0</v>
      </c>
      <c r="CB994" t="b">
        <f t="shared" si="145"/>
        <v>1</v>
      </c>
    </row>
    <row r="995" spans="1:80" x14ac:dyDescent="0.3">
      <c r="A995" t="s">
        <v>8040</v>
      </c>
      <c r="B995" t="s">
        <v>71</v>
      </c>
      <c r="C995" t="s">
        <v>8041</v>
      </c>
      <c r="D995">
        <v>30</v>
      </c>
      <c r="E995" t="s">
        <v>8042</v>
      </c>
      <c r="F995" t="s">
        <v>2944</v>
      </c>
      <c r="G995" t="s">
        <v>374</v>
      </c>
      <c r="H995" t="s">
        <v>76</v>
      </c>
      <c r="I995" t="s">
        <v>178</v>
      </c>
      <c r="J995" t="s">
        <v>300</v>
      </c>
      <c r="K995" t="s">
        <v>706</v>
      </c>
      <c r="L995" t="s">
        <v>762</v>
      </c>
      <c r="M995">
        <v>19</v>
      </c>
      <c r="N995" t="s">
        <v>146</v>
      </c>
      <c r="O995">
        <v>2014</v>
      </c>
      <c r="P995" t="s">
        <v>8043</v>
      </c>
      <c r="Q995" t="s">
        <v>8044</v>
      </c>
      <c r="R995">
        <v>286415</v>
      </c>
      <c r="S995" t="s">
        <v>8040</v>
      </c>
      <c r="T995" t="s">
        <v>8045</v>
      </c>
      <c r="U995">
        <v>1994</v>
      </c>
      <c r="V995" t="s">
        <v>323</v>
      </c>
      <c r="W995">
        <v>1.89</v>
      </c>
      <c r="X995" t="s">
        <v>76</v>
      </c>
      <c r="Y995" t="s">
        <v>186</v>
      </c>
      <c r="Z995" t="s">
        <v>152</v>
      </c>
      <c r="AA995" t="s">
        <v>706</v>
      </c>
      <c r="AB995" t="s">
        <v>7590</v>
      </c>
      <c r="AC995" t="s">
        <v>394</v>
      </c>
      <c r="AD995" t="s">
        <v>442</v>
      </c>
      <c r="AE995" s="1">
        <v>42006</v>
      </c>
      <c r="AF995">
        <v>20</v>
      </c>
      <c r="AG995" t="s">
        <v>91</v>
      </c>
      <c r="AH995" t="s">
        <v>92</v>
      </c>
      <c r="AI995" t="s">
        <v>89</v>
      </c>
      <c r="AJ995" t="s">
        <v>92</v>
      </c>
      <c r="AK995">
        <v>20</v>
      </c>
      <c r="AL995">
        <v>8</v>
      </c>
      <c r="AM995">
        <v>247</v>
      </c>
      <c r="AN995">
        <v>22</v>
      </c>
      <c r="AO995">
        <v>5</v>
      </c>
      <c r="AP995" t="s">
        <v>93</v>
      </c>
      <c r="AQ995" t="s">
        <v>89</v>
      </c>
      <c r="AR995" t="s">
        <v>89</v>
      </c>
      <c r="AS995" t="s">
        <v>93</v>
      </c>
      <c r="AT995" t="s">
        <v>89</v>
      </c>
      <c r="AU995" t="s">
        <v>89</v>
      </c>
      <c r="AV995" t="s">
        <v>89</v>
      </c>
      <c r="AW995">
        <v>11</v>
      </c>
      <c r="AX995">
        <v>25</v>
      </c>
      <c r="AY995" t="s">
        <v>111</v>
      </c>
      <c r="AZ995">
        <v>4</v>
      </c>
      <c r="BA995">
        <v>2</v>
      </c>
      <c r="BB995">
        <v>106</v>
      </c>
      <c r="BC995">
        <v>0</v>
      </c>
      <c r="BD995">
        <v>342</v>
      </c>
      <c r="BE995">
        <v>30424</v>
      </c>
      <c r="BF995">
        <v>0</v>
      </c>
      <c r="BG995" t="s">
        <v>89</v>
      </c>
      <c r="BH995">
        <v>344</v>
      </c>
      <c r="BI995">
        <v>30530</v>
      </c>
      <c r="BJ995">
        <v>0</v>
      </c>
      <c r="BK995">
        <f t="shared" si="137"/>
        <v>344</v>
      </c>
      <c r="BL995">
        <f t="shared" si="138"/>
        <v>30530</v>
      </c>
      <c r="BM995">
        <f t="shared" si="139"/>
        <v>0</v>
      </c>
      <c r="BN995">
        <f t="shared" si="140"/>
        <v>0</v>
      </c>
      <c r="BO995">
        <f t="shared" si="141"/>
        <v>0</v>
      </c>
      <c r="BP995">
        <f t="shared" si="142"/>
        <v>0</v>
      </c>
      <c r="BQ995" t="s">
        <v>186</v>
      </c>
      <c r="BR995" t="s">
        <v>186</v>
      </c>
      <c r="BS995" s="1">
        <v>34681</v>
      </c>
      <c r="BT995">
        <v>31</v>
      </c>
      <c r="BU995" t="s">
        <v>89</v>
      </c>
      <c r="BV995" t="s">
        <v>89</v>
      </c>
      <c r="BW995">
        <v>11</v>
      </c>
      <c r="BX995">
        <v>1994</v>
      </c>
      <c r="BY995">
        <v>10</v>
      </c>
      <c r="BZ995">
        <f t="shared" si="143"/>
        <v>0</v>
      </c>
      <c r="CA995">
        <f t="shared" si="144"/>
        <v>1</v>
      </c>
      <c r="CB995" t="b">
        <f t="shared" si="145"/>
        <v>1</v>
      </c>
    </row>
    <row r="996" spans="1:80" x14ac:dyDescent="0.3">
      <c r="A996" t="s">
        <v>8046</v>
      </c>
      <c r="B996" t="s">
        <v>1351</v>
      </c>
      <c r="C996" t="s">
        <v>8047</v>
      </c>
      <c r="D996">
        <v>29</v>
      </c>
      <c r="E996" s="1">
        <v>34958</v>
      </c>
      <c r="F996" t="s">
        <v>89</v>
      </c>
      <c r="G996" t="s">
        <v>75</v>
      </c>
      <c r="H996" t="s">
        <v>1353</v>
      </c>
      <c r="I996" t="s">
        <v>253</v>
      </c>
      <c r="J996" t="s">
        <v>300</v>
      </c>
      <c r="K996" t="s">
        <v>89</v>
      </c>
      <c r="L996" t="s">
        <v>278</v>
      </c>
      <c r="M996">
        <v>15</v>
      </c>
      <c r="N996" t="s">
        <v>146</v>
      </c>
      <c r="O996">
        <v>2011</v>
      </c>
      <c r="P996" t="s">
        <v>8048</v>
      </c>
      <c r="Q996" t="s">
        <v>8049</v>
      </c>
      <c r="R996">
        <v>223643</v>
      </c>
      <c r="S996" t="s">
        <v>8046</v>
      </c>
      <c r="T996" t="s">
        <v>8050</v>
      </c>
      <c r="U996">
        <v>1995</v>
      </c>
      <c r="V996" t="s">
        <v>1358</v>
      </c>
      <c r="W996">
        <v>1.78</v>
      </c>
      <c r="X996" t="s">
        <v>1353</v>
      </c>
      <c r="Y996" t="s">
        <v>86</v>
      </c>
      <c r="Z996" t="s">
        <v>152</v>
      </c>
      <c r="AA996" t="s">
        <v>476</v>
      </c>
      <c r="AB996" s="1">
        <v>44933</v>
      </c>
      <c r="AC996" t="s">
        <v>108</v>
      </c>
      <c r="AD996" t="s">
        <v>89</v>
      </c>
      <c r="AE996">
        <v>41216</v>
      </c>
      <c r="AF996">
        <v>16</v>
      </c>
      <c r="AG996" t="s">
        <v>91</v>
      </c>
      <c r="AH996" t="s">
        <v>92</v>
      </c>
      <c r="AI996" t="s">
        <v>89</v>
      </c>
      <c r="AJ996" t="s">
        <v>92</v>
      </c>
      <c r="AK996">
        <v>16</v>
      </c>
      <c r="AL996" t="s">
        <v>89</v>
      </c>
      <c r="AM996" t="s">
        <v>89</v>
      </c>
      <c r="AN996" t="s">
        <v>89</v>
      </c>
      <c r="AO996">
        <v>0</v>
      </c>
      <c r="AP996" t="s">
        <v>93</v>
      </c>
      <c r="AQ996" t="s">
        <v>89</v>
      </c>
      <c r="AR996" t="s">
        <v>89</v>
      </c>
      <c r="AS996" t="s">
        <v>93</v>
      </c>
      <c r="AT996" t="s">
        <v>89</v>
      </c>
      <c r="AU996" t="s">
        <v>89</v>
      </c>
      <c r="AV996" t="s">
        <v>89</v>
      </c>
      <c r="AW996">
        <v>14</v>
      </c>
      <c r="AX996" t="s">
        <v>89</v>
      </c>
      <c r="AY996" t="s">
        <v>93</v>
      </c>
      <c r="AZ996">
        <v>0</v>
      </c>
      <c r="BA996">
        <v>0</v>
      </c>
      <c r="BB996">
        <v>0</v>
      </c>
      <c r="BC996">
        <v>0</v>
      </c>
      <c r="BD996">
        <v>4</v>
      </c>
      <c r="BE996">
        <v>178</v>
      </c>
      <c r="BF996">
        <v>0</v>
      </c>
      <c r="BG996" t="s">
        <v>89</v>
      </c>
      <c r="BH996">
        <v>4</v>
      </c>
      <c r="BI996">
        <v>178</v>
      </c>
      <c r="BJ996">
        <v>0</v>
      </c>
      <c r="BK996">
        <f t="shared" si="137"/>
        <v>4</v>
      </c>
      <c r="BL996">
        <f t="shared" si="138"/>
        <v>178</v>
      </c>
      <c r="BM996">
        <f t="shared" si="139"/>
        <v>0</v>
      </c>
      <c r="BN996">
        <f t="shared" si="140"/>
        <v>0</v>
      </c>
      <c r="BO996">
        <f t="shared" si="141"/>
        <v>0</v>
      </c>
      <c r="BP996">
        <f t="shared" si="142"/>
        <v>0</v>
      </c>
      <c r="BQ996" t="s">
        <v>86</v>
      </c>
      <c r="BR996" t="s">
        <v>94</v>
      </c>
      <c r="BS996" s="1">
        <v>34958</v>
      </c>
      <c r="BT996">
        <v>30</v>
      </c>
      <c r="BU996" t="s">
        <v>89</v>
      </c>
      <c r="BV996" t="s">
        <v>89</v>
      </c>
      <c r="BW996">
        <v>14</v>
      </c>
      <c r="BX996">
        <v>1995</v>
      </c>
      <c r="BY996">
        <v>13</v>
      </c>
      <c r="BZ996">
        <f t="shared" si="143"/>
        <v>0</v>
      </c>
      <c r="CA996">
        <f t="shared" si="144"/>
        <v>1</v>
      </c>
      <c r="CB996" t="b">
        <f t="shared" si="145"/>
        <v>1</v>
      </c>
    </row>
    <row r="997" spans="1:80" x14ac:dyDescent="0.3">
      <c r="A997" t="s">
        <v>8051</v>
      </c>
      <c r="B997" t="s">
        <v>776</v>
      </c>
      <c r="C997" t="s">
        <v>8052</v>
      </c>
      <c r="D997">
        <v>43</v>
      </c>
      <c r="E997" s="1">
        <v>30077</v>
      </c>
      <c r="F997" t="s">
        <v>89</v>
      </c>
      <c r="G997" t="s">
        <v>277</v>
      </c>
      <c r="H997" t="s">
        <v>89</v>
      </c>
      <c r="I997" t="s">
        <v>227</v>
      </c>
      <c r="J997" t="s">
        <v>89</v>
      </c>
      <c r="K997" t="s">
        <v>89</v>
      </c>
      <c r="L997" t="s">
        <v>163</v>
      </c>
      <c r="M997">
        <v>24</v>
      </c>
      <c r="N997" t="s">
        <v>8053</v>
      </c>
      <c r="O997">
        <v>2006</v>
      </c>
      <c r="P997" t="s">
        <v>8054</v>
      </c>
      <c r="Q997" t="s">
        <v>8055</v>
      </c>
      <c r="R997">
        <v>44700</v>
      </c>
      <c r="S997" t="s">
        <v>8051</v>
      </c>
      <c r="T997" t="s">
        <v>8056</v>
      </c>
      <c r="U997">
        <v>1982</v>
      </c>
      <c r="V997" t="s">
        <v>8057</v>
      </c>
      <c r="W997">
        <v>1.88</v>
      </c>
      <c r="X997" t="s">
        <v>2173</v>
      </c>
      <c r="Y997" t="s">
        <v>235</v>
      </c>
      <c r="Z997" t="s">
        <v>87</v>
      </c>
      <c r="AA997" t="s">
        <v>8058</v>
      </c>
      <c r="AB997" s="1">
        <v>43103</v>
      </c>
      <c r="AC997" t="s">
        <v>108</v>
      </c>
      <c r="AD997" t="s">
        <v>89</v>
      </c>
      <c r="AE997">
        <v>38999</v>
      </c>
      <c r="AF997">
        <v>24</v>
      </c>
      <c r="AG997" t="s">
        <v>613</v>
      </c>
      <c r="AH997" t="s">
        <v>8059</v>
      </c>
      <c r="AI997">
        <v>32</v>
      </c>
      <c r="AJ997" t="s">
        <v>5127</v>
      </c>
      <c r="AK997">
        <v>24</v>
      </c>
      <c r="AL997">
        <v>2</v>
      </c>
      <c r="AM997">
        <v>21</v>
      </c>
      <c r="AN997">
        <v>3</v>
      </c>
      <c r="AO997">
        <v>1</v>
      </c>
      <c r="AP997" t="s">
        <v>93</v>
      </c>
      <c r="AQ997" t="s">
        <v>89</v>
      </c>
      <c r="AR997" t="s">
        <v>89</v>
      </c>
      <c r="AS997" t="s">
        <v>111</v>
      </c>
      <c r="AT997" s="1">
        <v>43103</v>
      </c>
      <c r="AU997">
        <v>2018</v>
      </c>
      <c r="AV997">
        <v>12</v>
      </c>
      <c r="AW997">
        <v>12</v>
      </c>
      <c r="AX997" t="s">
        <v>89</v>
      </c>
      <c r="AY997" t="s">
        <v>93</v>
      </c>
      <c r="AZ997">
        <v>0</v>
      </c>
      <c r="BA997">
        <v>0</v>
      </c>
      <c r="BB997">
        <v>0</v>
      </c>
      <c r="BC997">
        <v>0</v>
      </c>
      <c r="BD997">
        <v>189</v>
      </c>
      <c r="BE997">
        <v>15556</v>
      </c>
      <c r="BF997">
        <v>12</v>
      </c>
      <c r="BG997">
        <v>36</v>
      </c>
      <c r="BH997">
        <v>189</v>
      </c>
      <c r="BI997">
        <v>15556</v>
      </c>
      <c r="BJ997">
        <v>12</v>
      </c>
      <c r="BK997">
        <f t="shared" si="137"/>
        <v>189</v>
      </c>
      <c r="BL997">
        <f t="shared" si="138"/>
        <v>15556</v>
      </c>
      <c r="BM997">
        <f t="shared" si="139"/>
        <v>12</v>
      </c>
      <c r="BN997">
        <f t="shared" si="140"/>
        <v>0</v>
      </c>
      <c r="BO997">
        <f t="shared" si="141"/>
        <v>0</v>
      </c>
      <c r="BP997">
        <f t="shared" si="142"/>
        <v>0</v>
      </c>
      <c r="BQ997" t="s">
        <v>235</v>
      </c>
      <c r="BR997" t="s">
        <v>140</v>
      </c>
      <c r="BS997" t="s">
        <v>89</v>
      </c>
      <c r="BT997">
        <v>44</v>
      </c>
      <c r="BU997" s="1">
        <v>43103</v>
      </c>
      <c r="BV997" s="1">
        <v>43160</v>
      </c>
      <c r="BW997">
        <v>12</v>
      </c>
      <c r="BX997">
        <v>1982</v>
      </c>
      <c r="BY997">
        <v>12</v>
      </c>
      <c r="BZ997">
        <f t="shared" si="143"/>
        <v>0</v>
      </c>
      <c r="CA997">
        <f t="shared" si="144"/>
        <v>0</v>
      </c>
      <c r="CB997" t="b">
        <f t="shared" si="145"/>
        <v>1</v>
      </c>
    </row>
    <row r="998" spans="1:80" x14ac:dyDescent="0.3">
      <c r="A998" t="s">
        <v>8060</v>
      </c>
      <c r="B998" t="s">
        <v>776</v>
      </c>
      <c r="C998" t="s">
        <v>8061</v>
      </c>
      <c r="D998">
        <v>45</v>
      </c>
      <c r="E998" s="1">
        <v>29245</v>
      </c>
      <c r="F998" t="s">
        <v>89</v>
      </c>
      <c r="G998" t="s">
        <v>687</v>
      </c>
      <c r="H998" t="s">
        <v>89</v>
      </c>
      <c r="I998" t="s">
        <v>253</v>
      </c>
      <c r="J998" t="s">
        <v>89</v>
      </c>
      <c r="K998" t="s">
        <v>89</v>
      </c>
      <c r="L998" t="s">
        <v>845</v>
      </c>
      <c r="M998">
        <v>22</v>
      </c>
      <c r="N998" t="s">
        <v>4272</v>
      </c>
      <c r="O998">
        <v>2002</v>
      </c>
      <c r="P998" t="s">
        <v>8062</v>
      </c>
      <c r="Q998" t="s">
        <v>8063</v>
      </c>
      <c r="R998">
        <v>14244</v>
      </c>
      <c r="S998" t="s">
        <v>8060</v>
      </c>
      <c r="T998" t="s">
        <v>8064</v>
      </c>
      <c r="U998">
        <v>1980</v>
      </c>
      <c r="V998" t="s">
        <v>8065</v>
      </c>
      <c r="W998">
        <v>1.73</v>
      </c>
      <c r="X998" t="s">
        <v>2173</v>
      </c>
      <c r="Y998" t="s">
        <v>259</v>
      </c>
      <c r="Z998" t="s">
        <v>87</v>
      </c>
      <c r="AA998" t="s">
        <v>8066</v>
      </c>
      <c r="AB998" s="1">
        <v>41646</v>
      </c>
      <c r="AC998" t="s">
        <v>108</v>
      </c>
      <c r="AD998" t="s">
        <v>89</v>
      </c>
      <c r="AE998">
        <v>36992</v>
      </c>
      <c r="AF998">
        <v>21</v>
      </c>
      <c r="AG998" t="s">
        <v>786</v>
      </c>
      <c r="AH998" t="s">
        <v>92</v>
      </c>
      <c r="AI998" t="s">
        <v>89</v>
      </c>
      <c r="AJ998" t="s">
        <v>92</v>
      </c>
      <c r="AK998">
        <v>21</v>
      </c>
      <c r="AL998" t="s">
        <v>89</v>
      </c>
      <c r="AM998" t="s">
        <v>89</v>
      </c>
      <c r="AN998" t="s">
        <v>89</v>
      </c>
      <c r="AO998">
        <v>0</v>
      </c>
      <c r="AP998" t="s">
        <v>93</v>
      </c>
      <c r="AQ998" t="s">
        <v>89</v>
      </c>
      <c r="AR998" t="s">
        <v>89</v>
      </c>
      <c r="AS998" t="s">
        <v>111</v>
      </c>
      <c r="AT998" s="1">
        <v>41646</v>
      </c>
      <c r="AU998">
        <v>2014</v>
      </c>
      <c r="AV998">
        <v>12</v>
      </c>
      <c r="AW998">
        <v>12</v>
      </c>
      <c r="AX998" t="s">
        <v>89</v>
      </c>
      <c r="AY998" t="s">
        <v>93</v>
      </c>
      <c r="AZ998">
        <v>0</v>
      </c>
      <c r="BA998">
        <v>0</v>
      </c>
      <c r="BB998">
        <v>0</v>
      </c>
      <c r="BC998">
        <v>0</v>
      </c>
      <c r="BD998">
        <v>306</v>
      </c>
      <c r="BE998">
        <v>24752</v>
      </c>
      <c r="BF998">
        <v>3</v>
      </c>
      <c r="BG998">
        <v>34</v>
      </c>
      <c r="BH998">
        <v>306</v>
      </c>
      <c r="BI998">
        <v>24752</v>
      </c>
      <c r="BJ998">
        <v>3</v>
      </c>
      <c r="BK998">
        <f t="shared" si="137"/>
        <v>306</v>
      </c>
      <c r="BL998">
        <f t="shared" si="138"/>
        <v>24752</v>
      </c>
      <c r="BM998">
        <f t="shared" si="139"/>
        <v>3</v>
      </c>
      <c r="BN998">
        <f t="shared" si="140"/>
        <v>0</v>
      </c>
      <c r="BO998">
        <f t="shared" si="141"/>
        <v>0</v>
      </c>
      <c r="BP998">
        <f t="shared" si="142"/>
        <v>0</v>
      </c>
      <c r="BQ998" t="s">
        <v>259</v>
      </c>
      <c r="BR998" t="s">
        <v>94</v>
      </c>
      <c r="BS998" s="1">
        <v>29245</v>
      </c>
      <c r="BT998">
        <v>46</v>
      </c>
      <c r="BU998" s="1">
        <v>41646</v>
      </c>
      <c r="BV998" s="1">
        <v>41821</v>
      </c>
      <c r="BW998">
        <v>13</v>
      </c>
      <c r="BX998">
        <v>1980</v>
      </c>
      <c r="BY998">
        <v>13</v>
      </c>
      <c r="BZ998">
        <f t="shared" si="143"/>
        <v>-1</v>
      </c>
      <c r="CA998">
        <f t="shared" si="144"/>
        <v>0</v>
      </c>
      <c r="CB998" t="b">
        <f t="shared" si="145"/>
        <v>0</v>
      </c>
    </row>
    <row r="999" spans="1:80" x14ac:dyDescent="0.3">
      <c r="A999" t="s">
        <v>8067</v>
      </c>
      <c r="B999" t="s">
        <v>2322</v>
      </c>
      <c r="C999" t="s">
        <v>8068</v>
      </c>
      <c r="D999">
        <v>45</v>
      </c>
      <c r="E999" s="1">
        <v>29252</v>
      </c>
      <c r="F999" t="s">
        <v>89</v>
      </c>
      <c r="G999" t="s">
        <v>176</v>
      </c>
      <c r="H999" t="s">
        <v>2324</v>
      </c>
      <c r="I999" t="s">
        <v>227</v>
      </c>
      <c r="J999" t="s">
        <v>78</v>
      </c>
      <c r="K999" t="s">
        <v>89</v>
      </c>
      <c r="L999" t="s">
        <v>99</v>
      </c>
      <c r="M999">
        <v>21</v>
      </c>
      <c r="N999" t="s">
        <v>8069</v>
      </c>
      <c r="O999">
        <v>2001</v>
      </c>
      <c r="P999" t="s">
        <v>8070</v>
      </c>
      <c r="Q999" t="s">
        <v>8071</v>
      </c>
      <c r="R999">
        <v>38800</v>
      </c>
      <c r="S999" t="s">
        <v>8067</v>
      </c>
      <c r="T999" t="s">
        <v>8072</v>
      </c>
      <c r="U999">
        <v>1980</v>
      </c>
      <c r="V999" t="s">
        <v>2327</v>
      </c>
      <c r="W999">
        <v>1.84</v>
      </c>
      <c r="X999" t="s">
        <v>2324</v>
      </c>
      <c r="Y999" t="s">
        <v>235</v>
      </c>
      <c r="Z999" t="s">
        <v>87</v>
      </c>
      <c r="AA999" t="s">
        <v>8073</v>
      </c>
      <c r="AB999" t="s">
        <v>8074</v>
      </c>
      <c r="AC999" t="s">
        <v>108</v>
      </c>
      <c r="AD999" t="s">
        <v>89</v>
      </c>
      <c r="AE999" t="s">
        <v>8075</v>
      </c>
      <c r="AF999">
        <v>20</v>
      </c>
      <c r="AG999" t="s">
        <v>171</v>
      </c>
      <c r="AH999" t="s">
        <v>8076</v>
      </c>
      <c r="AI999">
        <v>20</v>
      </c>
      <c r="AJ999" t="s">
        <v>575</v>
      </c>
      <c r="AK999">
        <v>20</v>
      </c>
      <c r="AL999">
        <v>1</v>
      </c>
      <c r="AM999">
        <v>31</v>
      </c>
      <c r="AN999">
        <v>6</v>
      </c>
      <c r="AO999">
        <v>1</v>
      </c>
      <c r="AP999" t="s">
        <v>93</v>
      </c>
      <c r="AQ999" t="s">
        <v>89</v>
      </c>
      <c r="AR999" t="s">
        <v>89</v>
      </c>
      <c r="AS999" t="s">
        <v>111</v>
      </c>
      <c r="AT999" t="s">
        <v>8074</v>
      </c>
      <c r="AU999">
        <v>2024</v>
      </c>
      <c r="AV999">
        <v>23</v>
      </c>
      <c r="AW999">
        <v>23</v>
      </c>
      <c r="AX999" t="s">
        <v>89</v>
      </c>
      <c r="AY999" t="s">
        <v>111</v>
      </c>
      <c r="AZ999">
        <v>7</v>
      </c>
      <c r="BA999">
        <v>36</v>
      </c>
      <c r="BB999">
        <v>3153</v>
      </c>
      <c r="BC999">
        <v>1</v>
      </c>
      <c r="BD999">
        <v>587</v>
      </c>
      <c r="BE999">
        <v>50777</v>
      </c>
      <c r="BF999">
        <v>30</v>
      </c>
      <c r="BG999">
        <v>44</v>
      </c>
      <c r="BH999">
        <v>623</v>
      </c>
      <c r="BI999">
        <v>53930</v>
      </c>
      <c r="BJ999">
        <v>31</v>
      </c>
      <c r="BK999">
        <f t="shared" si="137"/>
        <v>623</v>
      </c>
      <c r="BL999">
        <f t="shared" si="138"/>
        <v>53930</v>
      </c>
      <c r="BM999">
        <f t="shared" si="139"/>
        <v>31</v>
      </c>
      <c r="BN999">
        <f t="shared" si="140"/>
        <v>0</v>
      </c>
      <c r="BO999">
        <f t="shared" si="141"/>
        <v>0</v>
      </c>
      <c r="BP999">
        <f t="shared" si="142"/>
        <v>0</v>
      </c>
      <c r="BQ999" t="s">
        <v>235</v>
      </c>
      <c r="BR999" t="s">
        <v>140</v>
      </c>
      <c r="BS999" t="s">
        <v>89</v>
      </c>
      <c r="BT999">
        <v>46</v>
      </c>
      <c r="BU999" t="s">
        <v>8074</v>
      </c>
      <c r="BV999" s="1">
        <v>45585</v>
      </c>
      <c r="BW999">
        <v>24</v>
      </c>
      <c r="BX999">
        <v>1980</v>
      </c>
      <c r="BY999">
        <v>24</v>
      </c>
      <c r="BZ999">
        <f t="shared" si="143"/>
        <v>-1</v>
      </c>
      <c r="CA999">
        <f t="shared" si="144"/>
        <v>0</v>
      </c>
      <c r="CB999" t="b">
        <f t="shared" si="145"/>
        <v>0</v>
      </c>
    </row>
    <row r="1000" spans="1:80" x14ac:dyDescent="0.3">
      <c r="A1000" t="s">
        <v>8077</v>
      </c>
      <c r="B1000" t="s">
        <v>71</v>
      </c>
      <c r="C1000" t="s">
        <v>8078</v>
      </c>
      <c r="D1000">
        <v>38</v>
      </c>
      <c r="E1000" t="s">
        <v>8079</v>
      </c>
      <c r="F1000" t="s">
        <v>517</v>
      </c>
      <c r="G1000" t="s">
        <v>731</v>
      </c>
      <c r="H1000" t="s">
        <v>76</v>
      </c>
      <c r="I1000" t="s">
        <v>668</v>
      </c>
      <c r="J1000" t="s">
        <v>78</v>
      </c>
      <c r="K1000" t="s">
        <v>7146</v>
      </c>
      <c r="L1000" t="s">
        <v>180</v>
      </c>
      <c r="M1000">
        <v>20</v>
      </c>
      <c r="N1000" t="s">
        <v>644</v>
      </c>
      <c r="O1000">
        <v>2007</v>
      </c>
      <c r="P1000" t="s">
        <v>8080</v>
      </c>
      <c r="Q1000" t="s">
        <v>8081</v>
      </c>
      <c r="R1000">
        <v>65278</v>
      </c>
      <c r="S1000" t="s">
        <v>8077</v>
      </c>
      <c r="T1000" t="s">
        <v>8082</v>
      </c>
      <c r="U1000">
        <v>1987</v>
      </c>
      <c r="V1000" t="s">
        <v>523</v>
      </c>
      <c r="W1000">
        <v>1.67</v>
      </c>
      <c r="X1000" t="s">
        <v>76</v>
      </c>
      <c r="Y1000" t="s">
        <v>494</v>
      </c>
      <c r="Z1000" t="s">
        <v>392</v>
      </c>
      <c r="AA1000" t="s">
        <v>7146</v>
      </c>
      <c r="AB1000" t="s">
        <v>8083</v>
      </c>
      <c r="AC1000" t="s">
        <v>170</v>
      </c>
      <c r="AD1000" t="s">
        <v>223</v>
      </c>
      <c r="AE1000" s="1">
        <v>39783</v>
      </c>
      <c r="AF1000">
        <v>20</v>
      </c>
      <c r="AG1000" t="s">
        <v>91</v>
      </c>
      <c r="AH1000" t="s">
        <v>92</v>
      </c>
      <c r="AI1000" t="s">
        <v>89</v>
      </c>
      <c r="AJ1000" t="s">
        <v>92</v>
      </c>
      <c r="AK1000">
        <v>20</v>
      </c>
      <c r="AL1000">
        <v>32</v>
      </c>
      <c r="AM1000">
        <v>434</v>
      </c>
      <c r="AN1000">
        <v>82</v>
      </c>
      <c r="AO1000">
        <v>11</v>
      </c>
      <c r="AP1000" t="s">
        <v>93</v>
      </c>
      <c r="AQ1000" t="s">
        <v>89</v>
      </c>
      <c r="AR1000" t="s">
        <v>89</v>
      </c>
      <c r="AS1000" t="s">
        <v>93</v>
      </c>
      <c r="AT1000" t="s">
        <v>89</v>
      </c>
      <c r="AU1000" t="s">
        <v>89</v>
      </c>
      <c r="AV1000" t="s">
        <v>89</v>
      </c>
      <c r="AW1000">
        <v>18</v>
      </c>
      <c r="AX1000">
        <v>9</v>
      </c>
      <c r="AY1000" t="s">
        <v>111</v>
      </c>
      <c r="AZ1000">
        <v>13</v>
      </c>
      <c r="BA1000">
        <v>50</v>
      </c>
      <c r="BB1000">
        <v>2684</v>
      </c>
      <c r="BC1000">
        <v>9</v>
      </c>
      <c r="BD1000">
        <v>703</v>
      </c>
      <c r="BE1000">
        <v>39365</v>
      </c>
      <c r="BF1000">
        <v>162</v>
      </c>
      <c r="BG1000" t="s">
        <v>89</v>
      </c>
      <c r="BH1000">
        <v>753</v>
      </c>
      <c r="BI1000">
        <v>42049</v>
      </c>
      <c r="BJ1000">
        <v>171</v>
      </c>
      <c r="BK1000">
        <f t="shared" si="137"/>
        <v>753</v>
      </c>
      <c r="BL1000">
        <f t="shared" si="138"/>
        <v>42049</v>
      </c>
      <c r="BM1000">
        <f t="shared" si="139"/>
        <v>171</v>
      </c>
      <c r="BN1000">
        <f t="shared" si="140"/>
        <v>0</v>
      </c>
      <c r="BO1000">
        <f t="shared" si="141"/>
        <v>0</v>
      </c>
      <c r="BP1000">
        <f t="shared" si="142"/>
        <v>0</v>
      </c>
      <c r="BQ1000" t="s">
        <v>494</v>
      </c>
      <c r="BR1000" t="s">
        <v>112</v>
      </c>
      <c r="BS1000" s="1">
        <v>31986</v>
      </c>
      <c r="BT1000">
        <v>38</v>
      </c>
      <c r="BU1000" t="s">
        <v>89</v>
      </c>
      <c r="BV1000" t="s">
        <v>89</v>
      </c>
      <c r="BW1000">
        <v>18</v>
      </c>
      <c r="BX1000">
        <v>1987</v>
      </c>
      <c r="BY1000">
        <v>18</v>
      </c>
      <c r="BZ1000">
        <f t="shared" si="143"/>
        <v>0</v>
      </c>
      <c r="CA1000">
        <f t="shared" si="144"/>
        <v>0</v>
      </c>
      <c r="CB1000" t="b">
        <f t="shared" si="145"/>
        <v>1</v>
      </c>
    </row>
    <row r="1001" spans="1:80" x14ac:dyDescent="0.3">
      <c r="A1001" t="s">
        <v>8084</v>
      </c>
      <c r="B1001" t="s">
        <v>71</v>
      </c>
      <c r="C1001" t="s">
        <v>8085</v>
      </c>
      <c r="D1001">
        <v>34</v>
      </c>
      <c r="E1001" t="s">
        <v>8086</v>
      </c>
      <c r="F1001" t="s">
        <v>3346</v>
      </c>
      <c r="G1001" t="s">
        <v>115</v>
      </c>
      <c r="H1001" t="s">
        <v>89</v>
      </c>
      <c r="I1001" t="s">
        <v>1695</v>
      </c>
      <c r="J1001" t="s">
        <v>639</v>
      </c>
      <c r="K1001" t="s">
        <v>402</v>
      </c>
      <c r="L1001" t="s">
        <v>278</v>
      </c>
      <c r="M1001">
        <v>20</v>
      </c>
      <c r="N1001" t="s">
        <v>164</v>
      </c>
      <c r="O1001">
        <v>2011</v>
      </c>
      <c r="P1001" t="s">
        <v>8087</v>
      </c>
      <c r="Q1001" t="s">
        <v>8088</v>
      </c>
      <c r="R1001">
        <v>203043</v>
      </c>
      <c r="S1001" t="s">
        <v>8084</v>
      </c>
      <c r="T1001" t="s">
        <v>8089</v>
      </c>
      <c r="U1001">
        <v>1990</v>
      </c>
      <c r="V1001" t="s">
        <v>2526</v>
      </c>
      <c r="W1001">
        <v>1.81</v>
      </c>
      <c r="X1001" t="s">
        <v>76</v>
      </c>
      <c r="Y1001" t="s">
        <v>235</v>
      </c>
      <c r="Z1001" t="s">
        <v>152</v>
      </c>
      <c r="AA1001" t="s">
        <v>942</v>
      </c>
      <c r="AB1001" s="1">
        <v>44384</v>
      </c>
      <c r="AC1001" t="s">
        <v>170</v>
      </c>
      <c r="AD1001" t="s">
        <v>89</v>
      </c>
      <c r="AE1001" s="1">
        <v>40553</v>
      </c>
      <c r="AF1001">
        <v>21</v>
      </c>
      <c r="AG1001" t="s">
        <v>91</v>
      </c>
      <c r="AH1001" t="s">
        <v>331</v>
      </c>
      <c r="AI1001">
        <v>23</v>
      </c>
      <c r="AJ1001" t="s">
        <v>110</v>
      </c>
      <c r="AK1001">
        <v>21</v>
      </c>
      <c r="AL1001">
        <v>9</v>
      </c>
      <c r="AM1001">
        <v>373</v>
      </c>
      <c r="AN1001">
        <v>47</v>
      </c>
      <c r="AO1001">
        <v>4</v>
      </c>
      <c r="AP1001" t="s">
        <v>93</v>
      </c>
      <c r="AQ1001" t="s">
        <v>89</v>
      </c>
      <c r="AR1001" t="s">
        <v>89</v>
      </c>
      <c r="AS1001" t="s">
        <v>93</v>
      </c>
      <c r="AT1001" t="s">
        <v>89</v>
      </c>
      <c r="AU1001" t="s">
        <v>89</v>
      </c>
      <c r="AV1001" t="s">
        <v>89</v>
      </c>
      <c r="AW1001">
        <v>14</v>
      </c>
      <c r="AX1001">
        <v>6</v>
      </c>
      <c r="AY1001" t="s">
        <v>93</v>
      </c>
      <c r="AZ1001">
        <v>0</v>
      </c>
      <c r="BA1001">
        <v>0</v>
      </c>
      <c r="BB1001">
        <v>0</v>
      </c>
      <c r="BC1001">
        <v>0</v>
      </c>
      <c r="BD1001">
        <v>362</v>
      </c>
      <c r="BE1001">
        <v>28644</v>
      </c>
      <c r="BF1001">
        <v>18</v>
      </c>
      <c r="BG1001" t="s">
        <v>89</v>
      </c>
      <c r="BH1001">
        <v>362</v>
      </c>
      <c r="BI1001">
        <v>28644</v>
      </c>
      <c r="BJ1001">
        <v>18</v>
      </c>
      <c r="BK1001">
        <f t="shared" si="137"/>
        <v>362</v>
      </c>
      <c r="BL1001">
        <f t="shared" si="138"/>
        <v>28644</v>
      </c>
      <c r="BM1001">
        <f t="shared" si="139"/>
        <v>18</v>
      </c>
      <c r="BN1001">
        <f t="shared" si="140"/>
        <v>0</v>
      </c>
      <c r="BO1001">
        <f t="shared" si="141"/>
        <v>0</v>
      </c>
      <c r="BP1001">
        <f t="shared" si="142"/>
        <v>0</v>
      </c>
      <c r="BQ1001" t="s">
        <v>235</v>
      </c>
      <c r="BR1001" t="s">
        <v>140</v>
      </c>
      <c r="BS1001" s="1">
        <v>33008</v>
      </c>
      <c r="BT1001">
        <v>35</v>
      </c>
      <c r="BU1001" t="s">
        <v>89</v>
      </c>
      <c r="BV1001" t="s">
        <v>89</v>
      </c>
      <c r="BW1001">
        <v>14</v>
      </c>
      <c r="BX1001">
        <v>1990</v>
      </c>
      <c r="BY1001">
        <v>13</v>
      </c>
      <c r="BZ1001">
        <f t="shared" si="143"/>
        <v>0</v>
      </c>
      <c r="CA1001">
        <f t="shared" si="144"/>
        <v>1</v>
      </c>
      <c r="CB1001" t="b">
        <f t="shared" si="145"/>
        <v>1</v>
      </c>
    </row>
    <row r="1002" spans="1:80" x14ac:dyDescent="0.3">
      <c r="A1002" t="s">
        <v>8090</v>
      </c>
      <c r="B1002" t="s">
        <v>776</v>
      </c>
      <c r="C1002" t="s">
        <v>8091</v>
      </c>
      <c r="D1002">
        <v>35</v>
      </c>
      <c r="E1002" s="1">
        <v>32856</v>
      </c>
      <c r="F1002" t="s">
        <v>89</v>
      </c>
      <c r="G1002" t="s">
        <v>193</v>
      </c>
      <c r="H1002" t="s">
        <v>89</v>
      </c>
      <c r="I1002" t="s">
        <v>322</v>
      </c>
      <c r="J1002" t="s">
        <v>300</v>
      </c>
      <c r="K1002" t="s">
        <v>89</v>
      </c>
      <c r="L1002" t="s">
        <v>180</v>
      </c>
      <c r="M1002">
        <v>17</v>
      </c>
      <c r="N1002" t="s">
        <v>105</v>
      </c>
      <c r="O1002">
        <v>2007</v>
      </c>
      <c r="P1002" t="s">
        <v>8092</v>
      </c>
      <c r="Q1002" t="s">
        <v>8093</v>
      </c>
      <c r="R1002">
        <v>26239</v>
      </c>
      <c r="S1002" t="s">
        <v>8090</v>
      </c>
      <c r="T1002" t="s">
        <v>8094</v>
      </c>
      <c r="U1002">
        <v>1989</v>
      </c>
      <c r="V1002" t="s">
        <v>8095</v>
      </c>
      <c r="W1002">
        <v>1.86</v>
      </c>
      <c r="X1002" t="s">
        <v>778</v>
      </c>
      <c r="Y1002" t="s">
        <v>203</v>
      </c>
      <c r="Z1002" t="s">
        <v>152</v>
      </c>
      <c r="AA1002" t="s">
        <v>8096</v>
      </c>
      <c r="AB1002" s="1">
        <v>45658</v>
      </c>
      <c r="AC1002" t="s">
        <v>108</v>
      </c>
      <c r="AD1002" t="s">
        <v>89</v>
      </c>
      <c r="AE1002" t="s">
        <v>654</v>
      </c>
      <c r="AF1002">
        <v>21</v>
      </c>
      <c r="AG1002" t="s">
        <v>91</v>
      </c>
      <c r="AH1002">
        <v>39600</v>
      </c>
      <c r="AI1002">
        <v>18</v>
      </c>
      <c r="AJ1002" t="s">
        <v>110</v>
      </c>
      <c r="AK1002">
        <v>18</v>
      </c>
      <c r="AL1002" t="s">
        <v>89</v>
      </c>
      <c r="AM1002" t="s">
        <v>89</v>
      </c>
      <c r="AN1002" t="s">
        <v>89</v>
      </c>
      <c r="AO1002">
        <v>0</v>
      </c>
      <c r="AP1002" t="s">
        <v>93</v>
      </c>
      <c r="AQ1002" t="s">
        <v>89</v>
      </c>
      <c r="AR1002" t="s">
        <v>89</v>
      </c>
      <c r="AS1002" t="s">
        <v>93</v>
      </c>
      <c r="AT1002" t="s">
        <v>89</v>
      </c>
      <c r="AU1002" t="s">
        <v>89</v>
      </c>
      <c r="AV1002" t="s">
        <v>89</v>
      </c>
      <c r="AW1002">
        <v>18</v>
      </c>
      <c r="AX1002" t="s">
        <v>89</v>
      </c>
      <c r="AY1002" t="s">
        <v>93</v>
      </c>
      <c r="AZ1002">
        <v>0</v>
      </c>
      <c r="BA1002">
        <v>0</v>
      </c>
      <c r="BB1002">
        <v>0</v>
      </c>
      <c r="BC1002">
        <v>0</v>
      </c>
      <c r="BD1002">
        <v>176</v>
      </c>
      <c r="BE1002">
        <v>12322</v>
      </c>
      <c r="BF1002">
        <v>8</v>
      </c>
      <c r="BG1002" t="s">
        <v>89</v>
      </c>
      <c r="BH1002">
        <v>176</v>
      </c>
      <c r="BI1002">
        <v>12322</v>
      </c>
      <c r="BJ1002">
        <v>8</v>
      </c>
      <c r="BK1002">
        <f t="shared" si="137"/>
        <v>176</v>
      </c>
      <c r="BL1002">
        <f t="shared" si="138"/>
        <v>12322</v>
      </c>
      <c r="BM1002">
        <f t="shared" si="139"/>
        <v>8</v>
      </c>
      <c r="BN1002">
        <f t="shared" si="140"/>
        <v>0</v>
      </c>
      <c r="BO1002">
        <f t="shared" si="141"/>
        <v>0</v>
      </c>
      <c r="BP1002">
        <f t="shared" si="142"/>
        <v>0</v>
      </c>
      <c r="BQ1002" t="s">
        <v>203</v>
      </c>
      <c r="BR1002" t="s">
        <v>140</v>
      </c>
      <c r="BS1002" s="1">
        <v>32856</v>
      </c>
      <c r="BT1002">
        <v>36</v>
      </c>
      <c r="BU1002" t="s">
        <v>89</v>
      </c>
      <c r="BV1002" t="s">
        <v>89</v>
      </c>
      <c r="BW1002">
        <v>18</v>
      </c>
      <c r="BX1002">
        <v>1989</v>
      </c>
      <c r="BY1002">
        <v>17</v>
      </c>
      <c r="BZ1002">
        <f t="shared" si="143"/>
        <v>0</v>
      </c>
      <c r="CA1002">
        <f t="shared" si="144"/>
        <v>1</v>
      </c>
      <c r="CB1002" t="b">
        <f t="shared" si="145"/>
        <v>1</v>
      </c>
    </row>
    <row r="1003" spans="1:80" x14ac:dyDescent="0.3">
      <c r="A1003" t="s">
        <v>8097</v>
      </c>
      <c r="B1003" t="s">
        <v>776</v>
      </c>
      <c r="C1003" t="s">
        <v>8098</v>
      </c>
      <c r="D1003">
        <v>39</v>
      </c>
      <c r="E1003" s="1">
        <v>31311</v>
      </c>
      <c r="F1003" t="s">
        <v>89</v>
      </c>
      <c r="G1003" t="s">
        <v>241</v>
      </c>
      <c r="H1003" t="s">
        <v>778</v>
      </c>
      <c r="I1003" t="s">
        <v>414</v>
      </c>
      <c r="J1003" t="s">
        <v>78</v>
      </c>
      <c r="K1003" t="s">
        <v>89</v>
      </c>
      <c r="L1003" t="s">
        <v>117</v>
      </c>
      <c r="M1003">
        <v>19</v>
      </c>
      <c r="N1003" t="s">
        <v>4465</v>
      </c>
      <c r="O1003">
        <v>2005</v>
      </c>
      <c r="P1003" t="s">
        <v>8099</v>
      </c>
      <c r="Q1003" t="s">
        <v>8100</v>
      </c>
      <c r="R1003">
        <v>32568</v>
      </c>
      <c r="S1003" t="s">
        <v>8097</v>
      </c>
      <c r="T1003" t="s">
        <v>8101</v>
      </c>
      <c r="U1003">
        <v>1985</v>
      </c>
      <c r="V1003" t="s">
        <v>3033</v>
      </c>
      <c r="W1003">
        <v>1.9</v>
      </c>
      <c r="X1003" t="s">
        <v>2292</v>
      </c>
      <c r="Y1003" t="s">
        <v>235</v>
      </c>
      <c r="Z1003" t="s">
        <v>87</v>
      </c>
      <c r="AA1003" t="s">
        <v>8102</v>
      </c>
      <c r="AB1003" s="1">
        <v>45658</v>
      </c>
      <c r="AC1003" t="s">
        <v>108</v>
      </c>
      <c r="AD1003" t="s">
        <v>442</v>
      </c>
      <c r="AE1003" s="1">
        <v>38604</v>
      </c>
      <c r="AF1003">
        <v>19</v>
      </c>
      <c r="AG1003" t="s">
        <v>613</v>
      </c>
      <c r="AH1003">
        <v>38505</v>
      </c>
      <c r="AI1003">
        <v>19</v>
      </c>
      <c r="AJ1003" t="s">
        <v>615</v>
      </c>
      <c r="AK1003">
        <v>19</v>
      </c>
      <c r="AL1003">
        <v>9</v>
      </c>
      <c r="AM1003">
        <v>458</v>
      </c>
      <c r="AN1003">
        <v>80</v>
      </c>
      <c r="AO1003">
        <v>5</v>
      </c>
      <c r="AP1003" t="s">
        <v>93</v>
      </c>
      <c r="AQ1003" t="s">
        <v>89</v>
      </c>
      <c r="AR1003" t="s">
        <v>89</v>
      </c>
      <c r="AS1003" t="s">
        <v>111</v>
      </c>
      <c r="AT1003" s="1">
        <v>45658</v>
      </c>
      <c r="AU1003">
        <v>2025</v>
      </c>
      <c r="AV1003">
        <v>20</v>
      </c>
      <c r="AW1003">
        <v>20</v>
      </c>
      <c r="AX1003" t="s">
        <v>89</v>
      </c>
      <c r="AY1003" t="s">
        <v>111</v>
      </c>
      <c r="AZ1003">
        <v>4</v>
      </c>
      <c r="BA1003">
        <v>2</v>
      </c>
      <c r="BB1003">
        <v>95</v>
      </c>
      <c r="BC1003">
        <v>0</v>
      </c>
      <c r="BD1003">
        <v>487</v>
      </c>
      <c r="BE1003">
        <v>42359</v>
      </c>
      <c r="BF1003">
        <v>15</v>
      </c>
      <c r="BG1003">
        <v>40</v>
      </c>
      <c r="BH1003">
        <v>489</v>
      </c>
      <c r="BI1003">
        <v>42454</v>
      </c>
      <c r="BJ1003">
        <v>15</v>
      </c>
      <c r="BK1003">
        <f t="shared" si="137"/>
        <v>489</v>
      </c>
      <c r="BL1003">
        <f t="shared" si="138"/>
        <v>42454</v>
      </c>
      <c r="BM1003">
        <f t="shared" si="139"/>
        <v>15</v>
      </c>
      <c r="BN1003">
        <f t="shared" si="140"/>
        <v>0</v>
      </c>
      <c r="BO1003">
        <f t="shared" si="141"/>
        <v>0</v>
      </c>
      <c r="BP1003">
        <f t="shared" si="142"/>
        <v>0</v>
      </c>
      <c r="BQ1003" t="s">
        <v>235</v>
      </c>
      <c r="BR1003" t="s">
        <v>140</v>
      </c>
      <c r="BS1003" s="1">
        <v>31311</v>
      </c>
      <c r="BT1003">
        <v>40</v>
      </c>
      <c r="BU1003" s="1">
        <v>45658</v>
      </c>
      <c r="BV1003" s="1">
        <v>45658</v>
      </c>
      <c r="BW1003">
        <v>21</v>
      </c>
      <c r="BX1003">
        <v>1985</v>
      </c>
      <c r="BY1003">
        <v>21</v>
      </c>
      <c r="BZ1003">
        <f t="shared" si="143"/>
        <v>-1</v>
      </c>
      <c r="CA1003">
        <f t="shared" si="144"/>
        <v>0</v>
      </c>
      <c r="CB1003" t="b">
        <f t="shared" si="145"/>
        <v>0</v>
      </c>
    </row>
    <row r="1004" spans="1:80" x14ac:dyDescent="0.3">
      <c r="A1004" t="s">
        <v>8103</v>
      </c>
      <c r="B1004" t="s">
        <v>71</v>
      </c>
      <c r="C1004" t="s">
        <v>8104</v>
      </c>
      <c r="D1004">
        <v>30</v>
      </c>
      <c r="E1004" t="s">
        <v>8105</v>
      </c>
      <c r="F1004" t="s">
        <v>8106</v>
      </c>
      <c r="G1004" t="s">
        <v>819</v>
      </c>
      <c r="H1004" t="s">
        <v>89</v>
      </c>
      <c r="I1004" t="s">
        <v>178</v>
      </c>
      <c r="J1004" t="s">
        <v>78</v>
      </c>
      <c r="K1004" t="s">
        <v>2513</v>
      </c>
      <c r="L1004" t="s">
        <v>324</v>
      </c>
      <c r="M1004">
        <v>18</v>
      </c>
      <c r="N1004" t="s">
        <v>301</v>
      </c>
      <c r="O1004">
        <v>2013</v>
      </c>
      <c r="P1004" t="s">
        <v>8107</v>
      </c>
      <c r="Q1004" t="s">
        <v>8108</v>
      </c>
      <c r="R1004">
        <v>303248</v>
      </c>
      <c r="S1004" t="s">
        <v>8103</v>
      </c>
      <c r="T1004" t="s">
        <v>8109</v>
      </c>
      <c r="U1004">
        <v>1995</v>
      </c>
      <c r="V1004" t="s">
        <v>4779</v>
      </c>
      <c r="W1004">
        <v>1.89</v>
      </c>
      <c r="X1004" t="s">
        <v>76</v>
      </c>
      <c r="Y1004" t="s">
        <v>186</v>
      </c>
      <c r="Z1004" t="s">
        <v>87</v>
      </c>
      <c r="AA1004" t="s">
        <v>8110</v>
      </c>
      <c r="AB1004" s="1">
        <v>44933</v>
      </c>
      <c r="AC1004" t="s">
        <v>170</v>
      </c>
      <c r="AD1004" t="s">
        <v>89</v>
      </c>
      <c r="AE1004">
        <v>41948</v>
      </c>
      <c r="AF1004">
        <v>19</v>
      </c>
      <c r="AG1004" t="s">
        <v>91</v>
      </c>
      <c r="AH1004" t="s">
        <v>8111</v>
      </c>
      <c r="AI1004">
        <v>30</v>
      </c>
      <c r="AJ1004" t="s">
        <v>459</v>
      </c>
      <c r="AK1004">
        <v>19</v>
      </c>
      <c r="AL1004" t="s">
        <v>89</v>
      </c>
      <c r="AM1004" t="s">
        <v>89</v>
      </c>
      <c r="AN1004" t="s">
        <v>89</v>
      </c>
      <c r="AO1004">
        <v>0</v>
      </c>
      <c r="AP1004" t="s">
        <v>93</v>
      </c>
      <c r="AQ1004" t="s">
        <v>89</v>
      </c>
      <c r="AR1004" t="s">
        <v>89</v>
      </c>
      <c r="AS1004" t="s">
        <v>93</v>
      </c>
      <c r="AT1004" t="s">
        <v>89</v>
      </c>
      <c r="AU1004" t="s">
        <v>89</v>
      </c>
      <c r="AV1004" t="s">
        <v>89</v>
      </c>
      <c r="AW1004">
        <v>12</v>
      </c>
      <c r="AX1004">
        <v>1</v>
      </c>
      <c r="AY1004" t="s">
        <v>93</v>
      </c>
      <c r="AZ1004">
        <v>0</v>
      </c>
      <c r="BA1004">
        <v>0</v>
      </c>
      <c r="BB1004">
        <v>0</v>
      </c>
      <c r="BC1004">
        <v>0</v>
      </c>
      <c r="BD1004">
        <v>11</v>
      </c>
      <c r="BE1004">
        <v>869</v>
      </c>
      <c r="BF1004">
        <v>0</v>
      </c>
      <c r="BG1004" t="s">
        <v>89</v>
      </c>
      <c r="BH1004">
        <v>11</v>
      </c>
      <c r="BI1004">
        <v>869</v>
      </c>
      <c r="BJ1004">
        <v>0</v>
      </c>
      <c r="BK1004">
        <f t="shared" si="137"/>
        <v>11</v>
      </c>
      <c r="BL1004">
        <f t="shared" si="138"/>
        <v>869</v>
      </c>
      <c r="BM1004">
        <f t="shared" si="139"/>
        <v>0</v>
      </c>
      <c r="BN1004">
        <f t="shared" si="140"/>
        <v>0</v>
      </c>
      <c r="BO1004">
        <f t="shared" si="141"/>
        <v>0</v>
      </c>
      <c r="BP1004">
        <f t="shared" si="142"/>
        <v>0</v>
      </c>
      <c r="BQ1004" t="s">
        <v>186</v>
      </c>
      <c r="BR1004" t="s">
        <v>186</v>
      </c>
      <c r="BS1004" t="s">
        <v>89</v>
      </c>
      <c r="BT1004">
        <v>31</v>
      </c>
      <c r="BU1004" t="s">
        <v>89</v>
      </c>
      <c r="BV1004" t="s">
        <v>89</v>
      </c>
      <c r="BW1004">
        <v>12</v>
      </c>
      <c r="BX1004">
        <v>1995</v>
      </c>
      <c r="BY1004">
        <v>11</v>
      </c>
      <c r="BZ1004">
        <f t="shared" si="143"/>
        <v>0</v>
      </c>
      <c r="CA1004">
        <f t="shared" si="144"/>
        <v>1</v>
      </c>
      <c r="CB1004" t="b">
        <f t="shared" si="145"/>
        <v>1</v>
      </c>
    </row>
    <row r="1005" spans="1:80" x14ac:dyDescent="0.3">
      <c r="A1005" t="s">
        <v>8112</v>
      </c>
      <c r="B1005" t="s">
        <v>71</v>
      </c>
      <c r="C1005" t="s">
        <v>8113</v>
      </c>
      <c r="D1005">
        <v>41</v>
      </c>
      <c r="E1005">
        <v>30621</v>
      </c>
      <c r="F1005" t="s">
        <v>89</v>
      </c>
      <c r="G1005" t="s">
        <v>211</v>
      </c>
      <c r="H1005" t="s">
        <v>89</v>
      </c>
      <c r="I1005" t="s">
        <v>348</v>
      </c>
      <c r="J1005" t="s">
        <v>78</v>
      </c>
      <c r="K1005" t="s">
        <v>89</v>
      </c>
      <c r="L1005" t="s">
        <v>145</v>
      </c>
      <c r="M1005">
        <v>20</v>
      </c>
      <c r="N1005" t="s">
        <v>416</v>
      </c>
      <c r="O1005">
        <v>2004</v>
      </c>
      <c r="P1005" t="s">
        <v>8114</v>
      </c>
      <c r="Q1005" t="s">
        <v>8108</v>
      </c>
      <c r="R1005">
        <v>25412</v>
      </c>
      <c r="S1005" t="s">
        <v>8103</v>
      </c>
      <c r="T1005">
        <v>30327</v>
      </c>
      <c r="U1005">
        <v>1983</v>
      </c>
      <c r="V1005" t="s">
        <v>754</v>
      </c>
      <c r="W1005">
        <v>1.74</v>
      </c>
      <c r="X1005" t="s">
        <v>76</v>
      </c>
      <c r="Y1005" t="s">
        <v>136</v>
      </c>
      <c r="Z1005" t="s">
        <v>87</v>
      </c>
      <c r="AA1005" t="s">
        <v>3878</v>
      </c>
      <c r="AB1005" t="s">
        <v>8115</v>
      </c>
      <c r="AC1005" t="s">
        <v>108</v>
      </c>
      <c r="AD1005" t="s">
        <v>89</v>
      </c>
      <c r="AE1005" t="s">
        <v>1999</v>
      </c>
      <c r="AF1005">
        <v>20</v>
      </c>
      <c r="AG1005" t="s">
        <v>91</v>
      </c>
      <c r="AH1005" t="s">
        <v>5468</v>
      </c>
      <c r="AI1005">
        <v>21</v>
      </c>
      <c r="AJ1005" t="s">
        <v>110</v>
      </c>
      <c r="AK1005">
        <v>20</v>
      </c>
      <c r="AL1005">
        <v>7</v>
      </c>
      <c r="AM1005">
        <v>275</v>
      </c>
      <c r="AN1005">
        <v>34</v>
      </c>
      <c r="AO1005">
        <v>5</v>
      </c>
      <c r="AP1005" t="s">
        <v>93</v>
      </c>
      <c r="AQ1005" t="s">
        <v>89</v>
      </c>
      <c r="AR1005" t="s">
        <v>89</v>
      </c>
      <c r="AS1005" t="s">
        <v>111</v>
      </c>
      <c r="AT1005" t="s">
        <v>8115</v>
      </c>
      <c r="AU1005">
        <v>2021</v>
      </c>
      <c r="AV1005">
        <v>17</v>
      </c>
      <c r="AW1005">
        <v>17</v>
      </c>
      <c r="AX1005" t="s">
        <v>89</v>
      </c>
      <c r="AY1005" t="s">
        <v>93</v>
      </c>
      <c r="AZ1005">
        <v>0</v>
      </c>
      <c r="BA1005">
        <v>0</v>
      </c>
      <c r="BB1005">
        <v>0</v>
      </c>
      <c r="BC1005">
        <v>0</v>
      </c>
      <c r="BD1005">
        <v>401</v>
      </c>
      <c r="BE1005">
        <v>31722</v>
      </c>
      <c r="BF1005">
        <v>6</v>
      </c>
      <c r="BG1005">
        <v>38</v>
      </c>
      <c r="BH1005">
        <v>401</v>
      </c>
      <c r="BI1005">
        <v>31722</v>
      </c>
      <c r="BJ1005">
        <v>6</v>
      </c>
      <c r="BK1005">
        <f t="shared" si="137"/>
        <v>401</v>
      </c>
      <c r="BL1005">
        <f t="shared" si="138"/>
        <v>31722</v>
      </c>
      <c r="BM1005">
        <f t="shared" si="139"/>
        <v>6</v>
      </c>
      <c r="BN1005">
        <f t="shared" si="140"/>
        <v>0</v>
      </c>
      <c r="BO1005">
        <f t="shared" si="141"/>
        <v>0</v>
      </c>
      <c r="BP1005">
        <f t="shared" si="142"/>
        <v>0</v>
      </c>
      <c r="BQ1005" t="s">
        <v>136</v>
      </c>
      <c r="BR1005" t="s">
        <v>140</v>
      </c>
      <c r="BS1005" t="s">
        <v>89</v>
      </c>
      <c r="BT1005">
        <v>43</v>
      </c>
      <c r="BU1005" t="s">
        <v>8115</v>
      </c>
      <c r="BV1005" s="1">
        <v>44452</v>
      </c>
      <c r="BW1005">
        <v>18</v>
      </c>
      <c r="BX1005">
        <v>1983</v>
      </c>
      <c r="BY1005">
        <v>18</v>
      </c>
      <c r="BZ1005">
        <f t="shared" si="143"/>
        <v>-1</v>
      </c>
      <c r="CA1005">
        <f t="shared" si="144"/>
        <v>0</v>
      </c>
      <c r="CB1005" t="b">
        <f t="shared" si="145"/>
        <v>0</v>
      </c>
    </row>
    <row r="1006" spans="1:80" x14ac:dyDescent="0.3">
      <c r="A1006" t="s">
        <v>8116</v>
      </c>
      <c r="B1006" t="s">
        <v>71</v>
      </c>
      <c r="C1006" t="s">
        <v>8117</v>
      </c>
      <c r="D1006">
        <v>38</v>
      </c>
      <c r="E1006" s="1">
        <v>31740</v>
      </c>
      <c r="F1006" t="s">
        <v>89</v>
      </c>
      <c r="G1006" t="s">
        <v>400</v>
      </c>
      <c r="H1006" t="s">
        <v>76</v>
      </c>
      <c r="I1006" t="s">
        <v>668</v>
      </c>
      <c r="J1006" t="s">
        <v>78</v>
      </c>
      <c r="K1006" t="s">
        <v>89</v>
      </c>
      <c r="L1006" t="s">
        <v>145</v>
      </c>
      <c r="M1006">
        <v>17</v>
      </c>
      <c r="N1006" t="s">
        <v>2514</v>
      </c>
      <c r="O1006">
        <v>2004</v>
      </c>
      <c r="P1006" t="s">
        <v>8118</v>
      </c>
      <c r="Q1006" t="s">
        <v>8119</v>
      </c>
      <c r="R1006">
        <v>51587</v>
      </c>
      <c r="S1006" t="s">
        <v>8116</v>
      </c>
      <c r="T1006" t="s">
        <v>8120</v>
      </c>
      <c r="U1006">
        <v>1986</v>
      </c>
      <c r="V1006" t="s">
        <v>8121</v>
      </c>
      <c r="W1006">
        <v>1.83</v>
      </c>
      <c r="X1006" t="s">
        <v>76</v>
      </c>
      <c r="Y1006" t="s">
        <v>494</v>
      </c>
      <c r="Z1006" t="s">
        <v>87</v>
      </c>
      <c r="AA1006" t="s">
        <v>2514</v>
      </c>
      <c r="AB1006" s="1">
        <v>44902</v>
      </c>
      <c r="AC1006" t="s">
        <v>170</v>
      </c>
      <c r="AD1006" t="s">
        <v>89</v>
      </c>
      <c r="AE1006" s="1">
        <v>2007</v>
      </c>
      <c r="AF1006">
        <v>20</v>
      </c>
      <c r="AG1006" t="s">
        <v>91</v>
      </c>
      <c r="AH1006" s="1">
        <v>2005</v>
      </c>
      <c r="AI1006">
        <v>18</v>
      </c>
      <c r="AJ1006">
        <v>0</v>
      </c>
      <c r="AK1006">
        <v>18</v>
      </c>
      <c r="AL1006">
        <v>6</v>
      </c>
      <c r="AM1006">
        <v>556</v>
      </c>
      <c r="AN1006">
        <v>69</v>
      </c>
      <c r="AO1006">
        <v>5</v>
      </c>
      <c r="AP1006" t="s">
        <v>93</v>
      </c>
      <c r="AQ1006" t="s">
        <v>89</v>
      </c>
      <c r="AR1006" t="s">
        <v>89</v>
      </c>
      <c r="AS1006" t="s">
        <v>93</v>
      </c>
      <c r="AT1006" t="s">
        <v>89</v>
      </c>
      <c r="AU1006" t="s">
        <v>89</v>
      </c>
      <c r="AV1006" t="s">
        <v>89</v>
      </c>
      <c r="AW1006">
        <v>21</v>
      </c>
      <c r="AX1006">
        <v>14</v>
      </c>
      <c r="AY1006" t="s">
        <v>93</v>
      </c>
      <c r="AZ1006">
        <v>0</v>
      </c>
      <c r="BA1006">
        <v>0</v>
      </c>
      <c r="BB1006">
        <v>0</v>
      </c>
      <c r="BC1006">
        <v>0</v>
      </c>
      <c r="BD1006">
        <v>470</v>
      </c>
      <c r="BE1006">
        <v>31271</v>
      </c>
      <c r="BF1006">
        <v>70</v>
      </c>
      <c r="BG1006" t="s">
        <v>89</v>
      </c>
      <c r="BH1006">
        <v>470</v>
      </c>
      <c r="BI1006">
        <v>31271</v>
      </c>
      <c r="BJ1006">
        <v>70</v>
      </c>
      <c r="BK1006">
        <f t="shared" si="137"/>
        <v>470</v>
      </c>
      <c r="BL1006">
        <f t="shared" si="138"/>
        <v>31271</v>
      </c>
      <c r="BM1006">
        <f t="shared" si="139"/>
        <v>70</v>
      </c>
      <c r="BN1006">
        <f t="shared" si="140"/>
        <v>0</v>
      </c>
      <c r="BO1006">
        <f t="shared" si="141"/>
        <v>0</v>
      </c>
      <c r="BP1006">
        <f t="shared" si="142"/>
        <v>0</v>
      </c>
      <c r="BQ1006" t="s">
        <v>494</v>
      </c>
      <c r="BR1006" t="s">
        <v>112</v>
      </c>
      <c r="BS1006" t="s">
        <v>89</v>
      </c>
      <c r="BT1006">
        <v>40</v>
      </c>
      <c r="BU1006" t="s">
        <v>89</v>
      </c>
      <c r="BV1006" t="s">
        <v>89</v>
      </c>
      <c r="BW1006">
        <v>22</v>
      </c>
      <c r="BX1006">
        <v>1986</v>
      </c>
      <c r="BY1006">
        <v>20</v>
      </c>
      <c r="BZ1006">
        <f t="shared" si="143"/>
        <v>-1</v>
      </c>
      <c r="CA1006">
        <f t="shared" si="144"/>
        <v>2</v>
      </c>
      <c r="CB1006" t="b">
        <f t="shared" si="145"/>
        <v>0</v>
      </c>
    </row>
    <row r="1007" spans="1:80" x14ac:dyDescent="0.3">
      <c r="A1007" t="s">
        <v>8122</v>
      </c>
      <c r="B1007" t="s">
        <v>71</v>
      </c>
      <c r="C1007" t="s">
        <v>8123</v>
      </c>
      <c r="D1007">
        <v>33</v>
      </c>
      <c r="E1007">
        <v>33619</v>
      </c>
      <c r="F1007" t="s">
        <v>89</v>
      </c>
      <c r="G1007" t="s">
        <v>241</v>
      </c>
      <c r="H1007" t="s">
        <v>89</v>
      </c>
      <c r="I1007" t="s">
        <v>437</v>
      </c>
      <c r="J1007" t="s">
        <v>89</v>
      </c>
      <c r="K1007" t="s">
        <v>89</v>
      </c>
      <c r="L1007" t="s">
        <v>278</v>
      </c>
      <c r="M1007">
        <v>19</v>
      </c>
      <c r="N1007" t="s">
        <v>81</v>
      </c>
      <c r="O1007">
        <v>2011</v>
      </c>
      <c r="P1007" t="s">
        <v>8124</v>
      </c>
      <c r="Q1007" t="s">
        <v>8125</v>
      </c>
      <c r="R1007">
        <v>192585</v>
      </c>
      <c r="S1007" t="s">
        <v>8122</v>
      </c>
      <c r="T1007" t="s">
        <v>8126</v>
      </c>
      <c r="U1007">
        <v>1992</v>
      </c>
      <c r="V1007" t="s">
        <v>1047</v>
      </c>
      <c r="W1007">
        <v>1.89</v>
      </c>
      <c r="X1007" t="s">
        <v>76</v>
      </c>
      <c r="Y1007" t="s">
        <v>123</v>
      </c>
      <c r="Z1007" t="s">
        <v>87</v>
      </c>
      <c r="AA1007" t="s">
        <v>8127</v>
      </c>
      <c r="AB1007">
        <v>45664</v>
      </c>
      <c r="AC1007" t="s">
        <v>108</v>
      </c>
      <c r="AD1007" t="s">
        <v>89</v>
      </c>
      <c r="AE1007" t="s">
        <v>8128</v>
      </c>
      <c r="AF1007">
        <v>20</v>
      </c>
      <c r="AG1007" t="s">
        <v>91</v>
      </c>
      <c r="AH1007">
        <v>41335</v>
      </c>
      <c r="AI1007">
        <v>21</v>
      </c>
      <c r="AJ1007" t="s">
        <v>110</v>
      </c>
      <c r="AK1007">
        <v>20</v>
      </c>
      <c r="AL1007">
        <v>2</v>
      </c>
      <c r="AM1007">
        <v>99</v>
      </c>
      <c r="AN1007">
        <v>11</v>
      </c>
      <c r="AO1007">
        <v>1</v>
      </c>
      <c r="AP1007" t="s">
        <v>93</v>
      </c>
      <c r="AQ1007" t="s">
        <v>89</v>
      </c>
      <c r="AR1007" t="s">
        <v>89</v>
      </c>
      <c r="AS1007" t="s">
        <v>111</v>
      </c>
      <c r="AT1007">
        <v>45664</v>
      </c>
      <c r="AU1007">
        <v>2025</v>
      </c>
      <c r="AV1007">
        <v>14</v>
      </c>
      <c r="AW1007">
        <v>14</v>
      </c>
      <c r="AX1007" t="s">
        <v>89</v>
      </c>
      <c r="AY1007" t="s">
        <v>93</v>
      </c>
      <c r="AZ1007">
        <v>0</v>
      </c>
      <c r="BA1007">
        <v>0</v>
      </c>
      <c r="BB1007">
        <v>0</v>
      </c>
      <c r="BC1007">
        <v>0</v>
      </c>
      <c r="BD1007">
        <v>159</v>
      </c>
      <c r="BE1007">
        <v>8450</v>
      </c>
      <c r="BF1007">
        <v>21</v>
      </c>
      <c r="BG1007">
        <v>33</v>
      </c>
      <c r="BH1007">
        <v>159</v>
      </c>
      <c r="BI1007">
        <v>8450</v>
      </c>
      <c r="BJ1007">
        <v>21</v>
      </c>
      <c r="BK1007">
        <f t="shared" si="137"/>
        <v>159</v>
      </c>
      <c r="BL1007">
        <f t="shared" si="138"/>
        <v>8450</v>
      </c>
      <c r="BM1007">
        <f t="shared" si="139"/>
        <v>21</v>
      </c>
      <c r="BN1007">
        <f t="shared" si="140"/>
        <v>0</v>
      </c>
      <c r="BO1007">
        <f t="shared" si="141"/>
        <v>0</v>
      </c>
      <c r="BP1007">
        <f t="shared" si="142"/>
        <v>0</v>
      </c>
      <c r="BQ1007" t="s">
        <v>123</v>
      </c>
      <c r="BR1007" t="s">
        <v>112</v>
      </c>
      <c r="BS1007" s="1">
        <v>33619</v>
      </c>
      <c r="BT1007">
        <v>34</v>
      </c>
      <c r="BU1007">
        <v>45664</v>
      </c>
      <c r="BV1007" t="s">
        <v>89</v>
      </c>
      <c r="BW1007">
        <v>13</v>
      </c>
      <c r="BX1007">
        <v>1992</v>
      </c>
      <c r="BY1007">
        <v>13</v>
      </c>
      <c r="BZ1007">
        <f t="shared" si="143"/>
        <v>1</v>
      </c>
      <c r="CA1007">
        <f t="shared" si="144"/>
        <v>0</v>
      </c>
      <c r="CB1007" t="b">
        <f t="shared" si="145"/>
        <v>0</v>
      </c>
    </row>
    <row r="1008" spans="1:80" x14ac:dyDescent="0.3">
      <c r="A1008" t="s">
        <v>8129</v>
      </c>
      <c r="B1008" t="s">
        <v>1089</v>
      </c>
      <c r="C1008" t="s">
        <v>8130</v>
      </c>
      <c r="D1008">
        <v>40</v>
      </c>
      <c r="E1008">
        <v>31192</v>
      </c>
      <c r="F1008" t="s">
        <v>89</v>
      </c>
      <c r="G1008" t="s">
        <v>97</v>
      </c>
      <c r="H1008" t="s">
        <v>89</v>
      </c>
      <c r="I1008" t="s">
        <v>791</v>
      </c>
      <c r="J1008" t="s">
        <v>639</v>
      </c>
      <c r="K1008" t="s">
        <v>89</v>
      </c>
      <c r="L1008" t="s">
        <v>130</v>
      </c>
      <c r="M1008">
        <v>23</v>
      </c>
      <c r="N1008" t="s">
        <v>6652</v>
      </c>
      <c r="O1008">
        <v>2008</v>
      </c>
      <c r="P1008" t="s">
        <v>8131</v>
      </c>
      <c r="Q1008" t="s">
        <v>8132</v>
      </c>
      <c r="R1008">
        <v>75314</v>
      </c>
      <c r="S1008" t="s">
        <v>8129</v>
      </c>
      <c r="T1008" t="s">
        <v>8133</v>
      </c>
      <c r="U1008">
        <v>1985</v>
      </c>
      <c r="V1008" t="s">
        <v>8134</v>
      </c>
      <c r="W1008">
        <v>1.8</v>
      </c>
      <c r="X1008" t="s">
        <v>1093</v>
      </c>
      <c r="Y1008" t="s">
        <v>106</v>
      </c>
      <c r="Z1008" t="s">
        <v>87</v>
      </c>
      <c r="AA1008" t="s">
        <v>2961</v>
      </c>
      <c r="AB1008" t="s">
        <v>8135</v>
      </c>
      <c r="AC1008" t="s">
        <v>108</v>
      </c>
      <c r="AD1008" t="s">
        <v>89</v>
      </c>
      <c r="AE1008" s="1">
        <v>38689</v>
      </c>
      <c r="AF1008">
        <v>19</v>
      </c>
      <c r="AG1008" t="s">
        <v>2320</v>
      </c>
      <c r="AH1008" t="s">
        <v>8136</v>
      </c>
      <c r="AI1008">
        <v>33</v>
      </c>
      <c r="AJ1008" t="s">
        <v>2246</v>
      </c>
      <c r="AK1008">
        <v>19</v>
      </c>
      <c r="AL1008">
        <v>7</v>
      </c>
      <c r="AM1008">
        <v>166</v>
      </c>
      <c r="AN1008">
        <v>22</v>
      </c>
      <c r="AO1008">
        <v>6</v>
      </c>
      <c r="AP1008" t="s">
        <v>93</v>
      </c>
      <c r="AQ1008" t="s">
        <v>89</v>
      </c>
      <c r="AR1008" t="s">
        <v>89</v>
      </c>
      <c r="AS1008" t="s">
        <v>111</v>
      </c>
      <c r="AT1008" t="s">
        <v>8135</v>
      </c>
      <c r="AU1008">
        <v>2023</v>
      </c>
      <c r="AV1008">
        <v>15</v>
      </c>
      <c r="AW1008">
        <v>15</v>
      </c>
      <c r="AX1008" t="s">
        <v>89</v>
      </c>
      <c r="AY1008" t="s">
        <v>93</v>
      </c>
      <c r="AZ1008">
        <v>0</v>
      </c>
      <c r="BA1008">
        <v>0</v>
      </c>
      <c r="BB1008">
        <v>0</v>
      </c>
      <c r="BC1008">
        <v>0</v>
      </c>
      <c r="BD1008">
        <v>199</v>
      </c>
      <c r="BE1008">
        <v>12375</v>
      </c>
      <c r="BF1008">
        <v>56</v>
      </c>
      <c r="BG1008">
        <v>38</v>
      </c>
      <c r="BH1008">
        <v>199</v>
      </c>
      <c r="BI1008">
        <v>12375</v>
      </c>
      <c r="BJ1008">
        <v>56</v>
      </c>
      <c r="BK1008">
        <f t="shared" si="137"/>
        <v>199</v>
      </c>
      <c r="BL1008">
        <f t="shared" si="138"/>
        <v>12375</v>
      </c>
      <c r="BM1008">
        <f t="shared" si="139"/>
        <v>56</v>
      </c>
      <c r="BN1008">
        <f t="shared" si="140"/>
        <v>0</v>
      </c>
      <c r="BO1008">
        <f t="shared" si="141"/>
        <v>0</v>
      </c>
      <c r="BP1008">
        <f t="shared" si="142"/>
        <v>0</v>
      </c>
      <c r="BQ1008" t="s">
        <v>106</v>
      </c>
      <c r="BR1008" t="s">
        <v>112</v>
      </c>
      <c r="BS1008" s="1">
        <v>31192</v>
      </c>
      <c r="BT1008">
        <v>40</v>
      </c>
      <c r="BU1008" t="s">
        <v>8135</v>
      </c>
      <c r="BV1008" s="1">
        <v>45074</v>
      </c>
      <c r="BW1008">
        <v>19</v>
      </c>
      <c r="BX1008">
        <v>1985</v>
      </c>
      <c r="BY1008">
        <v>19</v>
      </c>
      <c r="BZ1008">
        <f t="shared" si="143"/>
        <v>-4</v>
      </c>
      <c r="CA1008">
        <f t="shared" si="144"/>
        <v>0</v>
      </c>
      <c r="CB1008" t="b">
        <f t="shared" si="145"/>
        <v>0</v>
      </c>
    </row>
    <row r="1009" spans="1:80" x14ac:dyDescent="0.3">
      <c r="A1009" t="s">
        <v>8137</v>
      </c>
      <c r="B1009" t="s">
        <v>71</v>
      </c>
      <c r="C1009" t="s">
        <v>8138</v>
      </c>
      <c r="D1009">
        <v>37</v>
      </c>
      <c r="E1009" s="1">
        <v>32254</v>
      </c>
      <c r="F1009" t="s">
        <v>89</v>
      </c>
      <c r="G1009" t="s">
        <v>176</v>
      </c>
      <c r="H1009" t="s">
        <v>76</v>
      </c>
      <c r="I1009" t="s">
        <v>288</v>
      </c>
      <c r="J1009" t="s">
        <v>300</v>
      </c>
      <c r="K1009" t="s">
        <v>89</v>
      </c>
      <c r="L1009" t="s">
        <v>163</v>
      </c>
      <c r="M1009">
        <v>18</v>
      </c>
      <c r="N1009" t="s">
        <v>118</v>
      </c>
      <c r="O1009">
        <v>2006</v>
      </c>
      <c r="P1009" t="s">
        <v>8139</v>
      </c>
      <c r="Q1009" t="s">
        <v>8140</v>
      </c>
      <c r="R1009">
        <v>44069</v>
      </c>
      <c r="S1009" t="s">
        <v>8137</v>
      </c>
      <c r="T1009" t="s">
        <v>8141</v>
      </c>
      <c r="U1009">
        <v>1988</v>
      </c>
      <c r="V1009" t="s">
        <v>258</v>
      </c>
      <c r="W1009">
        <v>1.84</v>
      </c>
      <c r="X1009" t="s">
        <v>76</v>
      </c>
      <c r="Y1009" t="s">
        <v>86</v>
      </c>
      <c r="Z1009" t="s">
        <v>152</v>
      </c>
      <c r="AA1009" t="s">
        <v>924</v>
      </c>
      <c r="AB1009">
        <v>45664</v>
      </c>
      <c r="AC1009" t="s">
        <v>108</v>
      </c>
      <c r="AD1009" t="s">
        <v>89</v>
      </c>
      <c r="AE1009" t="s">
        <v>8142</v>
      </c>
      <c r="AF1009">
        <v>21</v>
      </c>
      <c r="AG1009" t="s">
        <v>91</v>
      </c>
      <c r="AH1009">
        <v>38848</v>
      </c>
      <c r="AI1009">
        <v>18</v>
      </c>
      <c r="AJ1009" t="s">
        <v>110</v>
      </c>
      <c r="AK1009">
        <v>18</v>
      </c>
      <c r="AL1009">
        <v>8</v>
      </c>
      <c r="AM1009">
        <v>581</v>
      </c>
      <c r="AN1009">
        <v>62</v>
      </c>
      <c r="AO1009">
        <v>6</v>
      </c>
      <c r="AP1009" t="s">
        <v>93</v>
      </c>
      <c r="AQ1009" t="s">
        <v>89</v>
      </c>
      <c r="AR1009" t="s">
        <v>89</v>
      </c>
      <c r="AS1009" t="s">
        <v>111</v>
      </c>
      <c r="AT1009">
        <v>45664</v>
      </c>
      <c r="AU1009">
        <v>2025</v>
      </c>
      <c r="AV1009">
        <v>19</v>
      </c>
      <c r="AW1009">
        <v>19</v>
      </c>
      <c r="AX1009" t="s">
        <v>89</v>
      </c>
      <c r="AY1009" t="s">
        <v>93</v>
      </c>
      <c r="AZ1009">
        <v>0</v>
      </c>
      <c r="BA1009">
        <v>0</v>
      </c>
      <c r="BB1009">
        <v>0</v>
      </c>
      <c r="BC1009">
        <v>0</v>
      </c>
      <c r="BD1009">
        <v>353</v>
      </c>
      <c r="BE1009">
        <v>25152</v>
      </c>
      <c r="BF1009">
        <v>8</v>
      </c>
      <c r="BG1009">
        <v>37</v>
      </c>
      <c r="BH1009">
        <v>353</v>
      </c>
      <c r="BI1009">
        <v>25152</v>
      </c>
      <c r="BJ1009">
        <v>8</v>
      </c>
      <c r="BK1009">
        <f t="shared" si="137"/>
        <v>353</v>
      </c>
      <c r="BL1009">
        <f t="shared" si="138"/>
        <v>25152</v>
      </c>
      <c r="BM1009">
        <f t="shared" si="139"/>
        <v>8</v>
      </c>
      <c r="BN1009">
        <f t="shared" si="140"/>
        <v>0</v>
      </c>
      <c r="BO1009">
        <f t="shared" si="141"/>
        <v>0</v>
      </c>
      <c r="BP1009">
        <f t="shared" si="142"/>
        <v>0</v>
      </c>
      <c r="BQ1009" t="s">
        <v>86</v>
      </c>
      <c r="BR1009" t="s">
        <v>94</v>
      </c>
      <c r="BS1009" s="1">
        <v>32254</v>
      </c>
      <c r="BT1009">
        <v>37</v>
      </c>
      <c r="BU1009">
        <v>45664</v>
      </c>
      <c r="BV1009" t="s">
        <v>89</v>
      </c>
      <c r="BW1009">
        <v>19</v>
      </c>
      <c r="BX1009">
        <v>1988</v>
      </c>
      <c r="BY1009">
        <v>19</v>
      </c>
      <c r="BZ1009">
        <f t="shared" si="143"/>
        <v>0</v>
      </c>
      <c r="CA1009">
        <f t="shared" si="144"/>
        <v>0</v>
      </c>
      <c r="CB1009" t="b">
        <f t="shared" si="145"/>
        <v>1</v>
      </c>
    </row>
    <row r="1010" spans="1:80" x14ac:dyDescent="0.3">
      <c r="A1010" t="s">
        <v>8143</v>
      </c>
      <c r="B1010" t="s">
        <v>71</v>
      </c>
      <c r="C1010" t="s">
        <v>8144</v>
      </c>
      <c r="D1010">
        <v>50</v>
      </c>
      <c r="E1010">
        <v>27564</v>
      </c>
      <c r="F1010" t="s">
        <v>89</v>
      </c>
      <c r="G1010" t="s">
        <v>731</v>
      </c>
      <c r="H1010" t="s">
        <v>76</v>
      </c>
      <c r="I1010" t="s">
        <v>437</v>
      </c>
      <c r="J1010" t="s">
        <v>89</v>
      </c>
      <c r="K1010" t="s">
        <v>89</v>
      </c>
      <c r="L1010" t="s">
        <v>937</v>
      </c>
      <c r="M1010">
        <v>19</v>
      </c>
      <c r="N1010" t="s">
        <v>416</v>
      </c>
      <c r="O1010">
        <v>1994</v>
      </c>
      <c r="P1010" t="s">
        <v>8145</v>
      </c>
      <c r="Q1010" t="s">
        <v>8146</v>
      </c>
      <c r="R1010">
        <v>7864</v>
      </c>
      <c r="S1010" t="s">
        <v>8143</v>
      </c>
      <c r="T1010" t="s">
        <v>8147</v>
      </c>
      <c r="U1010">
        <v>1975</v>
      </c>
      <c r="V1010" t="s">
        <v>2226</v>
      </c>
      <c r="W1010">
        <v>1.67</v>
      </c>
      <c r="X1010" t="s">
        <v>76</v>
      </c>
      <c r="Y1010" t="s">
        <v>369</v>
      </c>
      <c r="Z1010" t="s">
        <v>392</v>
      </c>
      <c r="AA1010" t="s">
        <v>370</v>
      </c>
      <c r="AB1010" s="1">
        <v>40915</v>
      </c>
      <c r="AC1010" t="s">
        <v>108</v>
      </c>
      <c r="AD1010" t="s">
        <v>89</v>
      </c>
      <c r="AE1010" t="s">
        <v>8148</v>
      </c>
      <c r="AF1010">
        <v>19</v>
      </c>
      <c r="AG1010" t="s">
        <v>91</v>
      </c>
      <c r="AH1010" t="s">
        <v>5816</v>
      </c>
      <c r="AI1010">
        <v>22</v>
      </c>
      <c r="AJ1010" t="s">
        <v>110</v>
      </c>
      <c r="AK1010">
        <v>19</v>
      </c>
      <c r="AL1010">
        <v>3</v>
      </c>
      <c r="AM1010">
        <v>96</v>
      </c>
      <c r="AN1010">
        <v>21</v>
      </c>
      <c r="AO1010">
        <v>3</v>
      </c>
      <c r="AP1010" t="s">
        <v>93</v>
      </c>
      <c r="AQ1010" t="s">
        <v>89</v>
      </c>
      <c r="AR1010" t="s">
        <v>89</v>
      </c>
      <c r="AS1010" t="s">
        <v>111</v>
      </c>
      <c r="AT1010">
        <v>40915</v>
      </c>
      <c r="AU1010">
        <v>2012</v>
      </c>
      <c r="AV1010">
        <v>18</v>
      </c>
      <c r="AW1010">
        <v>18</v>
      </c>
      <c r="AX1010" t="s">
        <v>89</v>
      </c>
      <c r="AY1010" t="s">
        <v>111</v>
      </c>
      <c r="AZ1010">
        <v>1</v>
      </c>
      <c r="BA1010">
        <v>2</v>
      </c>
      <c r="BB1010">
        <v>117</v>
      </c>
      <c r="BC1010">
        <v>1</v>
      </c>
      <c r="BD1010">
        <v>476</v>
      </c>
      <c r="BE1010">
        <v>32788</v>
      </c>
      <c r="BF1010">
        <v>44</v>
      </c>
      <c r="BG1010">
        <v>37</v>
      </c>
      <c r="BH1010">
        <v>478</v>
      </c>
      <c r="BI1010">
        <v>32905</v>
      </c>
      <c r="BJ1010">
        <v>45</v>
      </c>
      <c r="BK1010">
        <f t="shared" si="137"/>
        <v>478</v>
      </c>
      <c r="BL1010">
        <f t="shared" si="138"/>
        <v>32905</v>
      </c>
      <c r="BM1010">
        <f t="shared" si="139"/>
        <v>45</v>
      </c>
      <c r="BN1010">
        <f t="shared" si="140"/>
        <v>0</v>
      </c>
      <c r="BO1010">
        <f t="shared" si="141"/>
        <v>0</v>
      </c>
      <c r="BP1010">
        <f t="shared" si="142"/>
        <v>0</v>
      </c>
      <c r="BQ1010" t="s">
        <v>369</v>
      </c>
      <c r="BR1010" t="s">
        <v>112</v>
      </c>
      <c r="BS1010" s="1">
        <v>27564</v>
      </c>
      <c r="BT1010">
        <v>50</v>
      </c>
      <c r="BU1010">
        <v>40915</v>
      </c>
      <c r="BV1010" t="s">
        <v>89</v>
      </c>
      <c r="BW1010">
        <v>18</v>
      </c>
      <c r="BX1010">
        <v>1975</v>
      </c>
      <c r="BY1010">
        <v>18</v>
      </c>
      <c r="BZ1010">
        <f t="shared" si="143"/>
        <v>0</v>
      </c>
      <c r="CA1010">
        <f t="shared" si="144"/>
        <v>0</v>
      </c>
      <c r="CB1010" t="b">
        <f t="shared" si="145"/>
        <v>1</v>
      </c>
    </row>
    <row r="1011" spans="1:80" x14ac:dyDescent="0.3">
      <c r="A1011" t="s">
        <v>8149</v>
      </c>
      <c r="B1011" t="s">
        <v>71</v>
      </c>
      <c r="C1011" t="s">
        <v>8150</v>
      </c>
      <c r="D1011">
        <v>37</v>
      </c>
      <c r="E1011">
        <v>32208</v>
      </c>
      <c r="F1011" t="s">
        <v>89</v>
      </c>
      <c r="G1011" t="s">
        <v>143</v>
      </c>
      <c r="H1011" t="s">
        <v>89</v>
      </c>
      <c r="I1011" t="s">
        <v>1747</v>
      </c>
      <c r="J1011" t="s">
        <v>89</v>
      </c>
      <c r="K1011" t="s">
        <v>89</v>
      </c>
      <c r="L1011" t="s">
        <v>278</v>
      </c>
      <c r="M1011">
        <v>23</v>
      </c>
      <c r="N1011" t="s">
        <v>279</v>
      </c>
      <c r="O1011">
        <v>2011</v>
      </c>
      <c r="P1011" t="s">
        <v>8151</v>
      </c>
      <c r="Q1011" t="s">
        <v>8152</v>
      </c>
      <c r="R1011">
        <v>89508</v>
      </c>
      <c r="S1011" t="s">
        <v>8149</v>
      </c>
      <c r="T1011" s="1">
        <v>32297</v>
      </c>
      <c r="U1011">
        <v>1988</v>
      </c>
      <c r="V1011" t="s">
        <v>6623</v>
      </c>
      <c r="W1011">
        <v>1.78</v>
      </c>
      <c r="X1011" t="s">
        <v>76</v>
      </c>
      <c r="Y1011" t="s">
        <v>235</v>
      </c>
      <c r="Z1011" t="s">
        <v>87</v>
      </c>
      <c r="AA1011" t="s">
        <v>909</v>
      </c>
      <c r="AB1011">
        <v>45298</v>
      </c>
      <c r="AC1011" t="s">
        <v>170</v>
      </c>
      <c r="AD1011" t="s">
        <v>89</v>
      </c>
      <c r="AE1011" t="s">
        <v>7511</v>
      </c>
      <c r="AF1011">
        <v>23</v>
      </c>
      <c r="AG1011" t="s">
        <v>91</v>
      </c>
      <c r="AH1011" t="s">
        <v>90</v>
      </c>
      <c r="AI1011">
        <v>24</v>
      </c>
      <c r="AJ1011" t="s">
        <v>110</v>
      </c>
      <c r="AK1011">
        <v>23</v>
      </c>
      <c r="AL1011" t="s">
        <v>89</v>
      </c>
      <c r="AM1011" t="s">
        <v>89</v>
      </c>
      <c r="AN1011" t="s">
        <v>89</v>
      </c>
      <c r="AO1011">
        <v>0</v>
      </c>
      <c r="AP1011" t="s">
        <v>93</v>
      </c>
      <c r="AQ1011" t="s">
        <v>89</v>
      </c>
      <c r="AR1011" t="s">
        <v>89</v>
      </c>
      <c r="AS1011" t="s">
        <v>93</v>
      </c>
      <c r="AT1011" t="s">
        <v>89</v>
      </c>
      <c r="AU1011" t="s">
        <v>89</v>
      </c>
      <c r="AV1011" t="s">
        <v>89</v>
      </c>
      <c r="AW1011">
        <v>14</v>
      </c>
      <c r="AX1011">
        <v>5</v>
      </c>
      <c r="AY1011" t="s">
        <v>93</v>
      </c>
      <c r="AZ1011">
        <v>0</v>
      </c>
      <c r="BA1011">
        <v>0</v>
      </c>
      <c r="BB1011">
        <v>0</v>
      </c>
      <c r="BC1011">
        <v>0</v>
      </c>
      <c r="BD1011">
        <v>118</v>
      </c>
      <c r="BE1011">
        <v>9748</v>
      </c>
      <c r="BF1011">
        <v>2</v>
      </c>
      <c r="BG1011" t="s">
        <v>89</v>
      </c>
      <c r="BH1011">
        <v>118</v>
      </c>
      <c r="BI1011">
        <v>9748</v>
      </c>
      <c r="BJ1011">
        <v>2</v>
      </c>
      <c r="BK1011">
        <f t="shared" si="137"/>
        <v>118</v>
      </c>
      <c r="BL1011">
        <f t="shared" si="138"/>
        <v>9748</v>
      </c>
      <c r="BM1011">
        <f t="shared" si="139"/>
        <v>2</v>
      </c>
      <c r="BN1011">
        <f t="shared" si="140"/>
        <v>0</v>
      </c>
      <c r="BO1011">
        <f t="shared" si="141"/>
        <v>0</v>
      </c>
      <c r="BP1011">
        <f t="shared" si="142"/>
        <v>0</v>
      </c>
      <c r="BQ1011" t="s">
        <v>235</v>
      </c>
      <c r="BR1011" t="s">
        <v>140</v>
      </c>
      <c r="BS1011" s="1">
        <v>32208</v>
      </c>
      <c r="BT1011">
        <v>37</v>
      </c>
      <c r="BU1011" t="s">
        <v>89</v>
      </c>
      <c r="BV1011" t="s">
        <v>89</v>
      </c>
      <c r="BW1011">
        <v>14</v>
      </c>
      <c r="BX1011">
        <v>1988</v>
      </c>
      <c r="BY1011">
        <v>14</v>
      </c>
      <c r="BZ1011">
        <f t="shared" si="143"/>
        <v>0</v>
      </c>
      <c r="CA1011">
        <f t="shared" si="144"/>
        <v>0</v>
      </c>
      <c r="CB1011" t="b">
        <f t="shared" si="145"/>
        <v>1</v>
      </c>
    </row>
    <row r="1012" spans="1:80" x14ac:dyDescent="0.3">
      <c r="A1012" t="s">
        <v>8153</v>
      </c>
      <c r="B1012" t="s">
        <v>71</v>
      </c>
      <c r="C1012" t="s">
        <v>8154</v>
      </c>
      <c r="D1012">
        <v>43</v>
      </c>
      <c r="E1012">
        <v>29932</v>
      </c>
      <c r="F1012" t="s">
        <v>89</v>
      </c>
      <c r="G1012" t="s">
        <v>143</v>
      </c>
      <c r="H1012" t="s">
        <v>89</v>
      </c>
      <c r="I1012" t="s">
        <v>3616</v>
      </c>
      <c r="J1012" t="s">
        <v>89</v>
      </c>
      <c r="K1012" t="s">
        <v>89</v>
      </c>
      <c r="L1012" t="s">
        <v>145</v>
      </c>
      <c r="M1012">
        <v>22</v>
      </c>
      <c r="N1012" t="s">
        <v>255</v>
      </c>
      <c r="O1012">
        <v>2004</v>
      </c>
      <c r="P1012" t="s">
        <v>8155</v>
      </c>
      <c r="Q1012" t="s">
        <v>8156</v>
      </c>
      <c r="R1012">
        <v>29187</v>
      </c>
      <c r="S1012" t="s">
        <v>8153</v>
      </c>
      <c r="T1012" t="s">
        <v>8157</v>
      </c>
      <c r="U1012">
        <v>1981</v>
      </c>
      <c r="V1012" t="s">
        <v>2553</v>
      </c>
      <c r="W1012">
        <v>1.75</v>
      </c>
      <c r="X1012" t="s">
        <v>76</v>
      </c>
      <c r="Y1012" t="s">
        <v>494</v>
      </c>
      <c r="Z1012" t="s">
        <v>87</v>
      </c>
      <c r="AA1012" t="s">
        <v>8158</v>
      </c>
      <c r="AB1012">
        <v>44143</v>
      </c>
      <c r="AC1012" t="s">
        <v>108</v>
      </c>
      <c r="AD1012" t="s">
        <v>89</v>
      </c>
      <c r="AE1012" t="s">
        <v>138</v>
      </c>
      <c r="AF1012">
        <v>27</v>
      </c>
      <c r="AG1012" t="s">
        <v>91</v>
      </c>
      <c r="AH1012" t="s">
        <v>6090</v>
      </c>
      <c r="AI1012">
        <v>22</v>
      </c>
      <c r="AJ1012" t="s">
        <v>110</v>
      </c>
      <c r="AK1012">
        <v>22</v>
      </c>
      <c r="AL1012">
        <v>3</v>
      </c>
      <c r="AM1012">
        <v>120</v>
      </c>
      <c r="AN1012">
        <v>19</v>
      </c>
      <c r="AO1012">
        <v>3</v>
      </c>
      <c r="AP1012" t="s">
        <v>93</v>
      </c>
      <c r="AQ1012" t="s">
        <v>89</v>
      </c>
      <c r="AR1012" t="s">
        <v>89</v>
      </c>
      <c r="AS1012" t="s">
        <v>111</v>
      </c>
      <c r="AT1012">
        <v>44143</v>
      </c>
      <c r="AU1012">
        <v>2020</v>
      </c>
      <c r="AV1012">
        <v>16</v>
      </c>
      <c r="AW1012">
        <v>16</v>
      </c>
      <c r="AX1012" t="s">
        <v>89</v>
      </c>
      <c r="AY1012" t="s">
        <v>93</v>
      </c>
      <c r="AZ1012">
        <v>0</v>
      </c>
      <c r="BA1012">
        <v>0</v>
      </c>
      <c r="BB1012">
        <v>0</v>
      </c>
      <c r="BC1012">
        <v>0</v>
      </c>
      <c r="BD1012">
        <v>374</v>
      </c>
      <c r="BE1012">
        <v>24866</v>
      </c>
      <c r="BF1012">
        <v>57</v>
      </c>
      <c r="BG1012">
        <v>39</v>
      </c>
      <c r="BH1012">
        <v>374</v>
      </c>
      <c r="BI1012">
        <v>24866</v>
      </c>
      <c r="BJ1012">
        <v>57</v>
      </c>
      <c r="BK1012">
        <f t="shared" si="137"/>
        <v>374</v>
      </c>
      <c r="BL1012">
        <f t="shared" si="138"/>
        <v>24866</v>
      </c>
      <c r="BM1012">
        <f t="shared" si="139"/>
        <v>57</v>
      </c>
      <c r="BN1012">
        <f t="shared" si="140"/>
        <v>0</v>
      </c>
      <c r="BO1012">
        <f t="shared" si="141"/>
        <v>0</v>
      </c>
      <c r="BP1012">
        <f t="shared" si="142"/>
        <v>0</v>
      </c>
      <c r="BQ1012" t="s">
        <v>494</v>
      </c>
      <c r="BR1012" t="s">
        <v>112</v>
      </c>
      <c r="BS1012" t="s">
        <v>89</v>
      </c>
      <c r="BT1012">
        <v>45</v>
      </c>
      <c r="BU1012">
        <v>44143</v>
      </c>
      <c r="BV1012" t="s">
        <v>89</v>
      </c>
      <c r="BW1012">
        <v>17</v>
      </c>
      <c r="BX1012">
        <v>1981</v>
      </c>
      <c r="BY1012">
        <v>17</v>
      </c>
      <c r="BZ1012">
        <f t="shared" si="143"/>
        <v>-1</v>
      </c>
      <c r="CA1012">
        <f t="shared" si="144"/>
        <v>0</v>
      </c>
      <c r="CB1012" t="b">
        <f t="shared" si="145"/>
        <v>0</v>
      </c>
    </row>
    <row r="1013" spans="1:80" x14ac:dyDescent="0.3">
      <c r="A1013" t="s">
        <v>8159</v>
      </c>
      <c r="B1013" t="s">
        <v>1231</v>
      </c>
      <c r="C1013" t="s">
        <v>8160</v>
      </c>
      <c r="D1013">
        <v>42</v>
      </c>
      <c r="E1013" s="1">
        <v>30373</v>
      </c>
      <c r="F1013" t="s">
        <v>89</v>
      </c>
      <c r="G1013" t="s">
        <v>277</v>
      </c>
      <c r="H1013" t="s">
        <v>8161</v>
      </c>
      <c r="I1013" t="s">
        <v>243</v>
      </c>
      <c r="J1013" t="s">
        <v>78</v>
      </c>
      <c r="K1013" t="s">
        <v>89</v>
      </c>
      <c r="L1013" t="s">
        <v>99</v>
      </c>
      <c r="M1013">
        <v>18</v>
      </c>
      <c r="N1013" t="s">
        <v>1590</v>
      </c>
      <c r="O1013">
        <v>2001</v>
      </c>
      <c r="P1013" t="s">
        <v>8162</v>
      </c>
      <c r="Q1013" t="s">
        <v>8163</v>
      </c>
      <c r="R1013">
        <v>14132</v>
      </c>
      <c r="S1013" t="s">
        <v>8159</v>
      </c>
      <c r="T1013" t="s">
        <v>8164</v>
      </c>
      <c r="U1013">
        <v>1982</v>
      </c>
      <c r="V1013" t="s">
        <v>8165</v>
      </c>
      <c r="W1013">
        <v>1.87</v>
      </c>
      <c r="X1013" t="s">
        <v>8166</v>
      </c>
      <c r="Y1013" t="s">
        <v>235</v>
      </c>
      <c r="Z1013" t="s">
        <v>87</v>
      </c>
      <c r="AA1013" t="s">
        <v>1236</v>
      </c>
      <c r="AB1013" s="1">
        <v>45512</v>
      </c>
      <c r="AC1013" t="s">
        <v>108</v>
      </c>
      <c r="AD1013" t="s">
        <v>2283</v>
      </c>
      <c r="AE1013" s="1">
        <v>2002</v>
      </c>
      <c r="AF1013">
        <v>19</v>
      </c>
      <c r="AG1013" t="s">
        <v>613</v>
      </c>
      <c r="AH1013" t="s">
        <v>89</v>
      </c>
      <c r="AI1013" t="s">
        <v>89</v>
      </c>
      <c r="AJ1013" t="s">
        <v>89</v>
      </c>
      <c r="AK1013">
        <v>19</v>
      </c>
      <c r="AL1013">
        <v>47</v>
      </c>
      <c r="AM1013">
        <v>1152</v>
      </c>
      <c r="AN1013">
        <v>226</v>
      </c>
      <c r="AO1013">
        <v>16</v>
      </c>
      <c r="AP1013" t="s">
        <v>93</v>
      </c>
      <c r="AQ1013" t="s">
        <v>89</v>
      </c>
      <c r="AR1013" t="s">
        <v>89</v>
      </c>
      <c r="AS1013" t="s">
        <v>111</v>
      </c>
      <c r="AT1013" s="1">
        <v>45512</v>
      </c>
      <c r="AU1013">
        <v>2024</v>
      </c>
      <c r="AV1013">
        <v>23</v>
      </c>
      <c r="AW1013">
        <v>23</v>
      </c>
      <c r="AX1013" t="s">
        <v>89</v>
      </c>
      <c r="AY1013" t="s">
        <v>111</v>
      </c>
      <c r="AZ1013">
        <v>31</v>
      </c>
      <c r="BA1013">
        <v>123</v>
      </c>
      <c r="BB1013">
        <v>10569</v>
      </c>
      <c r="BC1013">
        <v>8</v>
      </c>
      <c r="BD1013">
        <v>660</v>
      </c>
      <c r="BE1013">
        <v>56178</v>
      </c>
      <c r="BF1013">
        <v>39</v>
      </c>
      <c r="BG1013">
        <v>42</v>
      </c>
      <c r="BH1013">
        <v>783</v>
      </c>
      <c r="BI1013">
        <v>66747</v>
      </c>
      <c r="BJ1013">
        <v>47</v>
      </c>
      <c r="BK1013">
        <f t="shared" si="137"/>
        <v>783</v>
      </c>
      <c r="BL1013">
        <f t="shared" si="138"/>
        <v>66747</v>
      </c>
      <c r="BM1013">
        <f t="shared" si="139"/>
        <v>47</v>
      </c>
      <c r="BN1013">
        <f t="shared" si="140"/>
        <v>0</v>
      </c>
      <c r="BO1013">
        <f t="shared" si="141"/>
        <v>0</v>
      </c>
      <c r="BP1013">
        <f t="shared" si="142"/>
        <v>0</v>
      </c>
      <c r="BQ1013" t="s">
        <v>235</v>
      </c>
      <c r="BR1013" t="s">
        <v>140</v>
      </c>
      <c r="BS1013" t="s">
        <v>89</v>
      </c>
      <c r="BT1013">
        <v>44</v>
      </c>
      <c r="BU1013" s="1">
        <v>45512</v>
      </c>
      <c r="BV1013" s="1">
        <v>45512</v>
      </c>
      <c r="BW1013">
        <v>23</v>
      </c>
      <c r="BX1013">
        <v>1982</v>
      </c>
      <c r="BY1013">
        <v>23</v>
      </c>
      <c r="BZ1013">
        <f t="shared" si="143"/>
        <v>0</v>
      </c>
      <c r="CA1013">
        <f t="shared" si="144"/>
        <v>0</v>
      </c>
      <c r="CB1013" t="b">
        <f t="shared" si="145"/>
        <v>1</v>
      </c>
    </row>
    <row r="1014" spans="1:80" x14ac:dyDescent="0.3">
      <c r="A1014" t="s">
        <v>8167</v>
      </c>
      <c r="B1014" t="s">
        <v>776</v>
      </c>
      <c r="C1014" t="s">
        <v>8168</v>
      </c>
      <c r="D1014">
        <v>33</v>
      </c>
      <c r="E1014" t="s">
        <v>8169</v>
      </c>
      <c r="F1014" t="s">
        <v>8170</v>
      </c>
      <c r="G1014" t="s">
        <v>518</v>
      </c>
      <c r="H1014" t="s">
        <v>778</v>
      </c>
      <c r="I1014" t="s">
        <v>116</v>
      </c>
      <c r="J1014" t="s">
        <v>78</v>
      </c>
      <c r="K1014" t="s">
        <v>6505</v>
      </c>
      <c r="L1014" t="s">
        <v>228</v>
      </c>
      <c r="M1014">
        <v>18</v>
      </c>
      <c r="N1014" t="s">
        <v>3381</v>
      </c>
      <c r="O1014">
        <v>2010</v>
      </c>
      <c r="P1014" t="s">
        <v>8171</v>
      </c>
      <c r="Q1014" t="s">
        <v>8172</v>
      </c>
      <c r="R1014">
        <v>80444</v>
      </c>
      <c r="S1014" t="s">
        <v>8167</v>
      </c>
      <c r="T1014">
        <v>33944</v>
      </c>
      <c r="U1014">
        <v>1992</v>
      </c>
      <c r="V1014" t="s">
        <v>2938</v>
      </c>
      <c r="W1014">
        <v>1.72</v>
      </c>
      <c r="X1014" t="s">
        <v>2173</v>
      </c>
      <c r="Y1014" t="s">
        <v>106</v>
      </c>
      <c r="Z1014" t="s">
        <v>87</v>
      </c>
      <c r="AA1014" t="s">
        <v>6505</v>
      </c>
      <c r="AB1014">
        <v>45754</v>
      </c>
      <c r="AC1014" t="s">
        <v>170</v>
      </c>
      <c r="AD1014" t="s">
        <v>223</v>
      </c>
      <c r="AE1014" s="1">
        <v>40426</v>
      </c>
      <c r="AF1014">
        <v>17</v>
      </c>
      <c r="AG1014" t="s">
        <v>786</v>
      </c>
      <c r="AH1014" t="s">
        <v>8173</v>
      </c>
      <c r="AI1014">
        <v>17</v>
      </c>
      <c r="AJ1014" t="s">
        <v>986</v>
      </c>
      <c r="AK1014">
        <v>17</v>
      </c>
      <c r="AL1014">
        <v>28</v>
      </c>
      <c r="AM1014">
        <v>992</v>
      </c>
      <c r="AN1014">
        <v>202</v>
      </c>
      <c r="AO1014">
        <v>16</v>
      </c>
      <c r="AP1014" t="s">
        <v>93</v>
      </c>
      <c r="AQ1014" t="s">
        <v>89</v>
      </c>
      <c r="AR1014" t="s">
        <v>89</v>
      </c>
      <c r="AS1014" t="s">
        <v>93</v>
      </c>
      <c r="AT1014" t="s">
        <v>89</v>
      </c>
      <c r="AU1014" t="s">
        <v>89</v>
      </c>
      <c r="AV1014" t="s">
        <v>89</v>
      </c>
      <c r="AW1014">
        <v>15</v>
      </c>
      <c r="AX1014">
        <v>10</v>
      </c>
      <c r="AY1014" t="s">
        <v>111</v>
      </c>
      <c r="AZ1014">
        <v>10</v>
      </c>
      <c r="BA1014">
        <v>53</v>
      </c>
      <c r="BB1014">
        <v>3324</v>
      </c>
      <c r="BC1014">
        <v>16</v>
      </c>
      <c r="BD1014">
        <v>487</v>
      </c>
      <c r="BE1014">
        <v>31435</v>
      </c>
      <c r="BF1014">
        <v>114</v>
      </c>
      <c r="BG1014" t="s">
        <v>89</v>
      </c>
      <c r="BH1014">
        <v>540</v>
      </c>
      <c r="BI1014">
        <v>34759</v>
      </c>
      <c r="BJ1014">
        <v>130</v>
      </c>
      <c r="BK1014">
        <f t="shared" si="137"/>
        <v>540</v>
      </c>
      <c r="BL1014">
        <f t="shared" si="138"/>
        <v>34759</v>
      </c>
      <c r="BM1014">
        <f t="shared" si="139"/>
        <v>130</v>
      </c>
      <c r="BN1014">
        <f t="shared" si="140"/>
        <v>0</v>
      </c>
      <c r="BO1014">
        <f t="shared" si="141"/>
        <v>0</v>
      </c>
      <c r="BP1014">
        <f t="shared" si="142"/>
        <v>0</v>
      </c>
      <c r="BQ1014" t="s">
        <v>106</v>
      </c>
      <c r="BR1014" t="s">
        <v>112</v>
      </c>
      <c r="BS1014" t="s">
        <v>89</v>
      </c>
      <c r="BT1014">
        <v>34</v>
      </c>
      <c r="BU1014" t="s">
        <v>89</v>
      </c>
      <c r="BV1014" t="s">
        <v>89</v>
      </c>
      <c r="BW1014">
        <v>17</v>
      </c>
      <c r="BX1014">
        <v>1992</v>
      </c>
      <c r="BY1014">
        <v>16</v>
      </c>
      <c r="BZ1014">
        <f t="shared" si="143"/>
        <v>-2</v>
      </c>
      <c r="CA1014">
        <f t="shared" si="144"/>
        <v>1</v>
      </c>
      <c r="CB1014" t="b">
        <f t="shared" si="145"/>
        <v>0</v>
      </c>
    </row>
    <row r="1015" spans="1:80" x14ac:dyDescent="0.3">
      <c r="A1015" t="s">
        <v>8174</v>
      </c>
      <c r="B1015" t="s">
        <v>4381</v>
      </c>
      <c r="C1015" t="s">
        <v>8175</v>
      </c>
      <c r="D1015">
        <v>40</v>
      </c>
      <c r="E1015" s="1">
        <v>31092</v>
      </c>
      <c r="F1015" t="s">
        <v>89</v>
      </c>
      <c r="G1015" t="s">
        <v>374</v>
      </c>
      <c r="H1015" t="s">
        <v>4384</v>
      </c>
      <c r="I1015" t="s">
        <v>227</v>
      </c>
      <c r="J1015" t="s">
        <v>78</v>
      </c>
      <c r="K1015" t="s">
        <v>89</v>
      </c>
      <c r="L1015" t="s">
        <v>145</v>
      </c>
      <c r="M1015">
        <v>19</v>
      </c>
      <c r="N1015" t="s">
        <v>2151</v>
      </c>
      <c r="O1015">
        <v>2004</v>
      </c>
      <c r="P1015" t="s">
        <v>8176</v>
      </c>
      <c r="Q1015" t="s">
        <v>8177</v>
      </c>
      <c r="R1015">
        <v>4277</v>
      </c>
      <c r="S1015" t="s">
        <v>8174</v>
      </c>
      <c r="T1015" t="s">
        <v>8178</v>
      </c>
      <c r="U1015">
        <v>1985</v>
      </c>
      <c r="V1015" t="s">
        <v>8179</v>
      </c>
      <c r="W1015">
        <v>1.89</v>
      </c>
      <c r="X1015" t="s">
        <v>8180</v>
      </c>
      <c r="Y1015" t="s">
        <v>235</v>
      </c>
      <c r="Z1015" t="s">
        <v>87</v>
      </c>
      <c r="AA1015" t="s">
        <v>8181</v>
      </c>
      <c r="AB1015" s="1">
        <v>43831</v>
      </c>
      <c r="AC1015" t="s">
        <v>108</v>
      </c>
      <c r="AD1015" t="s">
        <v>89</v>
      </c>
      <c r="AE1015" t="s">
        <v>8182</v>
      </c>
      <c r="AF1015">
        <v>17</v>
      </c>
      <c r="AG1015" t="s">
        <v>1054</v>
      </c>
      <c r="AH1015">
        <v>43719</v>
      </c>
      <c r="AI1015">
        <v>34</v>
      </c>
      <c r="AJ1015" t="s">
        <v>8183</v>
      </c>
      <c r="AK1015">
        <v>17</v>
      </c>
      <c r="AL1015">
        <v>18</v>
      </c>
      <c r="AM1015">
        <v>844</v>
      </c>
      <c r="AN1015">
        <v>239</v>
      </c>
      <c r="AO1015">
        <v>13</v>
      </c>
      <c r="AP1015" t="s">
        <v>93</v>
      </c>
      <c r="AQ1015" t="s">
        <v>89</v>
      </c>
      <c r="AR1015" t="s">
        <v>89</v>
      </c>
      <c r="AS1015" t="s">
        <v>111</v>
      </c>
      <c r="AT1015" s="1">
        <v>43831</v>
      </c>
      <c r="AU1015">
        <v>2020</v>
      </c>
      <c r="AV1015">
        <v>16</v>
      </c>
      <c r="AW1015">
        <v>16</v>
      </c>
      <c r="AX1015" t="s">
        <v>89</v>
      </c>
      <c r="AY1015" t="s">
        <v>111</v>
      </c>
      <c r="AZ1015">
        <v>11</v>
      </c>
      <c r="BA1015">
        <v>28</v>
      </c>
      <c r="BB1015">
        <v>2230</v>
      </c>
      <c r="BC1015">
        <v>5</v>
      </c>
      <c r="BD1015">
        <v>211</v>
      </c>
      <c r="BE1015">
        <v>16404</v>
      </c>
      <c r="BF1015">
        <v>11</v>
      </c>
      <c r="BG1015">
        <v>35</v>
      </c>
      <c r="BH1015">
        <v>239</v>
      </c>
      <c r="BI1015">
        <v>18634</v>
      </c>
      <c r="BJ1015">
        <v>16</v>
      </c>
      <c r="BK1015">
        <f t="shared" si="137"/>
        <v>239</v>
      </c>
      <c r="BL1015">
        <f t="shared" si="138"/>
        <v>18634</v>
      </c>
      <c r="BM1015">
        <f t="shared" si="139"/>
        <v>16</v>
      </c>
      <c r="BN1015">
        <f t="shared" si="140"/>
        <v>0</v>
      </c>
      <c r="BO1015">
        <f t="shared" si="141"/>
        <v>0</v>
      </c>
      <c r="BP1015">
        <f t="shared" si="142"/>
        <v>0</v>
      </c>
      <c r="BQ1015" t="s">
        <v>235</v>
      </c>
      <c r="BR1015" t="s">
        <v>140</v>
      </c>
      <c r="BS1015" s="1">
        <v>31092</v>
      </c>
      <c r="BT1015">
        <v>41</v>
      </c>
      <c r="BU1015" s="1">
        <v>43831</v>
      </c>
      <c r="BV1015" s="1">
        <v>43831</v>
      </c>
      <c r="BW1015">
        <v>18</v>
      </c>
      <c r="BX1015">
        <v>1985</v>
      </c>
      <c r="BY1015">
        <v>18</v>
      </c>
      <c r="BZ1015">
        <f t="shared" si="143"/>
        <v>-2</v>
      </c>
      <c r="CA1015">
        <f t="shared" si="144"/>
        <v>0</v>
      </c>
      <c r="CB1015" t="b">
        <f t="shared" si="145"/>
        <v>0</v>
      </c>
    </row>
    <row r="1016" spans="1:80" x14ac:dyDescent="0.3">
      <c r="A1016" t="s">
        <v>8184</v>
      </c>
      <c r="B1016" t="s">
        <v>1056</v>
      </c>
      <c r="C1016" t="s">
        <v>8185</v>
      </c>
      <c r="D1016">
        <v>43</v>
      </c>
      <c r="E1016" s="1">
        <v>29971</v>
      </c>
      <c r="F1016" t="s">
        <v>89</v>
      </c>
      <c r="G1016" t="s">
        <v>97</v>
      </c>
      <c r="H1016" t="s">
        <v>1058</v>
      </c>
      <c r="I1016" t="s">
        <v>437</v>
      </c>
      <c r="J1016" t="s">
        <v>639</v>
      </c>
      <c r="K1016" t="s">
        <v>89</v>
      </c>
      <c r="L1016" t="s">
        <v>845</v>
      </c>
      <c r="M1016">
        <v>20</v>
      </c>
      <c r="N1016" t="s">
        <v>2077</v>
      </c>
      <c r="O1016">
        <v>2002</v>
      </c>
      <c r="P1016" t="s">
        <v>8186</v>
      </c>
      <c r="Q1016" t="s">
        <v>8187</v>
      </c>
      <c r="R1016">
        <v>16589</v>
      </c>
      <c r="S1016" t="s">
        <v>8184</v>
      </c>
      <c r="T1016" t="s">
        <v>8188</v>
      </c>
      <c r="U1016">
        <v>1982</v>
      </c>
      <c r="V1016" t="s">
        <v>8189</v>
      </c>
      <c r="W1016">
        <v>1.81</v>
      </c>
      <c r="X1016" t="s">
        <v>8190</v>
      </c>
      <c r="Y1016" t="s">
        <v>123</v>
      </c>
      <c r="Z1016" t="s">
        <v>87</v>
      </c>
      <c r="AA1016" t="s">
        <v>4272</v>
      </c>
      <c r="AB1016" s="1">
        <v>43466</v>
      </c>
      <c r="AC1016" t="s">
        <v>108</v>
      </c>
      <c r="AD1016" t="s">
        <v>442</v>
      </c>
      <c r="AE1016" t="s">
        <v>8191</v>
      </c>
      <c r="AF1016">
        <v>21</v>
      </c>
      <c r="AG1016" t="s">
        <v>91</v>
      </c>
      <c r="AH1016">
        <v>37867</v>
      </c>
      <c r="AI1016">
        <v>21</v>
      </c>
      <c r="AJ1016" t="s">
        <v>110</v>
      </c>
      <c r="AK1016">
        <v>21</v>
      </c>
      <c r="AL1016">
        <v>9</v>
      </c>
      <c r="AM1016">
        <v>270</v>
      </c>
      <c r="AN1016">
        <v>54</v>
      </c>
      <c r="AO1016">
        <v>6</v>
      </c>
      <c r="AP1016" t="s">
        <v>93</v>
      </c>
      <c r="AQ1016" t="s">
        <v>89</v>
      </c>
      <c r="AR1016" t="s">
        <v>89</v>
      </c>
      <c r="AS1016" t="s">
        <v>111</v>
      </c>
      <c r="AT1016" s="1">
        <v>43466</v>
      </c>
      <c r="AU1016">
        <v>2019</v>
      </c>
      <c r="AV1016">
        <v>17</v>
      </c>
      <c r="AW1016">
        <v>17</v>
      </c>
      <c r="AX1016" t="s">
        <v>89</v>
      </c>
      <c r="AY1016" t="s">
        <v>111</v>
      </c>
      <c r="AZ1016">
        <v>5</v>
      </c>
      <c r="BA1016">
        <v>12</v>
      </c>
      <c r="BB1016">
        <v>565</v>
      </c>
      <c r="BC1016">
        <v>2</v>
      </c>
      <c r="BD1016">
        <v>417</v>
      </c>
      <c r="BE1016">
        <v>23903</v>
      </c>
      <c r="BF1016">
        <v>113</v>
      </c>
      <c r="BG1016">
        <v>37</v>
      </c>
      <c r="BH1016">
        <v>429</v>
      </c>
      <c r="BI1016">
        <v>24468</v>
      </c>
      <c r="BJ1016">
        <v>115</v>
      </c>
      <c r="BK1016">
        <f t="shared" si="137"/>
        <v>429</v>
      </c>
      <c r="BL1016">
        <f t="shared" si="138"/>
        <v>24468</v>
      </c>
      <c r="BM1016">
        <f t="shared" si="139"/>
        <v>115</v>
      </c>
      <c r="BN1016">
        <f t="shared" si="140"/>
        <v>0</v>
      </c>
      <c r="BO1016">
        <f t="shared" si="141"/>
        <v>0</v>
      </c>
      <c r="BP1016">
        <f t="shared" si="142"/>
        <v>0</v>
      </c>
      <c r="BQ1016" t="s">
        <v>123</v>
      </c>
      <c r="BR1016" t="s">
        <v>112</v>
      </c>
      <c r="BS1016" s="1">
        <v>29971</v>
      </c>
      <c r="BT1016">
        <v>44</v>
      </c>
      <c r="BU1016" s="1">
        <v>43466</v>
      </c>
      <c r="BV1016" s="1">
        <v>43466</v>
      </c>
      <c r="BW1016">
        <v>16</v>
      </c>
      <c r="BX1016">
        <v>1982</v>
      </c>
      <c r="BY1016">
        <v>16</v>
      </c>
      <c r="BZ1016">
        <f t="shared" si="143"/>
        <v>1</v>
      </c>
      <c r="CA1016">
        <f t="shared" si="144"/>
        <v>0</v>
      </c>
      <c r="CB1016" t="b">
        <f t="shared" si="145"/>
        <v>0</v>
      </c>
    </row>
    <row r="1017" spans="1:80" x14ac:dyDescent="0.3">
      <c r="A1017" t="s">
        <v>8192</v>
      </c>
      <c r="B1017" t="s">
        <v>4104</v>
      </c>
      <c r="C1017" t="s">
        <v>8193</v>
      </c>
      <c r="D1017">
        <v>38</v>
      </c>
      <c r="E1017" s="1">
        <v>31719</v>
      </c>
      <c r="F1017" t="s">
        <v>89</v>
      </c>
      <c r="G1017" t="s">
        <v>374</v>
      </c>
      <c r="H1017" t="s">
        <v>4106</v>
      </c>
      <c r="I1017" t="s">
        <v>178</v>
      </c>
      <c r="J1017" t="s">
        <v>78</v>
      </c>
      <c r="K1017" t="s">
        <v>89</v>
      </c>
      <c r="L1017" t="s">
        <v>163</v>
      </c>
      <c r="M1017">
        <v>19</v>
      </c>
      <c r="N1017" t="s">
        <v>6688</v>
      </c>
      <c r="O1017">
        <v>2006</v>
      </c>
      <c r="P1017" t="s">
        <v>8194</v>
      </c>
      <c r="Q1017" t="s">
        <v>8195</v>
      </c>
      <c r="R1017">
        <v>30585</v>
      </c>
      <c r="S1017" t="s">
        <v>8192</v>
      </c>
      <c r="T1017" s="1">
        <v>31482</v>
      </c>
      <c r="U1017">
        <v>1986</v>
      </c>
      <c r="V1017" t="s">
        <v>8196</v>
      </c>
      <c r="W1017">
        <v>1.89</v>
      </c>
      <c r="X1017" t="s">
        <v>4106</v>
      </c>
      <c r="Y1017" t="s">
        <v>186</v>
      </c>
      <c r="Z1017" t="s">
        <v>87</v>
      </c>
      <c r="AA1017" t="s">
        <v>8197</v>
      </c>
      <c r="AB1017">
        <v>44203</v>
      </c>
      <c r="AC1017" t="s">
        <v>108</v>
      </c>
      <c r="AD1017" t="s">
        <v>89</v>
      </c>
      <c r="AE1017" t="s">
        <v>8198</v>
      </c>
      <c r="AF1017">
        <v>20</v>
      </c>
      <c r="AG1017" t="s">
        <v>5212</v>
      </c>
      <c r="AH1017" t="s">
        <v>92</v>
      </c>
      <c r="AI1017" t="s">
        <v>89</v>
      </c>
      <c r="AJ1017" t="s">
        <v>92</v>
      </c>
      <c r="AK1017">
        <v>20</v>
      </c>
      <c r="AL1017">
        <v>4</v>
      </c>
      <c r="AM1017">
        <v>141</v>
      </c>
      <c r="AN1017">
        <v>16</v>
      </c>
      <c r="AO1017">
        <v>3</v>
      </c>
      <c r="AP1017" t="s">
        <v>93</v>
      </c>
      <c r="AQ1017" t="s">
        <v>89</v>
      </c>
      <c r="AR1017" t="s">
        <v>89</v>
      </c>
      <c r="AS1017" t="s">
        <v>111</v>
      </c>
      <c r="AT1017">
        <v>44203</v>
      </c>
      <c r="AU1017">
        <v>2021</v>
      </c>
      <c r="AV1017">
        <v>15</v>
      </c>
      <c r="AW1017">
        <v>15</v>
      </c>
      <c r="AX1017" t="s">
        <v>89</v>
      </c>
      <c r="AY1017" t="s">
        <v>93</v>
      </c>
      <c r="AZ1017">
        <v>0</v>
      </c>
      <c r="BA1017">
        <v>0</v>
      </c>
      <c r="BB1017">
        <v>0</v>
      </c>
      <c r="BC1017">
        <v>0</v>
      </c>
      <c r="BD1017">
        <v>221</v>
      </c>
      <c r="BE1017">
        <v>19401</v>
      </c>
      <c r="BF1017">
        <v>0</v>
      </c>
      <c r="BG1017">
        <v>35</v>
      </c>
      <c r="BH1017">
        <v>221</v>
      </c>
      <c r="BI1017">
        <v>19401</v>
      </c>
      <c r="BJ1017">
        <v>0</v>
      </c>
      <c r="BK1017">
        <f t="shared" si="137"/>
        <v>221</v>
      </c>
      <c r="BL1017">
        <f t="shared" si="138"/>
        <v>19401</v>
      </c>
      <c r="BM1017">
        <f t="shared" si="139"/>
        <v>0</v>
      </c>
      <c r="BN1017">
        <f t="shared" si="140"/>
        <v>0</v>
      </c>
      <c r="BO1017">
        <f t="shared" si="141"/>
        <v>0</v>
      </c>
      <c r="BP1017">
        <f t="shared" si="142"/>
        <v>0</v>
      </c>
      <c r="BQ1017" t="s">
        <v>186</v>
      </c>
      <c r="BR1017" t="s">
        <v>186</v>
      </c>
      <c r="BS1017" s="1">
        <v>31719</v>
      </c>
      <c r="BT1017">
        <v>39</v>
      </c>
      <c r="BU1017">
        <v>44203</v>
      </c>
      <c r="BV1017" t="s">
        <v>89</v>
      </c>
      <c r="BW1017">
        <v>15</v>
      </c>
      <c r="BX1017">
        <v>1986</v>
      </c>
      <c r="BY1017">
        <v>15</v>
      </c>
      <c r="BZ1017">
        <f t="shared" si="143"/>
        <v>0</v>
      </c>
      <c r="CA1017">
        <f t="shared" si="144"/>
        <v>0</v>
      </c>
      <c r="CB1017" t="b">
        <f t="shared" si="145"/>
        <v>1</v>
      </c>
    </row>
    <row r="1018" spans="1:80" x14ac:dyDescent="0.3">
      <c r="A1018" t="s">
        <v>8199</v>
      </c>
      <c r="B1018" t="s">
        <v>2262</v>
      </c>
      <c r="C1018" t="s">
        <v>8200</v>
      </c>
      <c r="D1018">
        <v>41</v>
      </c>
      <c r="E1018">
        <v>30763</v>
      </c>
      <c r="F1018" t="s">
        <v>89</v>
      </c>
      <c r="G1018" t="s">
        <v>1946</v>
      </c>
      <c r="H1018" t="s">
        <v>8201</v>
      </c>
      <c r="I1018" t="s">
        <v>722</v>
      </c>
      <c r="J1018" t="s">
        <v>78</v>
      </c>
      <c r="K1018" t="s">
        <v>89</v>
      </c>
      <c r="L1018" t="s">
        <v>845</v>
      </c>
      <c r="M1018">
        <v>18</v>
      </c>
      <c r="N1018" t="s">
        <v>2265</v>
      </c>
      <c r="O1018">
        <v>2002</v>
      </c>
      <c r="P1018" t="s">
        <v>8202</v>
      </c>
      <c r="Q1018" t="s">
        <v>8203</v>
      </c>
      <c r="R1018">
        <v>2623</v>
      </c>
      <c r="S1018" t="s">
        <v>8199</v>
      </c>
      <c r="T1018" t="s">
        <v>8204</v>
      </c>
      <c r="U1018">
        <v>1984</v>
      </c>
      <c r="V1018" t="s">
        <v>8205</v>
      </c>
      <c r="W1018" t="s">
        <v>89</v>
      </c>
      <c r="X1018" t="s">
        <v>2264</v>
      </c>
      <c r="Y1018" t="s">
        <v>106</v>
      </c>
      <c r="Z1018" t="s">
        <v>89</v>
      </c>
      <c r="AA1018" t="s">
        <v>8206</v>
      </c>
      <c r="AB1018" t="s">
        <v>8207</v>
      </c>
      <c r="AC1018" t="s">
        <v>108</v>
      </c>
      <c r="AD1018" t="s">
        <v>89</v>
      </c>
      <c r="AE1018">
        <v>2003</v>
      </c>
      <c r="AF1018">
        <v>19</v>
      </c>
      <c r="AG1018" t="s">
        <v>2272</v>
      </c>
      <c r="AH1018" t="s">
        <v>89</v>
      </c>
      <c r="AI1018" t="s">
        <v>89</v>
      </c>
      <c r="AJ1018" t="s">
        <v>89</v>
      </c>
      <c r="AK1018">
        <v>19</v>
      </c>
      <c r="AL1018">
        <v>6</v>
      </c>
      <c r="AM1018">
        <v>656</v>
      </c>
      <c r="AN1018">
        <v>145</v>
      </c>
      <c r="AO1018">
        <v>4</v>
      </c>
      <c r="AP1018" t="s">
        <v>93</v>
      </c>
      <c r="AQ1018" t="s">
        <v>89</v>
      </c>
      <c r="AR1018" t="s">
        <v>89</v>
      </c>
      <c r="AS1018" t="s">
        <v>111</v>
      </c>
      <c r="AT1018" t="s">
        <v>8207</v>
      </c>
      <c r="AU1018">
        <v>2021</v>
      </c>
      <c r="AV1018">
        <v>19</v>
      </c>
      <c r="AW1018">
        <v>19</v>
      </c>
      <c r="AX1018" t="s">
        <v>89</v>
      </c>
      <c r="AY1018" t="s">
        <v>111</v>
      </c>
      <c r="AZ1018">
        <v>4</v>
      </c>
      <c r="BA1018">
        <v>19</v>
      </c>
      <c r="BB1018">
        <v>955</v>
      </c>
      <c r="BC1018">
        <v>1</v>
      </c>
      <c r="BD1018">
        <v>316</v>
      </c>
      <c r="BE1018">
        <v>19077</v>
      </c>
      <c r="BF1018">
        <v>34</v>
      </c>
      <c r="BG1018">
        <v>37</v>
      </c>
      <c r="BH1018">
        <v>335</v>
      </c>
      <c r="BI1018">
        <v>20032</v>
      </c>
      <c r="BJ1018">
        <v>35</v>
      </c>
      <c r="BK1018">
        <f t="shared" si="137"/>
        <v>335</v>
      </c>
      <c r="BL1018">
        <f t="shared" si="138"/>
        <v>20032</v>
      </c>
      <c r="BM1018">
        <f t="shared" si="139"/>
        <v>35</v>
      </c>
      <c r="BN1018">
        <f t="shared" si="140"/>
        <v>0</v>
      </c>
      <c r="BO1018">
        <f t="shared" si="141"/>
        <v>0</v>
      </c>
      <c r="BP1018">
        <f t="shared" si="142"/>
        <v>0</v>
      </c>
      <c r="BQ1018" t="s">
        <v>106</v>
      </c>
      <c r="BR1018" t="s">
        <v>112</v>
      </c>
      <c r="BS1018" s="1">
        <v>30763</v>
      </c>
      <c r="BT1018">
        <v>41</v>
      </c>
      <c r="BU1018" t="s">
        <v>8207</v>
      </c>
      <c r="BV1018" s="1">
        <v>44394</v>
      </c>
      <c r="BW1018">
        <v>18</v>
      </c>
      <c r="BX1018">
        <v>1984</v>
      </c>
      <c r="BY1018">
        <v>18</v>
      </c>
      <c r="BZ1018">
        <f t="shared" si="143"/>
        <v>1</v>
      </c>
      <c r="CA1018">
        <f t="shared" si="144"/>
        <v>0</v>
      </c>
      <c r="CB1018" t="b">
        <f t="shared" si="145"/>
        <v>0</v>
      </c>
    </row>
    <row r="1019" spans="1:80" x14ac:dyDescent="0.3">
      <c r="A1019" t="s">
        <v>8208</v>
      </c>
      <c r="B1019" t="s">
        <v>71</v>
      </c>
      <c r="C1019" t="s">
        <v>8209</v>
      </c>
      <c r="D1019">
        <v>44</v>
      </c>
      <c r="E1019">
        <v>29732</v>
      </c>
      <c r="F1019" t="s">
        <v>89</v>
      </c>
      <c r="G1019" t="s">
        <v>211</v>
      </c>
      <c r="H1019" t="s">
        <v>89</v>
      </c>
      <c r="I1019" t="s">
        <v>401</v>
      </c>
      <c r="J1019" t="s">
        <v>300</v>
      </c>
      <c r="K1019" t="s">
        <v>89</v>
      </c>
      <c r="L1019" t="s">
        <v>145</v>
      </c>
      <c r="M1019">
        <v>23</v>
      </c>
      <c r="N1019" t="s">
        <v>508</v>
      </c>
      <c r="O1019">
        <v>2004</v>
      </c>
      <c r="P1019" t="s">
        <v>8210</v>
      </c>
      <c r="Q1019" t="s">
        <v>8211</v>
      </c>
      <c r="R1019">
        <v>58076</v>
      </c>
      <c r="S1019" t="s">
        <v>8208</v>
      </c>
      <c r="T1019" t="s">
        <v>8212</v>
      </c>
      <c r="U1019">
        <v>1981</v>
      </c>
      <c r="V1019" t="s">
        <v>644</v>
      </c>
      <c r="W1019">
        <v>1.77</v>
      </c>
      <c r="X1019" t="s">
        <v>76</v>
      </c>
      <c r="Y1019" t="s">
        <v>106</v>
      </c>
      <c r="Z1019" t="s">
        <v>152</v>
      </c>
      <c r="AA1019" t="s">
        <v>6498</v>
      </c>
      <c r="AB1019" s="1">
        <v>44203</v>
      </c>
      <c r="AC1019" t="s">
        <v>108</v>
      </c>
      <c r="AD1019" t="s">
        <v>89</v>
      </c>
      <c r="AE1019" t="s">
        <v>8213</v>
      </c>
      <c r="AF1019">
        <v>23</v>
      </c>
      <c r="AG1019" t="s">
        <v>91</v>
      </c>
      <c r="AH1019">
        <v>38451</v>
      </c>
      <c r="AI1019">
        <v>24</v>
      </c>
      <c r="AJ1019" t="s">
        <v>110</v>
      </c>
      <c r="AK1019">
        <v>23</v>
      </c>
      <c r="AL1019">
        <v>21</v>
      </c>
      <c r="AM1019">
        <v>477</v>
      </c>
      <c r="AN1019">
        <v>56</v>
      </c>
      <c r="AO1019">
        <v>9</v>
      </c>
      <c r="AP1019" t="s">
        <v>93</v>
      </c>
      <c r="AQ1019" t="s">
        <v>89</v>
      </c>
      <c r="AR1019" t="s">
        <v>89</v>
      </c>
      <c r="AS1019" t="s">
        <v>111</v>
      </c>
      <c r="AT1019">
        <v>44203</v>
      </c>
      <c r="AU1019">
        <v>2021</v>
      </c>
      <c r="AV1019">
        <v>17</v>
      </c>
      <c r="AW1019">
        <v>17</v>
      </c>
      <c r="AX1019" t="s">
        <v>89</v>
      </c>
      <c r="AY1019" t="s">
        <v>93</v>
      </c>
      <c r="AZ1019">
        <v>0</v>
      </c>
      <c r="BA1019">
        <v>0</v>
      </c>
      <c r="BB1019">
        <v>0</v>
      </c>
      <c r="BC1019">
        <v>0</v>
      </c>
      <c r="BD1019">
        <v>379</v>
      </c>
      <c r="BE1019">
        <v>24005</v>
      </c>
      <c r="BF1019">
        <v>71</v>
      </c>
      <c r="BG1019">
        <v>40</v>
      </c>
      <c r="BH1019">
        <v>379</v>
      </c>
      <c r="BI1019">
        <v>24005</v>
      </c>
      <c r="BJ1019">
        <v>71</v>
      </c>
      <c r="BK1019">
        <f t="shared" si="137"/>
        <v>379</v>
      </c>
      <c r="BL1019">
        <f t="shared" si="138"/>
        <v>24005</v>
      </c>
      <c r="BM1019">
        <f t="shared" si="139"/>
        <v>71</v>
      </c>
      <c r="BN1019">
        <f t="shared" si="140"/>
        <v>0</v>
      </c>
      <c r="BO1019">
        <f t="shared" si="141"/>
        <v>0</v>
      </c>
      <c r="BP1019">
        <f t="shared" si="142"/>
        <v>0</v>
      </c>
      <c r="BQ1019" t="s">
        <v>106</v>
      </c>
      <c r="BR1019" t="s">
        <v>112</v>
      </c>
      <c r="BS1019" t="s">
        <v>89</v>
      </c>
      <c r="BT1019">
        <v>45</v>
      </c>
      <c r="BU1019">
        <v>44203</v>
      </c>
      <c r="BV1019" t="s">
        <v>89</v>
      </c>
      <c r="BW1019">
        <v>17</v>
      </c>
      <c r="BX1019">
        <v>1981</v>
      </c>
      <c r="BY1019">
        <v>17</v>
      </c>
      <c r="BZ1019">
        <f t="shared" si="143"/>
        <v>0</v>
      </c>
      <c r="CA1019">
        <f t="shared" si="144"/>
        <v>0</v>
      </c>
      <c r="CB1019" t="b">
        <f t="shared" si="145"/>
        <v>1</v>
      </c>
    </row>
    <row r="1020" spans="1:80" x14ac:dyDescent="0.3">
      <c r="A1020" t="s">
        <v>8214</v>
      </c>
      <c r="B1020" t="s">
        <v>1231</v>
      </c>
      <c r="C1020" t="s">
        <v>8215</v>
      </c>
      <c r="D1020">
        <v>35</v>
      </c>
      <c r="E1020" t="s">
        <v>8216</v>
      </c>
      <c r="F1020" t="s">
        <v>8217</v>
      </c>
      <c r="G1020" t="s">
        <v>518</v>
      </c>
      <c r="H1020" t="s">
        <v>1234</v>
      </c>
      <c r="I1020" t="s">
        <v>77</v>
      </c>
      <c r="J1020" t="s">
        <v>78</v>
      </c>
      <c r="K1020" t="s">
        <v>5393</v>
      </c>
      <c r="L1020" t="s">
        <v>254</v>
      </c>
      <c r="M1020">
        <v>19</v>
      </c>
      <c r="N1020" t="s">
        <v>3095</v>
      </c>
      <c r="O1020">
        <v>2009</v>
      </c>
      <c r="P1020" t="s">
        <v>8218</v>
      </c>
      <c r="Q1020" t="s">
        <v>8219</v>
      </c>
      <c r="R1020">
        <v>64339</v>
      </c>
      <c r="S1020" t="s">
        <v>8214</v>
      </c>
      <c r="T1020" s="1">
        <v>32669</v>
      </c>
      <c r="U1020">
        <v>1989</v>
      </c>
      <c r="V1020" t="s">
        <v>1842</v>
      </c>
      <c r="W1020">
        <v>1.77</v>
      </c>
      <c r="X1020" t="s">
        <v>1234</v>
      </c>
      <c r="Y1020" t="s">
        <v>106</v>
      </c>
      <c r="Z1020" t="s">
        <v>87</v>
      </c>
      <c r="AA1020" t="s">
        <v>5393</v>
      </c>
      <c r="AB1020" s="1">
        <v>45664</v>
      </c>
      <c r="AC1020" t="s">
        <v>88</v>
      </c>
      <c r="AD1020" t="s">
        <v>89</v>
      </c>
      <c r="AE1020" t="s">
        <v>1316</v>
      </c>
      <c r="AF1020">
        <v>20</v>
      </c>
      <c r="AG1020" t="s">
        <v>613</v>
      </c>
      <c r="AH1020" t="s">
        <v>8220</v>
      </c>
      <c r="AI1020">
        <v>19</v>
      </c>
      <c r="AJ1020" t="s">
        <v>615</v>
      </c>
      <c r="AK1020">
        <v>19</v>
      </c>
      <c r="AL1020">
        <v>4</v>
      </c>
      <c r="AM1020">
        <v>35</v>
      </c>
      <c r="AN1020">
        <v>6</v>
      </c>
      <c r="AO1020">
        <v>4</v>
      </c>
      <c r="AP1020" t="s">
        <v>93</v>
      </c>
      <c r="AQ1020" t="s">
        <v>89</v>
      </c>
      <c r="AR1020" t="s">
        <v>89</v>
      </c>
      <c r="AS1020" t="s">
        <v>93</v>
      </c>
      <c r="AT1020" t="s">
        <v>89</v>
      </c>
      <c r="AU1020" t="s">
        <v>89</v>
      </c>
      <c r="AV1020" t="s">
        <v>89</v>
      </c>
      <c r="AW1020">
        <v>16</v>
      </c>
      <c r="AX1020">
        <v>21</v>
      </c>
      <c r="AY1020" t="s">
        <v>111</v>
      </c>
      <c r="AZ1020">
        <v>8</v>
      </c>
      <c r="BA1020">
        <v>15</v>
      </c>
      <c r="BB1020">
        <v>734</v>
      </c>
      <c r="BC1020">
        <v>2</v>
      </c>
      <c r="BD1020">
        <v>476</v>
      </c>
      <c r="BE1020">
        <v>30232</v>
      </c>
      <c r="BF1020">
        <v>100</v>
      </c>
      <c r="BG1020" t="s">
        <v>89</v>
      </c>
      <c r="BH1020">
        <v>491</v>
      </c>
      <c r="BI1020">
        <v>30966</v>
      </c>
      <c r="BJ1020">
        <v>102</v>
      </c>
      <c r="BK1020">
        <f t="shared" si="137"/>
        <v>491</v>
      </c>
      <c r="BL1020">
        <f t="shared" si="138"/>
        <v>30966</v>
      </c>
      <c r="BM1020">
        <f t="shared" si="139"/>
        <v>102</v>
      </c>
      <c r="BN1020">
        <f t="shared" si="140"/>
        <v>0</v>
      </c>
      <c r="BO1020">
        <f t="shared" si="141"/>
        <v>0</v>
      </c>
      <c r="BP1020">
        <f t="shared" si="142"/>
        <v>0</v>
      </c>
      <c r="BQ1020" t="s">
        <v>106</v>
      </c>
      <c r="BR1020" t="s">
        <v>112</v>
      </c>
      <c r="BS1020" s="1">
        <v>32787</v>
      </c>
      <c r="BT1020">
        <v>36</v>
      </c>
      <c r="BU1020" t="s">
        <v>89</v>
      </c>
      <c r="BV1020" t="s">
        <v>89</v>
      </c>
      <c r="BW1020">
        <v>17</v>
      </c>
      <c r="BX1020">
        <v>1989</v>
      </c>
      <c r="BY1020">
        <v>16</v>
      </c>
      <c r="BZ1020">
        <f t="shared" si="143"/>
        <v>-1</v>
      </c>
      <c r="CA1020">
        <f t="shared" si="144"/>
        <v>1</v>
      </c>
      <c r="CB1020" t="b">
        <f t="shared" si="145"/>
        <v>0</v>
      </c>
    </row>
    <row r="1021" spans="1:80" x14ac:dyDescent="0.3">
      <c r="A1021" t="s">
        <v>8221</v>
      </c>
      <c r="B1021" t="s">
        <v>71</v>
      </c>
      <c r="C1021" t="s">
        <v>8222</v>
      </c>
      <c r="D1021">
        <v>33</v>
      </c>
      <c r="E1021" t="s">
        <v>8223</v>
      </c>
      <c r="F1021" t="s">
        <v>873</v>
      </c>
      <c r="G1021" t="s">
        <v>75</v>
      </c>
      <c r="H1021" t="s">
        <v>76</v>
      </c>
      <c r="I1021" t="s">
        <v>8224</v>
      </c>
      <c r="J1021" t="s">
        <v>78</v>
      </c>
      <c r="K1021" t="s">
        <v>323</v>
      </c>
      <c r="L1021" t="s">
        <v>324</v>
      </c>
      <c r="M1021">
        <v>21</v>
      </c>
      <c r="N1021" t="s">
        <v>214</v>
      </c>
      <c r="O1021">
        <v>2013</v>
      </c>
      <c r="P1021" t="s">
        <v>8225</v>
      </c>
      <c r="Q1021" t="s">
        <v>8226</v>
      </c>
      <c r="R1021">
        <v>99353</v>
      </c>
      <c r="S1021" t="s">
        <v>8221</v>
      </c>
      <c r="T1021" t="s">
        <v>8227</v>
      </c>
      <c r="U1021">
        <v>1992</v>
      </c>
      <c r="V1021" t="s">
        <v>8228</v>
      </c>
      <c r="W1021">
        <v>1.67</v>
      </c>
      <c r="X1021" t="s">
        <v>76</v>
      </c>
      <c r="Y1021" t="s">
        <v>494</v>
      </c>
      <c r="Z1021" t="s">
        <v>87</v>
      </c>
      <c r="AA1021" t="s">
        <v>323</v>
      </c>
      <c r="AB1021" s="1">
        <v>44935</v>
      </c>
      <c r="AC1021" t="s">
        <v>88</v>
      </c>
      <c r="AD1021" t="s">
        <v>89</v>
      </c>
      <c r="AE1021">
        <v>41673</v>
      </c>
      <c r="AF1021">
        <v>21</v>
      </c>
      <c r="AG1021" t="s">
        <v>91</v>
      </c>
      <c r="AH1021" t="s">
        <v>1729</v>
      </c>
      <c r="AI1021">
        <v>22</v>
      </c>
      <c r="AJ1021" t="s">
        <v>110</v>
      </c>
      <c r="AK1021">
        <v>21</v>
      </c>
      <c r="AL1021">
        <v>3</v>
      </c>
      <c r="AM1021">
        <v>96</v>
      </c>
      <c r="AN1021">
        <v>14</v>
      </c>
      <c r="AO1021">
        <v>3</v>
      </c>
      <c r="AP1021" t="s">
        <v>93</v>
      </c>
      <c r="AQ1021" t="s">
        <v>89</v>
      </c>
      <c r="AR1021" t="s">
        <v>89</v>
      </c>
      <c r="AS1021" t="s">
        <v>93</v>
      </c>
      <c r="AT1021" t="s">
        <v>89</v>
      </c>
      <c r="AU1021" t="s">
        <v>89</v>
      </c>
      <c r="AV1021" t="s">
        <v>89</v>
      </c>
      <c r="AW1021">
        <v>12</v>
      </c>
      <c r="AX1021">
        <v>8</v>
      </c>
      <c r="AY1021" t="s">
        <v>93</v>
      </c>
      <c r="AZ1021">
        <v>0</v>
      </c>
      <c r="BA1021">
        <v>0</v>
      </c>
      <c r="BB1021">
        <v>0</v>
      </c>
      <c r="BC1021">
        <v>0</v>
      </c>
      <c r="BD1021">
        <v>452</v>
      </c>
      <c r="BE1021">
        <v>28393</v>
      </c>
      <c r="BF1021">
        <v>68</v>
      </c>
      <c r="BG1021" t="s">
        <v>89</v>
      </c>
      <c r="BH1021">
        <v>452</v>
      </c>
      <c r="BI1021">
        <v>28393</v>
      </c>
      <c r="BJ1021">
        <v>68</v>
      </c>
      <c r="BK1021">
        <f t="shared" si="137"/>
        <v>452</v>
      </c>
      <c r="BL1021">
        <f t="shared" si="138"/>
        <v>28393</v>
      </c>
      <c r="BM1021">
        <f t="shared" si="139"/>
        <v>68</v>
      </c>
      <c r="BN1021">
        <f t="shared" si="140"/>
        <v>0</v>
      </c>
      <c r="BO1021">
        <f t="shared" si="141"/>
        <v>0</v>
      </c>
      <c r="BP1021">
        <f t="shared" si="142"/>
        <v>0</v>
      </c>
      <c r="BQ1021" t="s">
        <v>494</v>
      </c>
      <c r="BR1021" t="s">
        <v>112</v>
      </c>
      <c r="BS1021" s="1">
        <v>33745</v>
      </c>
      <c r="BT1021">
        <v>33</v>
      </c>
      <c r="BU1021" t="s">
        <v>89</v>
      </c>
      <c r="BV1021" t="s">
        <v>89</v>
      </c>
      <c r="BW1021">
        <v>12</v>
      </c>
      <c r="BX1021">
        <v>1992</v>
      </c>
      <c r="BY1021">
        <v>12</v>
      </c>
      <c r="BZ1021">
        <f t="shared" si="143"/>
        <v>0</v>
      </c>
      <c r="CA1021">
        <f t="shared" si="144"/>
        <v>0</v>
      </c>
      <c r="CB1021" t="b">
        <f t="shared" si="145"/>
        <v>1</v>
      </c>
    </row>
    <row r="1022" spans="1:80" x14ac:dyDescent="0.3">
      <c r="A1022" t="s">
        <v>8229</v>
      </c>
      <c r="B1022" t="s">
        <v>1618</v>
      </c>
      <c r="C1022" t="s">
        <v>8230</v>
      </c>
      <c r="D1022">
        <v>38</v>
      </c>
      <c r="E1022" t="s">
        <v>8231</v>
      </c>
      <c r="F1022" t="s">
        <v>8232</v>
      </c>
      <c r="G1022" t="s">
        <v>3627</v>
      </c>
      <c r="H1022" t="s">
        <v>1622</v>
      </c>
      <c r="I1022" t="s">
        <v>178</v>
      </c>
      <c r="J1022" t="s">
        <v>78</v>
      </c>
      <c r="K1022" t="s">
        <v>8233</v>
      </c>
      <c r="L1022" t="s">
        <v>117</v>
      </c>
      <c r="M1022">
        <v>18</v>
      </c>
      <c r="N1022" t="s">
        <v>8234</v>
      </c>
      <c r="O1022">
        <v>2005</v>
      </c>
      <c r="P1022" t="s">
        <v>8235</v>
      </c>
      <c r="Q1022" t="s">
        <v>8236</v>
      </c>
      <c r="R1022">
        <v>33210</v>
      </c>
      <c r="S1022" t="s">
        <v>8237</v>
      </c>
      <c r="T1022">
        <v>31868</v>
      </c>
      <c r="U1022">
        <v>1987</v>
      </c>
      <c r="V1022" t="s">
        <v>8238</v>
      </c>
      <c r="W1022">
        <v>1.95</v>
      </c>
      <c r="X1022" t="s">
        <v>1622</v>
      </c>
      <c r="Y1022" t="s">
        <v>186</v>
      </c>
      <c r="Z1022" t="s">
        <v>87</v>
      </c>
      <c r="AA1022" t="s">
        <v>8239</v>
      </c>
      <c r="AB1022" s="1">
        <v>44568</v>
      </c>
      <c r="AC1022" t="s">
        <v>170</v>
      </c>
      <c r="AD1022" t="s">
        <v>442</v>
      </c>
      <c r="AE1022" t="s">
        <v>513</v>
      </c>
      <c r="AF1022">
        <v>18</v>
      </c>
      <c r="AG1022" t="s">
        <v>1631</v>
      </c>
      <c r="AH1022" t="s">
        <v>125</v>
      </c>
      <c r="AI1022">
        <v>26</v>
      </c>
      <c r="AJ1022" t="s">
        <v>4025</v>
      </c>
      <c r="AK1022">
        <v>18</v>
      </c>
      <c r="AL1022">
        <v>7</v>
      </c>
      <c r="AM1022">
        <v>309</v>
      </c>
      <c r="AN1022">
        <v>44</v>
      </c>
      <c r="AO1022">
        <v>7</v>
      </c>
      <c r="AP1022" t="s">
        <v>93</v>
      </c>
      <c r="AQ1022" t="s">
        <v>89</v>
      </c>
      <c r="AR1022" t="s">
        <v>89</v>
      </c>
      <c r="AS1022" t="s">
        <v>93</v>
      </c>
      <c r="AT1022" t="s">
        <v>89</v>
      </c>
      <c r="AU1022" t="s">
        <v>89</v>
      </c>
      <c r="AV1022" t="s">
        <v>89</v>
      </c>
      <c r="AW1022">
        <v>20</v>
      </c>
      <c r="AX1022">
        <v>22</v>
      </c>
      <c r="AY1022" t="s">
        <v>111</v>
      </c>
      <c r="AZ1022">
        <v>5</v>
      </c>
      <c r="BA1022">
        <v>7</v>
      </c>
      <c r="BB1022">
        <v>516</v>
      </c>
      <c r="BC1022">
        <v>0</v>
      </c>
      <c r="BD1022">
        <v>240</v>
      </c>
      <c r="BE1022">
        <v>21122</v>
      </c>
      <c r="BF1022">
        <v>0</v>
      </c>
      <c r="BG1022" t="s">
        <v>89</v>
      </c>
      <c r="BH1022">
        <v>247</v>
      </c>
      <c r="BI1022">
        <v>21638</v>
      </c>
      <c r="BJ1022">
        <v>0</v>
      </c>
      <c r="BK1022">
        <f t="shared" si="137"/>
        <v>247</v>
      </c>
      <c r="BL1022">
        <f t="shared" si="138"/>
        <v>21638</v>
      </c>
      <c r="BM1022">
        <f t="shared" si="139"/>
        <v>0</v>
      </c>
      <c r="BN1022">
        <f t="shared" si="140"/>
        <v>0</v>
      </c>
      <c r="BO1022">
        <f t="shared" si="141"/>
        <v>0</v>
      </c>
      <c r="BP1022">
        <f t="shared" si="142"/>
        <v>0</v>
      </c>
      <c r="BQ1022" t="s">
        <v>186</v>
      </c>
      <c r="BR1022" t="s">
        <v>186</v>
      </c>
      <c r="BS1022" t="s">
        <v>89</v>
      </c>
      <c r="BT1022">
        <v>39</v>
      </c>
      <c r="BU1022" t="s">
        <v>89</v>
      </c>
      <c r="BV1022" t="s">
        <v>89</v>
      </c>
      <c r="BW1022">
        <v>21</v>
      </c>
      <c r="BX1022">
        <v>1987</v>
      </c>
      <c r="BY1022">
        <v>20</v>
      </c>
      <c r="BZ1022">
        <f t="shared" si="143"/>
        <v>-1</v>
      </c>
      <c r="CA1022">
        <f t="shared" si="144"/>
        <v>1</v>
      </c>
      <c r="CB1022" t="b">
        <f t="shared" si="145"/>
        <v>0</v>
      </c>
    </row>
    <row r="1023" spans="1:80" x14ac:dyDescent="0.3">
      <c r="A1023" t="s">
        <v>8240</v>
      </c>
      <c r="B1023" t="s">
        <v>1351</v>
      </c>
      <c r="C1023" t="s">
        <v>8241</v>
      </c>
      <c r="D1023">
        <v>39</v>
      </c>
      <c r="E1023" s="1">
        <v>31517</v>
      </c>
      <c r="F1023" t="s">
        <v>89</v>
      </c>
      <c r="G1023" t="s">
        <v>115</v>
      </c>
      <c r="H1023" t="s">
        <v>8242</v>
      </c>
      <c r="I1023" t="s">
        <v>8243</v>
      </c>
      <c r="J1023" t="s">
        <v>78</v>
      </c>
      <c r="K1023" t="s">
        <v>89</v>
      </c>
      <c r="L1023" t="s">
        <v>145</v>
      </c>
      <c r="M1023">
        <v>18</v>
      </c>
      <c r="N1023" t="s">
        <v>2151</v>
      </c>
      <c r="O1023">
        <v>2004</v>
      </c>
      <c r="P1023" t="s">
        <v>8244</v>
      </c>
      <c r="Q1023" t="s">
        <v>8245</v>
      </c>
      <c r="R1023">
        <v>14551</v>
      </c>
      <c r="S1023" t="s">
        <v>8240</v>
      </c>
      <c r="T1023" t="s">
        <v>8246</v>
      </c>
      <c r="U1023">
        <v>1986</v>
      </c>
      <c r="V1023" t="s">
        <v>5210</v>
      </c>
      <c r="W1023">
        <v>1.82</v>
      </c>
      <c r="X1023" t="s">
        <v>8247</v>
      </c>
      <c r="Y1023" t="s">
        <v>391</v>
      </c>
      <c r="Z1023" t="s">
        <v>87</v>
      </c>
      <c r="AA1023" t="s">
        <v>8248</v>
      </c>
      <c r="AB1023">
        <v>43837</v>
      </c>
      <c r="AC1023" t="s">
        <v>108</v>
      </c>
      <c r="AD1023" t="s">
        <v>89</v>
      </c>
      <c r="AE1023" s="1">
        <v>38475</v>
      </c>
      <c r="AF1023">
        <v>18</v>
      </c>
      <c r="AG1023" t="s">
        <v>1653</v>
      </c>
      <c r="AH1023">
        <v>39303</v>
      </c>
      <c r="AI1023">
        <v>21</v>
      </c>
      <c r="AJ1023" t="s">
        <v>110</v>
      </c>
      <c r="AK1023">
        <v>18</v>
      </c>
      <c r="AL1023" t="s">
        <v>89</v>
      </c>
      <c r="AM1023" t="s">
        <v>89</v>
      </c>
      <c r="AN1023" t="s">
        <v>89</v>
      </c>
      <c r="AO1023">
        <v>0</v>
      </c>
      <c r="AP1023" t="s">
        <v>93</v>
      </c>
      <c r="AQ1023" t="s">
        <v>89</v>
      </c>
      <c r="AR1023" t="s">
        <v>89</v>
      </c>
      <c r="AS1023" t="s">
        <v>93</v>
      </c>
      <c r="AT1023" t="s">
        <v>89</v>
      </c>
      <c r="AU1023" t="s">
        <v>89</v>
      </c>
      <c r="AV1023" t="s">
        <v>89</v>
      </c>
      <c r="AW1023">
        <v>21</v>
      </c>
      <c r="AX1023" t="s">
        <v>89</v>
      </c>
      <c r="AY1023" t="s">
        <v>111</v>
      </c>
      <c r="AZ1023">
        <v>1</v>
      </c>
      <c r="BA1023">
        <v>2</v>
      </c>
      <c r="BB1023">
        <v>36</v>
      </c>
      <c r="BC1023">
        <v>0</v>
      </c>
      <c r="BD1023">
        <v>184</v>
      </c>
      <c r="BE1023">
        <v>9852</v>
      </c>
      <c r="BF1023">
        <v>15</v>
      </c>
      <c r="BG1023" t="s">
        <v>89</v>
      </c>
      <c r="BH1023">
        <v>186</v>
      </c>
      <c r="BI1023">
        <v>9888</v>
      </c>
      <c r="BJ1023">
        <v>15</v>
      </c>
      <c r="BK1023">
        <f t="shared" si="137"/>
        <v>186</v>
      </c>
      <c r="BL1023">
        <f t="shared" si="138"/>
        <v>9888</v>
      </c>
      <c r="BM1023">
        <f t="shared" si="139"/>
        <v>15</v>
      </c>
      <c r="BN1023">
        <f t="shared" si="140"/>
        <v>0</v>
      </c>
      <c r="BO1023">
        <f t="shared" si="141"/>
        <v>0</v>
      </c>
      <c r="BP1023">
        <f t="shared" si="142"/>
        <v>0</v>
      </c>
      <c r="BQ1023" t="s">
        <v>391</v>
      </c>
      <c r="BR1023" t="s">
        <v>112</v>
      </c>
      <c r="BS1023" t="s">
        <v>89</v>
      </c>
      <c r="BT1023">
        <v>40</v>
      </c>
      <c r="BU1023" t="s">
        <v>89</v>
      </c>
      <c r="BV1023" t="s">
        <v>89</v>
      </c>
      <c r="BW1023">
        <v>22</v>
      </c>
      <c r="BX1023">
        <v>1986</v>
      </c>
      <c r="BY1023">
        <v>21</v>
      </c>
      <c r="BZ1023">
        <f t="shared" si="143"/>
        <v>-1</v>
      </c>
      <c r="CA1023">
        <f t="shared" si="144"/>
        <v>1</v>
      </c>
      <c r="CB1023" t="b">
        <f t="shared" si="145"/>
        <v>0</v>
      </c>
    </row>
    <row r="1024" spans="1:80" x14ac:dyDescent="0.3">
      <c r="A1024" t="s">
        <v>8249</v>
      </c>
      <c r="B1024" t="s">
        <v>71</v>
      </c>
      <c r="C1024" t="s">
        <v>8250</v>
      </c>
      <c r="D1024">
        <v>35</v>
      </c>
      <c r="E1024" t="s">
        <v>920</v>
      </c>
      <c r="F1024" t="s">
        <v>8251</v>
      </c>
      <c r="G1024" t="s">
        <v>321</v>
      </c>
      <c r="H1024" t="s">
        <v>89</v>
      </c>
      <c r="I1024" t="s">
        <v>5531</v>
      </c>
      <c r="J1024" t="s">
        <v>78</v>
      </c>
      <c r="K1024" t="s">
        <v>8252</v>
      </c>
      <c r="L1024" t="s">
        <v>80</v>
      </c>
      <c r="M1024">
        <v>22</v>
      </c>
      <c r="N1024" t="s">
        <v>118</v>
      </c>
      <c r="O1024">
        <v>2012</v>
      </c>
      <c r="P1024" t="s">
        <v>8253</v>
      </c>
      <c r="Q1024" t="s">
        <v>8254</v>
      </c>
      <c r="R1024">
        <v>223053</v>
      </c>
      <c r="S1024" t="s">
        <v>8249</v>
      </c>
      <c r="T1024" t="s">
        <v>8255</v>
      </c>
      <c r="U1024">
        <v>1989</v>
      </c>
      <c r="V1024" t="s">
        <v>1858</v>
      </c>
      <c r="W1024">
        <v>1.78</v>
      </c>
      <c r="X1024" t="s">
        <v>76</v>
      </c>
      <c r="Y1024" t="s">
        <v>136</v>
      </c>
      <c r="Z1024" t="s">
        <v>87</v>
      </c>
      <c r="AA1024" t="s">
        <v>8252</v>
      </c>
      <c r="AB1024" s="1">
        <v>45542</v>
      </c>
      <c r="AC1024" t="s">
        <v>170</v>
      </c>
      <c r="AD1024" t="s">
        <v>89</v>
      </c>
      <c r="AE1024" t="s">
        <v>1506</v>
      </c>
      <c r="AF1024">
        <v>24</v>
      </c>
      <c r="AG1024" t="s">
        <v>91</v>
      </c>
      <c r="AH1024" t="s">
        <v>927</v>
      </c>
      <c r="AI1024">
        <v>22</v>
      </c>
      <c r="AJ1024" t="s">
        <v>110</v>
      </c>
      <c r="AK1024">
        <v>22</v>
      </c>
      <c r="AL1024">
        <v>5</v>
      </c>
      <c r="AM1024">
        <v>393</v>
      </c>
      <c r="AN1024">
        <v>54</v>
      </c>
      <c r="AO1024">
        <v>4</v>
      </c>
      <c r="AP1024" t="s">
        <v>93</v>
      </c>
      <c r="AQ1024" t="s">
        <v>89</v>
      </c>
      <c r="AR1024" t="s">
        <v>89</v>
      </c>
      <c r="AS1024" t="s">
        <v>93</v>
      </c>
      <c r="AT1024" t="s">
        <v>89</v>
      </c>
      <c r="AU1024" t="s">
        <v>89</v>
      </c>
      <c r="AV1024" t="s">
        <v>89</v>
      </c>
      <c r="AW1024">
        <v>13</v>
      </c>
      <c r="AX1024">
        <v>17</v>
      </c>
      <c r="AY1024" t="s">
        <v>93</v>
      </c>
      <c r="AZ1024">
        <v>0</v>
      </c>
      <c r="BA1024">
        <v>0</v>
      </c>
      <c r="BB1024">
        <v>0</v>
      </c>
      <c r="BC1024">
        <v>0</v>
      </c>
      <c r="BD1024">
        <v>321</v>
      </c>
      <c r="BE1024">
        <v>22611</v>
      </c>
      <c r="BF1024">
        <v>5</v>
      </c>
      <c r="BG1024" t="s">
        <v>89</v>
      </c>
      <c r="BH1024">
        <v>321</v>
      </c>
      <c r="BI1024">
        <v>22611</v>
      </c>
      <c r="BJ1024">
        <v>5</v>
      </c>
      <c r="BK1024">
        <f t="shared" si="137"/>
        <v>321</v>
      </c>
      <c r="BL1024">
        <f t="shared" si="138"/>
        <v>22611</v>
      </c>
      <c r="BM1024">
        <f t="shared" si="139"/>
        <v>5</v>
      </c>
      <c r="BN1024">
        <f t="shared" si="140"/>
        <v>0</v>
      </c>
      <c r="BO1024">
        <f t="shared" si="141"/>
        <v>0</v>
      </c>
      <c r="BP1024">
        <f t="shared" si="142"/>
        <v>0</v>
      </c>
      <c r="BQ1024" t="s">
        <v>136</v>
      </c>
      <c r="BR1024" t="s">
        <v>140</v>
      </c>
      <c r="BS1024" t="s">
        <v>89</v>
      </c>
      <c r="BT1024">
        <v>37</v>
      </c>
      <c r="BU1024" t="s">
        <v>89</v>
      </c>
      <c r="BV1024" t="s">
        <v>89</v>
      </c>
      <c r="BW1024">
        <v>15</v>
      </c>
      <c r="BX1024">
        <v>1989</v>
      </c>
      <c r="BY1024">
        <v>13</v>
      </c>
      <c r="BZ1024">
        <f t="shared" si="143"/>
        <v>-2</v>
      </c>
      <c r="CA1024">
        <f t="shared" si="144"/>
        <v>2</v>
      </c>
      <c r="CB1024" t="b">
        <f t="shared" si="145"/>
        <v>0</v>
      </c>
    </row>
    <row r="1025" spans="1:80" x14ac:dyDescent="0.3">
      <c r="A1025" t="s">
        <v>8256</v>
      </c>
      <c r="B1025" t="s">
        <v>71</v>
      </c>
      <c r="C1025" t="s">
        <v>8257</v>
      </c>
      <c r="D1025">
        <v>35</v>
      </c>
      <c r="E1025" t="s">
        <v>8258</v>
      </c>
      <c r="F1025" t="s">
        <v>4286</v>
      </c>
      <c r="G1025" t="s">
        <v>143</v>
      </c>
      <c r="H1025" t="s">
        <v>89</v>
      </c>
      <c r="I1025" t="s">
        <v>401</v>
      </c>
      <c r="J1025" t="s">
        <v>300</v>
      </c>
      <c r="K1025" t="s">
        <v>1645</v>
      </c>
      <c r="L1025" t="s">
        <v>762</v>
      </c>
      <c r="M1025">
        <v>24</v>
      </c>
      <c r="N1025" t="s">
        <v>416</v>
      </c>
      <c r="O1025">
        <v>2014</v>
      </c>
      <c r="P1025" t="s">
        <v>8259</v>
      </c>
      <c r="Q1025" t="s">
        <v>8260</v>
      </c>
      <c r="R1025">
        <v>79352</v>
      </c>
      <c r="S1025" t="s">
        <v>8261</v>
      </c>
      <c r="T1025" t="s">
        <v>8262</v>
      </c>
      <c r="U1025">
        <v>1990</v>
      </c>
      <c r="V1025" t="s">
        <v>100</v>
      </c>
      <c r="W1025">
        <v>1.77</v>
      </c>
      <c r="X1025" t="s">
        <v>76</v>
      </c>
      <c r="Y1025" t="s">
        <v>123</v>
      </c>
      <c r="Z1025" t="s">
        <v>152</v>
      </c>
      <c r="AA1025" t="s">
        <v>8263</v>
      </c>
      <c r="AB1025" t="s">
        <v>8264</v>
      </c>
      <c r="AC1025" t="s">
        <v>170</v>
      </c>
      <c r="AD1025" t="s">
        <v>89</v>
      </c>
      <c r="AE1025">
        <v>41982</v>
      </c>
      <c r="AF1025">
        <v>24</v>
      </c>
      <c r="AG1025" t="s">
        <v>91</v>
      </c>
      <c r="AH1025" t="s">
        <v>3049</v>
      </c>
      <c r="AI1025">
        <v>20</v>
      </c>
      <c r="AJ1025" t="s">
        <v>110</v>
      </c>
      <c r="AK1025">
        <v>20</v>
      </c>
      <c r="AL1025">
        <v>2</v>
      </c>
      <c r="AM1025">
        <v>44</v>
      </c>
      <c r="AN1025">
        <v>8</v>
      </c>
      <c r="AO1025">
        <v>2</v>
      </c>
      <c r="AP1025" t="s">
        <v>93</v>
      </c>
      <c r="AQ1025" t="s">
        <v>89</v>
      </c>
      <c r="AR1025" t="s">
        <v>89</v>
      </c>
      <c r="AS1025" t="s">
        <v>93</v>
      </c>
      <c r="AT1025" t="s">
        <v>89</v>
      </c>
      <c r="AU1025" t="s">
        <v>89</v>
      </c>
      <c r="AV1025" t="s">
        <v>89</v>
      </c>
      <c r="AW1025">
        <v>11</v>
      </c>
      <c r="AX1025">
        <v>23</v>
      </c>
      <c r="AY1025" t="s">
        <v>93</v>
      </c>
      <c r="AZ1025">
        <v>0</v>
      </c>
      <c r="BA1025">
        <v>0</v>
      </c>
      <c r="BB1025">
        <v>0</v>
      </c>
      <c r="BC1025">
        <v>0</v>
      </c>
      <c r="BD1025">
        <v>301</v>
      </c>
      <c r="BE1025">
        <v>18667</v>
      </c>
      <c r="BF1025">
        <v>69</v>
      </c>
      <c r="BG1025" t="s">
        <v>89</v>
      </c>
      <c r="BH1025">
        <v>301</v>
      </c>
      <c r="BI1025">
        <v>18667</v>
      </c>
      <c r="BJ1025">
        <v>69</v>
      </c>
      <c r="BK1025">
        <f t="shared" si="137"/>
        <v>301</v>
      </c>
      <c r="BL1025">
        <f t="shared" si="138"/>
        <v>18667</v>
      </c>
      <c r="BM1025">
        <f t="shared" si="139"/>
        <v>69</v>
      </c>
      <c r="BN1025">
        <f t="shared" si="140"/>
        <v>0</v>
      </c>
      <c r="BO1025">
        <f t="shared" si="141"/>
        <v>0</v>
      </c>
      <c r="BP1025">
        <f t="shared" si="142"/>
        <v>0</v>
      </c>
      <c r="BQ1025" t="s">
        <v>123</v>
      </c>
      <c r="BR1025" t="s">
        <v>112</v>
      </c>
      <c r="BS1025" t="s">
        <v>89</v>
      </c>
      <c r="BT1025">
        <v>36</v>
      </c>
      <c r="BU1025" t="s">
        <v>89</v>
      </c>
      <c r="BV1025" t="s">
        <v>89</v>
      </c>
      <c r="BW1025">
        <v>16</v>
      </c>
      <c r="BX1025">
        <v>1990</v>
      </c>
      <c r="BY1025">
        <v>15</v>
      </c>
      <c r="BZ1025">
        <f t="shared" si="143"/>
        <v>-5</v>
      </c>
      <c r="CA1025">
        <f t="shared" si="144"/>
        <v>1</v>
      </c>
      <c r="CB1025" t="b">
        <f t="shared" si="145"/>
        <v>0</v>
      </c>
    </row>
    <row r="1026" spans="1:80" x14ac:dyDescent="0.3">
      <c r="A1026" t="s">
        <v>8265</v>
      </c>
      <c r="B1026" t="s">
        <v>71</v>
      </c>
      <c r="C1026" t="s">
        <v>8266</v>
      </c>
      <c r="D1026">
        <v>33</v>
      </c>
      <c r="E1026" s="1">
        <v>33710</v>
      </c>
      <c r="F1026" t="s">
        <v>89</v>
      </c>
      <c r="G1026" t="s">
        <v>298</v>
      </c>
      <c r="H1026" t="s">
        <v>89</v>
      </c>
      <c r="I1026" t="s">
        <v>750</v>
      </c>
      <c r="J1026" t="s">
        <v>78</v>
      </c>
      <c r="K1026" t="s">
        <v>89</v>
      </c>
      <c r="L1026" t="s">
        <v>278</v>
      </c>
      <c r="M1026">
        <v>19</v>
      </c>
      <c r="N1026" t="s">
        <v>416</v>
      </c>
      <c r="O1026">
        <v>2011</v>
      </c>
      <c r="P1026" t="s">
        <v>8267</v>
      </c>
      <c r="Q1026" t="s">
        <v>8268</v>
      </c>
      <c r="R1026">
        <v>223215</v>
      </c>
      <c r="S1026" t="s">
        <v>8265</v>
      </c>
      <c r="T1026" t="s">
        <v>8269</v>
      </c>
      <c r="U1026">
        <v>1992</v>
      </c>
      <c r="V1026" t="s">
        <v>4922</v>
      </c>
      <c r="W1026">
        <v>1.76</v>
      </c>
      <c r="X1026" t="s">
        <v>76</v>
      </c>
      <c r="Y1026" t="s">
        <v>86</v>
      </c>
      <c r="Z1026" t="s">
        <v>87</v>
      </c>
      <c r="AA1026" t="s">
        <v>2570</v>
      </c>
      <c r="AB1026" t="s">
        <v>5032</v>
      </c>
      <c r="AC1026" t="s">
        <v>170</v>
      </c>
      <c r="AD1026" t="s">
        <v>89</v>
      </c>
      <c r="AE1026">
        <v>41247</v>
      </c>
      <c r="AF1026">
        <v>19</v>
      </c>
      <c r="AG1026" t="s">
        <v>91</v>
      </c>
      <c r="AH1026" t="s">
        <v>90</v>
      </c>
      <c r="AI1026">
        <v>20</v>
      </c>
      <c r="AJ1026" t="s">
        <v>110</v>
      </c>
      <c r="AK1026">
        <v>19</v>
      </c>
      <c r="AL1026">
        <v>1</v>
      </c>
      <c r="AM1026">
        <v>7</v>
      </c>
      <c r="AN1026">
        <v>1</v>
      </c>
      <c r="AO1026">
        <v>1</v>
      </c>
      <c r="AP1026" t="s">
        <v>93</v>
      </c>
      <c r="AQ1026" t="s">
        <v>89</v>
      </c>
      <c r="AR1026" t="s">
        <v>89</v>
      </c>
      <c r="AS1026" t="s">
        <v>93</v>
      </c>
      <c r="AT1026" t="s">
        <v>89</v>
      </c>
      <c r="AU1026" t="s">
        <v>89</v>
      </c>
      <c r="AV1026" t="s">
        <v>89</v>
      </c>
      <c r="AW1026">
        <v>14</v>
      </c>
      <c r="AX1026">
        <v>23</v>
      </c>
      <c r="AY1026" t="s">
        <v>93</v>
      </c>
      <c r="AZ1026">
        <v>0</v>
      </c>
      <c r="BA1026">
        <v>0</v>
      </c>
      <c r="BB1026">
        <v>0</v>
      </c>
      <c r="BC1026">
        <v>0</v>
      </c>
      <c r="BD1026">
        <v>58</v>
      </c>
      <c r="BE1026">
        <v>3337</v>
      </c>
      <c r="BF1026">
        <v>4</v>
      </c>
      <c r="BG1026" t="s">
        <v>89</v>
      </c>
      <c r="BH1026">
        <v>58</v>
      </c>
      <c r="BI1026">
        <v>3337</v>
      </c>
      <c r="BJ1026">
        <v>4</v>
      </c>
      <c r="BK1026">
        <f t="shared" si="137"/>
        <v>58</v>
      </c>
      <c r="BL1026">
        <f t="shared" si="138"/>
        <v>3337</v>
      </c>
      <c r="BM1026">
        <f t="shared" si="139"/>
        <v>4</v>
      </c>
      <c r="BN1026">
        <f t="shared" si="140"/>
        <v>0</v>
      </c>
      <c r="BO1026">
        <f t="shared" si="141"/>
        <v>0</v>
      </c>
      <c r="BP1026">
        <f t="shared" si="142"/>
        <v>0</v>
      </c>
      <c r="BQ1026" t="s">
        <v>86</v>
      </c>
      <c r="BR1026" t="s">
        <v>94</v>
      </c>
      <c r="BS1026" s="1">
        <v>33710</v>
      </c>
      <c r="BT1026">
        <v>33</v>
      </c>
      <c r="BU1026" t="s">
        <v>89</v>
      </c>
      <c r="BV1026" t="s">
        <v>89</v>
      </c>
      <c r="BW1026">
        <v>14</v>
      </c>
      <c r="BX1026">
        <v>1992</v>
      </c>
      <c r="BY1026">
        <v>14</v>
      </c>
      <c r="BZ1026">
        <f t="shared" si="143"/>
        <v>0</v>
      </c>
      <c r="CA1026">
        <f t="shared" si="144"/>
        <v>0</v>
      </c>
      <c r="CB1026" t="b">
        <f t="shared" si="145"/>
        <v>1</v>
      </c>
    </row>
    <row r="1027" spans="1:80" x14ac:dyDescent="0.3">
      <c r="A1027" t="s">
        <v>8270</v>
      </c>
      <c r="B1027" t="s">
        <v>71</v>
      </c>
      <c r="C1027" t="s">
        <v>8271</v>
      </c>
      <c r="D1027">
        <v>36</v>
      </c>
      <c r="E1027" s="1">
        <v>32393</v>
      </c>
      <c r="F1027" t="s">
        <v>89</v>
      </c>
      <c r="G1027" t="s">
        <v>2881</v>
      </c>
      <c r="H1027" t="s">
        <v>89</v>
      </c>
      <c r="I1027" t="s">
        <v>414</v>
      </c>
      <c r="J1027" t="s">
        <v>78</v>
      </c>
      <c r="K1027" t="s">
        <v>89</v>
      </c>
      <c r="L1027" t="s">
        <v>254</v>
      </c>
      <c r="M1027">
        <v>20</v>
      </c>
      <c r="N1027" t="s">
        <v>402</v>
      </c>
      <c r="O1027">
        <v>2009</v>
      </c>
      <c r="P1027" t="s">
        <v>8272</v>
      </c>
      <c r="Q1027" t="s">
        <v>8273</v>
      </c>
      <c r="R1027">
        <v>77026</v>
      </c>
      <c r="S1027" t="s">
        <v>8270</v>
      </c>
      <c r="T1027">
        <v>32333</v>
      </c>
      <c r="U1027">
        <v>1988</v>
      </c>
      <c r="V1027" t="s">
        <v>6678</v>
      </c>
      <c r="W1027">
        <v>1.92</v>
      </c>
      <c r="X1027" t="s">
        <v>76</v>
      </c>
      <c r="Y1027" t="s">
        <v>235</v>
      </c>
      <c r="Z1027" t="s">
        <v>87</v>
      </c>
      <c r="AA1027" t="s">
        <v>1423</v>
      </c>
      <c r="AB1027">
        <v>45846</v>
      </c>
      <c r="AC1027" t="s">
        <v>170</v>
      </c>
      <c r="AD1027" t="s">
        <v>89</v>
      </c>
      <c r="AE1027" t="s">
        <v>1729</v>
      </c>
      <c r="AF1027">
        <v>25</v>
      </c>
      <c r="AG1027" t="s">
        <v>91</v>
      </c>
      <c r="AH1027" t="s">
        <v>6278</v>
      </c>
      <c r="AI1027">
        <v>19</v>
      </c>
      <c r="AJ1027" t="s">
        <v>110</v>
      </c>
      <c r="AK1027">
        <v>19</v>
      </c>
      <c r="AL1027">
        <v>4</v>
      </c>
      <c r="AM1027">
        <v>74</v>
      </c>
      <c r="AN1027">
        <v>13</v>
      </c>
      <c r="AO1027">
        <v>3</v>
      </c>
      <c r="AP1027" t="s">
        <v>93</v>
      </c>
      <c r="AQ1027" t="s">
        <v>89</v>
      </c>
      <c r="AR1027" t="s">
        <v>89</v>
      </c>
      <c r="AS1027" t="s">
        <v>93</v>
      </c>
      <c r="AT1027" t="s">
        <v>89</v>
      </c>
      <c r="AU1027" t="s">
        <v>89</v>
      </c>
      <c r="AV1027" t="s">
        <v>89</v>
      </c>
      <c r="AW1027">
        <v>16</v>
      </c>
      <c r="AX1027" t="s">
        <v>89</v>
      </c>
      <c r="AY1027" t="s">
        <v>93</v>
      </c>
      <c r="AZ1027">
        <v>0</v>
      </c>
      <c r="BA1027">
        <v>0</v>
      </c>
      <c r="BB1027">
        <v>0</v>
      </c>
      <c r="BC1027">
        <v>0</v>
      </c>
      <c r="BD1027">
        <v>220</v>
      </c>
      <c r="BE1027">
        <v>19186</v>
      </c>
      <c r="BF1027">
        <v>17</v>
      </c>
      <c r="BG1027" t="s">
        <v>89</v>
      </c>
      <c r="BH1027">
        <v>220</v>
      </c>
      <c r="BI1027">
        <v>19186</v>
      </c>
      <c r="BJ1027">
        <v>17</v>
      </c>
      <c r="BK1027">
        <f t="shared" ref="BK1027:BK1090" si="146">+BA1027+BD1027</f>
        <v>220</v>
      </c>
      <c r="BL1027">
        <f t="shared" ref="BL1027:BL1090" si="147">+BB1027+BE1027</f>
        <v>19186</v>
      </c>
      <c r="BM1027">
        <f t="shared" ref="BM1027:BM1090" si="148">+BC1027+BF1027</f>
        <v>17</v>
      </c>
      <c r="BN1027">
        <f t="shared" ref="BN1027:BN1090" si="149">+BK1027-BH1027</f>
        <v>0</v>
      </c>
      <c r="BO1027">
        <f t="shared" ref="BO1027:BO1090" si="150">+BL1027-BI1027</f>
        <v>0</v>
      </c>
      <c r="BP1027">
        <f t="shared" ref="BP1027:BP1090" si="151">+BM1027-BJ1027</f>
        <v>0</v>
      </c>
      <c r="BQ1027" t="s">
        <v>235</v>
      </c>
      <c r="BR1027" t="s">
        <v>140</v>
      </c>
      <c r="BS1027" t="s">
        <v>89</v>
      </c>
      <c r="BT1027">
        <v>38</v>
      </c>
      <c r="BU1027" t="s">
        <v>89</v>
      </c>
      <c r="BV1027" t="s">
        <v>89</v>
      </c>
      <c r="BW1027">
        <v>19</v>
      </c>
      <c r="BX1027">
        <v>1988</v>
      </c>
      <c r="BY1027">
        <v>17</v>
      </c>
      <c r="BZ1027">
        <f t="shared" ref="BZ1027:BZ1090" si="152">+AW1027-BW1027</f>
        <v>-3</v>
      </c>
      <c r="CA1027">
        <f t="shared" ref="CA1027:CA1090" si="153">+BW1027-BY1027</f>
        <v>2</v>
      </c>
      <c r="CB1027" t="b">
        <f t="shared" ref="CB1027:CB1090" si="154">+BW1027=AW1027</f>
        <v>0</v>
      </c>
    </row>
    <row r="1028" spans="1:80" x14ac:dyDescent="0.3">
      <c r="A1028" t="s">
        <v>8274</v>
      </c>
      <c r="B1028" t="s">
        <v>71</v>
      </c>
      <c r="C1028" t="s">
        <v>8275</v>
      </c>
      <c r="D1028">
        <v>39</v>
      </c>
      <c r="E1028" s="1">
        <v>31294</v>
      </c>
      <c r="F1028" t="s">
        <v>8276</v>
      </c>
      <c r="G1028" t="s">
        <v>241</v>
      </c>
      <c r="H1028" t="s">
        <v>76</v>
      </c>
      <c r="I1028" t="s">
        <v>414</v>
      </c>
      <c r="J1028" t="s">
        <v>78</v>
      </c>
      <c r="K1028" t="s">
        <v>8277</v>
      </c>
      <c r="L1028" t="s">
        <v>145</v>
      </c>
      <c r="M1028">
        <v>18</v>
      </c>
      <c r="N1028" t="s">
        <v>181</v>
      </c>
      <c r="O1028">
        <v>2004</v>
      </c>
      <c r="P1028" t="s">
        <v>8278</v>
      </c>
      <c r="Q1028" t="s">
        <v>8279</v>
      </c>
      <c r="R1028">
        <v>15452</v>
      </c>
      <c r="S1028" t="s">
        <v>8274</v>
      </c>
      <c r="T1028">
        <v>31146</v>
      </c>
      <c r="U1028">
        <v>1985</v>
      </c>
      <c r="V1028" t="s">
        <v>8280</v>
      </c>
      <c r="W1028">
        <v>1.9</v>
      </c>
      <c r="X1028" t="s">
        <v>76</v>
      </c>
      <c r="Y1028" t="s">
        <v>235</v>
      </c>
      <c r="Z1028" t="s">
        <v>87</v>
      </c>
      <c r="AA1028" t="s">
        <v>8277</v>
      </c>
      <c r="AB1028">
        <v>45697</v>
      </c>
      <c r="AC1028" t="s">
        <v>170</v>
      </c>
      <c r="AD1028" t="s">
        <v>89</v>
      </c>
      <c r="AE1028">
        <v>2005</v>
      </c>
      <c r="AF1028">
        <v>19</v>
      </c>
      <c r="AG1028" t="s">
        <v>91</v>
      </c>
      <c r="AH1028" t="s">
        <v>89</v>
      </c>
      <c r="AI1028" t="s">
        <v>89</v>
      </c>
      <c r="AJ1028" t="s">
        <v>89</v>
      </c>
      <c r="AK1028">
        <v>19</v>
      </c>
      <c r="AL1028">
        <v>10</v>
      </c>
      <c r="AM1028">
        <v>264</v>
      </c>
      <c r="AN1028">
        <v>71</v>
      </c>
      <c r="AO1028">
        <v>7</v>
      </c>
      <c r="AP1028" t="s">
        <v>93</v>
      </c>
      <c r="AQ1028" t="s">
        <v>89</v>
      </c>
      <c r="AR1028" t="s">
        <v>89</v>
      </c>
      <c r="AS1028" t="s">
        <v>93</v>
      </c>
      <c r="AT1028" t="s">
        <v>89</v>
      </c>
      <c r="AU1028" t="s">
        <v>89</v>
      </c>
      <c r="AV1028" t="s">
        <v>89</v>
      </c>
      <c r="AW1028">
        <v>21</v>
      </c>
      <c r="AX1028">
        <v>39</v>
      </c>
      <c r="AY1028" t="s">
        <v>111</v>
      </c>
      <c r="AZ1028">
        <v>17</v>
      </c>
      <c r="BA1028">
        <v>33</v>
      </c>
      <c r="BB1028">
        <v>2448</v>
      </c>
      <c r="BC1028">
        <v>0</v>
      </c>
      <c r="BD1028">
        <v>702</v>
      </c>
      <c r="BE1028">
        <v>58908</v>
      </c>
      <c r="BF1028">
        <v>19</v>
      </c>
      <c r="BG1028" t="s">
        <v>89</v>
      </c>
      <c r="BH1028">
        <v>735</v>
      </c>
      <c r="BI1028">
        <v>61356</v>
      </c>
      <c r="BJ1028">
        <v>19</v>
      </c>
      <c r="BK1028">
        <f t="shared" si="146"/>
        <v>735</v>
      </c>
      <c r="BL1028">
        <f t="shared" si="147"/>
        <v>61356</v>
      </c>
      <c r="BM1028">
        <f t="shared" si="148"/>
        <v>19</v>
      </c>
      <c r="BN1028">
        <f t="shared" si="149"/>
        <v>0</v>
      </c>
      <c r="BO1028">
        <f t="shared" si="150"/>
        <v>0</v>
      </c>
      <c r="BP1028">
        <f t="shared" si="151"/>
        <v>0</v>
      </c>
      <c r="BQ1028" t="s">
        <v>235</v>
      </c>
      <c r="BR1028" t="s">
        <v>140</v>
      </c>
      <c r="BS1028" t="s">
        <v>89</v>
      </c>
      <c r="BT1028">
        <v>41</v>
      </c>
      <c r="BU1028" t="s">
        <v>89</v>
      </c>
      <c r="BV1028" t="s">
        <v>89</v>
      </c>
      <c r="BW1028">
        <v>22</v>
      </c>
      <c r="BX1028">
        <v>1985</v>
      </c>
      <c r="BY1028">
        <v>20</v>
      </c>
      <c r="BZ1028">
        <f t="shared" si="152"/>
        <v>-1</v>
      </c>
      <c r="CA1028">
        <f t="shared" si="153"/>
        <v>2</v>
      </c>
      <c r="CB1028" t="b">
        <f t="shared" si="154"/>
        <v>0</v>
      </c>
    </row>
    <row r="1029" spans="1:80" x14ac:dyDescent="0.3">
      <c r="A1029" t="s">
        <v>8281</v>
      </c>
      <c r="B1029" t="s">
        <v>71</v>
      </c>
      <c r="C1029" t="s">
        <v>8282</v>
      </c>
      <c r="D1029">
        <v>36</v>
      </c>
      <c r="E1029" s="1">
        <v>32569</v>
      </c>
      <c r="F1029" t="s">
        <v>89</v>
      </c>
      <c r="G1029" t="s">
        <v>115</v>
      </c>
      <c r="H1029" t="s">
        <v>76</v>
      </c>
      <c r="I1029" t="s">
        <v>253</v>
      </c>
      <c r="J1029" t="s">
        <v>78</v>
      </c>
      <c r="K1029" t="s">
        <v>89</v>
      </c>
      <c r="L1029" t="s">
        <v>254</v>
      </c>
      <c r="M1029">
        <v>20</v>
      </c>
      <c r="N1029" t="s">
        <v>146</v>
      </c>
      <c r="O1029">
        <v>2009</v>
      </c>
      <c r="P1029" t="s">
        <v>8283</v>
      </c>
      <c r="Q1029" t="s">
        <v>8284</v>
      </c>
      <c r="R1029">
        <v>74557</v>
      </c>
      <c r="S1029" t="s">
        <v>8281</v>
      </c>
      <c r="T1029" t="s">
        <v>1260</v>
      </c>
      <c r="U1029">
        <v>1989</v>
      </c>
      <c r="V1029" t="s">
        <v>8285</v>
      </c>
      <c r="W1029">
        <v>1.81</v>
      </c>
      <c r="X1029" t="s">
        <v>76</v>
      </c>
      <c r="Y1029" t="s">
        <v>259</v>
      </c>
      <c r="Z1029" t="s">
        <v>87</v>
      </c>
      <c r="AA1029" t="s">
        <v>476</v>
      </c>
      <c r="AB1029" s="1">
        <v>45298</v>
      </c>
      <c r="AC1029" t="s">
        <v>108</v>
      </c>
      <c r="AD1029" t="s">
        <v>2335</v>
      </c>
      <c r="AE1029">
        <v>39913</v>
      </c>
      <c r="AF1029">
        <v>20</v>
      </c>
      <c r="AG1029" t="s">
        <v>91</v>
      </c>
      <c r="AH1029">
        <v>42472</v>
      </c>
      <c r="AI1029">
        <v>27</v>
      </c>
      <c r="AJ1029" t="s">
        <v>110</v>
      </c>
      <c r="AK1029">
        <v>20</v>
      </c>
      <c r="AL1029">
        <v>11</v>
      </c>
      <c r="AM1029">
        <v>586</v>
      </c>
      <c r="AN1029">
        <v>63</v>
      </c>
      <c r="AO1029">
        <v>7</v>
      </c>
      <c r="AP1029" t="s">
        <v>93</v>
      </c>
      <c r="AQ1029" t="s">
        <v>89</v>
      </c>
      <c r="AR1029" t="s">
        <v>89</v>
      </c>
      <c r="AS1029" t="s">
        <v>93</v>
      </c>
      <c r="AT1029" t="s">
        <v>89</v>
      </c>
      <c r="AU1029" t="s">
        <v>89</v>
      </c>
      <c r="AV1029" t="s">
        <v>89</v>
      </c>
      <c r="AW1029">
        <v>16</v>
      </c>
      <c r="AX1029" t="s">
        <v>89</v>
      </c>
      <c r="AY1029" t="s">
        <v>93</v>
      </c>
      <c r="AZ1029">
        <v>0</v>
      </c>
      <c r="BA1029">
        <v>0</v>
      </c>
      <c r="BB1029">
        <v>0</v>
      </c>
      <c r="BC1029">
        <v>0</v>
      </c>
      <c r="BD1029">
        <v>239</v>
      </c>
      <c r="BE1029">
        <v>15622</v>
      </c>
      <c r="BF1029">
        <v>7</v>
      </c>
      <c r="BG1029" t="s">
        <v>89</v>
      </c>
      <c r="BH1029">
        <v>239</v>
      </c>
      <c r="BI1029">
        <v>15622</v>
      </c>
      <c r="BJ1029">
        <v>7</v>
      </c>
      <c r="BK1029">
        <f t="shared" si="146"/>
        <v>239</v>
      </c>
      <c r="BL1029">
        <f t="shared" si="147"/>
        <v>15622</v>
      </c>
      <c r="BM1029">
        <f t="shared" si="148"/>
        <v>7</v>
      </c>
      <c r="BN1029">
        <f t="shared" si="149"/>
        <v>0</v>
      </c>
      <c r="BO1029">
        <f t="shared" si="150"/>
        <v>0</v>
      </c>
      <c r="BP1029">
        <f t="shared" si="151"/>
        <v>0</v>
      </c>
      <c r="BQ1029" t="s">
        <v>259</v>
      </c>
      <c r="BR1029" t="s">
        <v>94</v>
      </c>
      <c r="BS1029" t="s">
        <v>89</v>
      </c>
      <c r="BT1029">
        <v>37</v>
      </c>
      <c r="BU1029" t="s">
        <v>89</v>
      </c>
      <c r="BV1029" t="s">
        <v>89</v>
      </c>
      <c r="BW1029">
        <v>17</v>
      </c>
      <c r="BX1029">
        <v>1989</v>
      </c>
      <c r="BY1029">
        <v>16</v>
      </c>
      <c r="BZ1029">
        <f t="shared" si="152"/>
        <v>-1</v>
      </c>
      <c r="CA1029">
        <f t="shared" si="153"/>
        <v>1</v>
      </c>
      <c r="CB1029" t="b">
        <f t="shared" si="154"/>
        <v>0</v>
      </c>
    </row>
    <row r="1030" spans="1:80" x14ac:dyDescent="0.3">
      <c r="A1030" t="s">
        <v>8286</v>
      </c>
      <c r="B1030" t="s">
        <v>71</v>
      </c>
      <c r="C1030" t="s">
        <v>8287</v>
      </c>
      <c r="D1030">
        <v>44</v>
      </c>
      <c r="E1030" s="1">
        <v>29690</v>
      </c>
      <c r="F1030" t="s">
        <v>89</v>
      </c>
      <c r="G1030" t="s">
        <v>298</v>
      </c>
      <c r="H1030" t="s">
        <v>76</v>
      </c>
      <c r="I1030" t="s">
        <v>1747</v>
      </c>
      <c r="J1030" t="s">
        <v>300</v>
      </c>
      <c r="K1030" t="s">
        <v>89</v>
      </c>
      <c r="L1030" t="s">
        <v>99</v>
      </c>
      <c r="M1030">
        <v>20</v>
      </c>
      <c r="N1030" t="s">
        <v>268</v>
      </c>
      <c r="O1030">
        <v>2001</v>
      </c>
      <c r="P1030" t="s">
        <v>8288</v>
      </c>
      <c r="Q1030" t="s">
        <v>8289</v>
      </c>
      <c r="R1030">
        <v>3771</v>
      </c>
      <c r="S1030" t="s">
        <v>8286</v>
      </c>
      <c r="T1030" t="s">
        <v>8290</v>
      </c>
      <c r="U1030">
        <v>1981</v>
      </c>
      <c r="V1030" t="s">
        <v>8291</v>
      </c>
      <c r="W1030">
        <v>1.81</v>
      </c>
      <c r="X1030" t="s">
        <v>76</v>
      </c>
      <c r="Y1030" t="s">
        <v>235</v>
      </c>
      <c r="Z1030" t="s">
        <v>152</v>
      </c>
      <c r="AA1030" t="s">
        <v>8292</v>
      </c>
      <c r="AB1030" s="1">
        <v>44568</v>
      </c>
      <c r="AC1030" t="s">
        <v>108</v>
      </c>
      <c r="AD1030" t="s">
        <v>89</v>
      </c>
      <c r="AE1030">
        <v>37052</v>
      </c>
      <c r="AF1030">
        <v>20</v>
      </c>
      <c r="AG1030" t="s">
        <v>91</v>
      </c>
      <c r="AH1030" t="s">
        <v>421</v>
      </c>
      <c r="AI1030">
        <v>32</v>
      </c>
      <c r="AJ1030" t="s">
        <v>110</v>
      </c>
      <c r="AK1030">
        <v>20</v>
      </c>
      <c r="AL1030">
        <v>1</v>
      </c>
      <c r="AM1030">
        <v>23</v>
      </c>
      <c r="AN1030">
        <v>2</v>
      </c>
      <c r="AO1030">
        <v>1</v>
      </c>
      <c r="AP1030" t="s">
        <v>93</v>
      </c>
      <c r="AQ1030" t="s">
        <v>89</v>
      </c>
      <c r="AR1030" t="s">
        <v>89</v>
      </c>
      <c r="AS1030" t="s">
        <v>111</v>
      </c>
      <c r="AT1030" s="1">
        <v>44568</v>
      </c>
      <c r="AU1030">
        <v>2022</v>
      </c>
      <c r="AV1030">
        <v>21</v>
      </c>
      <c r="AW1030">
        <v>21</v>
      </c>
      <c r="AX1030" t="s">
        <v>89</v>
      </c>
      <c r="AY1030" t="s">
        <v>111</v>
      </c>
      <c r="AZ1030">
        <v>1</v>
      </c>
      <c r="BA1030">
        <v>3</v>
      </c>
      <c r="BB1030">
        <v>270</v>
      </c>
      <c r="BC1030">
        <v>0</v>
      </c>
      <c r="BD1030">
        <v>255</v>
      </c>
      <c r="BE1030">
        <v>20085</v>
      </c>
      <c r="BF1030">
        <v>5</v>
      </c>
      <c r="BG1030">
        <v>41</v>
      </c>
      <c r="BH1030">
        <v>258</v>
      </c>
      <c r="BI1030">
        <v>20355</v>
      </c>
      <c r="BJ1030">
        <v>5</v>
      </c>
      <c r="BK1030">
        <f t="shared" si="146"/>
        <v>258</v>
      </c>
      <c r="BL1030">
        <f t="shared" si="147"/>
        <v>20355</v>
      </c>
      <c r="BM1030">
        <f t="shared" si="148"/>
        <v>5</v>
      </c>
      <c r="BN1030">
        <f t="shared" si="149"/>
        <v>0</v>
      </c>
      <c r="BO1030">
        <f t="shared" si="150"/>
        <v>0</v>
      </c>
      <c r="BP1030">
        <f t="shared" si="151"/>
        <v>0</v>
      </c>
      <c r="BQ1030" t="s">
        <v>235</v>
      </c>
      <c r="BR1030" t="s">
        <v>140</v>
      </c>
      <c r="BS1030" s="1">
        <v>29690</v>
      </c>
      <c r="BT1030">
        <v>44</v>
      </c>
      <c r="BU1030" s="1">
        <v>44568</v>
      </c>
      <c r="BV1030" s="1">
        <v>44743</v>
      </c>
      <c r="BW1030">
        <v>21</v>
      </c>
      <c r="BX1030">
        <v>1981</v>
      </c>
      <c r="BY1030">
        <v>21</v>
      </c>
      <c r="BZ1030">
        <f t="shared" si="152"/>
        <v>0</v>
      </c>
      <c r="CA1030">
        <f t="shared" si="153"/>
        <v>0</v>
      </c>
      <c r="CB1030" t="b">
        <f t="shared" si="154"/>
        <v>1</v>
      </c>
    </row>
    <row r="1031" spans="1:80" x14ac:dyDescent="0.3">
      <c r="A1031" t="s">
        <v>8293</v>
      </c>
      <c r="B1031" t="s">
        <v>71</v>
      </c>
      <c r="C1031" t="s">
        <v>8294</v>
      </c>
      <c r="D1031">
        <v>38</v>
      </c>
      <c r="E1031">
        <v>31717</v>
      </c>
      <c r="F1031" t="s">
        <v>89</v>
      </c>
      <c r="G1031" t="s">
        <v>97</v>
      </c>
      <c r="H1031" t="s">
        <v>89</v>
      </c>
      <c r="I1031" t="s">
        <v>178</v>
      </c>
      <c r="J1031" t="s">
        <v>89</v>
      </c>
      <c r="K1031" t="s">
        <v>89</v>
      </c>
      <c r="L1031" t="s">
        <v>228</v>
      </c>
      <c r="M1031">
        <v>23</v>
      </c>
      <c r="N1031" t="s">
        <v>279</v>
      </c>
      <c r="O1031">
        <v>2010</v>
      </c>
      <c r="P1031" t="s">
        <v>8295</v>
      </c>
      <c r="Q1031" t="s">
        <v>8296</v>
      </c>
      <c r="R1031">
        <v>89477</v>
      </c>
      <c r="S1031" t="s">
        <v>8293</v>
      </c>
      <c r="T1031">
        <v>31423</v>
      </c>
      <c r="U1031">
        <v>1986</v>
      </c>
      <c r="V1031" t="s">
        <v>8297</v>
      </c>
      <c r="W1031">
        <v>1.81</v>
      </c>
      <c r="X1031" t="s">
        <v>76</v>
      </c>
      <c r="Y1031" t="s">
        <v>186</v>
      </c>
      <c r="Z1031" t="s">
        <v>87</v>
      </c>
      <c r="AA1031" t="s">
        <v>8298</v>
      </c>
      <c r="AB1031">
        <v>44933</v>
      </c>
      <c r="AC1031" t="s">
        <v>108</v>
      </c>
      <c r="AD1031" t="s">
        <v>89</v>
      </c>
      <c r="AE1031" t="s">
        <v>2065</v>
      </c>
      <c r="AF1031">
        <v>24</v>
      </c>
      <c r="AG1031" t="s">
        <v>91</v>
      </c>
      <c r="AH1031">
        <v>41492</v>
      </c>
      <c r="AI1031">
        <v>26</v>
      </c>
      <c r="AJ1031" t="s">
        <v>110</v>
      </c>
      <c r="AK1031">
        <v>24</v>
      </c>
      <c r="AL1031">
        <v>1</v>
      </c>
      <c r="AM1031">
        <v>66</v>
      </c>
      <c r="AN1031">
        <v>7</v>
      </c>
      <c r="AO1031">
        <v>1</v>
      </c>
      <c r="AP1031" t="s">
        <v>93</v>
      </c>
      <c r="AQ1031" t="s">
        <v>89</v>
      </c>
      <c r="AR1031" t="s">
        <v>89</v>
      </c>
      <c r="AS1031" t="s">
        <v>111</v>
      </c>
      <c r="AT1031">
        <v>44933</v>
      </c>
      <c r="AU1031">
        <v>2023</v>
      </c>
      <c r="AV1031">
        <v>13</v>
      </c>
      <c r="AW1031">
        <v>13</v>
      </c>
      <c r="AX1031" t="s">
        <v>89</v>
      </c>
      <c r="AY1031" t="s">
        <v>93</v>
      </c>
      <c r="AZ1031">
        <v>0</v>
      </c>
      <c r="BA1031">
        <v>0</v>
      </c>
      <c r="BB1031">
        <v>0</v>
      </c>
      <c r="BC1031">
        <v>0</v>
      </c>
      <c r="BD1031">
        <v>6</v>
      </c>
      <c r="BE1031">
        <v>540</v>
      </c>
      <c r="BF1031">
        <v>0</v>
      </c>
      <c r="BG1031">
        <v>37</v>
      </c>
      <c r="BH1031">
        <v>6</v>
      </c>
      <c r="BI1031">
        <v>540</v>
      </c>
      <c r="BJ1031">
        <v>0</v>
      </c>
      <c r="BK1031">
        <f t="shared" si="146"/>
        <v>6</v>
      </c>
      <c r="BL1031">
        <f t="shared" si="147"/>
        <v>540</v>
      </c>
      <c r="BM1031">
        <f t="shared" si="148"/>
        <v>0</v>
      </c>
      <c r="BN1031">
        <f t="shared" si="149"/>
        <v>0</v>
      </c>
      <c r="BO1031">
        <f t="shared" si="150"/>
        <v>0</v>
      </c>
      <c r="BP1031">
        <f t="shared" si="151"/>
        <v>0</v>
      </c>
      <c r="BQ1031" t="s">
        <v>186</v>
      </c>
      <c r="BR1031" t="s">
        <v>186</v>
      </c>
      <c r="BS1031" t="s">
        <v>89</v>
      </c>
      <c r="BT1031">
        <v>40</v>
      </c>
      <c r="BU1031">
        <v>44933</v>
      </c>
      <c r="BV1031" t="s">
        <v>89</v>
      </c>
      <c r="BW1031">
        <v>13</v>
      </c>
      <c r="BX1031">
        <v>1986</v>
      </c>
      <c r="BY1031">
        <v>13</v>
      </c>
      <c r="BZ1031">
        <f t="shared" si="152"/>
        <v>0</v>
      </c>
      <c r="CA1031">
        <f t="shared" si="153"/>
        <v>0</v>
      </c>
      <c r="CB1031" t="b">
        <f t="shared" si="154"/>
        <v>1</v>
      </c>
    </row>
    <row r="1032" spans="1:80" x14ac:dyDescent="0.3">
      <c r="A1032" t="s">
        <v>8299</v>
      </c>
      <c r="B1032" t="s">
        <v>71</v>
      </c>
      <c r="C1032" t="s">
        <v>8300</v>
      </c>
      <c r="D1032">
        <v>37</v>
      </c>
      <c r="E1032" t="s">
        <v>8301</v>
      </c>
      <c r="F1032" t="s">
        <v>790</v>
      </c>
      <c r="G1032" t="s">
        <v>3015</v>
      </c>
      <c r="H1032" t="s">
        <v>89</v>
      </c>
      <c r="I1032" t="s">
        <v>178</v>
      </c>
      <c r="J1032" t="s">
        <v>89</v>
      </c>
      <c r="K1032" t="s">
        <v>131</v>
      </c>
      <c r="L1032" t="s">
        <v>228</v>
      </c>
      <c r="M1032">
        <v>22</v>
      </c>
      <c r="N1032" t="s">
        <v>137</v>
      </c>
      <c r="O1032">
        <v>2010</v>
      </c>
      <c r="P1032" t="s">
        <v>8302</v>
      </c>
      <c r="Q1032" t="s">
        <v>8303</v>
      </c>
      <c r="R1032">
        <v>54217</v>
      </c>
      <c r="S1032" t="s">
        <v>8299</v>
      </c>
      <c r="T1032" t="s">
        <v>8304</v>
      </c>
      <c r="U1032">
        <v>1988</v>
      </c>
      <c r="V1032" t="s">
        <v>795</v>
      </c>
      <c r="W1032">
        <v>1.95</v>
      </c>
      <c r="X1032" t="s">
        <v>76</v>
      </c>
      <c r="Y1032" t="s">
        <v>186</v>
      </c>
      <c r="Z1032" t="s">
        <v>87</v>
      </c>
      <c r="AA1032" t="s">
        <v>131</v>
      </c>
      <c r="AB1032" t="s">
        <v>5854</v>
      </c>
      <c r="AC1032" t="s">
        <v>170</v>
      </c>
      <c r="AD1032" t="s">
        <v>89</v>
      </c>
      <c r="AE1032" t="s">
        <v>816</v>
      </c>
      <c r="AF1032">
        <v>23</v>
      </c>
      <c r="AG1032" t="s">
        <v>91</v>
      </c>
      <c r="AH1032">
        <v>41404</v>
      </c>
      <c r="AI1032">
        <v>25</v>
      </c>
      <c r="AJ1032" t="s">
        <v>110</v>
      </c>
      <c r="AK1032">
        <v>23</v>
      </c>
      <c r="AL1032">
        <v>7</v>
      </c>
      <c r="AM1032">
        <v>945</v>
      </c>
      <c r="AN1032">
        <v>120</v>
      </c>
      <c r="AO1032">
        <v>6</v>
      </c>
      <c r="AP1032" t="s">
        <v>93</v>
      </c>
      <c r="AQ1032" t="s">
        <v>89</v>
      </c>
      <c r="AR1032" t="s">
        <v>89</v>
      </c>
      <c r="AS1032" t="s">
        <v>93</v>
      </c>
      <c r="AT1032" t="s">
        <v>89</v>
      </c>
      <c r="AU1032" t="s">
        <v>89</v>
      </c>
      <c r="AV1032" t="s">
        <v>89</v>
      </c>
      <c r="AW1032">
        <v>15</v>
      </c>
      <c r="AX1032">
        <v>13</v>
      </c>
      <c r="AY1032" t="s">
        <v>93</v>
      </c>
      <c r="AZ1032">
        <v>0</v>
      </c>
      <c r="BA1032">
        <v>0</v>
      </c>
      <c r="BB1032">
        <v>0</v>
      </c>
      <c r="BC1032">
        <v>0</v>
      </c>
      <c r="BD1032">
        <v>256</v>
      </c>
      <c r="BE1032">
        <v>22711</v>
      </c>
      <c r="BF1032">
        <v>0</v>
      </c>
      <c r="BG1032" t="s">
        <v>89</v>
      </c>
      <c r="BH1032">
        <v>256</v>
      </c>
      <c r="BI1032">
        <v>22711</v>
      </c>
      <c r="BJ1032">
        <v>0</v>
      </c>
      <c r="BK1032">
        <f t="shared" si="146"/>
        <v>256</v>
      </c>
      <c r="BL1032">
        <f t="shared" si="147"/>
        <v>22711</v>
      </c>
      <c r="BM1032">
        <f t="shared" si="148"/>
        <v>0</v>
      </c>
      <c r="BN1032">
        <f t="shared" si="149"/>
        <v>0</v>
      </c>
      <c r="BO1032">
        <f t="shared" si="150"/>
        <v>0</v>
      </c>
      <c r="BP1032">
        <f t="shared" si="151"/>
        <v>0</v>
      </c>
      <c r="BQ1032" t="s">
        <v>186</v>
      </c>
      <c r="BR1032" t="s">
        <v>186</v>
      </c>
      <c r="BS1032" s="1">
        <v>32215</v>
      </c>
      <c r="BT1032">
        <v>37</v>
      </c>
      <c r="BU1032" t="s">
        <v>89</v>
      </c>
      <c r="BV1032" t="s">
        <v>89</v>
      </c>
      <c r="BW1032">
        <v>14</v>
      </c>
      <c r="BX1032">
        <v>1988</v>
      </c>
      <c r="BY1032">
        <v>14</v>
      </c>
      <c r="BZ1032">
        <f t="shared" si="152"/>
        <v>1</v>
      </c>
      <c r="CA1032">
        <f t="shared" si="153"/>
        <v>0</v>
      </c>
      <c r="CB1032" t="b">
        <f t="shared" si="154"/>
        <v>0</v>
      </c>
    </row>
    <row r="1033" spans="1:80" x14ac:dyDescent="0.3">
      <c r="A1033" t="s">
        <v>8305</v>
      </c>
      <c r="B1033" t="s">
        <v>71</v>
      </c>
      <c r="C1033" t="s">
        <v>8306</v>
      </c>
      <c r="D1033">
        <v>36</v>
      </c>
      <c r="E1033" s="1">
        <v>32628</v>
      </c>
      <c r="F1033" t="s">
        <v>89</v>
      </c>
      <c r="G1033" t="s">
        <v>143</v>
      </c>
      <c r="H1033" t="s">
        <v>89</v>
      </c>
      <c r="I1033" t="s">
        <v>195</v>
      </c>
      <c r="J1033" t="s">
        <v>300</v>
      </c>
      <c r="K1033" t="s">
        <v>89</v>
      </c>
      <c r="L1033" t="s">
        <v>254</v>
      </c>
      <c r="M1033">
        <v>20</v>
      </c>
      <c r="N1033" t="s">
        <v>741</v>
      </c>
      <c r="O1033">
        <v>2009</v>
      </c>
      <c r="P1033" t="s">
        <v>8307</v>
      </c>
      <c r="Q1033" t="s">
        <v>8308</v>
      </c>
      <c r="R1033">
        <v>139434</v>
      </c>
      <c r="S1033" t="s">
        <v>8309</v>
      </c>
      <c r="T1033" t="s">
        <v>8310</v>
      </c>
      <c r="U1033">
        <v>1989</v>
      </c>
      <c r="V1033" t="s">
        <v>258</v>
      </c>
      <c r="W1033">
        <v>1.79</v>
      </c>
      <c r="X1033" t="s">
        <v>76</v>
      </c>
      <c r="Y1033" t="s">
        <v>203</v>
      </c>
      <c r="Z1033" t="s">
        <v>152</v>
      </c>
      <c r="AA1033" t="s">
        <v>107</v>
      </c>
      <c r="AB1033" s="1">
        <v>45114</v>
      </c>
      <c r="AC1033" t="s">
        <v>108</v>
      </c>
      <c r="AD1033" t="s">
        <v>89</v>
      </c>
      <c r="AE1033" s="1">
        <v>40272</v>
      </c>
      <c r="AF1033">
        <v>20</v>
      </c>
      <c r="AG1033" t="s">
        <v>91</v>
      </c>
      <c r="AH1033" t="s">
        <v>1251</v>
      </c>
      <c r="AI1033">
        <v>23</v>
      </c>
      <c r="AJ1033" t="s">
        <v>110</v>
      </c>
      <c r="AK1033">
        <v>20</v>
      </c>
      <c r="AL1033">
        <v>6</v>
      </c>
      <c r="AM1033">
        <v>359</v>
      </c>
      <c r="AN1033">
        <v>42</v>
      </c>
      <c r="AO1033">
        <v>4</v>
      </c>
      <c r="AP1033" t="s">
        <v>93</v>
      </c>
      <c r="AQ1033" t="s">
        <v>89</v>
      </c>
      <c r="AR1033" t="s">
        <v>89</v>
      </c>
      <c r="AS1033" t="s">
        <v>111</v>
      </c>
      <c r="AT1033" s="1">
        <v>45114</v>
      </c>
      <c r="AU1033">
        <v>2023</v>
      </c>
      <c r="AV1033">
        <v>14</v>
      </c>
      <c r="AW1033">
        <v>14</v>
      </c>
      <c r="AX1033" t="s">
        <v>89</v>
      </c>
      <c r="AY1033" t="s">
        <v>93</v>
      </c>
      <c r="AZ1033">
        <v>0</v>
      </c>
      <c r="BA1033">
        <v>0</v>
      </c>
      <c r="BB1033">
        <v>0</v>
      </c>
      <c r="BC1033">
        <v>0</v>
      </c>
      <c r="BD1033">
        <v>216</v>
      </c>
      <c r="BE1033">
        <v>16400</v>
      </c>
      <c r="BF1033">
        <v>9</v>
      </c>
      <c r="BG1033">
        <v>34</v>
      </c>
      <c r="BH1033">
        <v>216</v>
      </c>
      <c r="BI1033">
        <v>16400</v>
      </c>
      <c r="BJ1033">
        <v>9</v>
      </c>
      <c r="BK1033">
        <f t="shared" si="146"/>
        <v>216</v>
      </c>
      <c r="BL1033">
        <f t="shared" si="147"/>
        <v>16400</v>
      </c>
      <c r="BM1033">
        <f t="shared" si="148"/>
        <v>9</v>
      </c>
      <c r="BN1033">
        <f t="shared" si="149"/>
        <v>0</v>
      </c>
      <c r="BO1033">
        <f t="shared" si="150"/>
        <v>0</v>
      </c>
      <c r="BP1033">
        <f t="shared" si="151"/>
        <v>0</v>
      </c>
      <c r="BQ1033" t="s">
        <v>203</v>
      </c>
      <c r="BR1033" t="s">
        <v>140</v>
      </c>
      <c r="BS1033" t="s">
        <v>89</v>
      </c>
      <c r="BT1033">
        <v>37</v>
      </c>
      <c r="BU1033" s="1">
        <v>45114</v>
      </c>
      <c r="BV1033" s="1">
        <v>45114</v>
      </c>
      <c r="BW1033">
        <v>14</v>
      </c>
      <c r="BX1033">
        <v>1989</v>
      </c>
      <c r="BY1033">
        <v>14</v>
      </c>
      <c r="BZ1033">
        <f t="shared" si="152"/>
        <v>0</v>
      </c>
      <c r="CA1033">
        <f t="shared" si="153"/>
        <v>0</v>
      </c>
      <c r="CB1033" t="b">
        <f t="shared" si="154"/>
        <v>1</v>
      </c>
    </row>
    <row r="1034" spans="1:80" x14ac:dyDescent="0.3">
      <c r="A1034" t="s">
        <v>8305</v>
      </c>
      <c r="B1034" t="s">
        <v>89</v>
      </c>
      <c r="C1034" t="s">
        <v>8311</v>
      </c>
      <c r="D1034">
        <v>39</v>
      </c>
      <c r="E1034" s="1">
        <v>31604</v>
      </c>
      <c r="F1034" t="s">
        <v>89</v>
      </c>
      <c r="G1034" t="s">
        <v>176</v>
      </c>
      <c r="H1034" t="s">
        <v>76</v>
      </c>
      <c r="I1034" t="s">
        <v>8312</v>
      </c>
      <c r="J1034" t="s">
        <v>78</v>
      </c>
      <c r="K1034" t="s">
        <v>89</v>
      </c>
      <c r="L1034" t="s">
        <v>145</v>
      </c>
      <c r="M1034">
        <v>18</v>
      </c>
      <c r="N1034" t="s">
        <v>820</v>
      </c>
      <c r="O1034">
        <v>2004</v>
      </c>
      <c r="P1034" t="s">
        <v>8313</v>
      </c>
      <c r="Q1034" t="s">
        <v>8314</v>
      </c>
      <c r="R1034">
        <v>34601</v>
      </c>
      <c r="S1034" t="s">
        <v>8305</v>
      </c>
      <c r="T1034">
        <v>31723</v>
      </c>
      <c r="U1034">
        <v>1986</v>
      </c>
      <c r="V1034" t="s">
        <v>8315</v>
      </c>
      <c r="W1034">
        <v>1.84</v>
      </c>
      <c r="X1034" t="s">
        <v>76</v>
      </c>
      <c r="Y1034" t="s">
        <v>106</v>
      </c>
      <c r="Z1034" t="s">
        <v>87</v>
      </c>
      <c r="AA1034" t="s">
        <v>137</v>
      </c>
      <c r="AB1034" s="1">
        <v>45298</v>
      </c>
      <c r="AC1034" t="s">
        <v>108</v>
      </c>
      <c r="AD1034" t="s">
        <v>223</v>
      </c>
      <c r="AE1034" t="s">
        <v>2972</v>
      </c>
      <c r="AF1034">
        <v>18</v>
      </c>
      <c r="AG1034" t="s">
        <v>91</v>
      </c>
      <c r="AH1034" t="s">
        <v>92</v>
      </c>
      <c r="AI1034" t="s">
        <v>89</v>
      </c>
      <c r="AJ1034" t="s">
        <v>92</v>
      </c>
      <c r="AK1034">
        <v>18</v>
      </c>
      <c r="AL1034">
        <v>10</v>
      </c>
      <c r="AM1034">
        <v>250</v>
      </c>
      <c r="AN1034">
        <v>36</v>
      </c>
      <c r="AO1034">
        <v>9</v>
      </c>
      <c r="AP1034" t="s">
        <v>93</v>
      </c>
      <c r="AQ1034" t="s">
        <v>89</v>
      </c>
      <c r="AR1034" t="s">
        <v>89</v>
      </c>
      <c r="AS1034" t="s">
        <v>111</v>
      </c>
      <c r="AT1034" s="1">
        <v>45298</v>
      </c>
      <c r="AU1034">
        <v>2024</v>
      </c>
      <c r="AV1034">
        <v>20</v>
      </c>
      <c r="AW1034">
        <v>20</v>
      </c>
      <c r="AX1034" t="s">
        <v>89</v>
      </c>
      <c r="AY1034" t="s">
        <v>111</v>
      </c>
      <c r="AZ1034">
        <v>2</v>
      </c>
      <c r="BA1034">
        <v>2</v>
      </c>
      <c r="BB1034">
        <v>126</v>
      </c>
      <c r="BC1034">
        <v>0</v>
      </c>
      <c r="BD1034">
        <v>752</v>
      </c>
      <c r="BE1034">
        <v>47762</v>
      </c>
      <c r="BF1034">
        <v>140</v>
      </c>
      <c r="BG1034">
        <v>38</v>
      </c>
      <c r="BH1034">
        <v>754</v>
      </c>
      <c r="BI1034">
        <v>47888</v>
      </c>
      <c r="BJ1034">
        <v>140</v>
      </c>
      <c r="BK1034">
        <f t="shared" si="146"/>
        <v>754</v>
      </c>
      <c r="BL1034">
        <f t="shared" si="147"/>
        <v>47888</v>
      </c>
      <c r="BM1034">
        <f t="shared" si="148"/>
        <v>140</v>
      </c>
      <c r="BN1034">
        <f t="shared" si="149"/>
        <v>0</v>
      </c>
      <c r="BO1034">
        <f t="shared" si="150"/>
        <v>0</v>
      </c>
      <c r="BP1034">
        <f t="shared" si="151"/>
        <v>0</v>
      </c>
      <c r="BQ1034" t="s">
        <v>106</v>
      </c>
      <c r="BR1034" t="s">
        <v>112</v>
      </c>
      <c r="BS1034" t="s">
        <v>89</v>
      </c>
      <c r="BT1034">
        <v>40</v>
      </c>
      <c r="BU1034" s="1">
        <v>45298</v>
      </c>
      <c r="BV1034" s="1">
        <v>45474</v>
      </c>
      <c r="BW1034">
        <v>20</v>
      </c>
      <c r="BX1034">
        <v>1986</v>
      </c>
      <c r="BY1034">
        <v>20</v>
      </c>
      <c r="BZ1034">
        <f t="shared" si="152"/>
        <v>0</v>
      </c>
      <c r="CA1034">
        <f t="shared" si="153"/>
        <v>0</v>
      </c>
      <c r="CB1034" t="b">
        <f t="shared" si="154"/>
        <v>1</v>
      </c>
    </row>
    <row r="1035" spans="1:80" x14ac:dyDescent="0.3">
      <c r="A1035" t="s">
        <v>8316</v>
      </c>
      <c r="B1035" t="s">
        <v>71</v>
      </c>
      <c r="C1035" t="s">
        <v>8317</v>
      </c>
      <c r="D1035">
        <v>36</v>
      </c>
      <c r="E1035" s="1">
        <v>32428</v>
      </c>
      <c r="F1035" t="s">
        <v>89</v>
      </c>
      <c r="G1035" t="s">
        <v>193</v>
      </c>
      <c r="H1035" t="s">
        <v>76</v>
      </c>
      <c r="I1035" t="s">
        <v>227</v>
      </c>
      <c r="J1035" t="s">
        <v>89</v>
      </c>
      <c r="K1035" t="s">
        <v>89</v>
      </c>
      <c r="L1035" t="s">
        <v>180</v>
      </c>
      <c r="M1035">
        <v>18</v>
      </c>
      <c r="N1035" t="s">
        <v>508</v>
      </c>
      <c r="O1035">
        <v>2007</v>
      </c>
      <c r="P1035" t="s">
        <v>8318</v>
      </c>
      <c r="Q1035" t="s">
        <v>8319</v>
      </c>
      <c r="R1035">
        <v>61869</v>
      </c>
      <c r="S1035" t="s">
        <v>8316</v>
      </c>
      <c r="T1035">
        <v>32487</v>
      </c>
      <c r="U1035">
        <v>1988</v>
      </c>
      <c r="V1035" t="s">
        <v>508</v>
      </c>
      <c r="W1035">
        <v>1.87</v>
      </c>
      <c r="X1035" t="s">
        <v>76</v>
      </c>
      <c r="Y1035" t="s">
        <v>235</v>
      </c>
      <c r="Z1035" t="s">
        <v>87</v>
      </c>
      <c r="AA1035" t="s">
        <v>2078</v>
      </c>
      <c r="AB1035">
        <v>42376</v>
      </c>
      <c r="AC1035" t="s">
        <v>108</v>
      </c>
      <c r="AD1035" t="s">
        <v>89</v>
      </c>
      <c r="AE1035" t="s">
        <v>8320</v>
      </c>
      <c r="AF1035">
        <v>19</v>
      </c>
      <c r="AG1035" t="s">
        <v>91</v>
      </c>
      <c r="AH1035" t="s">
        <v>1143</v>
      </c>
      <c r="AI1035">
        <v>20</v>
      </c>
      <c r="AJ1035" t="s">
        <v>110</v>
      </c>
      <c r="AK1035">
        <v>19</v>
      </c>
      <c r="AL1035">
        <v>3</v>
      </c>
      <c r="AM1035">
        <v>440</v>
      </c>
      <c r="AN1035">
        <v>70</v>
      </c>
      <c r="AO1035">
        <v>3</v>
      </c>
      <c r="AP1035" t="s">
        <v>93</v>
      </c>
      <c r="AQ1035" t="s">
        <v>89</v>
      </c>
      <c r="AR1035" t="s">
        <v>89</v>
      </c>
      <c r="AS1035" t="s">
        <v>111</v>
      </c>
      <c r="AT1035">
        <v>42376</v>
      </c>
      <c r="AU1035">
        <v>2016</v>
      </c>
      <c r="AV1035">
        <v>9</v>
      </c>
      <c r="AW1035">
        <v>9</v>
      </c>
      <c r="AX1035" t="s">
        <v>89</v>
      </c>
      <c r="AY1035" t="s">
        <v>93</v>
      </c>
      <c r="AZ1035">
        <v>0</v>
      </c>
      <c r="BA1035">
        <v>0</v>
      </c>
      <c r="BB1035">
        <v>0</v>
      </c>
      <c r="BC1035">
        <v>0</v>
      </c>
      <c r="BD1035">
        <v>45</v>
      </c>
      <c r="BE1035">
        <v>3743</v>
      </c>
      <c r="BF1035">
        <v>0</v>
      </c>
      <c r="BG1035">
        <v>28</v>
      </c>
      <c r="BH1035">
        <v>45</v>
      </c>
      <c r="BI1035">
        <v>3743</v>
      </c>
      <c r="BJ1035">
        <v>0</v>
      </c>
      <c r="BK1035">
        <f t="shared" si="146"/>
        <v>45</v>
      </c>
      <c r="BL1035">
        <f t="shared" si="147"/>
        <v>3743</v>
      </c>
      <c r="BM1035">
        <f t="shared" si="148"/>
        <v>0</v>
      </c>
      <c r="BN1035">
        <f t="shared" si="149"/>
        <v>0</v>
      </c>
      <c r="BO1035">
        <f t="shared" si="150"/>
        <v>0</v>
      </c>
      <c r="BP1035">
        <f t="shared" si="151"/>
        <v>0</v>
      </c>
      <c r="BQ1035" t="s">
        <v>235</v>
      </c>
      <c r="BR1035" t="s">
        <v>140</v>
      </c>
      <c r="BS1035" t="s">
        <v>89</v>
      </c>
      <c r="BT1035">
        <v>38</v>
      </c>
      <c r="BU1035">
        <v>42376</v>
      </c>
      <c r="BV1035" t="s">
        <v>89</v>
      </c>
      <c r="BW1035">
        <v>9</v>
      </c>
      <c r="BX1035">
        <v>1988</v>
      </c>
      <c r="BY1035">
        <v>9</v>
      </c>
      <c r="BZ1035">
        <f t="shared" si="152"/>
        <v>0</v>
      </c>
      <c r="CA1035">
        <f t="shared" si="153"/>
        <v>0</v>
      </c>
      <c r="CB1035" t="b">
        <f t="shared" si="154"/>
        <v>1</v>
      </c>
    </row>
    <row r="1036" spans="1:80" x14ac:dyDescent="0.3">
      <c r="A1036" t="s">
        <v>8321</v>
      </c>
      <c r="B1036" t="s">
        <v>1274</v>
      </c>
      <c r="C1036" t="s">
        <v>8322</v>
      </c>
      <c r="D1036">
        <v>34</v>
      </c>
      <c r="E1036" t="s">
        <v>8323</v>
      </c>
      <c r="F1036" t="s">
        <v>8324</v>
      </c>
      <c r="G1036" t="s">
        <v>277</v>
      </c>
      <c r="H1036" t="s">
        <v>1276</v>
      </c>
      <c r="I1036" t="s">
        <v>437</v>
      </c>
      <c r="J1036" t="s">
        <v>78</v>
      </c>
      <c r="K1036" t="s">
        <v>669</v>
      </c>
      <c r="L1036" t="s">
        <v>278</v>
      </c>
      <c r="M1036">
        <v>20</v>
      </c>
      <c r="N1036" t="s">
        <v>185</v>
      </c>
      <c r="O1036">
        <v>2011</v>
      </c>
      <c r="P1036" t="s">
        <v>8325</v>
      </c>
      <c r="Q1036" t="s">
        <v>8326</v>
      </c>
      <c r="R1036">
        <v>206040</v>
      </c>
      <c r="S1036" t="s">
        <v>8321</v>
      </c>
      <c r="T1036">
        <v>33363</v>
      </c>
      <c r="U1036">
        <v>1991</v>
      </c>
      <c r="V1036" t="s">
        <v>8327</v>
      </c>
      <c r="W1036">
        <v>1.87</v>
      </c>
      <c r="X1036" t="s">
        <v>1276</v>
      </c>
      <c r="Y1036" t="s">
        <v>123</v>
      </c>
      <c r="Z1036" t="s">
        <v>87</v>
      </c>
      <c r="AA1036" t="s">
        <v>669</v>
      </c>
      <c r="AB1036" t="s">
        <v>406</v>
      </c>
      <c r="AC1036" t="s">
        <v>170</v>
      </c>
      <c r="AD1036" t="s">
        <v>223</v>
      </c>
      <c r="AE1036" s="1">
        <v>41065</v>
      </c>
      <c r="AF1036">
        <v>21</v>
      </c>
      <c r="AG1036" t="s">
        <v>5126</v>
      </c>
      <c r="AH1036" t="s">
        <v>92</v>
      </c>
      <c r="AI1036" t="s">
        <v>89</v>
      </c>
      <c r="AJ1036" t="s">
        <v>92</v>
      </c>
      <c r="AK1036">
        <v>21</v>
      </c>
      <c r="AL1036">
        <v>12</v>
      </c>
      <c r="AM1036">
        <v>488</v>
      </c>
      <c r="AN1036">
        <v>86</v>
      </c>
      <c r="AO1036">
        <v>7</v>
      </c>
      <c r="AP1036" t="s">
        <v>93</v>
      </c>
      <c r="AQ1036" t="s">
        <v>89</v>
      </c>
      <c r="AR1036" t="s">
        <v>89</v>
      </c>
      <c r="AS1036" t="s">
        <v>93</v>
      </c>
      <c r="AT1036" t="s">
        <v>89</v>
      </c>
      <c r="AU1036" t="s">
        <v>89</v>
      </c>
      <c r="AV1036" t="s">
        <v>89</v>
      </c>
      <c r="AW1036">
        <v>14</v>
      </c>
      <c r="AX1036">
        <v>7</v>
      </c>
      <c r="AY1036" t="s">
        <v>111</v>
      </c>
      <c r="AZ1036">
        <v>21</v>
      </c>
      <c r="BA1036">
        <v>91</v>
      </c>
      <c r="BB1036">
        <v>5624</v>
      </c>
      <c r="BC1036">
        <v>31</v>
      </c>
      <c r="BD1036">
        <v>444</v>
      </c>
      <c r="BE1036">
        <v>27352</v>
      </c>
      <c r="BF1036">
        <v>126</v>
      </c>
      <c r="BG1036" t="s">
        <v>89</v>
      </c>
      <c r="BH1036">
        <v>535</v>
      </c>
      <c r="BI1036">
        <v>32976</v>
      </c>
      <c r="BJ1036">
        <v>157</v>
      </c>
      <c r="BK1036">
        <f t="shared" si="146"/>
        <v>535</v>
      </c>
      <c r="BL1036">
        <f t="shared" si="147"/>
        <v>32976</v>
      </c>
      <c r="BM1036">
        <f t="shared" si="148"/>
        <v>157</v>
      </c>
      <c r="BN1036">
        <f t="shared" si="149"/>
        <v>0</v>
      </c>
      <c r="BO1036">
        <f t="shared" si="150"/>
        <v>0</v>
      </c>
      <c r="BP1036">
        <f t="shared" si="151"/>
        <v>0</v>
      </c>
      <c r="BQ1036" t="s">
        <v>123</v>
      </c>
      <c r="BR1036" t="s">
        <v>112</v>
      </c>
      <c r="BS1036" t="s">
        <v>89</v>
      </c>
      <c r="BT1036">
        <v>35</v>
      </c>
      <c r="BU1036" t="s">
        <v>89</v>
      </c>
      <c r="BV1036" t="s">
        <v>89</v>
      </c>
      <c r="BW1036">
        <v>14</v>
      </c>
      <c r="BX1036">
        <v>1991</v>
      </c>
      <c r="BY1036">
        <v>13</v>
      </c>
      <c r="BZ1036">
        <f t="shared" si="152"/>
        <v>0</v>
      </c>
      <c r="CA1036">
        <f t="shared" si="153"/>
        <v>1</v>
      </c>
      <c r="CB1036" t="b">
        <f t="shared" si="154"/>
        <v>1</v>
      </c>
    </row>
    <row r="1037" spans="1:80" x14ac:dyDescent="0.3">
      <c r="A1037" t="s">
        <v>8328</v>
      </c>
      <c r="B1037" t="s">
        <v>71</v>
      </c>
      <c r="C1037" t="s">
        <v>8329</v>
      </c>
      <c r="D1037">
        <v>37</v>
      </c>
      <c r="E1037">
        <v>32274</v>
      </c>
      <c r="F1037" t="s">
        <v>89</v>
      </c>
      <c r="G1037" t="s">
        <v>226</v>
      </c>
      <c r="H1037" t="s">
        <v>89</v>
      </c>
      <c r="I1037" t="s">
        <v>227</v>
      </c>
      <c r="J1037" t="s">
        <v>78</v>
      </c>
      <c r="K1037" t="s">
        <v>89</v>
      </c>
      <c r="L1037" t="s">
        <v>130</v>
      </c>
      <c r="M1037">
        <v>20</v>
      </c>
      <c r="N1037" t="s">
        <v>892</v>
      </c>
      <c r="O1037">
        <v>2008</v>
      </c>
      <c r="P1037" t="s">
        <v>8330</v>
      </c>
      <c r="Q1037" t="s">
        <v>8331</v>
      </c>
      <c r="R1037">
        <v>142419</v>
      </c>
      <c r="S1037" t="s">
        <v>8328</v>
      </c>
      <c r="T1037">
        <v>32452</v>
      </c>
      <c r="U1037">
        <v>1988</v>
      </c>
      <c r="V1037" t="s">
        <v>304</v>
      </c>
      <c r="W1037">
        <v>1.87</v>
      </c>
      <c r="X1037" t="s">
        <v>76</v>
      </c>
      <c r="Y1037" t="s">
        <v>235</v>
      </c>
      <c r="Z1037" t="s">
        <v>87</v>
      </c>
      <c r="AA1037" t="s">
        <v>8332</v>
      </c>
      <c r="AB1037" s="1">
        <v>45908</v>
      </c>
      <c r="AC1037" t="s">
        <v>170</v>
      </c>
      <c r="AD1037" t="s">
        <v>89</v>
      </c>
      <c r="AE1037" t="s">
        <v>5999</v>
      </c>
      <c r="AF1037">
        <v>22</v>
      </c>
      <c r="AG1037" t="s">
        <v>91</v>
      </c>
      <c r="AH1037" t="s">
        <v>646</v>
      </c>
      <c r="AI1037">
        <v>21</v>
      </c>
      <c r="AJ1037" t="s">
        <v>110</v>
      </c>
      <c r="AK1037">
        <v>21</v>
      </c>
      <c r="AL1037">
        <v>8</v>
      </c>
      <c r="AM1037">
        <v>692</v>
      </c>
      <c r="AN1037">
        <v>72</v>
      </c>
      <c r="AO1037">
        <v>5</v>
      </c>
      <c r="AP1037" t="s">
        <v>93</v>
      </c>
      <c r="AQ1037" t="s">
        <v>89</v>
      </c>
      <c r="AR1037" t="s">
        <v>89</v>
      </c>
      <c r="AS1037" t="s">
        <v>93</v>
      </c>
      <c r="AT1037" t="s">
        <v>89</v>
      </c>
      <c r="AU1037" t="s">
        <v>89</v>
      </c>
      <c r="AV1037" t="s">
        <v>89</v>
      </c>
      <c r="AW1037">
        <v>17</v>
      </c>
      <c r="AX1037" t="s">
        <v>89</v>
      </c>
      <c r="AY1037" t="s">
        <v>93</v>
      </c>
      <c r="AZ1037">
        <v>0</v>
      </c>
      <c r="BA1037">
        <v>0</v>
      </c>
      <c r="BB1037">
        <v>0</v>
      </c>
      <c r="BC1037">
        <v>0</v>
      </c>
      <c r="BD1037">
        <v>242</v>
      </c>
      <c r="BE1037">
        <v>20603</v>
      </c>
      <c r="BF1037">
        <v>8</v>
      </c>
      <c r="BG1037" t="s">
        <v>89</v>
      </c>
      <c r="BH1037">
        <v>242</v>
      </c>
      <c r="BI1037">
        <v>20603</v>
      </c>
      <c r="BJ1037">
        <v>8</v>
      </c>
      <c r="BK1037">
        <f t="shared" si="146"/>
        <v>242</v>
      </c>
      <c r="BL1037">
        <f t="shared" si="147"/>
        <v>20603</v>
      </c>
      <c r="BM1037">
        <f t="shared" si="148"/>
        <v>8</v>
      </c>
      <c r="BN1037">
        <f t="shared" si="149"/>
        <v>0</v>
      </c>
      <c r="BO1037">
        <f t="shared" si="150"/>
        <v>0</v>
      </c>
      <c r="BP1037">
        <f t="shared" si="151"/>
        <v>0</v>
      </c>
      <c r="BQ1037" t="s">
        <v>235</v>
      </c>
      <c r="BR1037" t="s">
        <v>140</v>
      </c>
      <c r="BS1037" t="s">
        <v>89</v>
      </c>
      <c r="BT1037">
        <v>38</v>
      </c>
      <c r="BU1037" t="s">
        <v>89</v>
      </c>
      <c r="BV1037" t="s">
        <v>89</v>
      </c>
      <c r="BW1037">
        <v>17</v>
      </c>
      <c r="BX1037">
        <v>1988</v>
      </c>
      <c r="BY1037">
        <v>16</v>
      </c>
      <c r="BZ1037">
        <f t="shared" si="152"/>
        <v>0</v>
      </c>
      <c r="CA1037">
        <f t="shared" si="153"/>
        <v>1</v>
      </c>
      <c r="CB1037" t="b">
        <f t="shared" si="154"/>
        <v>1</v>
      </c>
    </row>
    <row r="1038" spans="1:80" ht="43.2" x14ac:dyDescent="0.3">
      <c r="A1038" t="s">
        <v>8333</v>
      </c>
      <c r="B1038" t="s">
        <v>71</v>
      </c>
      <c r="C1038" t="s">
        <v>8334</v>
      </c>
      <c r="D1038">
        <v>37</v>
      </c>
      <c r="E1038">
        <v>32042</v>
      </c>
      <c r="F1038" t="s">
        <v>89</v>
      </c>
      <c r="G1038" t="s">
        <v>413</v>
      </c>
      <c r="H1038" t="s">
        <v>89</v>
      </c>
      <c r="I1038" t="s">
        <v>227</v>
      </c>
      <c r="J1038" t="s">
        <v>78</v>
      </c>
      <c r="K1038" t="s">
        <v>89</v>
      </c>
      <c r="L1038" t="s">
        <v>228</v>
      </c>
      <c r="M1038">
        <v>22</v>
      </c>
      <c r="N1038" t="s">
        <v>146</v>
      </c>
      <c r="O1038">
        <v>2010</v>
      </c>
      <c r="P1038" t="s">
        <v>8335</v>
      </c>
      <c r="Q1038" t="s">
        <v>8336</v>
      </c>
      <c r="R1038">
        <v>72935</v>
      </c>
      <c r="S1038" t="s">
        <v>8337</v>
      </c>
      <c r="T1038" s="2" t="s">
        <v>8338</v>
      </c>
      <c r="U1038">
        <v>1987</v>
      </c>
      <c r="V1038" t="s">
        <v>644</v>
      </c>
      <c r="W1038">
        <v>1.85</v>
      </c>
      <c r="X1038" t="s">
        <v>76</v>
      </c>
      <c r="Y1038" t="s">
        <v>235</v>
      </c>
      <c r="Z1038" t="s">
        <v>87</v>
      </c>
      <c r="AA1038" t="s">
        <v>7961</v>
      </c>
      <c r="AB1038" s="2" t="s">
        <v>8339</v>
      </c>
      <c r="AC1038" t="s">
        <v>8340</v>
      </c>
      <c r="AD1038" t="s">
        <v>89</v>
      </c>
      <c r="AE1038" t="s">
        <v>5352</v>
      </c>
      <c r="AF1038">
        <v>23</v>
      </c>
      <c r="AG1038" t="s">
        <v>91</v>
      </c>
      <c r="AH1038">
        <v>43042</v>
      </c>
      <c r="AI1038">
        <v>29</v>
      </c>
      <c r="AJ1038" t="s">
        <v>4240</v>
      </c>
      <c r="AK1038">
        <v>23</v>
      </c>
      <c r="AL1038">
        <v>2</v>
      </c>
      <c r="AM1038">
        <v>32</v>
      </c>
      <c r="AN1038">
        <v>6</v>
      </c>
      <c r="AO1038">
        <v>2</v>
      </c>
      <c r="AP1038" t="s">
        <v>93</v>
      </c>
      <c r="AQ1038" t="s">
        <v>89</v>
      </c>
      <c r="AR1038" t="s">
        <v>89</v>
      </c>
      <c r="AS1038" t="s">
        <v>111</v>
      </c>
      <c r="AT1038">
        <v>43862</v>
      </c>
      <c r="AU1038">
        <v>2020</v>
      </c>
      <c r="AV1038">
        <v>10</v>
      </c>
      <c r="AW1038">
        <v>10</v>
      </c>
      <c r="AX1038" t="s">
        <v>89</v>
      </c>
      <c r="AY1038" t="s">
        <v>93</v>
      </c>
      <c r="AZ1038">
        <v>0</v>
      </c>
      <c r="BA1038">
        <v>0</v>
      </c>
      <c r="BB1038">
        <v>0</v>
      </c>
      <c r="BC1038">
        <v>0</v>
      </c>
      <c r="BD1038">
        <v>134</v>
      </c>
      <c r="BE1038">
        <v>10655</v>
      </c>
      <c r="BF1038">
        <v>3</v>
      </c>
      <c r="BG1038">
        <v>33</v>
      </c>
      <c r="BH1038">
        <v>134</v>
      </c>
      <c r="BI1038">
        <v>10655</v>
      </c>
      <c r="BJ1038">
        <v>3</v>
      </c>
      <c r="BK1038">
        <f t="shared" si="146"/>
        <v>134</v>
      </c>
      <c r="BL1038">
        <f t="shared" si="147"/>
        <v>10655</v>
      </c>
      <c r="BM1038">
        <f t="shared" si="148"/>
        <v>3</v>
      </c>
      <c r="BN1038">
        <f t="shared" si="149"/>
        <v>0</v>
      </c>
      <c r="BO1038">
        <f t="shared" si="150"/>
        <v>0</v>
      </c>
      <c r="BP1038">
        <f t="shared" si="151"/>
        <v>0</v>
      </c>
      <c r="BQ1038" t="s">
        <v>235</v>
      </c>
      <c r="BR1038" t="s">
        <v>140</v>
      </c>
      <c r="BS1038" s="1">
        <v>32042</v>
      </c>
      <c r="BT1038">
        <v>38</v>
      </c>
      <c r="BU1038">
        <v>43862</v>
      </c>
      <c r="BV1038" t="s">
        <v>89</v>
      </c>
      <c r="BW1038">
        <v>10</v>
      </c>
      <c r="BX1038">
        <v>1987</v>
      </c>
      <c r="BY1038">
        <v>10</v>
      </c>
      <c r="BZ1038">
        <f t="shared" si="152"/>
        <v>0</v>
      </c>
      <c r="CA1038">
        <f t="shared" si="153"/>
        <v>0</v>
      </c>
      <c r="CB1038" t="b">
        <f t="shared" si="154"/>
        <v>1</v>
      </c>
    </row>
    <row r="1039" spans="1:80" x14ac:dyDescent="0.3">
      <c r="A1039" t="s">
        <v>8341</v>
      </c>
      <c r="B1039" t="s">
        <v>71</v>
      </c>
      <c r="C1039" t="s">
        <v>8342</v>
      </c>
      <c r="D1039">
        <v>47</v>
      </c>
      <c r="E1039" s="1">
        <v>28417</v>
      </c>
      <c r="F1039" t="s">
        <v>89</v>
      </c>
      <c r="G1039" t="s">
        <v>115</v>
      </c>
      <c r="H1039" t="s">
        <v>76</v>
      </c>
      <c r="I1039" t="s">
        <v>437</v>
      </c>
      <c r="J1039" t="s">
        <v>89</v>
      </c>
      <c r="K1039" t="s">
        <v>89</v>
      </c>
      <c r="L1039" t="s">
        <v>3857</v>
      </c>
      <c r="M1039">
        <v>18</v>
      </c>
      <c r="N1039" t="s">
        <v>146</v>
      </c>
      <c r="O1039">
        <v>1996</v>
      </c>
      <c r="P1039" t="s">
        <v>8343</v>
      </c>
      <c r="Q1039" t="s">
        <v>8344</v>
      </c>
      <c r="R1039">
        <v>7899</v>
      </c>
      <c r="S1039" t="s">
        <v>8341</v>
      </c>
      <c r="T1039" t="s">
        <v>8345</v>
      </c>
      <c r="U1039">
        <v>1977</v>
      </c>
      <c r="V1039" t="s">
        <v>895</v>
      </c>
      <c r="W1039">
        <v>1.78</v>
      </c>
      <c r="X1039" t="s">
        <v>76</v>
      </c>
      <c r="Y1039" t="s">
        <v>123</v>
      </c>
      <c r="Z1039" t="s">
        <v>87</v>
      </c>
      <c r="AA1039" t="s">
        <v>8346</v>
      </c>
      <c r="AB1039" s="1">
        <v>42011</v>
      </c>
      <c r="AC1039" t="s">
        <v>108</v>
      </c>
      <c r="AD1039" t="s">
        <v>89</v>
      </c>
      <c r="AE1039" t="s">
        <v>8347</v>
      </c>
      <c r="AF1039">
        <v>19</v>
      </c>
      <c r="AG1039" t="s">
        <v>91</v>
      </c>
      <c r="AH1039" s="1">
        <v>35889</v>
      </c>
      <c r="AI1039">
        <v>20</v>
      </c>
      <c r="AJ1039" t="s">
        <v>110</v>
      </c>
      <c r="AK1039">
        <v>19</v>
      </c>
      <c r="AL1039">
        <v>4</v>
      </c>
      <c r="AM1039">
        <v>200</v>
      </c>
      <c r="AN1039">
        <v>33</v>
      </c>
      <c r="AO1039">
        <v>4</v>
      </c>
      <c r="AP1039" t="s">
        <v>93</v>
      </c>
      <c r="AQ1039" t="s">
        <v>89</v>
      </c>
      <c r="AR1039" t="s">
        <v>89</v>
      </c>
      <c r="AS1039" t="s">
        <v>111</v>
      </c>
      <c r="AT1039">
        <v>42011</v>
      </c>
      <c r="AU1039">
        <v>2015</v>
      </c>
      <c r="AV1039">
        <v>19</v>
      </c>
      <c r="AW1039">
        <v>19</v>
      </c>
      <c r="AX1039" t="s">
        <v>89</v>
      </c>
      <c r="AY1039" t="s">
        <v>111</v>
      </c>
      <c r="AZ1039">
        <v>2</v>
      </c>
      <c r="BA1039">
        <v>5</v>
      </c>
      <c r="BB1039">
        <v>239</v>
      </c>
      <c r="BC1039">
        <v>1</v>
      </c>
      <c r="BD1039">
        <v>462</v>
      </c>
      <c r="BE1039">
        <v>32420</v>
      </c>
      <c r="BF1039">
        <v>159</v>
      </c>
      <c r="BG1039">
        <v>38</v>
      </c>
      <c r="BH1039">
        <v>467</v>
      </c>
      <c r="BI1039">
        <v>32659</v>
      </c>
      <c r="BJ1039">
        <v>160</v>
      </c>
      <c r="BK1039">
        <f t="shared" si="146"/>
        <v>467</v>
      </c>
      <c r="BL1039">
        <f t="shared" si="147"/>
        <v>32659</v>
      </c>
      <c r="BM1039">
        <f t="shared" si="148"/>
        <v>160</v>
      </c>
      <c r="BN1039">
        <f t="shared" si="149"/>
        <v>0</v>
      </c>
      <c r="BO1039">
        <f t="shared" si="150"/>
        <v>0</v>
      </c>
      <c r="BP1039">
        <f t="shared" si="151"/>
        <v>0</v>
      </c>
      <c r="BQ1039" t="s">
        <v>123</v>
      </c>
      <c r="BR1039" t="s">
        <v>112</v>
      </c>
      <c r="BS1039" s="1">
        <v>28417</v>
      </c>
      <c r="BT1039">
        <v>48</v>
      </c>
      <c r="BU1039">
        <v>42011</v>
      </c>
      <c r="BV1039" t="s">
        <v>89</v>
      </c>
      <c r="BW1039">
        <v>19</v>
      </c>
      <c r="BX1039">
        <v>1977</v>
      </c>
      <c r="BY1039">
        <v>19</v>
      </c>
      <c r="BZ1039">
        <f t="shared" si="152"/>
        <v>0</v>
      </c>
      <c r="CA1039">
        <f t="shared" si="153"/>
        <v>0</v>
      </c>
      <c r="CB1039" t="b">
        <f t="shared" si="154"/>
        <v>1</v>
      </c>
    </row>
    <row r="1040" spans="1:80" x14ac:dyDescent="0.3">
      <c r="A1040" t="s">
        <v>8348</v>
      </c>
      <c r="B1040" t="s">
        <v>617</v>
      </c>
      <c r="C1040" t="s">
        <v>8349</v>
      </c>
      <c r="D1040">
        <v>39</v>
      </c>
      <c r="E1040" t="s">
        <v>8350</v>
      </c>
      <c r="F1040" t="s">
        <v>8351</v>
      </c>
      <c r="G1040" t="s">
        <v>160</v>
      </c>
      <c r="H1040" t="s">
        <v>619</v>
      </c>
      <c r="I1040" t="s">
        <v>437</v>
      </c>
      <c r="J1040" t="s">
        <v>78</v>
      </c>
      <c r="K1040" t="s">
        <v>8352</v>
      </c>
      <c r="L1040" t="s">
        <v>254</v>
      </c>
      <c r="M1040">
        <v>23</v>
      </c>
      <c r="N1040" t="s">
        <v>1236</v>
      </c>
      <c r="O1040">
        <v>2009</v>
      </c>
      <c r="P1040" t="s">
        <v>8353</v>
      </c>
      <c r="Q1040" t="s">
        <v>8354</v>
      </c>
      <c r="R1040">
        <v>39152</v>
      </c>
      <c r="S1040" t="s">
        <v>8348</v>
      </c>
      <c r="T1040">
        <v>31687</v>
      </c>
      <c r="U1040">
        <v>1986</v>
      </c>
      <c r="V1040" t="s">
        <v>4120</v>
      </c>
      <c r="W1040">
        <v>1.77</v>
      </c>
      <c r="X1040" t="s">
        <v>8355</v>
      </c>
      <c r="Y1040" t="s">
        <v>123</v>
      </c>
      <c r="Z1040" t="s">
        <v>87</v>
      </c>
      <c r="AA1040" t="s">
        <v>476</v>
      </c>
      <c r="AB1040" s="1">
        <v>45664</v>
      </c>
      <c r="AC1040" t="s">
        <v>108</v>
      </c>
      <c r="AD1040" t="s">
        <v>223</v>
      </c>
      <c r="AE1040" s="1">
        <v>38506</v>
      </c>
      <c r="AF1040">
        <v>19</v>
      </c>
      <c r="AG1040" t="s">
        <v>171</v>
      </c>
      <c r="AH1040" t="s">
        <v>92</v>
      </c>
      <c r="AI1040" t="s">
        <v>89</v>
      </c>
      <c r="AJ1040" t="s">
        <v>92</v>
      </c>
      <c r="AK1040">
        <v>19</v>
      </c>
      <c r="AL1040">
        <v>35</v>
      </c>
      <c r="AM1040">
        <v>1480</v>
      </c>
      <c r="AN1040">
        <v>283</v>
      </c>
      <c r="AO1040">
        <v>15</v>
      </c>
      <c r="AP1040" t="s">
        <v>93</v>
      </c>
      <c r="AQ1040" t="s">
        <v>89</v>
      </c>
      <c r="AR1040" t="s">
        <v>89</v>
      </c>
      <c r="AS1040" t="s">
        <v>93</v>
      </c>
      <c r="AT1040" t="s">
        <v>89</v>
      </c>
      <c r="AU1040" t="s">
        <v>89</v>
      </c>
      <c r="AV1040" t="s">
        <v>89</v>
      </c>
      <c r="AW1040">
        <v>16</v>
      </c>
      <c r="AX1040" t="s">
        <v>89</v>
      </c>
      <c r="AY1040" t="s">
        <v>111</v>
      </c>
      <c r="AZ1040">
        <v>11</v>
      </c>
      <c r="BA1040">
        <v>51</v>
      </c>
      <c r="BB1040">
        <v>2920</v>
      </c>
      <c r="BC1040">
        <v>17</v>
      </c>
      <c r="BD1040">
        <v>480</v>
      </c>
      <c r="BE1040">
        <v>31035</v>
      </c>
      <c r="BF1040">
        <v>252</v>
      </c>
      <c r="BG1040" t="s">
        <v>89</v>
      </c>
      <c r="BH1040">
        <v>531</v>
      </c>
      <c r="BI1040">
        <v>33955</v>
      </c>
      <c r="BJ1040">
        <v>269</v>
      </c>
      <c r="BK1040">
        <f t="shared" si="146"/>
        <v>531</v>
      </c>
      <c r="BL1040">
        <f t="shared" si="147"/>
        <v>33955</v>
      </c>
      <c r="BM1040">
        <f t="shared" si="148"/>
        <v>269</v>
      </c>
      <c r="BN1040">
        <f t="shared" si="149"/>
        <v>0</v>
      </c>
      <c r="BO1040">
        <f t="shared" si="150"/>
        <v>0</v>
      </c>
      <c r="BP1040">
        <f t="shared" si="151"/>
        <v>0</v>
      </c>
      <c r="BQ1040" t="s">
        <v>123</v>
      </c>
      <c r="BR1040" t="s">
        <v>112</v>
      </c>
      <c r="BS1040" t="s">
        <v>89</v>
      </c>
      <c r="BT1040">
        <v>40</v>
      </c>
      <c r="BU1040" t="s">
        <v>89</v>
      </c>
      <c r="BV1040" t="s">
        <v>89</v>
      </c>
      <c r="BW1040">
        <v>21</v>
      </c>
      <c r="BX1040">
        <v>1986</v>
      </c>
      <c r="BY1040">
        <v>20</v>
      </c>
      <c r="BZ1040">
        <f t="shared" si="152"/>
        <v>-5</v>
      </c>
      <c r="CA1040">
        <f t="shared" si="153"/>
        <v>1</v>
      </c>
      <c r="CB1040" t="b">
        <f t="shared" si="154"/>
        <v>0</v>
      </c>
    </row>
    <row r="1041" spans="1:80" x14ac:dyDescent="0.3">
      <c r="A1041" t="s">
        <v>8356</v>
      </c>
      <c r="B1041" t="s">
        <v>71</v>
      </c>
      <c r="C1041" t="s">
        <v>8357</v>
      </c>
      <c r="D1041">
        <v>40</v>
      </c>
      <c r="E1041">
        <v>31146</v>
      </c>
      <c r="F1041" t="s">
        <v>89</v>
      </c>
      <c r="G1041" t="s">
        <v>321</v>
      </c>
      <c r="H1041" t="s">
        <v>89</v>
      </c>
      <c r="I1041" t="s">
        <v>2874</v>
      </c>
      <c r="J1041" t="s">
        <v>78</v>
      </c>
      <c r="K1041" t="s">
        <v>89</v>
      </c>
      <c r="L1041" t="s">
        <v>657</v>
      </c>
      <c r="M1041">
        <v>18</v>
      </c>
      <c r="N1041" t="s">
        <v>100</v>
      </c>
      <c r="O1041">
        <v>2003</v>
      </c>
      <c r="P1041" t="s">
        <v>8358</v>
      </c>
      <c r="Q1041" t="s">
        <v>8359</v>
      </c>
      <c r="R1041">
        <v>16315</v>
      </c>
      <c r="S1041" t="s">
        <v>8360</v>
      </c>
      <c r="T1041" t="s">
        <v>8361</v>
      </c>
      <c r="U1041">
        <v>1985</v>
      </c>
      <c r="V1041" t="s">
        <v>8362</v>
      </c>
      <c r="W1041" t="s">
        <v>89</v>
      </c>
      <c r="X1041" t="s">
        <v>76</v>
      </c>
      <c r="Y1041" t="s">
        <v>235</v>
      </c>
      <c r="Z1041" t="s">
        <v>89</v>
      </c>
      <c r="AA1041" t="s">
        <v>476</v>
      </c>
      <c r="AB1041" s="1">
        <v>43837</v>
      </c>
      <c r="AC1041" t="s">
        <v>108</v>
      </c>
      <c r="AD1041" t="s">
        <v>89</v>
      </c>
      <c r="AE1041" s="1">
        <v>38201</v>
      </c>
      <c r="AF1041">
        <v>18</v>
      </c>
      <c r="AG1041" t="s">
        <v>91</v>
      </c>
      <c r="AH1041" t="s">
        <v>8363</v>
      </c>
      <c r="AI1041">
        <v>19</v>
      </c>
      <c r="AJ1041" t="s">
        <v>110</v>
      </c>
      <c r="AK1041">
        <v>18</v>
      </c>
      <c r="AL1041">
        <v>12</v>
      </c>
      <c r="AM1041">
        <v>642</v>
      </c>
      <c r="AN1041">
        <v>57</v>
      </c>
      <c r="AO1041">
        <v>6</v>
      </c>
      <c r="AP1041" t="s">
        <v>93</v>
      </c>
      <c r="AQ1041" t="s">
        <v>89</v>
      </c>
      <c r="AR1041" t="s">
        <v>89</v>
      </c>
      <c r="AS1041" t="s">
        <v>93</v>
      </c>
      <c r="AT1041" t="s">
        <v>89</v>
      </c>
      <c r="AU1041" t="s">
        <v>89</v>
      </c>
      <c r="AV1041" t="s">
        <v>89</v>
      </c>
      <c r="AW1041">
        <v>22</v>
      </c>
      <c r="AX1041" t="s">
        <v>89</v>
      </c>
      <c r="AY1041" t="s">
        <v>93</v>
      </c>
      <c r="AZ1041">
        <v>0</v>
      </c>
      <c r="BA1041">
        <v>0</v>
      </c>
      <c r="BB1041">
        <v>0</v>
      </c>
      <c r="BC1041">
        <v>0</v>
      </c>
      <c r="BD1041">
        <v>264</v>
      </c>
      <c r="BE1041">
        <v>20896</v>
      </c>
      <c r="BF1041">
        <v>3</v>
      </c>
      <c r="BG1041" t="s">
        <v>89</v>
      </c>
      <c r="BH1041">
        <v>264</v>
      </c>
      <c r="BI1041">
        <v>20896</v>
      </c>
      <c r="BJ1041">
        <v>3</v>
      </c>
      <c r="BK1041">
        <f t="shared" si="146"/>
        <v>264</v>
      </c>
      <c r="BL1041">
        <f t="shared" si="147"/>
        <v>20896</v>
      </c>
      <c r="BM1041">
        <f t="shared" si="148"/>
        <v>3</v>
      </c>
      <c r="BN1041">
        <f t="shared" si="149"/>
        <v>0</v>
      </c>
      <c r="BO1041">
        <f t="shared" si="150"/>
        <v>0</v>
      </c>
      <c r="BP1041">
        <f t="shared" si="151"/>
        <v>0</v>
      </c>
      <c r="BQ1041" t="s">
        <v>235</v>
      </c>
      <c r="BR1041" t="s">
        <v>140</v>
      </c>
      <c r="BS1041" t="s">
        <v>89</v>
      </c>
      <c r="BT1041">
        <v>41</v>
      </c>
      <c r="BU1041" t="s">
        <v>89</v>
      </c>
      <c r="BV1041" t="s">
        <v>89</v>
      </c>
      <c r="BW1041">
        <v>23</v>
      </c>
      <c r="BX1041">
        <v>1985</v>
      </c>
      <c r="BY1041">
        <v>22</v>
      </c>
      <c r="BZ1041">
        <f t="shared" si="152"/>
        <v>-1</v>
      </c>
      <c r="CA1041">
        <f t="shared" si="153"/>
        <v>1</v>
      </c>
      <c r="CB1041" t="b">
        <f t="shared" si="154"/>
        <v>0</v>
      </c>
    </row>
    <row r="1042" spans="1:80" x14ac:dyDescent="0.3">
      <c r="A1042" t="s">
        <v>8364</v>
      </c>
      <c r="B1042" t="s">
        <v>71</v>
      </c>
      <c r="C1042" t="s">
        <v>8365</v>
      </c>
      <c r="D1042">
        <v>32</v>
      </c>
      <c r="E1042" s="1">
        <v>34109</v>
      </c>
      <c r="F1042" t="s">
        <v>89</v>
      </c>
      <c r="G1042" t="s">
        <v>241</v>
      </c>
      <c r="H1042" t="s">
        <v>89</v>
      </c>
      <c r="I1042" t="s">
        <v>5293</v>
      </c>
      <c r="J1042" t="s">
        <v>78</v>
      </c>
      <c r="K1042" t="s">
        <v>89</v>
      </c>
      <c r="L1042" t="s">
        <v>324</v>
      </c>
      <c r="M1042">
        <v>20</v>
      </c>
      <c r="N1042" t="s">
        <v>1858</v>
      </c>
      <c r="O1042">
        <v>2013</v>
      </c>
      <c r="P1042" t="s">
        <v>8366</v>
      </c>
      <c r="Q1042" t="s">
        <v>8367</v>
      </c>
      <c r="R1042">
        <v>288454</v>
      </c>
      <c r="S1042" t="s">
        <v>8364</v>
      </c>
      <c r="T1042" t="s">
        <v>6097</v>
      </c>
      <c r="U1042">
        <v>1993</v>
      </c>
      <c r="V1042" t="s">
        <v>1858</v>
      </c>
      <c r="W1042">
        <v>1.9</v>
      </c>
      <c r="X1042" t="s">
        <v>76</v>
      </c>
      <c r="Y1042" t="s">
        <v>235</v>
      </c>
      <c r="Z1042" t="s">
        <v>152</v>
      </c>
      <c r="AA1042" t="s">
        <v>8368</v>
      </c>
      <c r="AB1042" t="s">
        <v>1776</v>
      </c>
      <c r="AC1042" t="s">
        <v>170</v>
      </c>
      <c r="AD1042" t="s">
        <v>89</v>
      </c>
      <c r="AE1042" t="s">
        <v>1026</v>
      </c>
      <c r="AF1042">
        <v>21</v>
      </c>
      <c r="AG1042" t="s">
        <v>91</v>
      </c>
      <c r="AH1042" t="s">
        <v>4803</v>
      </c>
      <c r="AI1042">
        <v>20</v>
      </c>
      <c r="AJ1042" t="s">
        <v>110</v>
      </c>
      <c r="AK1042">
        <v>20</v>
      </c>
      <c r="AL1042" t="s">
        <v>89</v>
      </c>
      <c r="AM1042" t="s">
        <v>89</v>
      </c>
      <c r="AN1042" t="s">
        <v>89</v>
      </c>
      <c r="AO1042">
        <v>0</v>
      </c>
      <c r="AP1042" t="s">
        <v>93</v>
      </c>
      <c r="AQ1042" t="s">
        <v>89</v>
      </c>
      <c r="AR1042" t="s">
        <v>89</v>
      </c>
      <c r="AS1042" t="s">
        <v>93</v>
      </c>
      <c r="AT1042" t="s">
        <v>89</v>
      </c>
      <c r="AU1042" t="s">
        <v>89</v>
      </c>
      <c r="AV1042" t="s">
        <v>89</v>
      </c>
      <c r="AW1042">
        <v>12</v>
      </c>
      <c r="AX1042" t="s">
        <v>89</v>
      </c>
      <c r="AY1042" t="s">
        <v>93</v>
      </c>
      <c r="AZ1042">
        <v>0</v>
      </c>
      <c r="BA1042">
        <v>0</v>
      </c>
      <c r="BB1042">
        <v>0</v>
      </c>
      <c r="BC1042">
        <v>0</v>
      </c>
      <c r="BD1042">
        <v>92</v>
      </c>
      <c r="BE1042">
        <v>6069</v>
      </c>
      <c r="BF1042">
        <v>2</v>
      </c>
      <c r="BG1042" t="s">
        <v>89</v>
      </c>
      <c r="BH1042">
        <v>92</v>
      </c>
      <c r="BI1042">
        <v>6069</v>
      </c>
      <c r="BJ1042">
        <v>2</v>
      </c>
      <c r="BK1042">
        <f t="shared" si="146"/>
        <v>92</v>
      </c>
      <c r="BL1042">
        <f t="shared" si="147"/>
        <v>6069</v>
      </c>
      <c r="BM1042">
        <f t="shared" si="148"/>
        <v>2</v>
      </c>
      <c r="BN1042">
        <f t="shared" si="149"/>
        <v>0</v>
      </c>
      <c r="BO1042">
        <f t="shared" si="150"/>
        <v>0</v>
      </c>
      <c r="BP1042">
        <f t="shared" si="151"/>
        <v>0</v>
      </c>
      <c r="BQ1042" t="s">
        <v>235</v>
      </c>
      <c r="BR1042" t="s">
        <v>140</v>
      </c>
      <c r="BS1042" s="1">
        <v>34109</v>
      </c>
      <c r="BT1042">
        <v>32</v>
      </c>
      <c r="BU1042" t="s">
        <v>89</v>
      </c>
      <c r="BV1042" t="s">
        <v>89</v>
      </c>
      <c r="BW1042">
        <v>12</v>
      </c>
      <c r="BX1042">
        <v>1993</v>
      </c>
      <c r="BY1042">
        <v>12</v>
      </c>
      <c r="BZ1042">
        <f t="shared" si="152"/>
        <v>0</v>
      </c>
      <c r="CA1042">
        <f t="shared" si="153"/>
        <v>0</v>
      </c>
      <c r="CB1042" t="b">
        <f t="shared" si="154"/>
        <v>1</v>
      </c>
    </row>
    <row r="1043" spans="1:80" x14ac:dyDescent="0.3">
      <c r="A1043" t="s">
        <v>8369</v>
      </c>
      <c r="B1043" t="s">
        <v>71</v>
      </c>
      <c r="C1043" t="s">
        <v>8370</v>
      </c>
      <c r="D1043">
        <v>39</v>
      </c>
      <c r="E1043" s="1">
        <v>31426</v>
      </c>
      <c r="F1043" t="s">
        <v>89</v>
      </c>
      <c r="G1043" t="s">
        <v>241</v>
      </c>
      <c r="H1043" t="s">
        <v>89</v>
      </c>
      <c r="I1043" t="s">
        <v>750</v>
      </c>
      <c r="J1043" t="s">
        <v>89</v>
      </c>
      <c r="K1043" t="s">
        <v>89</v>
      </c>
      <c r="L1043" t="s">
        <v>254</v>
      </c>
      <c r="M1043">
        <v>23</v>
      </c>
      <c r="N1043" t="s">
        <v>162</v>
      </c>
      <c r="O1043">
        <v>2009</v>
      </c>
      <c r="P1043" t="s">
        <v>8371</v>
      </c>
      <c r="Q1043" t="s">
        <v>8372</v>
      </c>
      <c r="R1043">
        <v>126015</v>
      </c>
      <c r="S1043" t="s">
        <v>8369</v>
      </c>
      <c r="T1043" t="s">
        <v>8373</v>
      </c>
      <c r="U1043">
        <v>1986</v>
      </c>
      <c r="V1043" t="s">
        <v>3063</v>
      </c>
      <c r="W1043">
        <v>1.9</v>
      </c>
      <c r="X1043" t="s">
        <v>76</v>
      </c>
      <c r="Y1043" t="s">
        <v>86</v>
      </c>
      <c r="Z1043" t="s">
        <v>87</v>
      </c>
      <c r="AA1043" t="s">
        <v>8374</v>
      </c>
      <c r="AB1043" s="1">
        <v>45298</v>
      </c>
      <c r="AC1043" t="s">
        <v>108</v>
      </c>
      <c r="AD1043" t="s">
        <v>89</v>
      </c>
      <c r="AE1043" s="1">
        <v>40553</v>
      </c>
      <c r="AF1043">
        <v>25</v>
      </c>
      <c r="AG1043" t="s">
        <v>91</v>
      </c>
      <c r="AH1043" t="s">
        <v>5556</v>
      </c>
      <c r="AI1043">
        <v>23</v>
      </c>
      <c r="AJ1043" t="s">
        <v>110</v>
      </c>
      <c r="AK1043">
        <v>23</v>
      </c>
      <c r="AL1043">
        <v>1</v>
      </c>
      <c r="AM1043">
        <v>19</v>
      </c>
      <c r="AN1043">
        <v>2</v>
      </c>
      <c r="AO1043">
        <v>1</v>
      </c>
      <c r="AP1043" t="s">
        <v>93</v>
      </c>
      <c r="AQ1043" t="s">
        <v>89</v>
      </c>
      <c r="AR1043" t="s">
        <v>89</v>
      </c>
      <c r="AS1043" t="s">
        <v>111</v>
      </c>
      <c r="AT1043">
        <v>45298</v>
      </c>
      <c r="AU1043">
        <v>2024</v>
      </c>
      <c r="AV1043">
        <v>15</v>
      </c>
      <c r="AW1043">
        <v>15</v>
      </c>
      <c r="AX1043" t="s">
        <v>89</v>
      </c>
      <c r="AY1043" t="s">
        <v>93</v>
      </c>
      <c r="AZ1043">
        <v>0</v>
      </c>
      <c r="BA1043">
        <v>0</v>
      </c>
      <c r="BB1043">
        <v>0</v>
      </c>
      <c r="BC1043">
        <v>0</v>
      </c>
      <c r="BD1043">
        <v>135</v>
      </c>
      <c r="BE1043">
        <v>7695</v>
      </c>
      <c r="BF1043">
        <v>2</v>
      </c>
      <c r="BG1043">
        <v>38</v>
      </c>
      <c r="BH1043">
        <v>135</v>
      </c>
      <c r="BI1043">
        <v>7695</v>
      </c>
      <c r="BJ1043">
        <v>2</v>
      </c>
      <c r="BK1043">
        <f t="shared" si="146"/>
        <v>135</v>
      </c>
      <c r="BL1043">
        <f t="shared" si="147"/>
        <v>7695</v>
      </c>
      <c r="BM1043">
        <f t="shared" si="148"/>
        <v>2</v>
      </c>
      <c r="BN1043">
        <f t="shared" si="149"/>
        <v>0</v>
      </c>
      <c r="BO1043">
        <f t="shared" si="150"/>
        <v>0</v>
      </c>
      <c r="BP1043">
        <f t="shared" si="151"/>
        <v>0</v>
      </c>
      <c r="BQ1043" t="s">
        <v>86</v>
      </c>
      <c r="BR1043" t="s">
        <v>94</v>
      </c>
      <c r="BS1043" s="1">
        <v>31426</v>
      </c>
      <c r="BT1043">
        <v>40</v>
      </c>
      <c r="BU1043">
        <v>45298</v>
      </c>
      <c r="BV1043" t="s">
        <v>89</v>
      </c>
      <c r="BW1043">
        <v>15</v>
      </c>
      <c r="BX1043">
        <v>1986</v>
      </c>
      <c r="BY1043">
        <v>15</v>
      </c>
      <c r="BZ1043">
        <f t="shared" si="152"/>
        <v>0</v>
      </c>
      <c r="CA1043">
        <f t="shared" si="153"/>
        <v>0</v>
      </c>
      <c r="CB1043" t="b">
        <f t="shared" si="154"/>
        <v>1</v>
      </c>
    </row>
    <row r="1044" spans="1:80" x14ac:dyDescent="0.3">
      <c r="A1044" t="s">
        <v>8375</v>
      </c>
      <c r="B1044" t="s">
        <v>71</v>
      </c>
      <c r="C1044" t="s">
        <v>8376</v>
      </c>
      <c r="D1044">
        <v>41</v>
      </c>
      <c r="E1044" s="1">
        <v>30682</v>
      </c>
      <c r="F1044" t="s">
        <v>89</v>
      </c>
      <c r="G1044" t="s">
        <v>1381</v>
      </c>
      <c r="H1044" t="s">
        <v>89</v>
      </c>
      <c r="I1044" t="s">
        <v>437</v>
      </c>
      <c r="J1044" t="s">
        <v>89</v>
      </c>
      <c r="K1044" t="s">
        <v>89</v>
      </c>
      <c r="L1044" t="s">
        <v>145</v>
      </c>
      <c r="M1044">
        <v>20</v>
      </c>
      <c r="N1044" t="s">
        <v>1926</v>
      </c>
      <c r="O1044">
        <v>2004</v>
      </c>
      <c r="P1044" t="s">
        <v>8377</v>
      </c>
      <c r="Q1044" t="s">
        <v>8378</v>
      </c>
      <c r="R1044">
        <v>51578</v>
      </c>
      <c r="S1044" t="s">
        <v>8379</v>
      </c>
      <c r="T1044">
        <v>30682</v>
      </c>
      <c r="U1044">
        <v>1984</v>
      </c>
      <c r="V1044" t="s">
        <v>4085</v>
      </c>
      <c r="W1044">
        <v>1.92</v>
      </c>
      <c r="X1044" t="s">
        <v>76</v>
      </c>
      <c r="Y1044" t="s">
        <v>123</v>
      </c>
      <c r="Z1044" t="s">
        <v>87</v>
      </c>
      <c r="AA1044" t="s">
        <v>8380</v>
      </c>
      <c r="AB1044" s="1">
        <v>43107</v>
      </c>
      <c r="AC1044" t="s">
        <v>108</v>
      </c>
      <c r="AD1044" t="s">
        <v>89</v>
      </c>
      <c r="AE1044" t="s">
        <v>6090</v>
      </c>
      <c r="AF1044">
        <v>20</v>
      </c>
      <c r="AG1044" t="s">
        <v>91</v>
      </c>
      <c r="AH1044" t="s">
        <v>6862</v>
      </c>
      <c r="AI1044">
        <v>21</v>
      </c>
      <c r="AJ1044" t="s">
        <v>110</v>
      </c>
      <c r="AK1044">
        <v>20</v>
      </c>
      <c r="AL1044">
        <v>2</v>
      </c>
      <c r="AM1044">
        <v>63</v>
      </c>
      <c r="AN1044">
        <v>9</v>
      </c>
      <c r="AO1044">
        <v>2</v>
      </c>
      <c r="AP1044" t="s">
        <v>93</v>
      </c>
      <c r="AQ1044" t="s">
        <v>89</v>
      </c>
      <c r="AR1044" t="s">
        <v>89</v>
      </c>
      <c r="AS1044" t="s">
        <v>111</v>
      </c>
      <c r="AT1044" s="1">
        <v>43107</v>
      </c>
      <c r="AU1044">
        <v>2018</v>
      </c>
      <c r="AV1044">
        <v>14</v>
      </c>
      <c r="AW1044">
        <v>14</v>
      </c>
      <c r="AX1044" t="s">
        <v>89</v>
      </c>
      <c r="AY1044" t="s">
        <v>93</v>
      </c>
      <c r="AZ1044">
        <v>0</v>
      </c>
      <c r="BA1044">
        <v>0</v>
      </c>
      <c r="BB1044">
        <v>0</v>
      </c>
      <c r="BC1044">
        <v>0</v>
      </c>
      <c r="BD1044">
        <v>117</v>
      </c>
      <c r="BE1044">
        <v>5112</v>
      </c>
      <c r="BF1044">
        <v>20</v>
      </c>
      <c r="BG1044">
        <v>34</v>
      </c>
      <c r="BH1044">
        <v>117</v>
      </c>
      <c r="BI1044">
        <v>5112</v>
      </c>
      <c r="BJ1044">
        <v>20</v>
      </c>
      <c r="BK1044">
        <f t="shared" si="146"/>
        <v>117</v>
      </c>
      <c r="BL1044">
        <f t="shared" si="147"/>
        <v>5112</v>
      </c>
      <c r="BM1044">
        <f t="shared" si="148"/>
        <v>20</v>
      </c>
      <c r="BN1044">
        <f t="shared" si="149"/>
        <v>0</v>
      </c>
      <c r="BO1044">
        <f t="shared" si="150"/>
        <v>0</v>
      </c>
      <c r="BP1044">
        <f t="shared" si="151"/>
        <v>0</v>
      </c>
      <c r="BQ1044" t="s">
        <v>123</v>
      </c>
      <c r="BR1044" t="s">
        <v>112</v>
      </c>
      <c r="BS1044" t="s">
        <v>89</v>
      </c>
      <c r="BT1044">
        <v>42</v>
      </c>
      <c r="BU1044" s="1">
        <v>43107</v>
      </c>
      <c r="BV1044" s="1">
        <v>43282</v>
      </c>
      <c r="BW1044">
        <v>14</v>
      </c>
      <c r="BX1044">
        <v>1984</v>
      </c>
      <c r="BY1044">
        <v>14</v>
      </c>
      <c r="BZ1044">
        <f t="shared" si="152"/>
        <v>0</v>
      </c>
      <c r="CA1044">
        <f t="shared" si="153"/>
        <v>0</v>
      </c>
      <c r="CB1044" t="b">
        <f t="shared" si="154"/>
        <v>1</v>
      </c>
    </row>
    <row r="1045" spans="1:80" x14ac:dyDescent="0.3">
      <c r="A1045" t="s">
        <v>8381</v>
      </c>
      <c r="B1045" t="s">
        <v>776</v>
      </c>
      <c r="C1045" t="s">
        <v>8382</v>
      </c>
      <c r="D1045">
        <v>36</v>
      </c>
      <c r="E1045" t="s">
        <v>8383</v>
      </c>
      <c r="F1045" t="s">
        <v>6343</v>
      </c>
      <c r="G1045" t="s">
        <v>160</v>
      </c>
      <c r="H1045" t="s">
        <v>89</v>
      </c>
      <c r="I1045" t="s">
        <v>437</v>
      </c>
      <c r="J1045" t="s">
        <v>78</v>
      </c>
      <c r="K1045" t="s">
        <v>1674</v>
      </c>
      <c r="L1045" t="s">
        <v>324</v>
      </c>
      <c r="M1045">
        <v>24</v>
      </c>
      <c r="N1045" t="s">
        <v>1168</v>
      </c>
      <c r="O1045">
        <v>2013</v>
      </c>
      <c r="P1045" t="s">
        <v>8384</v>
      </c>
      <c r="Q1045" t="s">
        <v>8385</v>
      </c>
      <c r="R1045">
        <v>99499</v>
      </c>
      <c r="S1045" t="s">
        <v>8381</v>
      </c>
      <c r="T1045" t="s">
        <v>8386</v>
      </c>
      <c r="U1045">
        <v>1989</v>
      </c>
      <c r="V1045" t="s">
        <v>6347</v>
      </c>
      <c r="W1045">
        <v>1.77</v>
      </c>
      <c r="X1045" t="s">
        <v>778</v>
      </c>
      <c r="Y1045" t="s">
        <v>123</v>
      </c>
      <c r="Z1045" t="s">
        <v>87</v>
      </c>
      <c r="AA1045" t="s">
        <v>476</v>
      </c>
      <c r="AB1045" t="s">
        <v>8264</v>
      </c>
      <c r="AC1045" t="s">
        <v>108</v>
      </c>
      <c r="AD1045" t="s">
        <v>89</v>
      </c>
      <c r="AE1045" s="1">
        <v>40398</v>
      </c>
      <c r="AF1045">
        <v>21</v>
      </c>
      <c r="AG1045" t="s">
        <v>786</v>
      </c>
      <c r="AH1045" t="s">
        <v>8387</v>
      </c>
      <c r="AI1045">
        <v>22</v>
      </c>
      <c r="AJ1045" t="s">
        <v>986</v>
      </c>
      <c r="AK1045">
        <v>21</v>
      </c>
      <c r="AL1045">
        <v>5</v>
      </c>
      <c r="AM1045">
        <v>87</v>
      </c>
      <c r="AN1045">
        <v>14</v>
      </c>
      <c r="AO1045">
        <v>3</v>
      </c>
      <c r="AP1045" t="s">
        <v>93</v>
      </c>
      <c r="AQ1045" t="s">
        <v>89</v>
      </c>
      <c r="AR1045" t="s">
        <v>89</v>
      </c>
      <c r="AS1045" t="s">
        <v>93</v>
      </c>
      <c r="AT1045" t="s">
        <v>89</v>
      </c>
      <c r="AU1045" t="s">
        <v>89</v>
      </c>
      <c r="AV1045" t="s">
        <v>89</v>
      </c>
      <c r="AW1045">
        <v>12</v>
      </c>
      <c r="AX1045" t="s">
        <v>89</v>
      </c>
      <c r="AY1045" t="s">
        <v>93</v>
      </c>
      <c r="AZ1045">
        <v>0</v>
      </c>
      <c r="BA1045">
        <v>0</v>
      </c>
      <c r="BB1045">
        <v>0</v>
      </c>
      <c r="BC1045">
        <v>0</v>
      </c>
      <c r="BD1045">
        <v>203</v>
      </c>
      <c r="BE1045">
        <v>12993</v>
      </c>
      <c r="BF1045">
        <v>62</v>
      </c>
      <c r="BG1045" t="s">
        <v>89</v>
      </c>
      <c r="BH1045">
        <v>203</v>
      </c>
      <c r="BI1045">
        <v>12993</v>
      </c>
      <c r="BJ1045">
        <v>62</v>
      </c>
      <c r="BK1045">
        <f t="shared" si="146"/>
        <v>203</v>
      </c>
      <c r="BL1045">
        <f t="shared" si="147"/>
        <v>12993</v>
      </c>
      <c r="BM1045">
        <f t="shared" si="148"/>
        <v>62</v>
      </c>
      <c r="BN1045">
        <f t="shared" si="149"/>
        <v>0</v>
      </c>
      <c r="BO1045">
        <f t="shared" si="150"/>
        <v>0</v>
      </c>
      <c r="BP1045">
        <f t="shared" si="151"/>
        <v>0</v>
      </c>
      <c r="BQ1045" t="s">
        <v>123</v>
      </c>
      <c r="BR1045" t="s">
        <v>112</v>
      </c>
      <c r="BS1045" s="1">
        <v>32584</v>
      </c>
      <c r="BT1045">
        <v>36</v>
      </c>
      <c r="BU1045" t="s">
        <v>89</v>
      </c>
      <c r="BV1045" t="s">
        <v>89</v>
      </c>
      <c r="BW1045">
        <v>15</v>
      </c>
      <c r="BX1045">
        <v>1989</v>
      </c>
      <c r="BY1045">
        <v>15</v>
      </c>
      <c r="BZ1045">
        <f t="shared" si="152"/>
        <v>-3</v>
      </c>
      <c r="CA1045">
        <f t="shared" si="153"/>
        <v>0</v>
      </c>
      <c r="CB1045" t="b">
        <f t="shared" si="154"/>
        <v>0</v>
      </c>
    </row>
    <row r="1046" spans="1:80" x14ac:dyDescent="0.3">
      <c r="A1046" t="s">
        <v>8388</v>
      </c>
      <c r="B1046" t="s">
        <v>71</v>
      </c>
      <c r="C1046" t="s">
        <v>8389</v>
      </c>
      <c r="D1046">
        <v>49</v>
      </c>
      <c r="E1046" s="1">
        <v>27689</v>
      </c>
      <c r="F1046" t="s">
        <v>89</v>
      </c>
      <c r="G1046" t="s">
        <v>143</v>
      </c>
      <c r="H1046" t="s">
        <v>89</v>
      </c>
      <c r="I1046" t="s">
        <v>348</v>
      </c>
      <c r="J1046" t="s">
        <v>89</v>
      </c>
      <c r="K1046" t="s">
        <v>89</v>
      </c>
      <c r="L1046" t="s">
        <v>99</v>
      </c>
      <c r="M1046">
        <v>25</v>
      </c>
      <c r="N1046" t="s">
        <v>279</v>
      </c>
      <c r="O1046">
        <v>2001</v>
      </c>
      <c r="P1046" t="s">
        <v>8390</v>
      </c>
      <c r="Q1046" t="s">
        <v>8391</v>
      </c>
      <c r="R1046">
        <v>57841</v>
      </c>
      <c r="S1046" t="s">
        <v>8392</v>
      </c>
      <c r="T1046" t="s">
        <v>8393</v>
      </c>
      <c r="U1046">
        <v>1975</v>
      </c>
      <c r="V1046" t="s">
        <v>6464</v>
      </c>
      <c r="W1046">
        <v>1.76</v>
      </c>
      <c r="X1046" t="s">
        <v>76</v>
      </c>
      <c r="Y1046" t="s">
        <v>136</v>
      </c>
      <c r="Z1046" t="s">
        <v>87</v>
      </c>
      <c r="AA1046" t="s">
        <v>2841</v>
      </c>
      <c r="AB1046" s="1">
        <v>41281</v>
      </c>
      <c r="AC1046" t="s">
        <v>108</v>
      </c>
      <c r="AD1046" t="s">
        <v>89</v>
      </c>
      <c r="AE1046" t="s">
        <v>719</v>
      </c>
      <c r="AF1046">
        <v>32</v>
      </c>
      <c r="AG1046" t="s">
        <v>91</v>
      </c>
      <c r="AH1046" t="s">
        <v>869</v>
      </c>
      <c r="AI1046">
        <v>22</v>
      </c>
      <c r="AJ1046" t="s">
        <v>110</v>
      </c>
      <c r="AK1046">
        <v>22</v>
      </c>
      <c r="AL1046">
        <v>1</v>
      </c>
      <c r="AM1046">
        <v>22</v>
      </c>
      <c r="AN1046">
        <v>3</v>
      </c>
      <c r="AO1046">
        <v>1</v>
      </c>
      <c r="AP1046" t="s">
        <v>93</v>
      </c>
      <c r="AQ1046" t="s">
        <v>89</v>
      </c>
      <c r="AR1046" t="s">
        <v>89</v>
      </c>
      <c r="AS1046" t="s">
        <v>111</v>
      </c>
      <c r="AT1046" s="1">
        <v>41281</v>
      </c>
      <c r="AU1046">
        <v>2013</v>
      </c>
      <c r="AV1046">
        <v>12</v>
      </c>
      <c r="AW1046">
        <v>12</v>
      </c>
      <c r="AX1046" t="s">
        <v>89</v>
      </c>
      <c r="AY1046" t="s">
        <v>93</v>
      </c>
      <c r="AZ1046">
        <v>0</v>
      </c>
      <c r="BA1046">
        <v>0</v>
      </c>
      <c r="BB1046">
        <v>0</v>
      </c>
      <c r="BC1046">
        <v>0</v>
      </c>
      <c r="BD1046">
        <v>331</v>
      </c>
      <c r="BE1046">
        <v>28088</v>
      </c>
      <c r="BF1046">
        <v>3</v>
      </c>
      <c r="BG1046">
        <v>38</v>
      </c>
      <c r="BH1046">
        <v>331</v>
      </c>
      <c r="BI1046">
        <v>28088</v>
      </c>
      <c r="BJ1046">
        <v>3</v>
      </c>
      <c r="BK1046">
        <f t="shared" si="146"/>
        <v>331</v>
      </c>
      <c r="BL1046">
        <f t="shared" si="147"/>
        <v>28088</v>
      </c>
      <c r="BM1046">
        <f t="shared" si="148"/>
        <v>3</v>
      </c>
      <c r="BN1046">
        <f t="shared" si="149"/>
        <v>0</v>
      </c>
      <c r="BO1046">
        <f t="shared" si="150"/>
        <v>0</v>
      </c>
      <c r="BP1046">
        <f t="shared" si="151"/>
        <v>0</v>
      </c>
      <c r="BQ1046" t="s">
        <v>136</v>
      </c>
      <c r="BR1046" t="s">
        <v>140</v>
      </c>
      <c r="BS1046" t="s">
        <v>89</v>
      </c>
      <c r="BT1046">
        <v>51</v>
      </c>
      <c r="BU1046" s="1">
        <v>41281</v>
      </c>
      <c r="BV1046" s="1">
        <v>41456</v>
      </c>
      <c r="BW1046">
        <v>16</v>
      </c>
      <c r="BX1046">
        <v>1975</v>
      </c>
      <c r="BY1046">
        <v>16</v>
      </c>
      <c r="BZ1046">
        <f t="shared" si="152"/>
        <v>-4</v>
      </c>
      <c r="CA1046">
        <f t="shared" si="153"/>
        <v>0</v>
      </c>
      <c r="CB1046" t="b">
        <f t="shared" si="154"/>
        <v>0</v>
      </c>
    </row>
    <row r="1047" spans="1:80" x14ac:dyDescent="0.3">
      <c r="A1047" t="s">
        <v>8394</v>
      </c>
      <c r="B1047" t="s">
        <v>776</v>
      </c>
      <c r="C1047" t="s">
        <v>8395</v>
      </c>
      <c r="D1047">
        <v>32</v>
      </c>
      <c r="E1047" s="1">
        <v>34012</v>
      </c>
      <c r="F1047" t="s">
        <v>89</v>
      </c>
      <c r="G1047" t="s">
        <v>211</v>
      </c>
      <c r="H1047" t="s">
        <v>778</v>
      </c>
      <c r="I1047" t="s">
        <v>791</v>
      </c>
      <c r="J1047" t="s">
        <v>300</v>
      </c>
      <c r="K1047" t="s">
        <v>89</v>
      </c>
      <c r="L1047" t="s">
        <v>228</v>
      </c>
      <c r="M1047">
        <v>17</v>
      </c>
      <c r="N1047" t="s">
        <v>649</v>
      </c>
      <c r="O1047">
        <v>2010</v>
      </c>
      <c r="P1047" t="s">
        <v>8396</v>
      </c>
      <c r="Q1047" t="s">
        <v>8397</v>
      </c>
      <c r="R1047">
        <v>129473</v>
      </c>
      <c r="S1047" t="s">
        <v>8394</v>
      </c>
      <c r="T1047">
        <v>34305</v>
      </c>
      <c r="U1047">
        <v>1993</v>
      </c>
      <c r="V1047" t="s">
        <v>3033</v>
      </c>
      <c r="W1047">
        <v>1.74</v>
      </c>
      <c r="X1047" t="s">
        <v>783</v>
      </c>
      <c r="Y1047" t="s">
        <v>106</v>
      </c>
      <c r="Z1047" t="s">
        <v>152</v>
      </c>
      <c r="AA1047" t="s">
        <v>476</v>
      </c>
      <c r="AB1047" s="1">
        <v>45298</v>
      </c>
      <c r="AC1047" t="s">
        <v>108</v>
      </c>
      <c r="AD1047" t="s">
        <v>442</v>
      </c>
      <c r="AE1047" t="s">
        <v>125</v>
      </c>
      <c r="AF1047">
        <v>20</v>
      </c>
      <c r="AG1047" t="s">
        <v>91</v>
      </c>
      <c r="AH1047">
        <v>40756</v>
      </c>
      <c r="AI1047">
        <v>17</v>
      </c>
      <c r="AJ1047" t="s">
        <v>110</v>
      </c>
      <c r="AK1047">
        <v>17</v>
      </c>
      <c r="AL1047">
        <v>21</v>
      </c>
      <c r="AM1047">
        <v>887</v>
      </c>
      <c r="AN1047">
        <v>152</v>
      </c>
      <c r="AO1047">
        <v>8</v>
      </c>
      <c r="AP1047" t="s">
        <v>93</v>
      </c>
      <c r="AQ1047" t="s">
        <v>89</v>
      </c>
      <c r="AR1047" t="s">
        <v>89</v>
      </c>
      <c r="AS1047" t="s">
        <v>93</v>
      </c>
      <c r="AT1047" t="s">
        <v>89</v>
      </c>
      <c r="AU1047" t="s">
        <v>89</v>
      </c>
      <c r="AV1047" t="s">
        <v>89</v>
      </c>
      <c r="AW1047">
        <v>15</v>
      </c>
      <c r="AX1047" t="s">
        <v>89</v>
      </c>
      <c r="AY1047" t="s">
        <v>111</v>
      </c>
      <c r="AZ1047">
        <v>2</v>
      </c>
      <c r="BA1047">
        <v>2</v>
      </c>
      <c r="BB1047">
        <v>38</v>
      </c>
      <c r="BC1047">
        <v>1</v>
      </c>
      <c r="BD1047">
        <v>312</v>
      </c>
      <c r="BE1047">
        <v>20065</v>
      </c>
      <c r="BF1047">
        <v>42</v>
      </c>
      <c r="BG1047" t="s">
        <v>89</v>
      </c>
      <c r="BH1047">
        <v>314</v>
      </c>
      <c r="BI1047">
        <v>20103</v>
      </c>
      <c r="BJ1047">
        <v>43</v>
      </c>
      <c r="BK1047">
        <f t="shared" si="146"/>
        <v>314</v>
      </c>
      <c r="BL1047">
        <f t="shared" si="147"/>
        <v>20103</v>
      </c>
      <c r="BM1047">
        <f t="shared" si="148"/>
        <v>43</v>
      </c>
      <c r="BN1047">
        <f t="shared" si="149"/>
        <v>0</v>
      </c>
      <c r="BO1047">
        <f t="shared" si="150"/>
        <v>0</v>
      </c>
      <c r="BP1047">
        <f t="shared" si="151"/>
        <v>0</v>
      </c>
      <c r="BQ1047" t="s">
        <v>106</v>
      </c>
      <c r="BR1047" t="s">
        <v>112</v>
      </c>
      <c r="BS1047" t="s">
        <v>89</v>
      </c>
      <c r="BT1047">
        <v>33</v>
      </c>
      <c r="BU1047" t="s">
        <v>89</v>
      </c>
      <c r="BV1047" t="s">
        <v>89</v>
      </c>
      <c r="BW1047">
        <v>16</v>
      </c>
      <c r="BX1047">
        <v>1993</v>
      </c>
      <c r="BY1047">
        <v>15</v>
      </c>
      <c r="BZ1047">
        <f t="shared" si="152"/>
        <v>-1</v>
      </c>
      <c r="CA1047">
        <f t="shared" si="153"/>
        <v>1</v>
      </c>
      <c r="CB1047" t="b">
        <f t="shared" si="154"/>
        <v>0</v>
      </c>
    </row>
    <row r="1048" spans="1:80" x14ac:dyDescent="0.3">
      <c r="A1048" t="s">
        <v>8398</v>
      </c>
      <c r="B1048" t="s">
        <v>71</v>
      </c>
      <c r="C1048" t="s">
        <v>8399</v>
      </c>
      <c r="D1048">
        <v>42</v>
      </c>
      <c r="E1048" s="1">
        <v>30212</v>
      </c>
      <c r="F1048" t="s">
        <v>89</v>
      </c>
      <c r="G1048" t="s">
        <v>160</v>
      </c>
      <c r="H1048" t="s">
        <v>89</v>
      </c>
      <c r="I1048" t="s">
        <v>348</v>
      </c>
      <c r="J1048" t="s">
        <v>78</v>
      </c>
      <c r="K1048" t="s">
        <v>89</v>
      </c>
      <c r="L1048" t="s">
        <v>117</v>
      </c>
      <c r="M1048">
        <v>22</v>
      </c>
      <c r="N1048" t="s">
        <v>164</v>
      </c>
      <c r="O1048">
        <v>2005</v>
      </c>
      <c r="P1048" t="s">
        <v>8400</v>
      </c>
      <c r="Q1048" t="s">
        <v>8401</v>
      </c>
      <c r="R1048">
        <v>35546</v>
      </c>
      <c r="S1048" t="s">
        <v>8398</v>
      </c>
      <c r="T1048" t="s">
        <v>8402</v>
      </c>
      <c r="U1048">
        <v>1982</v>
      </c>
      <c r="V1048" t="s">
        <v>2526</v>
      </c>
      <c r="W1048">
        <v>1.75</v>
      </c>
      <c r="X1048" t="s">
        <v>76</v>
      </c>
      <c r="Y1048" t="s">
        <v>136</v>
      </c>
      <c r="Z1048" t="s">
        <v>87</v>
      </c>
      <c r="AA1048" t="s">
        <v>5789</v>
      </c>
      <c r="AB1048" s="1">
        <v>44927</v>
      </c>
      <c r="AC1048" t="s">
        <v>108</v>
      </c>
      <c r="AD1048" t="s">
        <v>89</v>
      </c>
      <c r="AE1048" t="s">
        <v>513</v>
      </c>
      <c r="AF1048">
        <v>23</v>
      </c>
      <c r="AG1048" t="s">
        <v>91</v>
      </c>
      <c r="AH1048" s="1">
        <v>38939</v>
      </c>
      <c r="AI1048">
        <v>24</v>
      </c>
      <c r="AJ1048" t="s">
        <v>110</v>
      </c>
      <c r="AK1048">
        <v>23</v>
      </c>
      <c r="AL1048">
        <v>3</v>
      </c>
      <c r="AM1048">
        <v>88</v>
      </c>
      <c r="AN1048">
        <v>13</v>
      </c>
      <c r="AO1048">
        <v>3</v>
      </c>
      <c r="AP1048" t="s">
        <v>93</v>
      </c>
      <c r="AQ1048" t="s">
        <v>89</v>
      </c>
      <c r="AR1048" t="s">
        <v>89</v>
      </c>
      <c r="AS1048" t="s">
        <v>93</v>
      </c>
      <c r="AT1048" t="s">
        <v>89</v>
      </c>
      <c r="AU1048" t="s">
        <v>89</v>
      </c>
      <c r="AV1048" t="s">
        <v>89</v>
      </c>
      <c r="AW1048">
        <v>20</v>
      </c>
      <c r="AX1048" t="s">
        <v>89</v>
      </c>
      <c r="AY1048" t="s">
        <v>93</v>
      </c>
      <c r="AZ1048">
        <v>0</v>
      </c>
      <c r="BA1048">
        <v>0</v>
      </c>
      <c r="BB1048">
        <v>0</v>
      </c>
      <c r="BC1048">
        <v>0</v>
      </c>
      <c r="BD1048">
        <v>234</v>
      </c>
      <c r="BE1048">
        <v>18889</v>
      </c>
      <c r="BF1048">
        <v>7</v>
      </c>
      <c r="BG1048" t="s">
        <v>89</v>
      </c>
      <c r="BH1048">
        <v>234</v>
      </c>
      <c r="BI1048">
        <v>18889</v>
      </c>
      <c r="BJ1048">
        <v>7</v>
      </c>
      <c r="BK1048">
        <f t="shared" si="146"/>
        <v>234</v>
      </c>
      <c r="BL1048">
        <f t="shared" si="147"/>
        <v>18889</v>
      </c>
      <c r="BM1048">
        <f t="shared" si="148"/>
        <v>7</v>
      </c>
      <c r="BN1048">
        <f t="shared" si="149"/>
        <v>0</v>
      </c>
      <c r="BO1048">
        <f t="shared" si="150"/>
        <v>0</v>
      </c>
      <c r="BP1048">
        <f t="shared" si="151"/>
        <v>0</v>
      </c>
      <c r="BQ1048" t="s">
        <v>136</v>
      </c>
      <c r="BR1048" t="s">
        <v>140</v>
      </c>
      <c r="BS1048" s="1">
        <v>30181</v>
      </c>
      <c r="BT1048">
        <v>43</v>
      </c>
      <c r="BU1048" t="s">
        <v>89</v>
      </c>
      <c r="BV1048" t="s">
        <v>89</v>
      </c>
      <c r="BW1048">
        <v>20</v>
      </c>
      <c r="BX1048">
        <v>1982</v>
      </c>
      <c r="BY1048">
        <v>19</v>
      </c>
      <c r="BZ1048">
        <f t="shared" si="152"/>
        <v>0</v>
      </c>
      <c r="CA1048">
        <f t="shared" si="153"/>
        <v>1</v>
      </c>
      <c r="CB1048" t="b">
        <f t="shared" si="154"/>
        <v>1</v>
      </c>
    </row>
    <row r="1049" spans="1:80" x14ac:dyDescent="0.3">
      <c r="A1049" t="s">
        <v>8403</v>
      </c>
      <c r="B1049" t="s">
        <v>2301</v>
      </c>
      <c r="C1049" t="s">
        <v>8404</v>
      </c>
      <c r="D1049">
        <v>44</v>
      </c>
      <c r="E1049" s="1">
        <v>29732</v>
      </c>
      <c r="F1049" t="s">
        <v>89</v>
      </c>
      <c r="G1049" t="s">
        <v>75</v>
      </c>
      <c r="H1049" t="s">
        <v>2303</v>
      </c>
      <c r="I1049" t="s">
        <v>195</v>
      </c>
      <c r="J1049" t="s">
        <v>300</v>
      </c>
      <c r="K1049" t="s">
        <v>89</v>
      </c>
      <c r="L1049" t="s">
        <v>657</v>
      </c>
      <c r="M1049">
        <v>22</v>
      </c>
      <c r="N1049" t="s">
        <v>2304</v>
      </c>
      <c r="O1049">
        <v>2003</v>
      </c>
      <c r="P1049" t="s">
        <v>8405</v>
      </c>
      <c r="Q1049" t="s">
        <v>8406</v>
      </c>
      <c r="R1049">
        <v>14940</v>
      </c>
      <c r="S1049" t="s">
        <v>8403</v>
      </c>
      <c r="T1049" t="s">
        <v>8407</v>
      </c>
      <c r="U1049">
        <v>1981</v>
      </c>
      <c r="V1049" t="s">
        <v>8408</v>
      </c>
      <c r="W1049">
        <v>1.79</v>
      </c>
      <c r="X1049" t="s">
        <v>2303</v>
      </c>
      <c r="Y1049" t="s">
        <v>203</v>
      </c>
      <c r="Z1049" t="s">
        <v>152</v>
      </c>
      <c r="AA1049" t="s">
        <v>8409</v>
      </c>
      <c r="AB1049" t="s">
        <v>8410</v>
      </c>
      <c r="AC1049" t="s">
        <v>108</v>
      </c>
      <c r="AD1049" t="s">
        <v>89</v>
      </c>
      <c r="AE1049">
        <v>2002</v>
      </c>
      <c r="AF1049">
        <v>21</v>
      </c>
      <c r="AG1049" t="s">
        <v>2311</v>
      </c>
      <c r="AH1049">
        <v>2016</v>
      </c>
      <c r="AI1049">
        <v>35</v>
      </c>
      <c r="AJ1049">
        <v>0</v>
      </c>
      <c r="AK1049">
        <v>21</v>
      </c>
      <c r="AL1049">
        <v>5</v>
      </c>
      <c r="AM1049">
        <v>215</v>
      </c>
      <c r="AN1049">
        <v>39</v>
      </c>
      <c r="AO1049">
        <v>4</v>
      </c>
      <c r="AP1049" t="s">
        <v>93</v>
      </c>
      <c r="AQ1049" t="s">
        <v>89</v>
      </c>
      <c r="AR1049" t="s">
        <v>89</v>
      </c>
      <c r="AS1049" t="s">
        <v>111</v>
      </c>
      <c r="AT1049" t="s">
        <v>8410</v>
      </c>
      <c r="AU1049">
        <v>2018</v>
      </c>
      <c r="AV1049">
        <v>15</v>
      </c>
      <c r="AW1049">
        <v>15</v>
      </c>
      <c r="AX1049" t="s">
        <v>89</v>
      </c>
      <c r="AY1049" t="s">
        <v>111</v>
      </c>
      <c r="AZ1049">
        <v>12</v>
      </c>
      <c r="BA1049">
        <v>67</v>
      </c>
      <c r="BB1049">
        <v>5854</v>
      </c>
      <c r="BC1049">
        <v>0</v>
      </c>
      <c r="BD1049">
        <v>339</v>
      </c>
      <c r="BE1049">
        <v>28163</v>
      </c>
      <c r="BF1049">
        <v>10</v>
      </c>
      <c r="BG1049">
        <v>37</v>
      </c>
      <c r="BH1049">
        <v>406</v>
      </c>
      <c r="BI1049">
        <v>34017</v>
      </c>
      <c r="BJ1049">
        <v>10</v>
      </c>
      <c r="BK1049">
        <f t="shared" si="146"/>
        <v>406</v>
      </c>
      <c r="BL1049">
        <f t="shared" si="147"/>
        <v>34017</v>
      </c>
      <c r="BM1049">
        <f t="shared" si="148"/>
        <v>10</v>
      </c>
      <c r="BN1049">
        <f t="shared" si="149"/>
        <v>0</v>
      </c>
      <c r="BO1049">
        <f t="shared" si="150"/>
        <v>0</v>
      </c>
      <c r="BP1049">
        <f t="shared" si="151"/>
        <v>0</v>
      </c>
      <c r="BQ1049" t="s">
        <v>203</v>
      </c>
      <c r="BR1049" t="s">
        <v>140</v>
      </c>
      <c r="BS1049" s="1">
        <v>29732</v>
      </c>
      <c r="BT1049">
        <v>44</v>
      </c>
      <c r="BU1049" t="s">
        <v>8410</v>
      </c>
      <c r="BV1049" s="1">
        <v>43299</v>
      </c>
      <c r="BW1049">
        <v>16</v>
      </c>
      <c r="BX1049">
        <v>1981</v>
      </c>
      <c r="BY1049">
        <v>16</v>
      </c>
      <c r="BZ1049">
        <f t="shared" si="152"/>
        <v>-1</v>
      </c>
      <c r="CA1049">
        <f t="shared" si="153"/>
        <v>0</v>
      </c>
      <c r="CB1049" t="b">
        <f t="shared" si="154"/>
        <v>0</v>
      </c>
    </row>
    <row r="1050" spans="1:80" x14ac:dyDescent="0.3">
      <c r="A1050" t="s">
        <v>8411</v>
      </c>
      <c r="B1050" t="s">
        <v>71</v>
      </c>
      <c r="C1050" t="s">
        <v>8412</v>
      </c>
      <c r="D1050">
        <v>34</v>
      </c>
      <c r="E1050" s="1">
        <v>33263</v>
      </c>
      <c r="F1050" t="s">
        <v>89</v>
      </c>
      <c r="G1050" t="s">
        <v>400</v>
      </c>
      <c r="H1050" t="s">
        <v>89</v>
      </c>
      <c r="I1050" t="s">
        <v>750</v>
      </c>
      <c r="J1050" t="s">
        <v>89</v>
      </c>
      <c r="K1050" t="s">
        <v>89</v>
      </c>
      <c r="L1050" t="s">
        <v>228</v>
      </c>
      <c r="M1050">
        <v>19</v>
      </c>
      <c r="N1050" t="s">
        <v>416</v>
      </c>
      <c r="O1050">
        <v>2010</v>
      </c>
      <c r="P1050" t="s">
        <v>8413</v>
      </c>
      <c r="Q1050" t="s">
        <v>8414</v>
      </c>
      <c r="R1050">
        <v>85767</v>
      </c>
      <c r="S1050" t="s">
        <v>8411</v>
      </c>
      <c r="T1050" t="s">
        <v>2281</v>
      </c>
      <c r="U1050">
        <v>1991</v>
      </c>
      <c r="V1050" t="s">
        <v>8415</v>
      </c>
      <c r="W1050">
        <v>1.83</v>
      </c>
      <c r="X1050" t="s">
        <v>8416</v>
      </c>
      <c r="Y1050" t="s">
        <v>86</v>
      </c>
      <c r="Z1050" t="s">
        <v>89</v>
      </c>
      <c r="AA1050" t="s">
        <v>476</v>
      </c>
      <c r="AB1050" s="1">
        <v>45664</v>
      </c>
      <c r="AC1050" t="s">
        <v>108</v>
      </c>
      <c r="AD1050" t="s">
        <v>89</v>
      </c>
      <c r="AE1050" s="1">
        <v>40787</v>
      </c>
      <c r="AF1050">
        <v>19</v>
      </c>
      <c r="AG1050" t="s">
        <v>91</v>
      </c>
      <c r="AH1050" t="s">
        <v>306</v>
      </c>
      <c r="AI1050">
        <v>20</v>
      </c>
      <c r="AJ1050" t="s">
        <v>110</v>
      </c>
      <c r="AK1050">
        <v>19</v>
      </c>
      <c r="AL1050" t="s">
        <v>89</v>
      </c>
      <c r="AM1050" t="s">
        <v>89</v>
      </c>
      <c r="AN1050" t="s">
        <v>89</v>
      </c>
      <c r="AO1050">
        <v>0</v>
      </c>
      <c r="AP1050" t="s">
        <v>93</v>
      </c>
      <c r="AQ1050" t="s">
        <v>89</v>
      </c>
      <c r="AR1050" t="s">
        <v>89</v>
      </c>
      <c r="AS1050" t="s">
        <v>93</v>
      </c>
      <c r="AT1050" t="s">
        <v>89</v>
      </c>
      <c r="AU1050" t="s">
        <v>89</v>
      </c>
      <c r="AV1050" t="s">
        <v>89</v>
      </c>
      <c r="AW1050">
        <v>15</v>
      </c>
      <c r="AX1050" t="s">
        <v>89</v>
      </c>
      <c r="AY1050" t="s">
        <v>93</v>
      </c>
      <c r="AZ1050">
        <v>0</v>
      </c>
      <c r="BA1050">
        <v>0</v>
      </c>
      <c r="BB1050">
        <v>0</v>
      </c>
      <c r="BC1050">
        <v>0</v>
      </c>
      <c r="BD1050">
        <v>37</v>
      </c>
      <c r="BE1050">
        <v>2582</v>
      </c>
      <c r="BF1050">
        <v>0</v>
      </c>
      <c r="BG1050" t="s">
        <v>89</v>
      </c>
      <c r="BH1050">
        <v>37</v>
      </c>
      <c r="BI1050">
        <v>2582</v>
      </c>
      <c r="BJ1050">
        <v>0</v>
      </c>
      <c r="BK1050">
        <f t="shared" si="146"/>
        <v>37</v>
      </c>
      <c r="BL1050">
        <f t="shared" si="147"/>
        <v>2582</v>
      </c>
      <c r="BM1050">
        <f t="shared" si="148"/>
        <v>0</v>
      </c>
      <c r="BN1050">
        <f t="shared" si="149"/>
        <v>0</v>
      </c>
      <c r="BO1050">
        <f t="shared" si="150"/>
        <v>0</v>
      </c>
      <c r="BP1050">
        <f t="shared" si="151"/>
        <v>0</v>
      </c>
      <c r="BQ1050" t="s">
        <v>86</v>
      </c>
      <c r="BR1050" t="s">
        <v>94</v>
      </c>
      <c r="BS1050" s="1">
        <v>33263</v>
      </c>
      <c r="BT1050">
        <v>35</v>
      </c>
      <c r="BU1050" t="s">
        <v>89</v>
      </c>
      <c r="BV1050" t="s">
        <v>89</v>
      </c>
      <c r="BW1050">
        <v>16</v>
      </c>
      <c r="BX1050">
        <v>1991</v>
      </c>
      <c r="BY1050">
        <v>15</v>
      </c>
      <c r="BZ1050">
        <f t="shared" si="152"/>
        <v>-1</v>
      </c>
      <c r="CA1050">
        <f t="shared" si="153"/>
        <v>1</v>
      </c>
      <c r="CB1050" t="b">
        <f t="shared" si="154"/>
        <v>0</v>
      </c>
    </row>
    <row r="1051" spans="1:80" x14ac:dyDescent="0.3">
      <c r="A1051" t="s">
        <v>8417</v>
      </c>
      <c r="B1051" t="s">
        <v>4646</v>
      </c>
      <c r="C1051" t="s">
        <v>8418</v>
      </c>
      <c r="D1051">
        <v>32</v>
      </c>
      <c r="E1051">
        <v>33950</v>
      </c>
      <c r="F1051" t="s">
        <v>89</v>
      </c>
      <c r="G1051" t="s">
        <v>1946</v>
      </c>
      <c r="H1051" t="s">
        <v>4648</v>
      </c>
      <c r="I1051" t="s">
        <v>555</v>
      </c>
      <c r="J1051" t="s">
        <v>78</v>
      </c>
      <c r="K1051" t="s">
        <v>89</v>
      </c>
      <c r="L1051" t="s">
        <v>80</v>
      </c>
      <c r="M1051">
        <v>19</v>
      </c>
      <c r="N1051" t="s">
        <v>527</v>
      </c>
      <c r="O1051">
        <v>2012</v>
      </c>
      <c r="P1051" t="s">
        <v>8419</v>
      </c>
      <c r="Q1051" t="s">
        <v>8420</v>
      </c>
      <c r="R1051">
        <v>131667</v>
      </c>
      <c r="S1051" t="s">
        <v>8417</v>
      </c>
      <c r="T1051">
        <v>33950</v>
      </c>
      <c r="U1051">
        <v>1992</v>
      </c>
      <c r="V1051" t="s">
        <v>7729</v>
      </c>
      <c r="W1051">
        <v>1.7</v>
      </c>
      <c r="X1051" t="s">
        <v>4648</v>
      </c>
      <c r="Y1051" t="s">
        <v>86</v>
      </c>
      <c r="Z1051" t="s">
        <v>87</v>
      </c>
      <c r="AA1051" t="s">
        <v>476</v>
      </c>
      <c r="AB1051">
        <v>45664</v>
      </c>
      <c r="AC1051" t="s">
        <v>108</v>
      </c>
      <c r="AD1051" t="s">
        <v>89</v>
      </c>
      <c r="AE1051" t="s">
        <v>693</v>
      </c>
      <c r="AF1051">
        <v>20</v>
      </c>
      <c r="AG1051" t="s">
        <v>91</v>
      </c>
      <c r="AH1051" t="s">
        <v>274</v>
      </c>
      <c r="AI1051">
        <v>19</v>
      </c>
      <c r="AJ1051" t="s">
        <v>110</v>
      </c>
      <c r="AK1051">
        <v>19</v>
      </c>
      <c r="AL1051">
        <v>4</v>
      </c>
      <c r="AM1051">
        <v>126</v>
      </c>
      <c r="AN1051">
        <v>21</v>
      </c>
      <c r="AO1051">
        <v>3</v>
      </c>
      <c r="AP1051" t="s">
        <v>93</v>
      </c>
      <c r="AQ1051" t="s">
        <v>89</v>
      </c>
      <c r="AR1051" t="s">
        <v>89</v>
      </c>
      <c r="AS1051" t="s">
        <v>93</v>
      </c>
      <c r="AT1051" t="s">
        <v>89</v>
      </c>
      <c r="AU1051" t="s">
        <v>89</v>
      </c>
      <c r="AV1051" t="s">
        <v>89</v>
      </c>
      <c r="AW1051">
        <v>13</v>
      </c>
      <c r="AX1051" t="s">
        <v>89</v>
      </c>
      <c r="AY1051" t="s">
        <v>111</v>
      </c>
      <c r="AZ1051">
        <v>4</v>
      </c>
      <c r="BA1051">
        <v>5</v>
      </c>
      <c r="BB1051">
        <v>213</v>
      </c>
      <c r="BC1051">
        <v>0</v>
      </c>
      <c r="BD1051">
        <v>188</v>
      </c>
      <c r="BE1051">
        <v>12265</v>
      </c>
      <c r="BF1051">
        <v>8</v>
      </c>
      <c r="BG1051" t="s">
        <v>89</v>
      </c>
      <c r="BH1051">
        <v>193</v>
      </c>
      <c r="BI1051">
        <v>12478</v>
      </c>
      <c r="BJ1051">
        <v>8</v>
      </c>
      <c r="BK1051">
        <f t="shared" si="146"/>
        <v>193</v>
      </c>
      <c r="BL1051">
        <f t="shared" si="147"/>
        <v>12478</v>
      </c>
      <c r="BM1051">
        <f t="shared" si="148"/>
        <v>8</v>
      </c>
      <c r="BN1051">
        <f t="shared" si="149"/>
        <v>0</v>
      </c>
      <c r="BO1051">
        <f t="shared" si="150"/>
        <v>0</v>
      </c>
      <c r="BP1051">
        <f t="shared" si="151"/>
        <v>0</v>
      </c>
      <c r="BQ1051" t="s">
        <v>86</v>
      </c>
      <c r="BR1051" t="s">
        <v>94</v>
      </c>
      <c r="BS1051" t="s">
        <v>89</v>
      </c>
      <c r="BT1051">
        <v>34</v>
      </c>
      <c r="BU1051" t="s">
        <v>89</v>
      </c>
      <c r="BV1051" t="s">
        <v>89</v>
      </c>
      <c r="BW1051">
        <v>15</v>
      </c>
      <c r="BX1051">
        <v>1992</v>
      </c>
      <c r="BY1051">
        <v>13</v>
      </c>
      <c r="BZ1051">
        <f t="shared" si="152"/>
        <v>-2</v>
      </c>
      <c r="CA1051">
        <f t="shared" si="153"/>
        <v>2</v>
      </c>
      <c r="CB1051" t="b">
        <f t="shared" si="154"/>
        <v>0</v>
      </c>
    </row>
    <row r="1052" spans="1:80" x14ac:dyDescent="0.3">
      <c r="A1052" t="s">
        <v>8421</v>
      </c>
      <c r="B1052" t="s">
        <v>1231</v>
      </c>
      <c r="C1052" t="s">
        <v>8422</v>
      </c>
      <c r="D1052">
        <v>38</v>
      </c>
      <c r="E1052">
        <v>31643</v>
      </c>
      <c r="F1052" t="s">
        <v>89</v>
      </c>
      <c r="G1052" t="s">
        <v>143</v>
      </c>
      <c r="H1052" t="s">
        <v>1234</v>
      </c>
      <c r="I1052" t="s">
        <v>791</v>
      </c>
      <c r="J1052" t="s">
        <v>78</v>
      </c>
      <c r="K1052" t="s">
        <v>89</v>
      </c>
      <c r="L1052" t="s">
        <v>130</v>
      </c>
      <c r="M1052">
        <v>21</v>
      </c>
      <c r="N1052" t="s">
        <v>4272</v>
      </c>
      <c r="O1052">
        <v>2008</v>
      </c>
      <c r="P1052" t="s">
        <v>8423</v>
      </c>
      <c r="Q1052" t="s">
        <v>8424</v>
      </c>
      <c r="R1052">
        <v>84491</v>
      </c>
      <c r="S1052" t="s">
        <v>8421</v>
      </c>
      <c r="T1052" t="s">
        <v>8425</v>
      </c>
      <c r="U1052">
        <v>1986</v>
      </c>
      <c r="V1052" t="s">
        <v>8426</v>
      </c>
      <c r="W1052">
        <v>1.76</v>
      </c>
      <c r="X1052" t="s">
        <v>1234</v>
      </c>
      <c r="Y1052" t="s">
        <v>86</v>
      </c>
      <c r="Z1052" t="s">
        <v>87</v>
      </c>
      <c r="AA1052" t="s">
        <v>4272</v>
      </c>
      <c r="AB1052" s="1">
        <v>44203</v>
      </c>
      <c r="AC1052" t="s">
        <v>108</v>
      </c>
      <c r="AD1052" t="s">
        <v>89</v>
      </c>
      <c r="AE1052" t="s">
        <v>1242</v>
      </c>
      <c r="AF1052">
        <v>22</v>
      </c>
      <c r="AG1052" t="s">
        <v>613</v>
      </c>
      <c r="AH1052">
        <v>43746</v>
      </c>
      <c r="AI1052">
        <v>32</v>
      </c>
      <c r="AJ1052" t="s">
        <v>3513</v>
      </c>
      <c r="AK1052">
        <v>22</v>
      </c>
      <c r="AL1052">
        <v>7</v>
      </c>
      <c r="AM1052">
        <v>172</v>
      </c>
      <c r="AN1052">
        <v>25</v>
      </c>
      <c r="AO1052">
        <v>5</v>
      </c>
      <c r="AP1052" t="s">
        <v>93</v>
      </c>
      <c r="AQ1052" t="s">
        <v>89</v>
      </c>
      <c r="AR1052" t="s">
        <v>89</v>
      </c>
      <c r="AS1052" t="s">
        <v>111</v>
      </c>
      <c r="AT1052">
        <v>44203</v>
      </c>
      <c r="AU1052">
        <v>2021</v>
      </c>
      <c r="AV1052">
        <v>13</v>
      </c>
      <c r="AW1052">
        <v>13</v>
      </c>
      <c r="AX1052" t="s">
        <v>89</v>
      </c>
      <c r="AY1052" t="s">
        <v>111</v>
      </c>
      <c r="AZ1052">
        <v>3</v>
      </c>
      <c r="BA1052">
        <v>9</v>
      </c>
      <c r="BB1052">
        <v>341</v>
      </c>
      <c r="BC1052">
        <v>0</v>
      </c>
      <c r="BD1052">
        <v>295</v>
      </c>
      <c r="BE1052">
        <v>19775</v>
      </c>
      <c r="BF1052">
        <v>32</v>
      </c>
      <c r="BG1052">
        <v>35</v>
      </c>
      <c r="BH1052">
        <v>304</v>
      </c>
      <c r="BI1052">
        <v>20116</v>
      </c>
      <c r="BJ1052">
        <v>32</v>
      </c>
      <c r="BK1052">
        <f t="shared" si="146"/>
        <v>304</v>
      </c>
      <c r="BL1052">
        <f t="shared" si="147"/>
        <v>20116</v>
      </c>
      <c r="BM1052">
        <f t="shared" si="148"/>
        <v>32</v>
      </c>
      <c r="BN1052">
        <f t="shared" si="149"/>
        <v>0</v>
      </c>
      <c r="BO1052">
        <f t="shared" si="150"/>
        <v>0</v>
      </c>
      <c r="BP1052">
        <f t="shared" si="151"/>
        <v>0</v>
      </c>
      <c r="BQ1052" t="s">
        <v>86</v>
      </c>
      <c r="BR1052" t="s">
        <v>94</v>
      </c>
      <c r="BS1052" s="1">
        <v>31643</v>
      </c>
      <c r="BT1052">
        <v>39</v>
      </c>
      <c r="BU1052">
        <v>44203</v>
      </c>
      <c r="BV1052" t="s">
        <v>89</v>
      </c>
      <c r="BW1052">
        <v>13</v>
      </c>
      <c r="BX1052">
        <v>1986</v>
      </c>
      <c r="BY1052">
        <v>13</v>
      </c>
      <c r="BZ1052">
        <f t="shared" si="152"/>
        <v>0</v>
      </c>
      <c r="CA1052">
        <f t="shared" si="153"/>
        <v>0</v>
      </c>
      <c r="CB1052" t="b">
        <f t="shared" si="154"/>
        <v>1</v>
      </c>
    </row>
    <row r="1053" spans="1:80" x14ac:dyDescent="0.3">
      <c r="A1053" t="s">
        <v>8427</v>
      </c>
      <c r="B1053" t="s">
        <v>1231</v>
      </c>
      <c r="C1053" t="s">
        <v>8428</v>
      </c>
      <c r="D1053">
        <v>31</v>
      </c>
      <c r="E1053" t="s">
        <v>8429</v>
      </c>
      <c r="F1053" t="s">
        <v>8430</v>
      </c>
      <c r="G1053" t="s">
        <v>400</v>
      </c>
      <c r="H1053" t="s">
        <v>1234</v>
      </c>
      <c r="I1053" t="s">
        <v>227</v>
      </c>
      <c r="J1053" t="s">
        <v>78</v>
      </c>
      <c r="K1053" t="s">
        <v>204</v>
      </c>
      <c r="L1053" t="s">
        <v>324</v>
      </c>
      <c r="M1053">
        <v>19</v>
      </c>
      <c r="N1053" t="s">
        <v>1168</v>
      </c>
      <c r="O1053">
        <v>2013</v>
      </c>
      <c r="P1053" t="s">
        <v>8431</v>
      </c>
      <c r="Q1053" t="s">
        <v>8432</v>
      </c>
      <c r="R1053">
        <v>257851</v>
      </c>
      <c r="S1053" t="s">
        <v>8427</v>
      </c>
      <c r="T1053" t="s">
        <v>8433</v>
      </c>
      <c r="U1053">
        <v>1994</v>
      </c>
      <c r="V1053" t="s">
        <v>8434</v>
      </c>
      <c r="W1053">
        <v>1.82</v>
      </c>
      <c r="X1053" t="s">
        <v>3299</v>
      </c>
      <c r="Y1053" t="s">
        <v>235</v>
      </c>
      <c r="Z1053" t="s">
        <v>87</v>
      </c>
      <c r="AA1053" t="s">
        <v>204</v>
      </c>
      <c r="AB1053" t="s">
        <v>6843</v>
      </c>
      <c r="AC1053" t="s">
        <v>170</v>
      </c>
      <c r="AD1053" t="s">
        <v>89</v>
      </c>
      <c r="AE1053">
        <v>2013</v>
      </c>
      <c r="AF1053">
        <v>19</v>
      </c>
      <c r="AG1053" t="s">
        <v>613</v>
      </c>
      <c r="AH1053" s="1">
        <v>2022</v>
      </c>
      <c r="AI1053">
        <v>28</v>
      </c>
      <c r="AJ1053">
        <v>0</v>
      </c>
      <c r="AK1053">
        <v>19</v>
      </c>
      <c r="AL1053">
        <v>7</v>
      </c>
      <c r="AM1053">
        <v>261</v>
      </c>
      <c r="AN1053">
        <v>41</v>
      </c>
      <c r="AO1053">
        <v>6</v>
      </c>
      <c r="AP1053" t="s">
        <v>93</v>
      </c>
      <c r="AQ1053" t="s">
        <v>89</v>
      </c>
      <c r="AR1053" t="s">
        <v>89</v>
      </c>
      <c r="AS1053" t="s">
        <v>93</v>
      </c>
      <c r="AT1053" t="s">
        <v>89</v>
      </c>
      <c r="AU1053" t="s">
        <v>89</v>
      </c>
      <c r="AV1053" t="s">
        <v>89</v>
      </c>
      <c r="AW1053">
        <v>12</v>
      </c>
      <c r="AX1053">
        <v>21</v>
      </c>
      <c r="AY1053" t="s">
        <v>93</v>
      </c>
      <c r="AZ1053">
        <v>0</v>
      </c>
      <c r="BA1053">
        <v>0</v>
      </c>
      <c r="BB1053">
        <v>0</v>
      </c>
      <c r="BC1053">
        <v>0</v>
      </c>
      <c r="BD1053">
        <v>306</v>
      </c>
      <c r="BE1053">
        <v>23702</v>
      </c>
      <c r="BF1053">
        <v>7</v>
      </c>
      <c r="BG1053" t="s">
        <v>89</v>
      </c>
      <c r="BH1053">
        <v>306</v>
      </c>
      <c r="BI1053">
        <v>23702</v>
      </c>
      <c r="BJ1053">
        <v>7</v>
      </c>
      <c r="BK1053">
        <f t="shared" si="146"/>
        <v>306</v>
      </c>
      <c r="BL1053">
        <f t="shared" si="147"/>
        <v>23702</v>
      </c>
      <c r="BM1053">
        <f t="shared" si="148"/>
        <v>7</v>
      </c>
      <c r="BN1053">
        <f t="shared" si="149"/>
        <v>0</v>
      </c>
      <c r="BO1053">
        <f t="shared" si="150"/>
        <v>0</v>
      </c>
      <c r="BP1053">
        <f t="shared" si="151"/>
        <v>0</v>
      </c>
      <c r="BQ1053" t="s">
        <v>235</v>
      </c>
      <c r="BR1053" t="s">
        <v>140</v>
      </c>
      <c r="BS1053" s="1">
        <v>34449</v>
      </c>
      <c r="BT1053">
        <v>31</v>
      </c>
      <c r="BU1053" t="s">
        <v>89</v>
      </c>
      <c r="BV1053" t="s">
        <v>89</v>
      </c>
      <c r="BW1053">
        <v>12</v>
      </c>
      <c r="BX1053">
        <v>1994</v>
      </c>
      <c r="BY1053">
        <v>12</v>
      </c>
      <c r="BZ1053">
        <f t="shared" si="152"/>
        <v>0</v>
      </c>
      <c r="CA1053">
        <f t="shared" si="153"/>
        <v>0</v>
      </c>
      <c r="CB1053" t="b">
        <f t="shared" si="154"/>
        <v>1</v>
      </c>
    </row>
    <row r="1054" spans="1:80" x14ac:dyDescent="0.3">
      <c r="A1054" t="s">
        <v>8435</v>
      </c>
      <c r="B1054" t="s">
        <v>71</v>
      </c>
      <c r="C1054" t="s">
        <v>8436</v>
      </c>
      <c r="D1054">
        <v>38</v>
      </c>
      <c r="E1054" s="1">
        <v>31932</v>
      </c>
      <c r="F1054" t="s">
        <v>89</v>
      </c>
      <c r="G1054" t="s">
        <v>115</v>
      </c>
      <c r="H1054" t="s">
        <v>89</v>
      </c>
      <c r="I1054" t="s">
        <v>5866</v>
      </c>
      <c r="J1054" t="s">
        <v>89</v>
      </c>
      <c r="K1054" t="s">
        <v>89</v>
      </c>
      <c r="L1054" t="s">
        <v>130</v>
      </c>
      <c r="M1054">
        <v>21</v>
      </c>
      <c r="N1054" t="s">
        <v>820</v>
      </c>
      <c r="O1054">
        <v>2008</v>
      </c>
      <c r="P1054" t="s">
        <v>8437</v>
      </c>
      <c r="Q1054" t="s">
        <v>8438</v>
      </c>
      <c r="R1054">
        <v>63012</v>
      </c>
      <c r="S1054" t="s">
        <v>8435</v>
      </c>
      <c r="T1054" t="s">
        <v>8439</v>
      </c>
      <c r="U1054">
        <v>1987</v>
      </c>
      <c r="V1054" t="s">
        <v>8440</v>
      </c>
      <c r="W1054">
        <v>1.82</v>
      </c>
      <c r="X1054" t="s">
        <v>76</v>
      </c>
      <c r="Y1054" t="s">
        <v>86</v>
      </c>
      <c r="Z1054" t="s">
        <v>87</v>
      </c>
      <c r="AA1054" t="s">
        <v>8441</v>
      </c>
      <c r="AB1054" s="1">
        <v>45664</v>
      </c>
      <c r="AC1054" t="s">
        <v>108</v>
      </c>
      <c r="AD1054" t="s">
        <v>89</v>
      </c>
      <c r="AE1054" t="s">
        <v>3392</v>
      </c>
      <c r="AF1054">
        <v>21</v>
      </c>
      <c r="AG1054" t="s">
        <v>91</v>
      </c>
      <c r="AH1054" s="1">
        <v>40856</v>
      </c>
      <c r="AI1054">
        <v>24</v>
      </c>
      <c r="AJ1054" t="s">
        <v>110</v>
      </c>
      <c r="AK1054">
        <v>21</v>
      </c>
      <c r="AL1054">
        <v>2</v>
      </c>
      <c r="AM1054">
        <v>173</v>
      </c>
      <c r="AN1054">
        <v>25</v>
      </c>
      <c r="AO1054">
        <v>2</v>
      </c>
      <c r="AP1054" t="s">
        <v>93</v>
      </c>
      <c r="AQ1054" t="s">
        <v>89</v>
      </c>
      <c r="AR1054" t="s">
        <v>89</v>
      </c>
      <c r="AS1054" t="s">
        <v>111</v>
      </c>
      <c r="AT1054" s="1">
        <v>45664</v>
      </c>
      <c r="AU1054">
        <v>2025</v>
      </c>
      <c r="AV1054">
        <v>17</v>
      </c>
      <c r="AW1054">
        <v>17</v>
      </c>
      <c r="AX1054" t="s">
        <v>89</v>
      </c>
      <c r="AY1054" t="s">
        <v>93</v>
      </c>
      <c r="AZ1054">
        <v>0</v>
      </c>
      <c r="BA1054">
        <v>0</v>
      </c>
      <c r="BB1054">
        <v>0</v>
      </c>
      <c r="BC1054">
        <v>0</v>
      </c>
      <c r="BD1054">
        <v>200</v>
      </c>
      <c r="BE1054">
        <v>13602</v>
      </c>
      <c r="BF1054">
        <v>6</v>
      </c>
      <c r="BG1054">
        <v>38</v>
      </c>
      <c r="BH1054">
        <v>200</v>
      </c>
      <c r="BI1054">
        <v>13602</v>
      </c>
      <c r="BJ1054">
        <v>6</v>
      </c>
      <c r="BK1054">
        <f t="shared" si="146"/>
        <v>200</v>
      </c>
      <c r="BL1054">
        <f t="shared" si="147"/>
        <v>13602</v>
      </c>
      <c r="BM1054">
        <f t="shared" si="148"/>
        <v>6</v>
      </c>
      <c r="BN1054">
        <f t="shared" si="149"/>
        <v>0</v>
      </c>
      <c r="BO1054">
        <f t="shared" si="150"/>
        <v>0</v>
      </c>
      <c r="BP1054">
        <f t="shared" si="151"/>
        <v>0</v>
      </c>
      <c r="BQ1054" t="s">
        <v>86</v>
      </c>
      <c r="BR1054" t="s">
        <v>94</v>
      </c>
      <c r="BS1054" t="s">
        <v>89</v>
      </c>
      <c r="BT1054">
        <v>39</v>
      </c>
      <c r="BU1054" s="1">
        <v>45664</v>
      </c>
      <c r="BV1054" s="1">
        <v>45839</v>
      </c>
      <c r="BW1054">
        <v>17</v>
      </c>
      <c r="BX1054">
        <v>1987</v>
      </c>
      <c r="BY1054">
        <v>17</v>
      </c>
      <c r="BZ1054">
        <f t="shared" si="152"/>
        <v>0</v>
      </c>
      <c r="CA1054">
        <f t="shared" si="153"/>
        <v>0</v>
      </c>
      <c r="CB1054" t="b">
        <f t="shared" si="154"/>
        <v>1</v>
      </c>
    </row>
    <row r="1055" spans="1:80" x14ac:dyDescent="0.3">
      <c r="A1055" t="s">
        <v>8442</v>
      </c>
      <c r="B1055" t="s">
        <v>1056</v>
      </c>
      <c r="C1055" t="s">
        <v>8443</v>
      </c>
      <c r="D1055">
        <v>36</v>
      </c>
      <c r="E1055" s="1">
        <v>32539</v>
      </c>
      <c r="F1055" t="s">
        <v>89</v>
      </c>
      <c r="G1055" t="s">
        <v>1381</v>
      </c>
      <c r="H1055" t="s">
        <v>1148</v>
      </c>
      <c r="I1055" t="s">
        <v>253</v>
      </c>
      <c r="J1055" t="s">
        <v>89</v>
      </c>
      <c r="K1055" t="s">
        <v>89</v>
      </c>
      <c r="L1055" t="s">
        <v>278</v>
      </c>
      <c r="M1055">
        <v>22</v>
      </c>
      <c r="N1055" t="s">
        <v>820</v>
      </c>
      <c r="O1055">
        <v>2011</v>
      </c>
      <c r="P1055" t="s">
        <v>8444</v>
      </c>
      <c r="Q1055" t="s">
        <v>8445</v>
      </c>
      <c r="R1055">
        <v>134098</v>
      </c>
      <c r="S1055" t="s">
        <v>8442</v>
      </c>
      <c r="T1055" t="s">
        <v>8446</v>
      </c>
      <c r="U1055">
        <v>1989</v>
      </c>
      <c r="V1055" t="s">
        <v>8447</v>
      </c>
      <c r="W1055">
        <v>1.92</v>
      </c>
      <c r="X1055" t="s">
        <v>1065</v>
      </c>
      <c r="Y1055" t="s">
        <v>259</v>
      </c>
      <c r="Z1055" t="s">
        <v>392</v>
      </c>
      <c r="AA1055" t="s">
        <v>8448</v>
      </c>
      <c r="AB1055" s="1">
        <v>45292</v>
      </c>
      <c r="AC1055" t="s">
        <v>108</v>
      </c>
      <c r="AD1055" t="s">
        <v>89</v>
      </c>
      <c r="AE1055">
        <v>40971</v>
      </c>
      <c r="AF1055">
        <v>23</v>
      </c>
      <c r="AG1055" t="s">
        <v>91</v>
      </c>
      <c r="AH1055" t="s">
        <v>561</v>
      </c>
      <c r="AI1055">
        <v>25</v>
      </c>
      <c r="AJ1055" t="s">
        <v>110</v>
      </c>
      <c r="AK1055">
        <v>23</v>
      </c>
      <c r="AL1055">
        <v>2</v>
      </c>
      <c r="AM1055">
        <v>64</v>
      </c>
      <c r="AN1055">
        <v>11</v>
      </c>
      <c r="AO1055">
        <v>2</v>
      </c>
      <c r="AP1055" t="s">
        <v>93</v>
      </c>
      <c r="AQ1055" t="s">
        <v>89</v>
      </c>
      <c r="AR1055" t="s">
        <v>89</v>
      </c>
      <c r="AS1055" t="s">
        <v>111</v>
      </c>
      <c r="AT1055" s="1">
        <v>45292</v>
      </c>
      <c r="AU1055">
        <v>2024</v>
      </c>
      <c r="AV1055">
        <v>13</v>
      </c>
      <c r="AW1055">
        <v>13</v>
      </c>
      <c r="AX1055" t="s">
        <v>89</v>
      </c>
      <c r="AY1055" t="s">
        <v>111</v>
      </c>
      <c r="AZ1055">
        <v>6</v>
      </c>
      <c r="BA1055">
        <v>7</v>
      </c>
      <c r="BB1055">
        <v>489</v>
      </c>
      <c r="BC1055">
        <v>0</v>
      </c>
      <c r="BD1055">
        <v>115</v>
      </c>
      <c r="BE1055">
        <v>7956</v>
      </c>
      <c r="BF1055">
        <v>7</v>
      </c>
      <c r="BG1055">
        <v>35</v>
      </c>
      <c r="BH1055">
        <v>122</v>
      </c>
      <c r="BI1055">
        <v>8445</v>
      </c>
      <c r="BJ1055">
        <v>7</v>
      </c>
      <c r="BK1055">
        <f t="shared" si="146"/>
        <v>122</v>
      </c>
      <c r="BL1055">
        <f t="shared" si="147"/>
        <v>8445</v>
      </c>
      <c r="BM1055">
        <f t="shared" si="148"/>
        <v>7</v>
      </c>
      <c r="BN1055">
        <f t="shared" si="149"/>
        <v>0</v>
      </c>
      <c r="BO1055">
        <f t="shared" si="150"/>
        <v>0</v>
      </c>
      <c r="BP1055">
        <f t="shared" si="151"/>
        <v>0</v>
      </c>
      <c r="BQ1055" t="s">
        <v>259</v>
      </c>
      <c r="BR1055" t="s">
        <v>94</v>
      </c>
      <c r="BS1055" s="1">
        <v>32539</v>
      </c>
      <c r="BT1055">
        <v>37</v>
      </c>
      <c r="BU1055" s="1">
        <v>45292</v>
      </c>
      <c r="BV1055" s="1">
        <v>45292</v>
      </c>
      <c r="BW1055">
        <v>12</v>
      </c>
      <c r="BX1055">
        <v>1989</v>
      </c>
      <c r="BY1055">
        <v>12</v>
      </c>
      <c r="BZ1055">
        <f t="shared" si="152"/>
        <v>1</v>
      </c>
      <c r="CA1055">
        <f t="shared" si="153"/>
        <v>0</v>
      </c>
      <c r="CB1055" t="b">
        <f t="shared" si="154"/>
        <v>0</v>
      </c>
    </row>
    <row r="1056" spans="1:80" x14ac:dyDescent="0.3">
      <c r="A1056" t="s">
        <v>8449</v>
      </c>
      <c r="B1056" t="s">
        <v>191</v>
      </c>
      <c r="C1056" t="s">
        <v>8450</v>
      </c>
      <c r="D1056">
        <v>32</v>
      </c>
      <c r="E1056" s="1">
        <v>34084</v>
      </c>
      <c r="F1056" t="s">
        <v>89</v>
      </c>
      <c r="G1056" t="s">
        <v>5492</v>
      </c>
      <c r="H1056" t="s">
        <v>194</v>
      </c>
      <c r="I1056" t="s">
        <v>8451</v>
      </c>
      <c r="J1056" t="s">
        <v>639</v>
      </c>
      <c r="K1056" t="s">
        <v>89</v>
      </c>
      <c r="L1056" t="s">
        <v>228</v>
      </c>
      <c r="M1056">
        <v>17</v>
      </c>
      <c r="N1056" t="s">
        <v>1034</v>
      </c>
      <c r="O1056">
        <v>2010</v>
      </c>
      <c r="P1056" t="s">
        <v>8452</v>
      </c>
      <c r="Q1056" t="s">
        <v>8453</v>
      </c>
      <c r="R1056">
        <v>164770</v>
      </c>
      <c r="S1056" t="s">
        <v>8449</v>
      </c>
      <c r="T1056" t="s">
        <v>8454</v>
      </c>
      <c r="U1056">
        <v>1993</v>
      </c>
      <c r="V1056" t="s">
        <v>678</v>
      </c>
      <c r="W1056">
        <v>1.91</v>
      </c>
      <c r="X1056" t="s">
        <v>202</v>
      </c>
      <c r="Y1056" t="s">
        <v>235</v>
      </c>
      <c r="Z1056" t="s">
        <v>87</v>
      </c>
      <c r="AA1056" t="s">
        <v>438</v>
      </c>
      <c r="AB1056" t="s">
        <v>3823</v>
      </c>
      <c r="AC1056" t="s">
        <v>108</v>
      </c>
      <c r="AD1056" t="s">
        <v>395</v>
      </c>
      <c r="AE1056" s="1">
        <v>40370</v>
      </c>
      <c r="AF1056">
        <v>17</v>
      </c>
      <c r="AG1056" t="s">
        <v>206</v>
      </c>
      <c r="AH1056" t="s">
        <v>92</v>
      </c>
      <c r="AI1056" t="s">
        <v>89</v>
      </c>
      <c r="AJ1056" t="s">
        <v>92</v>
      </c>
      <c r="AK1056">
        <v>17</v>
      </c>
      <c r="AL1056">
        <v>27</v>
      </c>
      <c r="AM1056">
        <v>827</v>
      </c>
      <c r="AN1056">
        <v>139</v>
      </c>
      <c r="AO1056">
        <v>11</v>
      </c>
      <c r="AP1056" t="s">
        <v>93</v>
      </c>
      <c r="AQ1056" t="s">
        <v>89</v>
      </c>
      <c r="AR1056" t="s">
        <v>89</v>
      </c>
      <c r="AS1056" t="s">
        <v>111</v>
      </c>
      <c r="AT1056" t="s">
        <v>3823</v>
      </c>
      <c r="AU1056">
        <v>2024</v>
      </c>
      <c r="AV1056">
        <v>14</v>
      </c>
      <c r="AW1056">
        <v>14</v>
      </c>
      <c r="AX1056" t="s">
        <v>89</v>
      </c>
      <c r="AY1056" t="s">
        <v>111</v>
      </c>
      <c r="AZ1056">
        <v>20</v>
      </c>
      <c r="BA1056">
        <v>92</v>
      </c>
      <c r="BB1056">
        <v>7713</v>
      </c>
      <c r="BC1056">
        <v>5</v>
      </c>
      <c r="BD1056">
        <v>459</v>
      </c>
      <c r="BE1056">
        <v>37553</v>
      </c>
      <c r="BF1056">
        <v>18</v>
      </c>
      <c r="BG1056">
        <v>31</v>
      </c>
      <c r="BH1056">
        <v>551</v>
      </c>
      <c r="BI1056">
        <v>45266</v>
      </c>
      <c r="BJ1056">
        <v>23</v>
      </c>
      <c r="BK1056">
        <f t="shared" si="146"/>
        <v>551</v>
      </c>
      <c r="BL1056">
        <f t="shared" si="147"/>
        <v>45266</v>
      </c>
      <c r="BM1056">
        <f t="shared" si="148"/>
        <v>23</v>
      </c>
      <c r="BN1056">
        <f t="shared" si="149"/>
        <v>0</v>
      </c>
      <c r="BO1056">
        <f t="shared" si="150"/>
        <v>0</v>
      </c>
      <c r="BP1056">
        <f t="shared" si="151"/>
        <v>0</v>
      </c>
      <c r="BQ1056" t="s">
        <v>235</v>
      </c>
      <c r="BR1056" t="s">
        <v>140</v>
      </c>
      <c r="BS1056" s="1">
        <v>34084</v>
      </c>
      <c r="BT1056">
        <v>32</v>
      </c>
      <c r="BU1056" t="s">
        <v>3823</v>
      </c>
      <c r="BV1056" s="1">
        <v>45560</v>
      </c>
      <c r="BW1056">
        <v>14</v>
      </c>
      <c r="BX1056">
        <v>1993</v>
      </c>
      <c r="BY1056">
        <v>14</v>
      </c>
      <c r="BZ1056">
        <f t="shared" si="152"/>
        <v>0</v>
      </c>
      <c r="CA1056">
        <f t="shared" si="153"/>
        <v>0</v>
      </c>
      <c r="CB1056" t="b">
        <f t="shared" si="154"/>
        <v>1</v>
      </c>
    </row>
    <row r="1057" spans="1:80" x14ac:dyDescent="0.3">
      <c r="A1057" t="s">
        <v>8455</v>
      </c>
      <c r="B1057" t="s">
        <v>2301</v>
      </c>
      <c r="C1057" t="s">
        <v>8456</v>
      </c>
      <c r="D1057">
        <v>37</v>
      </c>
      <c r="E1057" s="1">
        <v>32333</v>
      </c>
      <c r="F1057" t="s">
        <v>89</v>
      </c>
      <c r="G1057" t="s">
        <v>97</v>
      </c>
      <c r="H1057" t="s">
        <v>2303</v>
      </c>
      <c r="I1057" t="s">
        <v>161</v>
      </c>
      <c r="J1057" t="s">
        <v>78</v>
      </c>
      <c r="K1057" t="s">
        <v>89</v>
      </c>
      <c r="L1057" t="s">
        <v>130</v>
      </c>
      <c r="M1057">
        <v>20</v>
      </c>
      <c r="N1057" t="s">
        <v>8457</v>
      </c>
      <c r="O1057">
        <v>2008</v>
      </c>
      <c r="P1057" t="s">
        <v>8458</v>
      </c>
      <c r="Q1057" t="s">
        <v>8459</v>
      </c>
      <c r="R1057">
        <v>81433</v>
      </c>
      <c r="S1057" t="s">
        <v>8455</v>
      </c>
      <c r="T1057">
        <v>32393</v>
      </c>
      <c r="U1057">
        <v>1988</v>
      </c>
      <c r="V1057" t="s">
        <v>8460</v>
      </c>
      <c r="W1057">
        <v>1.81</v>
      </c>
      <c r="X1057" t="s">
        <v>2303</v>
      </c>
      <c r="Y1057" t="s">
        <v>123</v>
      </c>
      <c r="Z1057" t="s">
        <v>87</v>
      </c>
      <c r="AA1057" t="s">
        <v>8461</v>
      </c>
      <c r="AB1057" s="1">
        <v>44933</v>
      </c>
      <c r="AC1057" t="s">
        <v>108</v>
      </c>
      <c r="AD1057" t="s">
        <v>89</v>
      </c>
      <c r="AE1057">
        <v>2008</v>
      </c>
      <c r="AF1057">
        <v>20</v>
      </c>
      <c r="AG1057" t="s">
        <v>2311</v>
      </c>
      <c r="AH1057" s="1">
        <v>2019</v>
      </c>
      <c r="AI1057">
        <v>31</v>
      </c>
      <c r="AJ1057">
        <v>0</v>
      </c>
      <c r="AK1057">
        <v>20</v>
      </c>
      <c r="AL1057">
        <v>3</v>
      </c>
      <c r="AM1057">
        <v>71</v>
      </c>
      <c r="AN1057">
        <v>15</v>
      </c>
      <c r="AO1057">
        <v>2</v>
      </c>
      <c r="AP1057" t="s">
        <v>93</v>
      </c>
      <c r="AQ1057" t="s">
        <v>89</v>
      </c>
      <c r="AR1057" t="s">
        <v>89</v>
      </c>
      <c r="AS1057" t="s">
        <v>111</v>
      </c>
      <c r="AT1057" s="1">
        <v>44933</v>
      </c>
      <c r="AU1057">
        <v>2023</v>
      </c>
      <c r="AV1057">
        <v>15</v>
      </c>
      <c r="AW1057">
        <v>15</v>
      </c>
      <c r="AX1057" t="s">
        <v>89</v>
      </c>
      <c r="AY1057" t="s">
        <v>111</v>
      </c>
      <c r="AZ1057">
        <v>5</v>
      </c>
      <c r="BA1057">
        <v>10</v>
      </c>
      <c r="BB1057">
        <v>428</v>
      </c>
      <c r="BC1057">
        <v>1</v>
      </c>
      <c r="BD1057">
        <v>304</v>
      </c>
      <c r="BE1057">
        <v>17612</v>
      </c>
      <c r="BF1057">
        <v>93</v>
      </c>
      <c r="BG1057">
        <v>35</v>
      </c>
      <c r="BH1057">
        <v>314</v>
      </c>
      <c r="BI1057">
        <v>18040</v>
      </c>
      <c r="BJ1057">
        <v>94</v>
      </c>
      <c r="BK1057">
        <f t="shared" si="146"/>
        <v>314</v>
      </c>
      <c r="BL1057">
        <f t="shared" si="147"/>
        <v>18040</v>
      </c>
      <c r="BM1057">
        <f t="shared" si="148"/>
        <v>94</v>
      </c>
      <c r="BN1057">
        <f t="shared" si="149"/>
        <v>0</v>
      </c>
      <c r="BO1057">
        <f t="shared" si="150"/>
        <v>0</v>
      </c>
      <c r="BP1057">
        <f t="shared" si="151"/>
        <v>0</v>
      </c>
      <c r="BQ1057" t="s">
        <v>123</v>
      </c>
      <c r="BR1057" t="s">
        <v>112</v>
      </c>
      <c r="BS1057" t="s">
        <v>89</v>
      </c>
      <c r="BT1057">
        <v>38</v>
      </c>
      <c r="BU1057" s="1">
        <v>44933</v>
      </c>
      <c r="BV1057" s="1">
        <v>45108</v>
      </c>
      <c r="BW1057">
        <v>15</v>
      </c>
      <c r="BX1057">
        <v>1988</v>
      </c>
      <c r="BY1057">
        <v>15</v>
      </c>
      <c r="BZ1057">
        <f t="shared" si="152"/>
        <v>0</v>
      </c>
      <c r="CA1057">
        <f t="shared" si="153"/>
        <v>0</v>
      </c>
      <c r="CB1057" t="b">
        <f t="shared" si="154"/>
        <v>1</v>
      </c>
    </row>
    <row r="1058" spans="1:80" x14ac:dyDescent="0.3">
      <c r="A1058" t="s">
        <v>8462</v>
      </c>
      <c r="B1058" t="s">
        <v>71</v>
      </c>
      <c r="C1058" t="s">
        <v>8463</v>
      </c>
      <c r="D1058">
        <v>38</v>
      </c>
      <c r="E1058">
        <v>31859</v>
      </c>
      <c r="F1058" t="s">
        <v>89</v>
      </c>
      <c r="G1058" t="s">
        <v>858</v>
      </c>
      <c r="H1058" t="s">
        <v>76</v>
      </c>
      <c r="I1058" t="s">
        <v>437</v>
      </c>
      <c r="J1058" t="s">
        <v>89</v>
      </c>
      <c r="K1058" t="s">
        <v>89</v>
      </c>
      <c r="L1058" t="s">
        <v>163</v>
      </c>
      <c r="M1058">
        <v>19</v>
      </c>
      <c r="N1058" t="s">
        <v>118</v>
      </c>
      <c r="O1058">
        <v>2006</v>
      </c>
      <c r="P1058" t="s">
        <v>8464</v>
      </c>
      <c r="Q1058" t="s">
        <v>8465</v>
      </c>
      <c r="R1058">
        <v>44063</v>
      </c>
      <c r="S1058" t="s">
        <v>8466</v>
      </c>
      <c r="T1058" t="s">
        <v>8467</v>
      </c>
      <c r="U1058">
        <v>1987</v>
      </c>
      <c r="V1058" t="s">
        <v>8468</v>
      </c>
      <c r="W1058">
        <v>1.73</v>
      </c>
      <c r="X1058" t="s">
        <v>76</v>
      </c>
      <c r="Y1058" t="s">
        <v>494</v>
      </c>
      <c r="Z1058" t="s">
        <v>87</v>
      </c>
      <c r="AA1058" t="s">
        <v>8469</v>
      </c>
      <c r="AB1058" s="1">
        <v>44927</v>
      </c>
      <c r="AC1058" t="s">
        <v>108</v>
      </c>
      <c r="AD1058" t="s">
        <v>89</v>
      </c>
      <c r="AE1058">
        <v>40859</v>
      </c>
      <c r="AF1058">
        <v>24</v>
      </c>
      <c r="AG1058" t="s">
        <v>91</v>
      </c>
      <c r="AH1058" t="s">
        <v>727</v>
      </c>
      <c r="AI1058">
        <v>19</v>
      </c>
      <c r="AJ1058" t="s">
        <v>110</v>
      </c>
      <c r="AK1058">
        <v>19</v>
      </c>
      <c r="AL1058" t="s">
        <v>89</v>
      </c>
      <c r="AM1058" t="s">
        <v>89</v>
      </c>
      <c r="AN1058" t="s">
        <v>89</v>
      </c>
      <c r="AO1058">
        <v>0</v>
      </c>
      <c r="AP1058" t="s">
        <v>93</v>
      </c>
      <c r="AQ1058" t="s">
        <v>89</v>
      </c>
      <c r="AR1058" t="s">
        <v>89</v>
      </c>
      <c r="AS1058" t="s">
        <v>111</v>
      </c>
      <c r="AT1058">
        <v>44927</v>
      </c>
      <c r="AU1058">
        <v>2023</v>
      </c>
      <c r="AV1058">
        <v>17</v>
      </c>
      <c r="AW1058">
        <v>17</v>
      </c>
      <c r="AX1058" t="s">
        <v>89</v>
      </c>
      <c r="AY1058" t="s">
        <v>93</v>
      </c>
      <c r="AZ1058">
        <v>0</v>
      </c>
      <c r="BA1058">
        <v>0</v>
      </c>
      <c r="BB1058">
        <v>0</v>
      </c>
      <c r="BC1058">
        <v>0</v>
      </c>
      <c r="BD1058">
        <v>63</v>
      </c>
      <c r="BE1058">
        <v>2816</v>
      </c>
      <c r="BF1058">
        <v>5</v>
      </c>
      <c r="BG1058">
        <v>36</v>
      </c>
      <c r="BH1058">
        <v>63</v>
      </c>
      <c r="BI1058">
        <v>2816</v>
      </c>
      <c r="BJ1058">
        <v>5</v>
      </c>
      <c r="BK1058">
        <f t="shared" si="146"/>
        <v>63</v>
      </c>
      <c r="BL1058">
        <f t="shared" si="147"/>
        <v>2816</v>
      </c>
      <c r="BM1058">
        <f t="shared" si="148"/>
        <v>5</v>
      </c>
      <c r="BN1058">
        <f t="shared" si="149"/>
        <v>0</v>
      </c>
      <c r="BO1058">
        <f t="shared" si="150"/>
        <v>0</v>
      </c>
      <c r="BP1058">
        <f t="shared" si="151"/>
        <v>0</v>
      </c>
      <c r="BQ1058" t="s">
        <v>494</v>
      </c>
      <c r="BR1058" t="s">
        <v>112</v>
      </c>
      <c r="BS1058" s="1">
        <v>31859</v>
      </c>
      <c r="BT1058">
        <v>38</v>
      </c>
      <c r="BU1058">
        <v>44927</v>
      </c>
      <c r="BV1058" t="s">
        <v>89</v>
      </c>
      <c r="BW1058">
        <v>17</v>
      </c>
      <c r="BX1058">
        <v>1987</v>
      </c>
      <c r="BY1058">
        <v>17</v>
      </c>
      <c r="BZ1058">
        <f t="shared" si="152"/>
        <v>0</v>
      </c>
      <c r="CA1058">
        <f t="shared" si="153"/>
        <v>0</v>
      </c>
      <c r="CB1058" t="b">
        <f t="shared" si="154"/>
        <v>1</v>
      </c>
    </row>
    <row r="1059" spans="1:80" x14ac:dyDescent="0.3">
      <c r="A1059" t="s">
        <v>8470</v>
      </c>
      <c r="B1059" t="s">
        <v>71</v>
      </c>
      <c r="C1059" t="s">
        <v>8471</v>
      </c>
      <c r="D1059">
        <v>34</v>
      </c>
      <c r="E1059" t="s">
        <v>8472</v>
      </c>
      <c r="F1059" t="s">
        <v>2645</v>
      </c>
      <c r="G1059" t="s">
        <v>413</v>
      </c>
      <c r="H1059" t="s">
        <v>76</v>
      </c>
      <c r="I1059" t="s">
        <v>288</v>
      </c>
      <c r="J1059" t="s">
        <v>78</v>
      </c>
      <c r="K1059" t="s">
        <v>1047</v>
      </c>
      <c r="L1059" t="s">
        <v>228</v>
      </c>
      <c r="M1059">
        <v>19</v>
      </c>
      <c r="N1059" t="s">
        <v>1047</v>
      </c>
      <c r="O1059">
        <v>2010</v>
      </c>
      <c r="P1059" t="s">
        <v>8473</v>
      </c>
      <c r="Q1059" t="s">
        <v>8474</v>
      </c>
      <c r="R1059">
        <v>150948</v>
      </c>
      <c r="S1059" t="s">
        <v>8470</v>
      </c>
      <c r="T1059">
        <v>33543</v>
      </c>
      <c r="U1059">
        <v>1991</v>
      </c>
      <c r="V1059" t="s">
        <v>1047</v>
      </c>
      <c r="W1059">
        <v>1.83</v>
      </c>
      <c r="X1059" t="s">
        <v>76</v>
      </c>
      <c r="Y1059" t="s">
        <v>86</v>
      </c>
      <c r="Z1059" t="s">
        <v>87</v>
      </c>
      <c r="AA1059" t="s">
        <v>476</v>
      </c>
      <c r="AB1059" s="1">
        <v>45298</v>
      </c>
      <c r="AC1059" t="s">
        <v>108</v>
      </c>
      <c r="AD1059" t="s">
        <v>442</v>
      </c>
      <c r="AE1059" t="s">
        <v>4057</v>
      </c>
      <c r="AF1059">
        <v>19</v>
      </c>
      <c r="AG1059" t="s">
        <v>91</v>
      </c>
      <c r="AH1059" t="s">
        <v>6069</v>
      </c>
      <c r="AI1059">
        <v>27</v>
      </c>
      <c r="AJ1059" t="s">
        <v>110</v>
      </c>
      <c r="AK1059">
        <v>19</v>
      </c>
      <c r="AL1059">
        <v>14</v>
      </c>
      <c r="AM1059">
        <v>397</v>
      </c>
      <c r="AN1059">
        <v>54</v>
      </c>
      <c r="AO1059">
        <v>7</v>
      </c>
      <c r="AP1059" t="s">
        <v>93</v>
      </c>
      <c r="AQ1059" t="s">
        <v>89</v>
      </c>
      <c r="AR1059" t="s">
        <v>89</v>
      </c>
      <c r="AS1059" t="s">
        <v>93</v>
      </c>
      <c r="AT1059" t="s">
        <v>89</v>
      </c>
      <c r="AU1059" t="s">
        <v>89</v>
      </c>
      <c r="AV1059" t="s">
        <v>89</v>
      </c>
      <c r="AW1059">
        <v>15</v>
      </c>
      <c r="AX1059" t="s">
        <v>89</v>
      </c>
      <c r="AY1059" t="s">
        <v>93</v>
      </c>
      <c r="AZ1059">
        <v>0</v>
      </c>
      <c r="BA1059">
        <v>0</v>
      </c>
      <c r="BB1059">
        <v>0</v>
      </c>
      <c r="BC1059">
        <v>0</v>
      </c>
      <c r="BD1059">
        <v>280</v>
      </c>
      <c r="BE1059">
        <v>19295</v>
      </c>
      <c r="BF1059">
        <v>16</v>
      </c>
      <c r="BG1059" t="s">
        <v>89</v>
      </c>
      <c r="BH1059">
        <v>280</v>
      </c>
      <c r="BI1059">
        <v>19295</v>
      </c>
      <c r="BJ1059">
        <v>16</v>
      </c>
      <c r="BK1059">
        <f t="shared" si="146"/>
        <v>280</v>
      </c>
      <c r="BL1059">
        <f t="shared" si="147"/>
        <v>19295</v>
      </c>
      <c r="BM1059">
        <f t="shared" si="148"/>
        <v>16</v>
      </c>
      <c r="BN1059">
        <f t="shared" si="149"/>
        <v>0</v>
      </c>
      <c r="BO1059">
        <f t="shared" si="150"/>
        <v>0</v>
      </c>
      <c r="BP1059">
        <f t="shared" si="151"/>
        <v>0</v>
      </c>
      <c r="BQ1059" t="s">
        <v>86</v>
      </c>
      <c r="BR1059" t="s">
        <v>94</v>
      </c>
      <c r="BS1059" t="s">
        <v>89</v>
      </c>
      <c r="BT1059">
        <v>35</v>
      </c>
      <c r="BU1059" t="s">
        <v>89</v>
      </c>
      <c r="BV1059" t="s">
        <v>89</v>
      </c>
      <c r="BW1059">
        <v>16</v>
      </c>
      <c r="BX1059">
        <v>1991</v>
      </c>
      <c r="BY1059">
        <v>15</v>
      </c>
      <c r="BZ1059">
        <f t="shared" si="152"/>
        <v>-1</v>
      </c>
      <c r="CA1059">
        <f t="shared" si="153"/>
        <v>1</v>
      </c>
      <c r="CB1059" t="b">
        <f t="shared" si="154"/>
        <v>0</v>
      </c>
    </row>
    <row r="1060" spans="1:80" x14ac:dyDescent="0.3">
      <c r="A1060" t="s">
        <v>8475</v>
      </c>
      <c r="B1060" t="s">
        <v>776</v>
      </c>
      <c r="C1060" t="s">
        <v>8476</v>
      </c>
      <c r="D1060">
        <v>46</v>
      </c>
      <c r="E1060">
        <v>28990</v>
      </c>
      <c r="F1060" t="s">
        <v>89</v>
      </c>
      <c r="G1060" t="s">
        <v>160</v>
      </c>
      <c r="H1060" t="s">
        <v>778</v>
      </c>
      <c r="I1060" t="s">
        <v>1235</v>
      </c>
      <c r="J1060" t="s">
        <v>78</v>
      </c>
      <c r="K1060" t="s">
        <v>89</v>
      </c>
      <c r="L1060" t="s">
        <v>145</v>
      </c>
      <c r="M1060">
        <v>25</v>
      </c>
      <c r="N1060" t="s">
        <v>304</v>
      </c>
      <c r="O1060">
        <v>2004</v>
      </c>
      <c r="P1060" t="s">
        <v>8477</v>
      </c>
      <c r="Q1060" t="s">
        <v>8478</v>
      </c>
      <c r="R1060">
        <v>15445</v>
      </c>
      <c r="S1060" t="s">
        <v>8479</v>
      </c>
      <c r="T1060" t="s">
        <v>8480</v>
      </c>
      <c r="U1060">
        <v>1979</v>
      </c>
      <c r="V1060" t="s">
        <v>2626</v>
      </c>
      <c r="W1060">
        <v>1.83</v>
      </c>
      <c r="X1060" t="s">
        <v>1234</v>
      </c>
      <c r="Y1060" t="s">
        <v>136</v>
      </c>
      <c r="Z1060" t="s">
        <v>87</v>
      </c>
      <c r="AA1060" t="s">
        <v>3960</v>
      </c>
      <c r="AB1060" s="1">
        <v>41281</v>
      </c>
      <c r="AC1060" t="s">
        <v>108</v>
      </c>
      <c r="AD1060" t="s">
        <v>89</v>
      </c>
      <c r="AE1060" t="s">
        <v>8481</v>
      </c>
      <c r="AF1060">
        <v>22</v>
      </c>
      <c r="AG1060" t="s">
        <v>613</v>
      </c>
      <c r="AH1060" t="s">
        <v>92</v>
      </c>
      <c r="AI1060" t="s">
        <v>89</v>
      </c>
      <c r="AJ1060" t="s">
        <v>92</v>
      </c>
      <c r="AK1060">
        <v>22</v>
      </c>
      <c r="AL1060">
        <v>1</v>
      </c>
      <c r="AM1060">
        <v>199</v>
      </c>
      <c r="AN1060">
        <v>33</v>
      </c>
      <c r="AO1060">
        <v>1</v>
      </c>
      <c r="AP1060" t="s">
        <v>93</v>
      </c>
      <c r="AQ1060" t="s">
        <v>89</v>
      </c>
      <c r="AR1060" t="s">
        <v>89</v>
      </c>
      <c r="AS1060" t="s">
        <v>111</v>
      </c>
      <c r="AT1060">
        <v>41281</v>
      </c>
      <c r="AU1060">
        <v>2013</v>
      </c>
      <c r="AV1060">
        <v>9</v>
      </c>
      <c r="AW1060">
        <v>9</v>
      </c>
      <c r="AX1060" t="s">
        <v>89</v>
      </c>
      <c r="AY1060" t="s">
        <v>111</v>
      </c>
      <c r="AZ1060">
        <v>1</v>
      </c>
      <c r="BA1060">
        <v>5</v>
      </c>
      <c r="BB1060">
        <v>92</v>
      </c>
      <c r="BC1060">
        <v>0</v>
      </c>
      <c r="BD1060">
        <v>371</v>
      </c>
      <c r="BE1060">
        <v>26866</v>
      </c>
      <c r="BF1060">
        <v>37</v>
      </c>
      <c r="BG1060">
        <v>34</v>
      </c>
      <c r="BH1060">
        <v>376</v>
      </c>
      <c r="BI1060">
        <v>26958</v>
      </c>
      <c r="BJ1060">
        <v>37</v>
      </c>
      <c r="BK1060">
        <f t="shared" si="146"/>
        <v>376</v>
      </c>
      <c r="BL1060">
        <f t="shared" si="147"/>
        <v>26958</v>
      </c>
      <c r="BM1060">
        <f t="shared" si="148"/>
        <v>37</v>
      </c>
      <c r="BN1060">
        <f t="shared" si="149"/>
        <v>0</v>
      </c>
      <c r="BO1060">
        <f t="shared" si="150"/>
        <v>0</v>
      </c>
      <c r="BP1060">
        <f t="shared" si="151"/>
        <v>0</v>
      </c>
      <c r="BQ1060" t="s">
        <v>136</v>
      </c>
      <c r="BR1060" t="s">
        <v>140</v>
      </c>
      <c r="BS1060" s="1">
        <v>28873</v>
      </c>
      <c r="BT1060">
        <v>47</v>
      </c>
      <c r="BU1060">
        <v>41281</v>
      </c>
      <c r="BV1060" t="s">
        <v>89</v>
      </c>
      <c r="BW1060">
        <v>12</v>
      </c>
      <c r="BX1060">
        <v>1979</v>
      </c>
      <c r="BY1060">
        <v>12</v>
      </c>
      <c r="BZ1060">
        <f t="shared" si="152"/>
        <v>-3</v>
      </c>
      <c r="CA1060">
        <f t="shared" si="153"/>
        <v>0</v>
      </c>
      <c r="CB1060" t="b">
        <f t="shared" si="154"/>
        <v>0</v>
      </c>
    </row>
    <row r="1061" spans="1:80" x14ac:dyDescent="0.3">
      <c r="A1061" t="s">
        <v>8482</v>
      </c>
      <c r="B1061" t="s">
        <v>1692</v>
      </c>
      <c r="C1061" t="s">
        <v>8483</v>
      </c>
      <c r="D1061">
        <v>35</v>
      </c>
      <c r="E1061">
        <v>33014</v>
      </c>
      <c r="F1061" t="s">
        <v>89</v>
      </c>
      <c r="G1061" t="s">
        <v>374</v>
      </c>
      <c r="H1061" t="s">
        <v>1694</v>
      </c>
      <c r="I1061" t="s">
        <v>7417</v>
      </c>
      <c r="J1061" t="s">
        <v>78</v>
      </c>
      <c r="K1061" t="s">
        <v>89</v>
      </c>
      <c r="L1061" t="s">
        <v>254</v>
      </c>
      <c r="M1061">
        <v>19</v>
      </c>
      <c r="N1061" t="s">
        <v>3381</v>
      </c>
      <c r="O1061">
        <v>2009</v>
      </c>
      <c r="P1061" t="s">
        <v>8484</v>
      </c>
      <c r="Q1061" t="s">
        <v>8485</v>
      </c>
      <c r="R1061">
        <v>73092</v>
      </c>
      <c r="S1061" t="s">
        <v>8482</v>
      </c>
      <c r="T1061" t="s">
        <v>8486</v>
      </c>
      <c r="U1061">
        <v>1990</v>
      </c>
      <c r="V1061" t="s">
        <v>8487</v>
      </c>
      <c r="W1061">
        <v>1.89</v>
      </c>
      <c r="X1061" t="s">
        <v>1694</v>
      </c>
      <c r="Y1061" t="s">
        <v>259</v>
      </c>
      <c r="Z1061" t="s">
        <v>87</v>
      </c>
      <c r="AA1061" t="s">
        <v>8488</v>
      </c>
      <c r="AB1061" t="s">
        <v>8489</v>
      </c>
      <c r="AC1061" t="s">
        <v>108</v>
      </c>
      <c r="AD1061" t="s">
        <v>89</v>
      </c>
      <c r="AE1061" t="s">
        <v>5556</v>
      </c>
      <c r="AF1061">
        <v>19</v>
      </c>
      <c r="AG1061" t="s">
        <v>573</v>
      </c>
      <c r="AH1061" t="s">
        <v>8490</v>
      </c>
      <c r="AI1061">
        <v>30</v>
      </c>
      <c r="AJ1061" t="s">
        <v>110</v>
      </c>
      <c r="AK1061">
        <v>19</v>
      </c>
      <c r="AL1061">
        <v>8</v>
      </c>
      <c r="AM1061">
        <v>403</v>
      </c>
      <c r="AN1061">
        <v>71</v>
      </c>
      <c r="AO1061">
        <v>5</v>
      </c>
      <c r="AP1061" t="s">
        <v>93</v>
      </c>
      <c r="AQ1061" t="s">
        <v>89</v>
      </c>
      <c r="AR1061" t="s">
        <v>89</v>
      </c>
      <c r="AS1061" t="s">
        <v>93</v>
      </c>
      <c r="AT1061" t="s">
        <v>89</v>
      </c>
      <c r="AU1061" t="s">
        <v>89</v>
      </c>
      <c r="AV1061" t="s">
        <v>89</v>
      </c>
      <c r="AW1061">
        <v>16</v>
      </c>
      <c r="AX1061" t="s">
        <v>89</v>
      </c>
      <c r="AY1061" t="s">
        <v>111</v>
      </c>
      <c r="AZ1061">
        <v>11</v>
      </c>
      <c r="BA1061">
        <v>39</v>
      </c>
      <c r="BB1061">
        <v>2967</v>
      </c>
      <c r="BC1061">
        <v>2</v>
      </c>
      <c r="BD1061">
        <v>193</v>
      </c>
      <c r="BE1061">
        <v>12105</v>
      </c>
      <c r="BF1061">
        <v>4</v>
      </c>
      <c r="BG1061" t="s">
        <v>89</v>
      </c>
      <c r="BH1061">
        <v>232</v>
      </c>
      <c r="BI1061">
        <v>15072</v>
      </c>
      <c r="BJ1061">
        <v>6</v>
      </c>
      <c r="BK1061">
        <f t="shared" si="146"/>
        <v>232</v>
      </c>
      <c r="BL1061">
        <f t="shared" si="147"/>
        <v>15072</v>
      </c>
      <c r="BM1061">
        <f t="shared" si="148"/>
        <v>6</v>
      </c>
      <c r="BN1061">
        <f t="shared" si="149"/>
        <v>0</v>
      </c>
      <c r="BO1061">
        <f t="shared" si="150"/>
        <v>0</v>
      </c>
      <c r="BP1061">
        <f t="shared" si="151"/>
        <v>0</v>
      </c>
      <c r="BQ1061" t="s">
        <v>259</v>
      </c>
      <c r="BR1061" t="s">
        <v>94</v>
      </c>
      <c r="BS1061" s="1">
        <v>33014</v>
      </c>
      <c r="BT1061">
        <v>35</v>
      </c>
      <c r="BU1061" t="s">
        <v>89</v>
      </c>
      <c r="BV1061" t="s">
        <v>89</v>
      </c>
      <c r="BW1061">
        <v>16</v>
      </c>
      <c r="BX1061">
        <v>1990</v>
      </c>
      <c r="BY1061">
        <v>16</v>
      </c>
      <c r="BZ1061">
        <f t="shared" si="152"/>
        <v>0</v>
      </c>
      <c r="CA1061">
        <f t="shared" si="153"/>
        <v>0</v>
      </c>
      <c r="CB1061" t="b">
        <f t="shared" si="154"/>
        <v>1</v>
      </c>
    </row>
    <row r="1062" spans="1:80" x14ac:dyDescent="0.3">
      <c r="A1062" t="s">
        <v>8491</v>
      </c>
      <c r="B1062" t="s">
        <v>71</v>
      </c>
      <c r="C1062" t="s">
        <v>8492</v>
      </c>
      <c r="D1062">
        <v>53</v>
      </c>
      <c r="E1062" s="1">
        <v>26297</v>
      </c>
      <c r="F1062" t="s">
        <v>89</v>
      </c>
      <c r="G1062" t="s">
        <v>334</v>
      </c>
      <c r="H1062" t="s">
        <v>76</v>
      </c>
      <c r="I1062" t="s">
        <v>178</v>
      </c>
      <c r="J1062" t="s">
        <v>89</v>
      </c>
      <c r="K1062" t="s">
        <v>89</v>
      </c>
      <c r="L1062" t="s">
        <v>3857</v>
      </c>
      <c r="M1062">
        <v>24</v>
      </c>
      <c r="N1062" t="s">
        <v>81</v>
      </c>
      <c r="O1062">
        <v>1996</v>
      </c>
      <c r="P1062" t="s">
        <v>8493</v>
      </c>
      <c r="Q1062" t="s">
        <v>8494</v>
      </c>
      <c r="R1062">
        <v>3535</v>
      </c>
      <c r="S1062" t="s">
        <v>8491</v>
      </c>
      <c r="T1062" t="s">
        <v>8495</v>
      </c>
      <c r="U1062">
        <v>1971</v>
      </c>
      <c r="V1062" t="s">
        <v>122</v>
      </c>
      <c r="W1062">
        <v>1.87</v>
      </c>
      <c r="X1062" t="s">
        <v>76</v>
      </c>
      <c r="Y1062" t="s">
        <v>186</v>
      </c>
      <c r="Z1062" t="s">
        <v>152</v>
      </c>
      <c r="AA1062" t="s">
        <v>3885</v>
      </c>
      <c r="AB1062" s="1">
        <v>41281</v>
      </c>
      <c r="AC1062" t="s">
        <v>108</v>
      </c>
      <c r="AD1062" t="s">
        <v>89</v>
      </c>
      <c r="AE1062" s="1">
        <v>35467</v>
      </c>
      <c r="AF1062">
        <v>25</v>
      </c>
      <c r="AG1062" t="s">
        <v>91</v>
      </c>
      <c r="AH1062" t="s">
        <v>5816</v>
      </c>
      <c r="AI1062">
        <v>25</v>
      </c>
      <c r="AJ1062" t="s">
        <v>110</v>
      </c>
      <c r="AK1062">
        <v>25</v>
      </c>
      <c r="AL1062" t="s">
        <v>89</v>
      </c>
      <c r="AM1062" t="s">
        <v>89</v>
      </c>
      <c r="AN1062" t="s">
        <v>89</v>
      </c>
      <c r="AO1062">
        <v>0</v>
      </c>
      <c r="AP1062" t="s">
        <v>93</v>
      </c>
      <c r="AQ1062" t="s">
        <v>89</v>
      </c>
      <c r="AR1062" t="s">
        <v>89</v>
      </c>
      <c r="AS1062" t="s">
        <v>111</v>
      </c>
      <c r="AT1062">
        <v>41281</v>
      </c>
      <c r="AU1062">
        <v>2013</v>
      </c>
      <c r="AV1062">
        <v>17</v>
      </c>
      <c r="AW1062">
        <v>17</v>
      </c>
      <c r="AX1062" t="s">
        <v>89</v>
      </c>
      <c r="AY1062" t="s">
        <v>93</v>
      </c>
      <c r="AZ1062">
        <v>0</v>
      </c>
      <c r="BA1062">
        <v>0</v>
      </c>
      <c r="BB1062">
        <v>0</v>
      </c>
      <c r="BC1062">
        <v>0</v>
      </c>
      <c r="BD1062">
        <v>297</v>
      </c>
      <c r="BE1062">
        <v>26365</v>
      </c>
      <c r="BF1062">
        <v>0</v>
      </c>
      <c r="BG1062">
        <v>42</v>
      </c>
      <c r="BH1062">
        <v>297</v>
      </c>
      <c r="BI1062">
        <v>26365</v>
      </c>
      <c r="BJ1062">
        <v>0</v>
      </c>
      <c r="BK1062">
        <f t="shared" si="146"/>
        <v>297</v>
      </c>
      <c r="BL1062">
        <f t="shared" si="147"/>
        <v>26365</v>
      </c>
      <c r="BM1062">
        <f t="shared" si="148"/>
        <v>0</v>
      </c>
      <c r="BN1062">
        <f t="shared" si="149"/>
        <v>0</v>
      </c>
      <c r="BO1062">
        <f t="shared" si="150"/>
        <v>0</v>
      </c>
      <c r="BP1062">
        <f t="shared" si="151"/>
        <v>0</v>
      </c>
      <c r="BQ1062" t="s">
        <v>186</v>
      </c>
      <c r="BR1062" t="s">
        <v>186</v>
      </c>
      <c r="BS1062" t="s">
        <v>89</v>
      </c>
      <c r="BT1062">
        <v>55</v>
      </c>
      <c r="BU1062">
        <v>41281</v>
      </c>
      <c r="BV1062" t="s">
        <v>89</v>
      </c>
      <c r="BW1062">
        <v>17</v>
      </c>
      <c r="BX1062">
        <v>1971</v>
      </c>
      <c r="BY1062">
        <v>17</v>
      </c>
      <c r="BZ1062">
        <f t="shared" si="152"/>
        <v>0</v>
      </c>
      <c r="CA1062">
        <f t="shared" si="153"/>
        <v>0</v>
      </c>
      <c r="CB1062" t="b">
        <f t="shared" si="154"/>
        <v>1</v>
      </c>
    </row>
    <row r="1063" spans="1:80" x14ac:dyDescent="0.3">
      <c r="A1063" t="s">
        <v>8496</v>
      </c>
      <c r="B1063" t="s">
        <v>1231</v>
      </c>
      <c r="C1063" t="s">
        <v>8497</v>
      </c>
      <c r="D1063">
        <v>47</v>
      </c>
      <c r="E1063">
        <v>28628</v>
      </c>
      <c r="F1063" t="s">
        <v>89</v>
      </c>
      <c r="G1063" t="s">
        <v>400</v>
      </c>
      <c r="H1063" t="s">
        <v>1234</v>
      </c>
      <c r="I1063" t="s">
        <v>227</v>
      </c>
      <c r="J1063" t="s">
        <v>78</v>
      </c>
      <c r="K1063" t="s">
        <v>89</v>
      </c>
      <c r="L1063" t="s">
        <v>196</v>
      </c>
      <c r="M1063">
        <v>22</v>
      </c>
      <c r="N1063" t="s">
        <v>8498</v>
      </c>
      <c r="O1063">
        <v>2000</v>
      </c>
      <c r="P1063" t="s">
        <v>8499</v>
      </c>
      <c r="Q1063" t="s">
        <v>8500</v>
      </c>
      <c r="R1063">
        <v>9828</v>
      </c>
      <c r="S1063" t="s">
        <v>8496</v>
      </c>
      <c r="T1063" t="s">
        <v>8501</v>
      </c>
      <c r="U1063">
        <v>1978</v>
      </c>
      <c r="V1063" t="s">
        <v>8502</v>
      </c>
      <c r="W1063">
        <v>1.82</v>
      </c>
      <c r="X1063" t="s">
        <v>1234</v>
      </c>
      <c r="Y1063" t="s">
        <v>235</v>
      </c>
      <c r="Z1063" t="s">
        <v>87</v>
      </c>
      <c r="AA1063" t="s">
        <v>8503</v>
      </c>
      <c r="AB1063" s="1">
        <v>43101</v>
      </c>
      <c r="AC1063" t="s">
        <v>108</v>
      </c>
      <c r="AD1063" t="s">
        <v>89</v>
      </c>
      <c r="AE1063">
        <v>1997</v>
      </c>
      <c r="AF1063">
        <v>19</v>
      </c>
      <c r="AG1063" t="s">
        <v>613</v>
      </c>
      <c r="AH1063" t="s">
        <v>89</v>
      </c>
      <c r="AI1063" t="s">
        <v>89</v>
      </c>
      <c r="AJ1063" t="s">
        <v>89</v>
      </c>
      <c r="AK1063">
        <v>19</v>
      </c>
      <c r="AL1063">
        <v>10</v>
      </c>
      <c r="AM1063">
        <v>286</v>
      </c>
      <c r="AN1063">
        <v>68</v>
      </c>
      <c r="AO1063">
        <v>4</v>
      </c>
      <c r="AP1063" t="s">
        <v>93</v>
      </c>
      <c r="AQ1063" t="s">
        <v>89</v>
      </c>
      <c r="AR1063" t="s">
        <v>89</v>
      </c>
      <c r="AS1063" t="s">
        <v>111</v>
      </c>
      <c r="AT1063">
        <v>43101</v>
      </c>
      <c r="AU1063">
        <v>2018</v>
      </c>
      <c r="AV1063">
        <v>18</v>
      </c>
      <c r="AW1063">
        <v>18</v>
      </c>
      <c r="AX1063" t="s">
        <v>89</v>
      </c>
      <c r="AY1063" t="s">
        <v>111</v>
      </c>
      <c r="AZ1063">
        <v>13</v>
      </c>
      <c r="BA1063">
        <v>63</v>
      </c>
      <c r="BB1063">
        <v>5429</v>
      </c>
      <c r="BC1063">
        <v>3</v>
      </c>
      <c r="BD1063">
        <v>483</v>
      </c>
      <c r="BE1063">
        <v>41240</v>
      </c>
      <c r="BF1063">
        <v>19</v>
      </c>
      <c r="BG1063">
        <v>40</v>
      </c>
      <c r="BH1063">
        <v>546</v>
      </c>
      <c r="BI1063">
        <v>46669</v>
      </c>
      <c r="BJ1063">
        <v>22</v>
      </c>
      <c r="BK1063">
        <f t="shared" si="146"/>
        <v>546</v>
      </c>
      <c r="BL1063">
        <f t="shared" si="147"/>
        <v>46669</v>
      </c>
      <c r="BM1063">
        <f t="shared" si="148"/>
        <v>22</v>
      </c>
      <c r="BN1063">
        <f t="shared" si="149"/>
        <v>0</v>
      </c>
      <c r="BO1063">
        <f t="shared" si="150"/>
        <v>0</v>
      </c>
      <c r="BP1063">
        <f t="shared" si="151"/>
        <v>0</v>
      </c>
      <c r="BQ1063" t="s">
        <v>235</v>
      </c>
      <c r="BR1063" t="s">
        <v>140</v>
      </c>
      <c r="BS1063" s="1">
        <v>28628</v>
      </c>
      <c r="BT1063">
        <v>47</v>
      </c>
      <c r="BU1063">
        <v>43101</v>
      </c>
      <c r="BV1063" t="s">
        <v>89</v>
      </c>
      <c r="BW1063">
        <v>21</v>
      </c>
      <c r="BX1063">
        <v>1978</v>
      </c>
      <c r="BY1063">
        <v>21</v>
      </c>
      <c r="BZ1063">
        <f t="shared" si="152"/>
        <v>-3</v>
      </c>
      <c r="CA1063">
        <f t="shared" si="153"/>
        <v>0</v>
      </c>
      <c r="CB1063" t="b">
        <f t="shared" si="154"/>
        <v>0</v>
      </c>
    </row>
    <row r="1064" spans="1:80" x14ac:dyDescent="0.3">
      <c r="A1064" t="s">
        <v>8504</v>
      </c>
      <c r="B1064" t="s">
        <v>1231</v>
      </c>
      <c r="C1064" t="s">
        <v>8505</v>
      </c>
      <c r="D1064">
        <v>44</v>
      </c>
      <c r="E1064">
        <v>29722</v>
      </c>
      <c r="F1064" t="s">
        <v>89</v>
      </c>
      <c r="G1064" t="s">
        <v>413</v>
      </c>
      <c r="H1064" t="s">
        <v>1234</v>
      </c>
      <c r="I1064" t="s">
        <v>227</v>
      </c>
      <c r="J1064" t="s">
        <v>78</v>
      </c>
      <c r="K1064" t="s">
        <v>89</v>
      </c>
      <c r="L1064" t="s">
        <v>196</v>
      </c>
      <c r="M1064">
        <v>19</v>
      </c>
      <c r="N1064" t="s">
        <v>1236</v>
      </c>
      <c r="O1064">
        <v>2000</v>
      </c>
      <c r="P1064" t="s">
        <v>8506</v>
      </c>
      <c r="Q1064" t="s">
        <v>8507</v>
      </c>
      <c r="R1064">
        <v>9819</v>
      </c>
      <c r="S1064" t="s">
        <v>8504</v>
      </c>
      <c r="T1064" t="s">
        <v>6181</v>
      </c>
      <c r="U1064">
        <v>1981</v>
      </c>
      <c r="V1064" t="s">
        <v>8508</v>
      </c>
      <c r="W1064">
        <v>1.84</v>
      </c>
      <c r="X1064" t="s">
        <v>1234</v>
      </c>
      <c r="Y1064" t="s">
        <v>235</v>
      </c>
      <c r="Z1064" t="s">
        <v>87</v>
      </c>
      <c r="AA1064" t="s">
        <v>1219</v>
      </c>
      <c r="AB1064">
        <v>43898</v>
      </c>
      <c r="AC1064" t="s">
        <v>108</v>
      </c>
      <c r="AD1064" t="s">
        <v>89</v>
      </c>
      <c r="AE1064" t="s">
        <v>7161</v>
      </c>
      <c r="AF1064">
        <v>20</v>
      </c>
      <c r="AG1064" t="s">
        <v>613</v>
      </c>
      <c r="AH1064" t="s">
        <v>92</v>
      </c>
      <c r="AI1064" t="s">
        <v>89</v>
      </c>
      <c r="AJ1064" t="s">
        <v>92</v>
      </c>
      <c r="AK1064">
        <v>20</v>
      </c>
      <c r="AL1064">
        <v>9</v>
      </c>
      <c r="AM1064">
        <v>282</v>
      </c>
      <c r="AN1064">
        <v>59</v>
      </c>
      <c r="AO1064">
        <v>6</v>
      </c>
      <c r="AP1064" t="s">
        <v>93</v>
      </c>
      <c r="AQ1064" t="s">
        <v>89</v>
      </c>
      <c r="AR1064" t="s">
        <v>89</v>
      </c>
      <c r="AS1064" t="s">
        <v>111</v>
      </c>
      <c r="AT1064">
        <v>43898</v>
      </c>
      <c r="AU1064">
        <v>2020</v>
      </c>
      <c r="AV1064">
        <v>20</v>
      </c>
      <c r="AW1064">
        <v>20</v>
      </c>
      <c r="AX1064" t="s">
        <v>89</v>
      </c>
      <c r="AY1064" t="s">
        <v>111</v>
      </c>
      <c r="AZ1064">
        <v>10</v>
      </c>
      <c r="BA1064">
        <v>11</v>
      </c>
      <c r="BB1064">
        <v>774</v>
      </c>
      <c r="BC1064">
        <v>1</v>
      </c>
      <c r="BD1064">
        <v>433</v>
      </c>
      <c r="BE1064">
        <v>35980</v>
      </c>
      <c r="BF1064">
        <v>28</v>
      </c>
      <c r="BG1064">
        <v>39</v>
      </c>
      <c r="BH1064">
        <v>444</v>
      </c>
      <c r="BI1064">
        <v>36754</v>
      </c>
      <c r="BJ1064">
        <v>29</v>
      </c>
      <c r="BK1064">
        <f t="shared" si="146"/>
        <v>444</v>
      </c>
      <c r="BL1064">
        <f t="shared" si="147"/>
        <v>36754</v>
      </c>
      <c r="BM1064">
        <f t="shared" si="148"/>
        <v>29</v>
      </c>
      <c r="BN1064">
        <f t="shared" si="149"/>
        <v>0</v>
      </c>
      <c r="BO1064">
        <f t="shared" si="150"/>
        <v>0</v>
      </c>
      <c r="BP1064">
        <f t="shared" si="151"/>
        <v>0</v>
      </c>
      <c r="BQ1064" t="s">
        <v>235</v>
      </c>
      <c r="BR1064" t="s">
        <v>140</v>
      </c>
      <c r="BS1064" s="1">
        <v>29722</v>
      </c>
      <c r="BT1064">
        <v>44</v>
      </c>
      <c r="BU1064">
        <v>43898</v>
      </c>
      <c r="BV1064" t="s">
        <v>89</v>
      </c>
      <c r="BW1064">
        <v>19</v>
      </c>
      <c r="BX1064">
        <v>1981</v>
      </c>
      <c r="BY1064">
        <v>19</v>
      </c>
      <c r="BZ1064">
        <f t="shared" si="152"/>
        <v>1</v>
      </c>
      <c r="CA1064">
        <f t="shared" si="153"/>
        <v>0</v>
      </c>
      <c r="CB1064" t="b">
        <f t="shared" si="154"/>
        <v>0</v>
      </c>
    </row>
    <row r="1065" spans="1:80" x14ac:dyDescent="0.3">
      <c r="A1065" t="s">
        <v>8509</v>
      </c>
      <c r="B1065" t="s">
        <v>1231</v>
      </c>
      <c r="C1065" t="s">
        <v>8510</v>
      </c>
      <c r="D1065">
        <v>30</v>
      </c>
      <c r="E1065" t="s">
        <v>2781</v>
      </c>
      <c r="F1065" t="s">
        <v>8511</v>
      </c>
      <c r="G1065" t="s">
        <v>687</v>
      </c>
      <c r="H1065" t="s">
        <v>1234</v>
      </c>
      <c r="I1065" t="s">
        <v>116</v>
      </c>
      <c r="J1065" t="s">
        <v>78</v>
      </c>
      <c r="K1065" t="s">
        <v>1842</v>
      </c>
      <c r="L1065" t="s">
        <v>80</v>
      </c>
      <c r="M1065">
        <v>17</v>
      </c>
      <c r="N1065" t="s">
        <v>1168</v>
      </c>
      <c r="O1065">
        <v>2012</v>
      </c>
      <c r="P1065" t="s">
        <v>8512</v>
      </c>
      <c r="Q1065" t="s">
        <v>8513</v>
      </c>
      <c r="R1065">
        <v>261927</v>
      </c>
      <c r="S1065" t="s">
        <v>8509</v>
      </c>
      <c r="T1065" t="s">
        <v>2786</v>
      </c>
      <c r="U1065">
        <v>1994</v>
      </c>
      <c r="V1065" t="s">
        <v>8514</v>
      </c>
      <c r="W1065">
        <v>1.73</v>
      </c>
      <c r="X1065" t="s">
        <v>1234</v>
      </c>
      <c r="Y1065" t="s">
        <v>391</v>
      </c>
      <c r="Z1065" t="s">
        <v>87</v>
      </c>
      <c r="AA1065" t="s">
        <v>1842</v>
      </c>
      <c r="AB1065" t="s">
        <v>3119</v>
      </c>
      <c r="AC1065" t="s">
        <v>394</v>
      </c>
      <c r="AD1065" t="s">
        <v>89</v>
      </c>
      <c r="AE1065" s="1">
        <v>41459</v>
      </c>
      <c r="AF1065">
        <v>18</v>
      </c>
      <c r="AG1065" t="s">
        <v>613</v>
      </c>
      <c r="AH1065" t="s">
        <v>92</v>
      </c>
      <c r="AI1065" t="s">
        <v>89</v>
      </c>
      <c r="AJ1065" t="s">
        <v>92</v>
      </c>
      <c r="AK1065">
        <v>18</v>
      </c>
      <c r="AL1065">
        <v>7</v>
      </c>
      <c r="AM1065">
        <v>106</v>
      </c>
      <c r="AN1065">
        <v>20</v>
      </c>
      <c r="AO1065">
        <v>4</v>
      </c>
      <c r="AP1065" t="s">
        <v>93</v>
      </c>
      <c r="AQ1065" t="s">
        <v>89</v>
      </c>
      <c r="AR1065" t="s">
        <v>89</v>
      </c>
      <c r="AS1065" t="s">
        <v>93</v>
      </c>
      <c r="AT1065" t="s">
        <v>89</v>
      </c>
      <c r="AU1065" t="s">
        <v>89</v>
      </c>
      <c r="AV1065" t="s">
        <v>89</v>
      </c>
      <c r="AW1065">
        <v>13</v>
      </c>
      <c r="AX1065">
        <v>21</v>
      </c>
      <c r="AY1065" t="s">
        <v>111</v>
      </c>
      <c r="AZ1065">
        <v>5</v>
      </c>
      <c r="BA1065">
        <v>12</v>
      </c>
      <c r="BB1065">
        <v>335</v>
      </c>
      <c r="BC1065">
        <v>4</v>
      </c>
      <c r="BD1065">
        <v>443</v>
      </c>
      <c r="BE1065">
        <v>32060</v>
      </c>
      <c r="BF1065">
        <v>126</v>
      </c>
      <c r="BG1065" t="s">
        <v>89</v>
      </c>
      <c r="BH1065">
        <v>455</v>
      </c>
      <c r="BI1065">
        <v>32395</v>
      </c>
      <c r="BJ1065">
        <v>130</v>
      </c>
      <c r="BK1065">
        <f t="shared" si="146"/>
        <v>455</v>
      </c>
      <c r="BL1065">
        <f t="shared" si="147"/>
        <v>32395</v>
      </c>
      <c r="BM1065">
        <f t="shared" si="148"/>
        <v>130</v>
      </c>
      <c r="BN1065">
        <f t="shared" si="149"/>
        <v>0</v>
      </c>
      <c r="BO1065">
        <f t="shared" si="150"/>
        <v>0</v>
      </c>
      <c r="BP1065">
        <f t="shared" si="151"/>
        <v>0</v>
      </c>
      <c r="BQ1065" t="s">
        <v>391</v>
      </c>
      <c r="BR1065" t="s">
        <v>112</v>
      </c>
      <c r="BS1065" s="1">
        <v>34592</v>
      </c>
      <c r="BT1065">
        <v>31</v>
      </c>
      <c r="BU1065" t="s">
        <v>89</v>
      </c>
      <c r="BV1065" t="s">
        <v>89</v>
      </c>
      <c r="BW1065">
        <v>13</v>
      </c>
      <c r="BX1065">
        <v>1994</v>
      </c>
      <c r="BY1065">
        <v>12</v>
      </c>
      <c r="BZ1065">
        <f t="shared" si="152"/>
        <v>0</v>
      </c>
      <c r="CA1065">
        <f t="shared" si="153"/>
        <v>1</v>
      </c>
      <c r="CB1065" t="b">
        <f t="shared" si="154"/>
        <v>1</v>
      </c>
    </row>
    <row r="1066" spans="1:80" x14ac:dyDescent="0.3">
      <c r="A1066" t="s">
        <v>8515</v>
      </c>
      <c r="B1066" t="s">
        <v>71</v>
      </c>
      <c r="C1066" t="s">
        <v>8516</v>
      </c>
      <c r="D1066">
        <v>42</v>
      </c>
      <c r="E1066" s="1">
        <v>30355</v>
      </c>
      <c r="F1066" t="s">
        <v>89</v>
      </c>
      <c r="G1066" t="s">
        <v>115</v>
      </c>
      <c r="H1066" t="s">
        <v>89</v>
      </c>
      <c r="I1066" t="s">
        <v>555</v>
      </c>
      <c r="J1066" t="s">
        <v>89</v>
      </c>
      <c r="K1066" t="s">
        <v>89</v>
      </c>
      <c r="L1066" t="s">
        <v>117</v>
      </c>
      <c r="M1066">
        <v>22</v>
      </c>
      <c r="N1066" t="s">
        <v>519</v>
      </c>
      <c r="O1066">
        <v>2005</v>
      </c>
      <c r="P1066" t="s">
        <v>8517</v>
      </c>
      <c r="Q1066" t="s">
        <v>8518</v>
      </c>
      <c r="R1066">
        <v>51516</v>
      </c>
      <c r="S1066" t="s">
        <v>8519</v>
      </c>
      <c r="T1066" s="1">
        <v>30530</v>
      </c>
      <c r="U1066">
        <v>1983</v>
      </c>
      <c r="V1066" t="s">
        <v>523</v>
      </c>
      <c r="W1066">
        <v>1.86</v>
      </c>
      <c r="X1066" t="s">
        <v>76</v>
      </c>
      <c r="Y1066" t="s">
        <v>86</v>
      </c>
      <c r="Z1066" t="s">
        <v>87</v>
      </c>
      <c r="AA1066" t="s">
        <v>420</v>
      </c>
      <c r="AB1066" s="1">
        <v>42376</v>
      </c>
      <c r="AC1066" t="s">
        <v>108</v>
      </c>
      <c r="AD1066" t="s">
        <v>89</v>
      </c>
      <c r="AE1066" t="s">
        <v>371</v>
      </c>
      <c r="AF1066">
        <v>26</v>
      </c>
      <c r="AG1066" t="s">
        <v>91</v>
      </c>
      <c r="AH1066" t="s">
        <v>8520</v>
      </c>
      <c r="AI1066">
        <v>22</v>
      </c>
      <c r="AJ1066" t="s">
        <v>110</v>
      </c>
      <c r="AK1066">
        <v>22</v>
      </c>
      <c r="AL1066">
        <v>3</v>
      </c>
      <c r="AM1066">
        <v>102</v>
      </c>
      <c r="AN1066">
        <v>12</v>
      </c>
      <c r="AO1066">
        <v>2</v>
      </c>
      <c r="AP1066" t="s">
        <v>93</v>
      </c>
      <c r="AQ1066" t="s">
        <v>89</v>
      </c>
      <c r="AR1066" t="s">
        <v>89</v>
      </c>
      <c r="AS1066" t="s">
        <v>111</v>
      </c>
      <c r="AT1066">
        <v>42376</v>
      </c>
      <c r="AU1066">
        <v>2016</v>
      </c>
      <c r="AV1066">
        <v>11</v>
      </c>
      <c r="AW1066">
        <v>11</v>
      </c>
      <c r="AX1066" t="s">
        <v>89</v>
      </c>
      <c r="AY1066" t="s">
        <v>93</v>
      </c>
      <c r="AZ1066">
        <v>0</v>
      </c>
      <c r="BA1066">
        <v>0</v>
      </c>
      <c r="BB1066">
        <v>0</v>
      </c>
      <c r="BC1066">
        <v>0</v>
      </c>
      <c r="BD1066">
        <v>245</v>
      </c>
      <c r="BE1066">
        <v>17939</v>
      </c>
      <c r="BF1066">
        <v>8</v>
      </c>
      <c r="BG1066">
        <v>33</v>
      </c>
      <c r="BH1066">
        <v>245</v>
      </c>
      <c r="BI1066">
        <v>17939</v>
      </c>
      <c r="BJ1066">
        <v>8</v>
      </c>
      <c r="BK1066">
        <f t="shared" si="146"/>
        <v>245</v>
      </c>
      <c r="BL1066">
        <f t="shared" si="147"/>
        <v>17939</v>
      </c>
      <c r="BM1066">
        <f t="shared" si="148"/>
        <v>8</v>
      </c>
      <c r="BN1066">
        <f t="shared" si="149"/>
        <v>0</v>
      </c>
      <c r="BO1066">
        <f t="shared" si="150"/>
        <v>0</v>
      </c>
      <c r="BP1066">
        <f t="shared" si="151"/>
        <v>0</v>
      </c>
      <c r="BQ1066" t="s">
        <v>86</v>
      </c>
      <c r="BR1066" t="s">
        <v>94</v>
      </c>
      <c r="BS1066" s="1">
        <v>30355</v>
      </c>
      <c r="BT1066">
        <v>43</v>
      </c>
      <c r="BU1066">
        <v>42376</v>
      </c>
      <c r="BV1066" t="s">
        <v>89</v>
      </c>
      <c r="BW1066">
        <v>11</v>
      </c>
      <c r="BX1066">
        <v>1983</v>
      </c>
      <c r="BY1066">
        <v>11</v>
      </c>
      <c r="BZ1066">
        <f t="shared" si="152"/>
        <v>0</v>
      </c>
      <c r="CA1066">
        <f t="shared" si="153"/>
        <v>0</v>
      </c>
      <c r="CB1066" t="b">
        <f t="shared" si="154"/>
        <v>1</v>
      </c>
    </row>
    <row r="1067" spans="1:80" x14ac:dyDescent="0.3">
      <c r="A1067" t="s">
        <v>8521</v>
      </c>
      <c r="B1067" t="s">
        <v>1351</v>
      </c>
      <c r="C1067" t="s">
        <v>8522</v>
      </c>
      <c r="D1067">
        <v>33</v>
      </c>
      <c r="E1067" s="1">
        <v>33795</v>
      </c>
      <c r="F1067" t="s">
        <v>89</v>
      </c>
      <c r="G1067" t="s">
        <v>75</v>
      </c>
      <c r="H1067" t="s">
        <v>89</v>
      </c>
      <c r="I1067" t="s">
        <v>253</v>
      </c>
      <c r="J1067" t="s">
        <v>78</v>
      </c>
      <c r="K1067" t="s">
        <v>89</v>
      </c>
      <c r="L1067" t="s">
        <v>324</v>
      </c>
      <c r="M1067">
        <v>21</v>
      </c>
      <c r="N1067" t="s">
        <v>229</v>
      </c>
      <c r="O1067">
        <v>2013</v>
      </c>
      <c r="P1067" t="s">
        <v>8523</v>
      </c>
      <c r="Q1067" t="s">
        <v>8524</v>
      </c>
      <c r="R1067">
        <v>198400</v>
      </c>
      <c r="S1067" t="s">
        <v>8521</v>
      </c>
      <c r="T1067" s="1">
        <v>33884</v>
      </c>
      <c r="U1067">
        <v>1992</v>
      </c>
      <c r="V1067" t="s">
        <v>1358</v>
      </c>
      <c r="W1067">
        <v>1.8</v>
      </c>
      <c r="X1067" t="s">
        <v>4552</v>
      </c>
      <c r="Y1067" t="s">
        <v>86</v>
      </c>
      <c r="Z1067" t="s">
        <v>87</v>
      </c>
      <c r="AA1067" t="s">
        <v>2514</v>
      </c>
      <c r="AB1067" s="1">
        <v>45664</v>
      </c>
      <c r="AC1067" t="s">
        <v>108</v>
      </c>
      <c r="AD1067" t="s">
        <v>395</v>
      </c>
      <c r="AE1067" t="s">
        <v>8525</v>
      </c>
      <c r="AF1067">
        <v>21</v>
      </c>
      <c r="AG1067" t="s">
        <v>91</v>
      </c>
      <c r="AH1067" t="s">
        <v>8526</v>
      </c>
      <c r="AI1067">
        <v>26</v>
      </c>
      <c r="AJ1067" t="s">
        <v>110</v>
      </c>
      <c r="AK1067">
        <v>21</v>
      </c>
      <c r="AL1067">
        <v>3</v>
      </c>
      <c r="AM1067">
        <v>370</v>
      </c>
      <c r="AN1067">
        <v>9</v>
      </c>
      <c r="AO1067">
        <v>2</v>
      </c>
      <c r="AP1067" t="s">
        <v>93</v>
      </c>
      <c r="AQ1067" t="s">
        <v>89</v>
      </c>
      <c r="AR1067" t="s">
        <v>89</v>
      </c>
      <c r="AS1067" t="s">
        <v>111</v>
      </c>
      <c r="AT1067">
        <v>45664</v>
      </c>
      <c r="AU1067">
        <v>2025</v>
      </c>
      <c r="AV1067">
        <v>12</v>
      </c>
      <c r="AW1067">
        <v>12</v>
      </c>
      <c r="AX1067" t="s">
        <v>89</v>
      </c>
      <c r="AY1067" t="s">
        <v>93</v>
      </c>
      <c r="AZ1067">
        <v>0</v>
      </c>
      <c r="BA1067">
        <v>0</v>
      </c>
      <c r="BB1067">
        <v>0</v>
      </c>
      <c r="BC1067">
        <v>0</v>
      </c>
      <c r="BD1067">
        <v>120</v>
      </c>
      <c r="BE1067">
        <v>6984</v>
      </c>
      <c r="BF1067">
        <v>7</v>
      </c>
      <c r="BG1067">
        <v>33</v>
      </c>
      <c r="BH1067">
        <v>120</v>
      </c>
      <c r="BI1067">
        <v>6984</v>
      </c>
      <c r="BJ1067">
        <v>7</v>
      </c>
      <c r="BK1067">
        <f t="shared" si="146"/>
        <v>120</v>
      </c>
      <c r="BL1067">
        <f t="shared" si="147"/>
        <v>6984</v>
      </c>
      <c r="BM1067">
        <f t="shared" si="148"/>
        <v>7</v>
      </c>
      <c r="BN1067">
        <f t="shared" si="149"/>
        <v>0</v>
      </c>
      <c r="BO1067">
        <f t="shared" si="150"/>
        <v>0</v>
      </c>
      <c r="BP1067">
        <f t="shared" si="151"/>
        <v>0</v>
      </c>
      <c r="BQ1067" t="s">
        <v>86</v>
      </c>
      <c r="BR1067" t="s">
        <v>94</v>
      </c>
      <c r="BS1067" s="1">
        <v>33795</v>
      </c>
      <c r="BT1067">
        <v>33</v>
      </c>
      <c r="BU1067">
        <v>45664</v>
      </c>
      <c r="BV1067" t="s">
        <v>89</v>
      </c>
      <c r="BW1067">
        <v>12</v>
      </c>
      <c r="BX1067">
        <v>1992</v>
      </c>
      <c r="BY1067">
        <v>12</v>
      </c>
      <c r="BZ1067">
        <f t="shared" si="152"/>
        <v>0</v>
      </c>
      <c r="CA1067">
        <f t="shared" si="153"/>
        <v>0</v>
      </c>
      <c r="CB1067" t="b">
        <f t="shared" si="154"/>
        <v>1</v>
      </c>
    </row>
    <row r="1068" spans="1:80" x14ac:dyDescent="0.3">
      <c r="A1068" t="s">
        <v>8527</v>
      </c>
      <c r="B1068" t="s">
        <v>1351</v>
      </c>
      <c r="C1068" t="s">
        <v>8528</v>
      </c>
      <c r="D1068">
        <v>32</v>
      </c>
      <c r="E1068" s="1">
        <v>33997</v>
      </c>
      <c r="F1068" t="s">
        <v>89</v>
      </c>
      <c r="G1068" t="s">
        <v>115</v>
      </c>
      <c r="H1068" t="s">
        <v>1353</v>
      </c>
      <c r="I1068" t="s">
        <v>437</v>
      </c>
      <c r="J1068" t="s">
        <v>78</v>
      </c>
      <c r="K1068" t="s">
        <v>89</v>
      </c>
      <c r="L1068" t="s">
        <v>254</v>
      </c>
      <c r="M1068">
        <v>16</v>
      </c>
      <c r="N1068" t="s">
        <v>8529</v>
      </c>
      <c r="O1068">
        <v>2009</v>
      </c>
      <c r="P1068" t="s">
        <v>8530</v>
      </c>
      <c r="Q1068" t="s">
        <v>8531</v>
      </c>
      <c r="R1068">
        <v>119213</v>
      </c>
      <c r="S1068" t="s">
        <v>8527</v>
      </c>
      <c r="T1068" t="s">
        <v>8532</v>
      </c>
      <c r="U1068">
        <v>1993</v>
      </c>
      <c r="V1068" t="s">
        <v>1358</v>
      </c>
      <c r="W1068">
        <v>1.86</v>
      </c>
      <c r="X1068" t="s">
        <v>1353</v>
      </c>
      <c r="Y1068" t="s">
        <v>123</v>
      </c>
      <c r="Z1068" t="s">
        <v>87</v>
      </c>
      <c r="AA1068" t="s">
        <v>476</v>
      </c>
      <c r="AB1068" s="1">
        <v>45664</v>
      </c>
      <c r="AC1068" t="s">
        <v>108</v>
      </c>
      <c r="AD1068" t="s">
        <v>223</v>
      </c>
      <c r="AE1068" s="1">
        <v>40241</v>
      </c>
      <c r="AF1068">
        <v>17</v>
      </c>
      <c r="AG1068" t="s">
        <v>573</v>
      </c>
      <c r="AH1068" t="s">
        <v>306</v>
      </c>
      <c r="AI1068">
        <v>18</v>
      </c>
      <c r="AJ1068" t="s">
        <v>575</v>
      </c>
      <c r="AK1068">
        <v>17</v>
      </c>
      <c r="AL1068">
        <v>8</v>
      </c>
      <c r="AM1068">
        <v>307</v>
      </c>
      <c r="AN1068">
        <v>50</v>
      </c>
      <c r="AO1068">
        <v>6</v>
      </c>
      <c r="AP1068" t="s">
        <v>93</v>
      </c>
      <c r="AQ1068" t="s">
        <v>89</v>
      </c>
      <c r="AR1068" t="s">
        <v>89</v>
      </c>
      <c r="AS1068" t="s">
        <v>93</v>
      </c>
      <c r="AT1068" t="s">
        <v>89</v>
      </c>
      <c r="AU1068" t="s">
        <v>89</v>
      </c>
      <c r="AV1068" t="s">
        <v>89</v>
      </c>
      <c r="AW1068">
        <v>16</v>
      </c>
      <c r="AX1068" t="s">
        <v>89</v>
      </c>
      <c r="AY1068" t="s">
        <v>111</v>
      </c>
      <c r="AZ1068">
        <v>8</v>
      </c>
      <c r="BA1068">
        <v>14</v>
      </c>
      <c r="BB1068">
        <v>696</v>
      </c>
      <c r="BC1068">
        <v>5</v>
      </c>
      <c r="BD1068">
        <v>282</v>
      </c>
      <c r="BE1068">
        <v>15611</v>
      </c>
      <c r="BF1068">
        <v>86</v>
      </c>
      <c r="BG1068" t="s">
        <v>89</v>
      </c>
      <c r="BH1068">
        <v>296</v>
      </c>
      <c r="BI1068">
        <v>16307</v>
      </c>
      <c r="BJ1068">
        <v>91</v>
      </c>
      <c r="BK1068">
        <f t="shared" si="146"/>
        <v>296</v>
      </c>
      <c r="BL1068">
        <f t="shared" si="147"/>
        <v>16307</v>
      </c>
      <c r="BM1068">
        <f t="shared" si="148"/>
        <v>91</v>
      </c>
      <c r="BN1068">
        <f t="shared" si="149"/>
        <v>0</v>
      </c>
      <c r="BO1068">
        <f t="shared" si="150"/>
        <v>0</v>
      </c>
      <c r="BP1068">
        <f t="shared" si="151"/>
        <v>0</v>
      </c>
      <c r="BQ1068" t="s">
        <v>123</v>
      </c>
      <c r="BR1068" t="s">
        <v>112</v>
      </c>
      <c r="BS1068" s="1">
        <v>33997</v>
      </c>
      <c r="BT1068">
        <v>33</v>
      </c>
      <c r="BU1068" t="s">
        <v>89</v>
      </c>
      <c r="BV1068" t="s">
        <v>89</v>
      </c>
      <c r="BW1068">
        <v>16</v>
      </c>
      <c r="BX1068">
        <v>1993</v>
      </c>
      <c r="BY1068">
        <v>15</v>
      </c>
      <c r="BZ1068">
        <f t="shared" si="152"/>
        <v>0</v>
      </c>
      <c r="CA1068">
        <f t="shared" si="153"/>
        <v>1</v>
      </c>
      <c r="CB1068" t="b">
        <f t="shared" si="154"/>
        <v>1</v>
      </c>
    </row>
    <row r="1069" spans="1:80" x14ac:dyDescent="0.3">
      <c r="A1069" t="s">
        <v>8533</v>
      </c>
      <c r="B1069" t="s">
        <v>71</v>
      </c>
      <c r="C1069" t="s">
        <v>8534</v>
      </c>
      <c r="D1069">
        <v>44</v>
      </c>
      <c r="E1069" s="1">
        <v>29444</v>
      </c>
      <c r="F1069" t="s">
        <v>89</v>
      </c>
      <c r="G1069" t="s">
        <v>819</v>
      </c>
      <c r="H1069" t="s">
        <v>89</v>
      </c>
      <c r="I1069" t="s">
        <v>437</v>
      </c>
      <c r="J1069" t="s">
        <v>300</v>
      </c>
      <c r="K1069" t="s">
        <v>89</v>
      </c>
      <c r="L1069" t="s">
        <v>145</v>
      </c>
      <c r="M1069">
        <v>23</v>
      </c>
      <c r="N1069" t="s">
        <v>181</v>
      </c>
      <c r="O1069">
        <v>2004</v>
      </c>
      <c r="P1069" t="s">
        <v>8535</v>
      </c>
      <c r="Q1069" t="s">
        <v>8536</v>
      </c>
      <c r="R1069">
        <v>23102</v>
      </c>
      <c r="S1069" t="s">
        <v>8533</v>
      </c>
      <c r="T1069" t="s">
        <v>8537</v>
      </c>
      <c r="U1069">
        <v>1980</v>
      </c>
      <c r="V1069" t="s">
        <v>5162</v>
      </c>
      <c r="W1069">
        <v>1.87</v>
      </c>
      <c r="X1069" t="s">
        <v>76</v>
      </c>
      <c r="Y1069" t="s">
        <v>123</v>
      </c>
      <c r="Z1069" t="s">
        <v>152</v>
      </c>
      <c r="AA1069" t="s">
        <v>8538</v>
      </c>
      <c r="AB1069" s="1">
        <v>42376</v>
      </c>
      <c r="AC1069" t="s">
        <v>108</v>
      </c>
      <c r="AD1069" t="s">
        <v>89</v>
      </c>
      <c r="AE1069" s="1">
        <v>38330</v>
      </c>
      <c r="AF1069">
        <v>24</v>
      </c>
      <c r="AG1069" t="s">
        <v>91</v>
      </c>
      <c r="AH1069" t="s">
        <v>306</v>
      </c>
      <c r="AI1069">
        <v>31</v>
      </c>
      <c r="AJ1069" t="s">
        <v>110</v>
      </c>
      <c r="AK1069">
        <v>24</v>
      </c>
      <c r="AL1069">
        <v>13</v>
      </c>
      <c r="AM1069">
        <v>315</v>
      </c>
      <c r="AN1069">
        <v>51</v>
      </c>
      <c r="AO1069">
        <v>7</v>
      </c>
      <c r="AP1069" t="s">
        <v>93</v>
      </c>
      <c r="AQ1069" t="s">
        <v>89</v>
      </c>
      <c r="AR1069" t="s">
        <v>89</v>
      </c>
      <c r="AS1069" t="s">
        <v>111</v>
      </c>
      <c r="AT1069" s="1">
        <v>42376</v>
      </c>
      <c r="AU1069">
        <v>2016</v>
      </c>
      <c r="AV1069">
        <v>12</v>
      </c>
      <c r="AW1069">
        <v>12</v>
      </c>
      <c r="AX1069" t="s">
        <v>89</v>
      </c>
      <c r="AY1069" t="s">
        <v>93</v>
      </c>
      <c r="AZ1069">
        <v>0</v>
      </c>
      <c r="BA1069">
        <v>0</v>
      </c>
      <c r="BB1069">
        <v>0</v>
      </c>
      <c r="BC1069">
        <v>0</v>
      </c>
      <c r="BD1069">
        <v>306</v>
      </c>
      <c r="BE1069">
        <v>16936</v>
      </c>
      <c r="BF1069">
        <v>65</v>
      </c>
      <c r="BG1069">
        <v>36</v>
      </c>
      <c r="BH1069">
        <v>306</v>
      </c>
      <c r="BI1069">
        <v>16936</v>
      </c>
      <c r="BJ1069">
        <v>65</v>
      </c>
      <c r="BK1069">
        <f t="shared" si="146"/>
        <v>306</v>
      </c>
      <c r="BL1069">
        <f t="shared" si="147"/>
        <v>16936</v>
      </c>
      <c r="BM1069">
        <f t="shared" si="148"/>
        <v>65</v>
      </c>
      <c r="BN1069">
        <f t="shared" si="149"/>
        <v>0</v>
      </c>
      <c r="BO1069">
        <f t="shared" si="150"/>
        <v>0</v>
      </c>
      <c r="BP1069">
        <f t="shared" si="151"/>
        <v>0</v>
      </c>
      <c r="BQ1069" t="s">
        <v>123</v>
      </c>
      <c r="BR1069" t="s">
        <v>112</v>
      </c>
      <c r="BS1069" t="s">
        <v>89</v>
      </c>
      <c r="BT1069">
        <v>46</v>
      </c>
      <c r="BU1069" s="1">
        <v>42376</v>
      </c>
      <c r="BV1069" s="1">
        <v>42552</v>
      </c>
      <c r="BW1069">
        <v>12</v>
      </c>
      <c r="BX1069">
        <v>1980</v>
      </c>
      <c r="BY1069">
        <v>12</v>
      </c>
      <c r="BZ1069">
        <f t="shared" si="152"/>
        <v>0</v>
      </c>
      <c r="CA1069">
        <f t="shared" si="153"/>
        <v>0</v>
      </c>
      <c r="CB1069" t="b">
        <f t="shared" si="154"/>
        <v>1</v>
      </c>
    </row>
    <row r="1070" spans="1:80" x14ac:dyDescent="0.3">
      <c r="A1070" t="s">
        <v>8539</v>
      </c>
      <c r="B1070" t="s">
        <v>71</v>
      </c>
      <c r="C1070" t="s">
        <v>8540</v>
      </c>
      <c r="D1070">
        <v>32</v>
      </c>
      <c r="E1070" t="s">
        <v>8541</v>
      </c>
      <c r="F1070" t="s">
        <v>8542</v>
      </c>
      <c r="G1070" t="s">
        <v>400</v>
      </c>
      <c r="H1070" t="s">
        <v>89</v>
      </c>
      <c r="I1070" t="s">
        <v>348</v>
      </c>
      <c r="J1070" t="s">
        <v>78</v>
      </c>
      <c r="K1070" t="s">
        <v>293</v>
      </c>
      <c r="L1070" t="s">
        <v>278</v>
      </c>
      <c r="M1070">
        <v>18</v>
      </c>
      <c r="N1070" t="s">
        <v>162</v>
      </c>
      <c r="O1070">
        <v>2011</v>
      </c>
      <c r="P1070" t="s">
        <v>8543</v>
      </c>
      <c r="Q1070" t="s">
        <v>8544</v>
      </c>
      <c r="R1070">
        <v>223890</v>
      </c>
      <c r="S1070" t="s">
        <v>8539</v>
      </c>
      <c r="T1070" t="s">
        <v>8545</v>
      </c>
      <c r="U1070">
        <v>1992</v>
      </c>
      <c r="V1070" t="s">
        <v>2776</v>
      </c>
      <c r="W1070">
        <v>1.8</v>
      </c>
      <c r="X1070" t="s">
        <v>76</v>
      </c>
      <c r="Y1070" t="s">
        <v>136</v>
      </c>
      <c r="Z1070" t="s">
        <v>87</v>
      </c>
      <c r="AA1070" t="s">
        <v>476</v>
      </c>
      <c r="AB1070">
        <v>45664</v>
      </c>
      <c r="AC1070" t="s">
        <v>108</v>
      </c>
      <c r="AD1070" t="s">
        <v>89</v>
      </c>
      <c r="AE1070" t="s">
        <v>8546</v>
      </c>
      <c r="AF1070">
        <v>19</v>
      </c>
      <c r="AG1070" t="s">
        <v>91</v>
      </c>
      <c r="AH1070" t="s">
        <v>694</v>
      </c>
      <c r="AI1070">
        <v>23</v>
      </c>
      <c r="AJ1070" t="s">
        <v>110</v>
      </c>
      <c r="AK1070">
        <v>19</v>
      </c>
      <c r="AL1070">
        <v>5</v>
      </c>
      <c r="AM1070">
        <v>188</v>
      </c>
      <c r="AN1070">
        <v>27</v>
      </c>
      <c r="AO1070">
        <v>3</v>
      </c>
      <c r="AP1070" t="s">
        <v>93</v>
      </c>
      <c r="AQ1070" t="s">
        <v>89</v>
      </c>
      <c r="AR1070" t="s">
        <v>89</v>
      </c>
      <c r="AS1070" t="s">
        <v>93</v>
      </c>
      <c r="AT1070" t="s">
        <v>89</v>
      </c>
      <c r="AU1070" t="s">
        <v>89</v>
      </c>
      <c r="AV1070" t="s">
        <v>89</v>
      </c>
      <c r="AW1070">
        <v>14</v>
      </c>
      <c r="AX1070" t="s">
        <v>89</v>
      </c>
      <c r="AY1070" t="s">
        <v>93</v>
      </c>
      <c r="AZ1070">
        <v>0</v>
      </c>
      <c r="BA1070">
        <v>0</v>
      </c>
      <c r="BB1070">
        <v>0</v>
      </c>
      <c r="BC1070">
        <v>0</v>
      </c>
      <c r="BD1070">
        <v>200</v>
      </c>
      <c r="BE1070">
        <v>14315</v>
      </c>
      <c r="BF1070">
        <v>2</v>
      </c>
      <c r="BG1070" t="s">
        <v>89</v>
      </c>
      <c r="BH1070">
        <v>200</v>
      </c>
      <c r="BI1070">
        <v>14315</v>
      </c>
      <c r="BJ1070">
        <v>2</v>
      </c>
      <c r="BK1070">
        <f t="shared" si="146"/>
        <v>200</v>
      </c>
      <c r="BL1070">
        <f t="shared" si="147"/>
        <v>14315</v>
      </c>
      <c r="BM1070">
        <f t="shared" si="148"/>
        <v>2</v>
      </c>
      <c r="BN1070">
        <f t="shared" si="149"/>
        <v>0</v>
      </c>
      <c r="BO1070">
        <f t="shared" si="150"/>
        <v>0</v>
      </c>
      <c r="BP1070">
        <f t="shared" si="151"/>
        <v>0</v>
      </c>
      <c r="BQ1070" t="s">
        <v>136</v>
      </c>
      <c r="BR1070" t="s">
        <v>140</v>
      </c>
      <c r="BS1070" s="1">
        <v>33867</v>
      </c>
      <c r="BT1070">
        <v>33</v>
      </c>
      <c r="BU1070" t="s">
        <v>89</v>
      </c>
      <c r="BV1070" t="s">
        <v>89</v>
      </c>
      <c r="BW1070">
        <v>14</v>
      </c>
      <c r="BX1070">
        <v>1992</v>
      </c>
      <c r="BY1070">
        <v>13</v>
      </c>
      <c r="BZ1070">
        <f t="shared" si="152"/>
        <v>0</v>
      </c>
      <c r="CA1070">
        <f t="shared" si="153"/>
        <v>1</v>
      </c>
      <c r="CB1070" t="b">
        <f t="shared" si="154"/>
        <v>1</v>
      </c>
    </row>
    <row r="1071" spans="1:80" x14ac:dyDescent="0.3">
      <c r="A1071" t="s">
        <v>8547</v>
      </c>
      <c r="B1071" t="s">
        <v>1008</v>
      </c>
      <c r="C1071" t="s">
        <v>8548</v>
      </c>
      <c r="D1071">
        <v>37</v>
      </c>
      <c r="E1071" s="1">
        <v>32031</v>
      </c>
      <c r="F1071" t="s">
        <v>89</v>
      </c>
      <c r="G1071" t="s">
        <v>226</v>
      </c>
      <c r="H1071" t="s">
        <v>1010</v>
      </c>
      <c r="I1071" t="s">
        <v>437</v>
      </c>
      <c r="J1071" t="s">
        <v>78</v>
      </c>
      <c r="K1071" t="s">
        <v>89</v>
      </c>
      <c r="L1071" t="s">
        <v>117</v>
      </c>
      <c r="M1071">
        <v>17</v>
      </c>
      <c r="N1071" t="s">
        <v>8549</v>
      </c>
      <c r="O1071">
        <v>2005</v>
      </c>
      <c r="P1071" t="s">
        <v>8550</v>
      </c>
      <c r="Q1071" t="s">
        <v>8551</v>
      </c>
      <c r="R1071">
        <v>35703</v>
      </c>
      <c r="S1071" t="s">
        <v>8547</v>
      </c>
      <c r="T1071" s="1">
        <v>32090</v>
      </c>
      <c r="U1071">
        <v>1987</v>
      </c>
      <c r="V1071" t="s">
        <v>3586</v>
      </c>
      <c r="W1071">
        <v>1.85</v>
      </c>
      <c r="X1071" t="s">
        <v>8552</v>
      </c>
      <c r="Y1071" t="s">
        <v>123</v>
      </c>
      <c r="Z1071" t="s">
        <v>87</v>
      </c>
      <c r="AA1071" t="s">
        <v>8553</v>
      </c>
      <c r="AB1071" s="1">
        <v>44053</v>
      </c>
      <c r="AC1071" t="s">
        <v>108</v>
      </c>
      <c r="AD1071" t="s">
        <v>89</v>
      </c>
      <c r="AE1071">
        <v>38665</v>
      </c>
      <c r="AF1071">
        <v>18</v>
      </c>
      <c r="AG1071" t="s">
        <v>573</v>
      </c>
      <c r="AH1071" s="1">
        <v>38969</v>
      </c>
      <c r="AI1071">
        <v>18</v>
      </c>
      <c r="AJ1071" t="s">
        <v>575</v>
      </c>
      <c r="AK1071">
        <v>18</v>
      </c>
      <c r="AL1071">
        <v>8</v>
      </c>
      <c r="AM1071">
        <v>314</v>
      </c>
      <c r="AN1071">
        <v>68</v>
      </c>
      <c r="AO1071">
        <v>5</v>
      </c>
      <c r="AP1071" t="s">
        <v>93</v>
      </c>
      <c r="AQ1071" t="s">
        <v>89</v>
      </c>
      <c r="AR1071" t="s">
        <v>89</v>
      </c>
      <c r="AS1071" t="s">
        <v>111</v>
      </c>
      <c r="AT1071" s="1">
        <v>44053</v>
      </c>
      <c r="AU1071">
        <v>2020</v>
      </c>
      <c r="AV1071">
        <v>15</v>
      </c>
      <c r="AW1071">
        <v>15</v>
      </c>
      <c r="AX1071" t="s">
        <v>89</v>
      </c>
      <c r="AY1071" t="s">
        <v>93</v>
      </c>
      <c r="AZ1071">
        <v>0</v>
      </c>
      <c r="BA1071">
        <v>0</v>
      </c>
      <c r="BB1071">
        <v>0</v>
      </c>
      <c r="BC1071">
        <v>0</v>
      </c>
      <c r="BD1071">
        <v>289</v>
      </c>
      <c r="BE1071">
        <v>15943</v>
      </c>
      <c r="BF1071">
        <v>58</v>
      </c>
      <c r="BG1071">
        <v>33</v>
      </c>
      <c r="BH1071">
        <v>289</v>
      </c>
      <c r="BI1071">
        <v>15943</v>
      </c>
      <c r="BJ1071">
        <v>58</v>
      </c>
      <c r="BK1071">
        <f t="shared" si="146"/>
        <v>289</v>
      </c>
      <c r="BL1071">
        <f t="shared" si="147"/>
        <v>15943</v>
      </c>
      <c r="BM1071">
        <f t="shared" si="148"/>
        <v>58</v>
      </c>
      <c r="BN1071">
        <f t="shared" si="149"/>
        <v>0</v>
      </c>
      <c r="BO1071">
        <f t="shared" si="150"/>
        <v>0</v>
      </c>
      <c r="BP1071">
        <f t="shared" si="151"/>
        <v>0</v>
      </c>
      <c r="BQ1071" t="s">
        <v>123</v>
      </c>
      <c r="BR1071" t="s">
        <v>112</v>
      </c>
      <c r="BS1071" s="1">
        <v>32031</v>
      </c>
      <c r="BT1071">
        <v>38</v>
      </c>
      <c r="BU1071" s="1">
        <v>44053</v>
      </c>
      <c r="BV1071" s="1">
        <v>44112</v>
      </c>
      <c r="BW1071">
        <v>15</v>
      </c>
      <c r="BX1071">
        <v>1987</v>
      </c>
      <c r="BY1071">
        <v>15</v>
      </c>
      <c r="BZ1071">
        <f t="shared" si="152"/>
        <v>0</v>
      </c>
      <c r="CA1071">
        <f t="shared" si="153"/>
        <v>0</v>
      </c>
      <c r="CB1071" t="b">
        <f t="shared" si="154"/>
        <v>1</v>
      </c>
    </row>
    <row r="1072" spans="1:80" x14ac:dyDescent="0.3">
      <c r="A1072" t="s">
        <v>8554</v>
      </c>
      <c r="B1072" t="s">
        <v>71</v>
      </c>
      <c r="C1072" t="s">
        <v>8555</v>
      </c>
      <c r="D1072">
        <v>32</v>
      </c>
      <c r="E1072" t="s">
        <v>8556</v>
      </c>
      <c r="F1072" t="s">
        <v>1904</v>
      </c>
      <c r="G1072" t="s">
        <v>385</v>
      </c>
      <c r="H1072" t="s">
        <v>89</v>
      </c>
      <c r="I1072" t="s">
        <v>2237</v>
      </c>
      <c r="J1072" t="s">
        <v>78</v>
      </c>
      <c r="K1072" t="s">
        <v>6498</v>
      </c>
      <c r="L1072" t="s">
        <v>762</v>
      </c>
      <c r="M1072">
        <v>21</v>
      </c>
      <c r="N1072" t="s">
        <v>214</v>
      </c>
      <c r="O1072">
        <v>2014</v>
      </c>
      <c r="P1072" t="s">
        <v>8557</v>
      </c>
      <c r="Q1072" t="s">
        <v>8558</v>
      </c>
      <c r="R1072">
        <v>242532</v>
      </c>
      <c r="S1072" t="s">
        <v>8559</v>
      </c>
      <c r="T1072" t="s">
        <v>8560</v>
      </c>
      <c r="U1072">
        <v>1993</v>
      </c>
      <c r="V1072" t="s">
        <v>214</v>
      </c>
      <c r="W1072">
        <v>1.75</v>
      </c>
      <c r="X1072" t="s">
        <v>76</v>
      </c>
      <c r="Y1072" t="s">
        <v>494</v>
      </c>
      <c r="Z1072" t="s">
        <v>87</v>
      </c>
      <c r="AA1072" t="s">
        <v>539</v>
      </c>
      <c r="AB1072">
        <v>45666</v>
      </c>
      <c r="AC1072" t="s">
        <v>170</v>
      </c>
      <c r="AD1072" t="s">
        <v>89</v>
      </c>
      <c r="AE1072" t="s">
        <v>3946</v>
      </c>
      <c r="AF1072">
        <v>21</v>
      </c>
      <c r="AG1072" t="s">
        <v>91</v>
      </c>
      <c r="AH1072" t="s">
        <v>8561</v>
      </c>
      <c r="AI1072">
        <v>24</v>
      </c>
      <c r="AJ1072" t="s">
        <v>110</v>
      </c>
      <c r="AK1072">
        <v>21</v>
      </c>
      <c r="AL1072">
        <v>11</v>
      </c>
      <c r="AM1072">
        <v>673</v>
      </c>
      <c r="AN1072">
        <v>88</v>
      </c>
      <c r="AO1072">
        <v>8</v>
      </c>
      <c r="AP1072" t="s">
        <v>93</v>
      </c>
      <c r="AQ1072" t="s">
        <v>89</v>
      </c>
      <c r="AR1072" t="s">
        <v>89</v>
      </c>
      <c r="AS1072" t="s">
        <v>93</v>
      </c>
      <c r="AT1072" t="s">
        <v>89</v>
      </c>
      <c r="AU1072" t="s">
        <v>89</v>
      </c>
      <c r="AV1072" t="s">
        <v>89</v>
      </c>
      <c r="AW1072">
        <v>11</v>
      </c>
      <c r="AX1072">
        <v>20</v>
      </c>
      <c r="AY1072" t="s">
        <v>93</v>
      </c>
      <c r="AZ1072">
        <v>0</v>
      </c>
      <c r="BA1072">
        <v>0</v>
      </c>
      <c r="BB1072">
        <v>0</v>
      </c>
      <c r="BC1072">
        <v>0</v>
      </c>
      <c r="BD1072">
        <v>206</v>
      </c>
      <c r="BE1072">
        <v>8859</v>
      </c>
      <c r="BF1072">
        <v>23</v>
      </c>
      <c r="BG1072" t="s">
        <v>89</v>
      </c>
      <c r="BH1072">
        <v>206</v>
      </c>
      <c r="BI1072">
        <v>8859</v>
      </c>
      <c r="BJ1072">
        <v>23</v>
      </c>
      <c r="BK1072">
        <f t="shared" si="146"/>
        <v>206</v>
      </c>
      <c r="BL1072">
        <f t="shared" si="147"/>
        <v>8859</v>
      </c>
      <c r="BM1072">
        <f t="shared" si="148"/>
        <v>23</v>
      </c>
      <c r="BN1072">
        <f t="shared" si="149"/>
        <v>0</v>
      </c>
      <c r="BO1072">
        <f t="shared" si="150"/>
        <v>0</v>
      </c>
      <c r="BP1072">
        <f t="shared" si="151"/>
        <v>0</v>
      </c>
      <c r="BQ1072" t="s">
        <v>494</v>
      </c>
      <c r="BR1072" t="s">
        <v>112</v>
      </c>
      <c r="BS1072" t="s">
        <v>89</v>
      </c>
      <c r="BT1072">
        <v>33</v>
      </c>
      <c r="BU1072" t="s">
        <v>89</v>
      </c>
      <c r="BV1072" t="s">
        <v>89</v>
      </c>
      <c r="BW1072">
        <v>12</v>
      </c>
      <c r="BX1072">
        <v>1993</v>
      </c>
      <c r="BY1072">
        <v>11</v>
      </c>
      <c r="BZ1072">
        <f t="shared" si="152"/>
        <v>-1</v>
      </c>
      <c r="CA1072">
        <f t="shared" si="153"/>
        <v>1</v>
      </c>
      <c r="CB1072" t="b">
        <f t="shared" si="154"/>
        <v>0</v>
      </c>
    </row>
    <row r="1073" spans="1:80" x14ac:dyDescent="0.3">
      <c r="A1073" t="s">
        <v>8562</v>
      </c>
      <c r="B1073" t="s">
        <v>71</v>
      </c>
      <c r="C1073" t="s">
        <v>8563</v>
      </c>
      <c r="D1073">
        <v>46</v>
      </c>
      <c r="E1073" s="1">
        <v>28880</v>
      </c>
      <c r="F1073" t="s">
        <v>89</v>
      </c>
      <c r="G1073" t="s">
        <v>97</v>
      </c>
      <c r="H1073" t="s">
        <v>89</v>
      </c>
      <c r="I1073" t="s">
        <v>178</v>
      </c>
      <c r="J1073" t="s">
        <v>78</v>
      </c>
      <c r="K1073" t="s">
        <v>89</v>
      </c>
      <c r="L1073" t="s">
        <v>845</v>
      </c>
      <c r="M1073">
        <v>23</v>
      </c>
      <c r="N1073" t="s">
        <v>279</v>
      </c>
      <c r="O1073">
        <v>2002</v>
      </c>
      <c r="P1073" t="s">
        <v>8564</v>
      </c>
      <c r="Q1073" t="s">
        <v>8565</v>
      </c>
      <c r="R1073">
        <v>57800</v>
      </c>
      <c r="S1073" t="s">
        <v>8566</v>
      </c>
      <c r="T1073" t="s">
        <v>8567</v>
      </c>
      <c r="U1073">
        <v>1979</v>
      </c>
      <c r="V1073" t="s">
        <v>8568</v>
      </c>
      <c r="W1073">
        <v>1.81</v>
      </c>
      <c r="X1073" t="s">
        <v>76</v>
      </c>
      <c r="Y1073" t="s">
        <v>186</v>
      </c>
      <c r="Z1073" t="s">
        <v>87</v>
      </c>
      <c r="AA1073" t="s">
        <v>337</v>
      </c>
      <c r="AB1073" s="1">
        <v>43107</v>
      </c>
      <c r="AC1073" t="s">
        <v>108</v>
      </c>
      <c r="AD1073" t="s">
        <v>89</v>
      </c>
      <c r="AE1073" s="1">
        <v>39489</v>
      </c>
      <c r="AF1073">
        <v>29</v>
      </c>
      <c r="AG1073" t="s">
        <v>91</v>
      </c>
      <c r="AH1073" t="s">
        <v>8569</v>
      </c>
      <c r="AI1073">
        <v>24</v>
      </c>
      <c r="AJ1073" t="s">
        <v>110</v>
      </c>
      <c r="AK1073">
        <v>24</v>
      </c>
      <c r="AL1073">
        <v>4</v>
      </c>
      <c r="AM1073">
        <v>87</v>
      </c>
      <c r="AN1073">
        <v>11</v>
      </c>
      <c r="AO1073">
        <v>4</v>
      </c>
      <c r="AP1073" t="s">
        <v>93</v>
      </c>
      <c r="AQ1073" t="s">
        <v>89</v>
      </c>
      <c r="AR1073" t="s">
        <v>89</v>
      </c>
      <c r="AS1073" t="s">
        <v>111</v>
      </c>
      <c r="AT1073" s="1">
        <v>43107</v>
      </c>
      <c r="AU1073">
        <v>2018</v>
      </c>
      <c r="AV1073">
        <v>16</v>
      </c>
      <c r="AW1073">
        <v>16</v>
      </c>
      <c r="AX1073" t="s">
        <v>89</v>
      </c>
      <c r="AY1073" t="s">
        <v>93</v>
      </c>
      <c r="AZ1073">
        <v>0</v>
      </c>
      <c r="BA1073">
        <v>0</v>
      </c>
      <c r="BB1073">
        <v>0</v>
      </c>
      <c r="BC1073">
        <v>0</v>
      </c>
      <c r="BD1073">
        <v>384</v>
      </c>
      <c r="BE1073">
        <v>34514</v>
      </c>
      <c r="BF1073">
        <v>421</v>
      </c>
      <c r="BG1073">
        <v>39</v>
      </c>
      <c r="BH1073">
        <v>384</v>
      </c>
      <c r="BI1073">
        <v>34514</v>
      </c>
      <c r="BJ1073">
        <v>421</v>
      </c>
      <c r="BK1073">
        <f t="shared" si="146"/>
        <v>384</v>
      </c>
      <c r="BL1073">
        <f t="shared" si="147"/>
        <v>34514</v>
      </c>
      <c r="BM1073">
        <f t="shared" si="148"/>
        <v>421</v>
      </c>
      <c r="BN1073">
        <f t="shared" si="149"/>
        <v>0</v>
      </c>
      <c r="BO1073">
        <f t="shared" si="150"/>
        <v>0</v>
      </c>
      <c r="BP1073">
        <f t="shared" si="151"/>
        <v>0</v>
      </c>
      <c r="BQ1073" t="s">
        <v>186</v>
      </c>
      <c r="BR1073" t="s">
        <v>186</v>
      </c>
      <c r="BS1073" t="s">
        <v>89</v>
      </c>
      <c r="BT1073">
        <v>47</v>
      </c>
      <c r="BU1073" s="1">
        <v>43107</v>
      </c>
      <c r="BV1073" s="1">
        <v>43282</v>
      </c>
      <c r="BW1073">
        <v>15</v>
      </c>
      <c r="BX1073">
        <v>1979</v>
      </c>
      <c r="BY1073">
        <v>15</v>
      </c>
      <c r="BZ1073">
        <f t="shared" si="152"/>
        <v>1</v>
      </c>
      <c r="CA1073">
        <f t="shared" si="153"/>
        <v>0</v>
      </c>
      <c r="CB1073" t="b">
        <f t="shared" si="154"/>
        <v>0</v>
      </c>
    </row>
    <row r="1074" spans="1:80" x14ac:dyDescent="0.3">
      <c r="A1074" t="s">
        <v>8562</v>
      </c>
      <c r="B1074" t="s">
        <v>89</v>
      </c>
      <c r="C1074" t="s">
        <v>8570</v>
      </c>
      <c r="D1074">
        <v>39</v>
      </c>
      <c r="E1074" s="1">
        <v>31453</v>
      </c>
      <c r="F1074" t="s">
        <v>89</v>
      </c>
      <c r="G1074" t="s">
        <v>1381</v>
      </c>
      <c r="H1074" t="s">
        <v>76</v>
      </c>
      <c r="I1074" t="s">
        <v>178</v>
      </c>
      <c r="J1074" t="s">
        <v>78</v>
      </c>
      <c r="K1074" t="s">
        <v>89</v>
      </c>
      <c r="L1074" t="s">
        <v>117</v>
      </c>
      <c r="M1074">
        <v>19</v>
      </c>
      <c r="N1074" t="s">
        <v>81</v>
      </c>
      <c r="O1074">
        <v>2005</v>
      </c>
      <c r="P1074" t="s">
        <v>8571</v>
      </c>
      <c r="Q1074" t="s">
        <v>8572</v>
      </c>
      <c r="R1074">
        <v>37403</v>
      </c>
      <c r="S1074" t="s">
        <v>8562</v>
      </c>
      <c r="T1074" t="s">
        <v>8573</v>
      </c>
      <c r="U1074">
        <v>1986</v>
      </c>
      <c r="V1074" t="s">
        <v>122</v>
      </c>
      <c r="W1074">
        <v>1.92</v>
      </c>
      <c r="X1074" t="s">
        <v>76</v>
      </c>
      <c r="Y1074" t="s">
        <v>186</v>
      </c>
      <c r="Z1074" t="s">
        <v>87</v>
      </c>
      <c r="AA1074" t="s">
        <v>107</v>
      </c>
      <c r="AB1074" s="1">
        <v>44903</v>
      </c>
      <c r="AC1074" t="s">
        <v>108</v>
      </c>
      <c r="AD1074" t="s">
        <v>89</v>
      </c>
      <c r="AE1074" t="s">
        <v>485</v>
      </c>
      <c r="AF1074">
        <v>19</v>
      </c>
      <c r="AG1074" t="s">
        <v>91</v>
      </c>
      <c r="AH1074" t="s">
        <v>449</v>
      </c>
      <c r="AI1074">
        <v>21</v>
      </c>
      <c r="AJ1074" t="s">
        <v>110</v>
      </c>
      <c r="AK1074">
        <v>19</v>
      </c>
      <c r="AL1074">
        <v>9</v>
      </c>
      <c r="AM1074">
        <v>221</v>
      </c>
      <c r="AN1074">
        <v>35</v>
      </c>
      <c r="AO1074">
        <v>8</v>
      </c>
      <c r="AP1074" t="s">
        <v>93</v>
      </c>
      <c r="AQ1074" t="s">
        <v>89</v>
      </c>
      <c r="AR1074" t="s">
        <v>89</v>
      </c>
      <c r="AS1074" t="s">
        <v>111</v>
      </c>
      <c r="AT1074" s="1">
        <v>44903</v>
      </c>
      <c r="AU1074">
        <v>2022</v>
      </c>
      <c r="AV1074">
        <v>17</v>
      </c>
      <c r="AW1074">
        <v>17</v>
      </c>
      <c r="AX1074" t="s">
        <v>89</v>
      </c>
      <c r="AY1074" t="s">
        <v>93</v>
      </c>
      <c r="AZ1074">
        <v>0</v>
      </c>
      <c r="BA1074">
        <v>0</v>
      </c>
      <c r="BB1074">
        <v>0</v>
      </c>
      <c r="BC1074">
        <v>0</v>
      </c>
      <c r="BD1074">
        <v>374</v>
      </c>
      <c r="BE1074">
        <v>33366</v>
      </c>
      <c r="BF1074">
        <v>0</v>
      </c>
      <c r="BG1074">
        <v>36</v>
      </c>
      <c r="BH1074">
        <v>374</v>
      </c>
      <c r="BI1074">
        <v>33366</v>
      </c>
      <c r="BJ1074">
        <v>0</v>
      </c>
      <c r="BK1074">
        <f t="shared" si="146"/>
        <v>374</v>
      </c>
      <c r="BL1074">
        <f t="shared" si="147"/>
        <v>33366</v>
      </c>
      <c r="BM1074">
        <f t="shared" si="148"/>
        <v>0</v>
      </c>
      <c r="BN1074">
        <f t="shared" si="149"/>
        <v>0</v>
      </c>
      <c r="BO1074">
        <f t="shared" si="150"/>
        <v>0</v>
      </c>
      <c r="BP1074">
        <f t="shared" si="151"/>
        <v>0</v>
      </c>
      <c r="BQ1074" t="s">
        <v>186</v>
      </c>
      <c r="BR1074" t="s">
        <v>186</v>
      </c>
      <c r="BS1074" t="s">
        <v>89</v>
      </c>
      <c r="BT1074">
        <v>40</v>
      </c>
      <c r="BU1074" s="1">
        <v>44903</v>
      </c>
      <c r="BV1074" s="1">
        <v>44785</v>
      </c>
      <c r="BW1074">
        <v>17</v>
      </c>
      <c r="BX1074">
        <v>1986</v>
      </c>
      <c r="BY1074">
        <v>17</v>
      </c>
      <c r="BZ1074">
        <f t="shared" si="152"/>
        <v>0</v>
      </c>
      <c r="CA1074">
        <f t="shared" si="153"/>
        <v>0</v>
      </c>
      <c r="CB1074" t="b">
        <f t="shared" si="154"/>
        <v>1</v>
      </c>
    </row>
    <row r="1075" spans="1:80" x14ac:dyDescent="0.3">
      <c r="A1075" t="s">
        <v>8574</v>
      </c>
      <c r="B1075" t="s">
        <v>71</v>
      </c>
      <c r="C1075" t="s">
        <v>8575</v>
      </c>
      <c r="D1075">
        <v>37</v>
      </c>
      <c r="E1075" s="1">
        <v>32180</v>
      </c>
      <c r="F1075" t="s">
        <v>89</v>
      </c>
      <c r="G1075" t="s">
        <v>413</v>
      </c>
      <c r="H1075" t="s">
        <v>76</v>
      </c>
      <c r="I1075" t="s">
        <v>195</v>
      </c>
      <c r="J1075" t="s">
        <v>300</v>
      </c>
      <c r="K1075" t="s">
        <v>89</v>
      </c>
      <c r="L1075" t="s">
        <v>163</v>
      </c>
      <c r="M1075">
        <v>18</v>
      </c>
      <c r="N1075" t="s">
        <v>279</v>
      </c>
      <c r="O1075">
        <v>2006</v>
      </c>
      <c r="P1075" t="s">
        <v>8576</v>
      </c>
      <c r="Q1075" t="s">
        <v>8577</v>
      </c>
      <c r="R1075">
        <v>57785</v>
      </c>
      <c r="S1075" t="s">
        <v>8574</v>
      </c>
      <c r="T1075" s="1">
        <v>32326</v>
      </c>
      <c r="U1075">
        <v>1988</v>
      </c>
      <c r="V1075" t="s">
        <v>8578</v>
      </c>
      <c r="W1075">
        <v>1.79</v>
      </c>
      <c r="X1075" t="s">
        <v>76</v>
      </c>
      <c r="Y1075" t="s">
        <v>203</v>
      </c>
      <c r="Z1075" t="s">
        <v>152</v>
      </c>
      <c r="AA1075" t="s">
        <v>909</v>
      </c>
      <c r="AB1075" t="s">
        <v>8579</v>
      </c>
      <c r="AC1075" t="s">
        <v>108</v>
      </c>
      <c r="AD1075" t="s">
        <v>89</v>
      </c>
      <c r="AE1075" t="s">
        <v>719</v>
      </c>
      <c r="AF1075">
        <v>20</v>
      </c>
      <c r="AG1075" t="s">
        <v>91</v>
      </c>
      <c r="AH1075" t="s">
        <v>2043</v>
      </c>
      <c r="AI1075">
        <v>18</v>
      </c>
      <c r="AJ1075" t="s">
        <v>110</v>
      </c>
      <c r="AK1075">
        <v>18</v>
      </c>
      <c r="AL1075">
        <v>4</v>
      </c>
      <c r="AM1075">
        <v>138</v>
      </c>
      <c r="AN1075">
        <v>20</v>
      </c>
      <c r="AO1075">
        <v>3</v>
      </c>
      <c r="AP1075" t="s">
        <v>93</v>
      </c>
      <c r="AQ1075" t="s">
        <v>89</v>
      </c>
      <c r="AR1075" t="s">
        <v>89</v>
      </c>
      <c r="AS1075" t="s">
        <v>111</v>
      </c>
      <c r="AT1075" t="s">
        <v>8579</v>
      </c>
      <c r="AU1075">
        <v>2023</v>
      </c>
      <c r="AV1075">
        <v>17</v>
      </c>
      <c r="AW1075">
        <v>17</v>
      </c>
      <c r="AX1075" t="s">
        <v>89</v>
      </c>
      <c r="AY1075" t="s">
        <v>93</v>
      </c>
      <c r="AZ1075">
        <v>0</v>
      </c>
      <c r="BA1075">
        <v>0</v>
      </c>
      <c r="BB1075">
        <v>0</v>
      </c>
      <c r="BC1075">
        <v>0</v>
      </c>
      <c r="BD1075">
        <v>394</v>
      </c>
      <c r="BE1075">
        <v>31773</v>
      </c>
      <c r="BF1075">
        <v>8</v>
      </c>
      <c r="BG1075">
        <v>35</v>
      </c>
      <c r="BH1075">
        <v>394</v>
      </c>
      <c r="BI1075">
        <v>31773</v>
      </c>
      <c r="BJ1075">
        <v>8</v>
      </c>
      <c r="BK1075">
        <f t="shared" si="146"/>
        <v>394</v>
      </c>
      <c r="BL1075">
        <f t="shared" si="147"/>
        <v>31773</v>
      </c>
      <c r="BM1075">
        <f t="shared" si="148"/>
        <v>8</v>
      </c>
      <c r="BN1075">
        <f t="shared" si="149"/>
        <v>0</v>
      </c>
      <c r="BO1075">
        <f t="shared" si="150"/>
        <v>0</v>
      </c>
      <c r="BP1075">
        <f t="shared" si="151"/>
        <v>0</v>
      </c>
      <c r="BQ1075" t="s">
        <v>203</v>
      </c>
      <c r="BR1075" t="s">
        <v>140</v>
      </c>
      <c r="BS1075" s="1">
        <v>32180</v>
      </c>
      <c r="BT1075">
        <v>38</v>
      </c>
      <c r="BU1075" t="s">
        <v>8579</v>
      </c>
      <c r="BV1075" s="1">
        <v>45214</v>
      </c>
      <c r="BW1075">
        <v>17</v>
      </c>
      <c r="BX1075">
        <v>1988</v>
      </c>
      <c r="BY1075">
        <v>17</v>
      </c>
      <c r="BZ1075">
        <f t="shared" si="152"/>
        <v>0</v>
      </c>
      <c r="CA1075">
        <f t="shared" si="153"/>
        <v>0</v>
      </c>
      <c r="CB1075" t="b">
        <f t="shared" si="154"/>
        <v>1</v>
      </c>
    </row>
    <row r="1076" spans="1:80" x14ac:dyDescent="0.3">
      <c r="A1076" t="s">
        <v>8580</v>
      </c>
      <c r="B1076" t="s">
        <v>8581</v>
      </c>
      <c r="C1076" t="s">
        <v>8582</v>
      </c>
      <c r="D1076">
        <v>31</v>
      </c>
      <c r="E1076">
        <v>34478</v>
      </c>
      <c r="F1076" t="s">
        <v>89</v>
      </c>
      <c r="G1076" t="s">
        <v>400</v>
      </c>
      <c r="H1076" t="s">
        <v>8583</v>
      </c>
      <c r="I1076" t="s">
        <v>8584</v>
      </c>
      <c r="J1076" t="s">
        <v>639</v>
      </c>
      <c r="K1076" t="s">
        <v>89</v>
      </c>
      <c r="L1076" t="s">
        <v>324</v>
      </c>
      <c r="M1076">
        <v>19</v>
      </c>
      <c r="N1076" t="s">
        <v>1047</v>
      </c>
      <c r="O1076">
        <v>2013</v>
      </c>
      <c r="P1076" t="s">
        <v>8585</v>
      </c>
      <c r="Q1076" t="s">
        <v>8586</v>
      </c>
      <c r="R1076">
        <v>189525</v>
      </c>
      <c r="S1076" t="s">
        <v>8580</v>
      </c>
      <c r="T1076" t="s">
        <v>8587</v>
      </c>
      <c r="U1076">
        <v>1994</v>
      </c>
      <c r="V1076" t="s">
        <v>8588</v>
      </c>
      <c r="W1076">
        <v>1.82</v>
      </c>
      <c r="X1076" t="s">
        <v>8583</v>
      </c>
      <c r="Y1076" t="s">
        <v>235</v>
      </c>
      <c r="Z1076" t="s">
        <v>89</v>
      </c>
      <c r="AA1076" t="s">
        <v>476</v>
      </c>
      <c r="AB1076">
        <v>45658</v>
      </c>
      <c r="AC1076" t="s">
        <v>108</v>
      </c>
      <c r="AD1076" t="s">
        <v>89</v>
      </c>
      <c r="AE1076" t="s">
        <v>8589</v>
      </c>
      <c r="AF1076">
        <v>18</v>
      </c>
      <c r="AG1076" t="s">
        <v>8590</v>
      </c>
      <c r="AH1076" t="s">
        <v>92</v>
      </c>
      <c r="AI1076" t="s">
        <v>89</v>
      </c>
      <c r="AJ1076" t="s">
        <v>92</v>
      </c>
      <c r="AK1076">
        <v>18</v>
      </c>
      <c r="AL1076">
        <v>2</v>
      </c>
      <c r="AM1076">
        <v>210</v>
      </c>
      <c r="AN1076">
        <v>42</v>
      </c>
      <c r="AO1076">
        <v>2</v>
      </c>
      <c r="AP1076" t="s">
        <v>93</v>
      </c>
      <c r="AQ1076" t="s">
        <v>89</v>
      </c>
      <c r="AR1076" t="s">
        <v>89</v>
      </c>
      <c r="AS1076" t="s">
        <v>93</v>
      </c>
      <c r="AT1076" t="s">
        <v>89</v>
      </c>
      <c r="AU1076" t="s">
        <v>89</v>
      </c>
      <c r="AV1076" t="s">
        <v>89</v>
      </c>
      <c r="AW1076">
        <v>12</v>
      </c>
      <c r="AX1076" t="s">
        <v>89</v>
      </c>
      <c r="AY1076" t="s">
        <v>111</v>
      </c>
      <c r="AZ1076">
        <v>7</v>
      </c>
      <c r="BA1076">
        <v>14</v>
      </c>
      <c r="BB1076">
        <v>1021</v>
      </c>
      <c r="BC1076">
        <v>1</v>
      </c>
      <c r="BD1076">
        <v>10</v>
      </c>
      <c r="BE1076">
        <v>613</v>
      </c>
      <c r="BF1076">
        <v>0</v>
      </c>
      <c r="BG1076" t="s">
        <v>89</v>
      </c>
      <c r="BH1076">
        <v>24</v>
      </c>
      <c r="BI1076">
        <v>1634</v>
      </c>
      <c r="BJ1076">
        <v>1</v>
      </c>
      <c r="BK1076">
        <f t="shared" si="146"/>
        <v>24</v>
      </c>
      <c r="BL1076">
        <f t="shared" si="147"/>
        <v>1634</v>
      </c>
      <c r="BM1076">
        <f t="shared" si="148"/>
        <v>1</v>
      </c>
      <c r="BN1076">
        <f t="shared" si="149"/>
        <v>0</v>
      </c>
      <c r="BO1076">
        <f t="shared" si="150"/>
        <v>0</v>
      </c>
      <c r="BP1076">
        <f t="shared" si="151"/>
        <v>0</v>
      </c>
      <c r="BQ1076" t="s">
        <v>235</v>
      </c>
      <c r="BR1076" t="s">
        <v>140</v>
      </c>
      <c r="BS1076" s="1">
        <v>34478</v>
      </c>
      <c r="BT1076">
        <v>31</v>
      </c>
      <c r="BU1076" t="s">
        <v>89</v>
      </c>
      <c r="BV1076" t="s">
        <v>89</v>
      </c>
      <c r="BW1076">
        <v>13</v>
      </c>
      <c r="BX1076">
        <v>1994</v>
      </c>
      <c r="BY1076">
        <v>13</v>
      </c>
      <c r="BZ1076">
        <f t="shared" si="152"/>
        <v>-1</v>
      </c>
      <c r="CA1076">
        <f t="shared" si="153"/>
        <v>0</v>
      </c>
      <c r="CB1076" t="b">
        <f t="shared" si="154"/>
        <v>0</v>
      </c>
    </row>
    <row r="1077" spans="1:80" x14ac:dyDescent="0.3">
      <c r="A1077" t="s">
        <v>8591</v>
      </c>
      <c r="B1077" t="s">
        <v>71</v>
      </c>
      <c r="C1077" t="s">
        <v>8592</v>
      </c>
      <c r="D1077">
        <v>39</v>
      </c>
      <c r="E1077" s="1">
        <v>31289</v>
      </c>
      <c r="F1077" t="s">
        <v>89</v>
      </c>
      <c r="G1077" t="s">
        <v>75</v>
      </c>
      <c r="H1077" t="s">
        <v>89</v>
      </c>
      <c r="I1077" t="s">
        <v>322</v>
      </c>
      <c r="J1077" t="s">
        <v>300</v>
      </c>
      <c r="K1077" t="s">
        <v>89</v>
      </c>
      <c r="L1077" t="s">
        <v>180</v>
      </c>
      <c r="M1077">
        <v>21</v>
      </c>
      <c r="N1077" t="s">
        <v>289</v>
      </c>
      <c r="O1077">
        <v>2007</v>
      </c>
      <c r="P1077" t="s">
        <v>8593</v>
      </c>
      <c r="Q1077" t="s">
        <v>8594</v>
      </c>
      <c r="R1077">
        <v>17491</v>
      </c>
      <c r="S1077" t="s">
        <v>8591</v>
      </c>
      <c r="T1077" t="s">
        <v>8595</v>
      </c>
      <c r="U1077">
        <v>1985</v>
      </c>
      <c r="V1077" t="s">
        <v>1727</v>
      </c>
      <c r="W1077">
        <v>1.78</v>
      </c>
      <c r="X1077" t="s">
        <v>76</v>
      </c>
      <c r="Y1077" t="s">
        <v>203</v>
      </c>
      <c r="Z1077" t="s">
        <v>152</v>
      </c>
      <c r="AA1077" t="s">
        <v>3691</v>
      </c>
      <c r="AB1077" s="1">
        <v>43107</v>
      </c>
      <c r="AC1077" t="s">
        <v>108</v>
      </c>
      <c r="AD1077" t="s">
        <v>89</v>
      </c>
      <c r="AE1077" t="s">
        <v>294</v>
      </c>
      <c r="AF1077">
        <v>26</v>
      </c>
      <c r="AG1077" t="s">
        <v>91</v>
      </c>
      <c r="AH1077" t="s">
        <v>449</v>
      </c>
      <c r="AI1077">
        <v>21</v>
      </c>
      <c r="AJ1077" t="s">
        <v>110</v>
      </c>
      <c r="AK1077">
        <v>21</v>
      </c>
      <c r="AL1077">
        <v>3</v>
      </c>
      <c r="AM1077">
        <v>124</v>
      </c>
      <c r="AN1077">
        <v>18</v>
      </c>
      <c r="AO1077">
        <v>2</v>
      </c>
      <c r="AP1077" t="s">
        <v>93</v>
      </c>
      <c r="AQ1077" t="s">
        <v>89</v>
      </c>
      <c r="AR1077" t="s">
        <v>89</v>
      </c>
      <c r="AS1077" t="s">
        <v>111</v>
      </c>
      <c r="AT1077">
        <v>43107</v>
      </c>
      <c r="AU1077">
        <v>2018</v>
      </c>
      <c r="AV1077">
        <v>11</v>
      </c>
      <c r="AW1077">
        <v>11</v>
      </c>
      <c r="AX1077" t="s">
        <v>89</v>
      </c>
      <c r="AY1077" t="s">
        <v>93</v>
      </c>
      <c r="AZ1077">
        <v>0</v>
      </c>
      <c r="BA1077">
        <v>0</v>
      </c>
      <c r="BB1077">
        <v>0</v>
      </c>
      <c r="BC1077">
        <v>0</v>
      </c>
      <c r="BD1077">
        <v>261</v>
      </c>
      <c r="BE1077">
        <v>21117</v>
      </c>
      <c r="BF1077">
        <v>6</v>
      </c>
      <c r="BG1077">
        <v>33</v>
      </c>
      <c r="BH1077">
        <v>261</v>
      </c>
      <c r="BI1077">
        <v>21117</v>
      </c>
      <c r="BJ1077">
        <v>6</v>
      </c>
      <c r="BK1077">
        <f t="shared" si="146"/>
        <v>261</v>
      </c>
      <c r="BL1077">
        <f t="shared" si="147"/>
        <v>21117</v>
      </c>
      <c r="BM1077">
        <f t="shared" si="148"/>
        <v>6</v>
      </c>
      <c r="BN1077">
        <f t="shared" si="149"/>
        <v>0</v>
      </c>
      <c r="BO1077">
        <f t="shared" si="150"/>
        <v>0</v>
      </c>
      <c r="BP1077">
        <f t="shared" si="151"/>
        <v>0</v>
      </c>
      <c r="BQ1077" t="s">
        <v>203</v>
      </c>
      <c r="BR1077" t="s">
        <v>140</v>
      </c>
      <c r="BS1077" s="1">
        <v>31289</v>
      </c>
      <c r="BT1077">
        <v>40</v>
      </c>
      <c r="BU1077">
        <v>43107</v>
      </c>
      <c r="BV1077" t="s">
        <v>89</v>
      </c>
      <c r="BW1077">
        <v>12</v>
      </c>
      <c r="BX1077">
        <v>1985</v>
      </c>
      <c r="BY1077">
        <v>12</v>
      </c>
      <c r="BZ1077">
        <f t="shared" si="152"/>
        <v>-1</v>
      </c>
      <c r="CA1077">
        <f t="shared" si="153"/>
        <v>0</v>
      </c>
      <c r="CB1077" t="b">
        <f t="shared" si="154"/>
        <v>0</v>
      </c>
    </row>
    <row r="1078" spans="1:80" x14ac:dyDescent="0.3">
      <c r="A1078" t="s">
        <v>8596</v>
      </c>
      <c r="B1078" t="s">
        <v>1305</v>
      </c>
      <c r="C1078" t="s">
        <v>8597</v>
      </c>
      <c r="D1078">
        <v>36</v>
      </c>
      <c r="E1078" t="s">
        <v>8598</v>
      </c>
      <c r="F1078" t="s">
        <v>6104</v>
      </c>
      <c r="G1078" t="s">
        <v>211</v>
      </c>
      <c r="H1078" t="s">
        <v>1307</v>
      </c>
      <c r="I1078" t="s">
        <v>8599</v>
      </c>
      <c r="J1078" t="s">
        <v>78</v>
      </c>
      <c r="K1078" t="s">
        <v>8600</v>
      </c>
      <c r="L1078" t="s">
        <v>180</v>
      </c>
      <c r="M1078">
        <v>18</v>
      </c>
      <c r="N1078" t="s">
        <v>8601</v>
      </c>
      <c r="O1078">
        <v>2007</v>
      </c>
      <c r="P1078" t="s">
        <v>8602</v>
      </c>
      <c r="Q1078" t="s">
        <v>8603</v>
      </c>
      <c r="R1078">
        <v>49500</v>
      </c>
      <c r="S1078" t="s">
        <v>8596</v>
      </c>
      <c r="T1078" t="s">
        <v>8604</v>
      </c>
      <c r="U1078">
        <v>1988</v>
      </c>
      <c r="V1078" t="s">
        <v>1312</v>
      </c>
      <c r="W1078">
        <v>1.74</v>
      </c>
      <c r="X1078" t="s">
        <v>1313</v>
      </c>
      <c r="Y1078" t="s">
        <v>136</v>
      </c>
      <c r="Z1078" t="s">
        <v>87</v>
      </c>
      <c r="AA1078" t="s">
        <v>8605</v>
      </c>
      <c r="AB1078" t="s">
        <v>8606</v>
      </c>
      <c r="AC1078" t="s">
        <v>1615</v>
      </c>
      <c r="AD1078" t="s">
        <v>223</v>
      </c>
      <c r="AE1078" t="s">
        <v>636</v>
      </c>
      <c r="AF1078">
        <v>18</v>
      </c>
      <c r="AG1078" t="s">
        <v>1161</v>
      </c>
      <c r="AH1078" s="1">
        <v>44174</v>
      </c>
      <c r="AI1078">
        <v>31</v>
      </c>
      <c r="AJ1078" t="s">
        <v>110</v>
      </c>
      <c r="AK1078">
        <v>18</v>
      </c>
      <c r="AL1078">
        <v>8</v>
      </c>
      <c r="AM1078">
        <v>268</v>
      </c>
      <c r="AN1078">
        <v>39</v>
      </c>
      <c r="AO1078">
        <v>7</v>
      </c>
      <c r="AP1078" t="s">
        <v>93</v>
      </c>
      <c r="AQ1078" t="s">
        <v>89</v>
      </c>
      <c r="AR1078" t="s">
        <v>89</v>
      </c>
      <c r="AS1078" t="s">
        <v>93</v>
      </c>
      <c r="AT1078" t="s">
        <v>89</v>
      </c>
      <c r="AU1078" t="s">
        <v>89</v>
      </c>
      <c r="AV1078" t="s">
        <v>89</v>
      </c>
      <c r="AW1078">
        <v>18</v>
      </c>
      <c r="AX1078">
        <v>18</v>
      </c>
      <c r="AY1078" t="s">
        <v>111</v>
      </c>
      <c r="AZ1078">
        <v>12</v>
      </c>
      <c r="BA1078">
        <v>41</v>
      </c>
      <c r="BB1078">
        <v>3118</v>
      </c>
      <c r="BC1078">
        <v>1</v>
      </c>
      <c r="BD1078">
        <v>490</v>
      </c>
      <c r="BE1078">
        <v>39914</v>
      </c>
      <c r="BF1078">
        <v>19</v>
      </c>
      <c r="BG1078" t="s">
        <v>89</v>
      </c>
      <c r="BH1078">
        <v>531</v>
      </c>
      <c r="BI1078">
        <v>43032</v>
      </c>
      <c r="BJ1078">
        <v>20</v>
      </c>
      <c r="BK1078">
        <f t="shared" si="146"/>
        <v>531</v>
      </c>
      <c r="BL1078">
        <f t="shared" si="147"/>
        <v>43032</v>
      </c>
      <c r="BM1078">
        <f t="shared" si="148"/>
        <v>20</v>
      </c>
      <c r="BN1078">
        <f t="shared" si="149"/>
        <v>0</v>
      </c>
      <c r="BO1078">
        <f t="shared" si="150"/>
        <v>0</v>
      </c>
      <c r="BP1078">
        <f t="shared" si="151"/>
        <v>0</v>
      </c>
      <c r="BQ1078" t="s">
        <v>136</v>
      </c>
      <c r="BR1078" t="s">
        <v>140</v>
      </c>
      <c r="BS1078" s="1">
        <v>32467</v>
      </c>
      <c r="BT1078">
        <v>37</v>
      </c>
      <c r="BU1078" t="s">
        <v>89</v>
      </c>
      <c r="BV1078" t="s">
        <v>89</v>
      </c>
      <c r="BW1078">
        <v>19</v>
      </c>
      <c r="BX1078">
        <v>1988</v>
      </c>
      <c r="BY1078">
        <v>18</v>
      </c>
      <c r="BZ1078">
        <f t="shared" si="152"/>
        <v>-1</v>
      </c>
      <c r="CA1078">
        <f t="shared" si="153"/>
        <v>1</v>
      </c>
      <c r="CB1078" t="b">
        <f t="shared" si="154"/>
        <v>0</v>
      </c>
    </row>
    <row r="1079" spans="1:80" x14ac:dyDescent="0.3">
      <c r="A1079" t="s">
        <v>8607</v>
      </c>
      <c r="B1079" t="s">
        <v>71</v>
      </c>
      <c r="C1079" t="s">
        <v>8608</v>
      </c>
      <c r="D1079">
        <v>40</v>
      </c>
      <c r="E1079" s="1">
        <v>31194</v>
      </c>
      <c r="F1079" t="s">
        <v>89</v>
      </c>
      <c r="G1079" t="s">
        <v>321</v>
      </c>
      <c r="H1079" t="s">
        <v>76</v>
      </c>
      <c r="I1079" t="s">
        <v>437</v>
      </c>
      <c r="J1079" t="s">
        <v>78</v>
      </c>
      <c r="K1079" t="s">
        <v>89</v>
      </c>
      <c r="L1079" t="s">
        <v>117</v>
      </c>
      <c r="M1079">
        <v>20</v>
      </c>
      <c r="N1079" t="s">
        <v>268</v>
      </c>
      <c r="O1079">
        <v>2005</v>
      </c>
      <c r="P1079" t="s">
        <v>8609</v>
      </c>
      <c r="Q1079" t="s">
        <v>8610</v>
      </c>
      <c r="R1079">
        <v>34870</v>
      </c>
      <c r="S1079" t="s">
        <v>8607</v>
      </c>
      <c r="T1079" t="s">
        <v>8611</v>
      </c>
      <c r="U1079">
        <v>1985</v>
      </c>
      <c r="V1079" t="s">
        <v>214</v>
      </c>
      <c r="W1079">
        <v>1.8</v>
      </c>
      <c r="X1079" t="s">
        <v>76</v>
      </c>
      <c r="Y1079" t="s">
        <v>123</v>
      </c>
      <c r="Z1079" t="s">
        <v>87</v>
      </c>
      <c r="AA1079" t="s">
        <v>751</v>
      </c>
      <c r="AB1079" s="1">
        <v>44993</v>
      </c>
      <c r="AC1079" t="s">
        <v>108</v>
      </c>
      <c r="AD1079" t="s">
        <v>89</v>
      </c>
      <c r="AE1079" t="s">
        <v>8612</v>
      </c>
      <c r="AF1079">
        <v>20</v>
      </c>
      <c r="AG1079" t="s">
        <v>91</v>
      </c>
      <c r="AH1079" t="s">
        <v>354</v>
      </c>
      <c r="AI1079">
        <v>20</v>
      </c>
      <c r="AJ1079" t="s">
        <v>110</v>
      </c>
      <c r="AK1079">
        <v>20</v>
      </c>
      <c r="AL1079">
        <v>15</v>
      </c>
      <c r="AM1079">
        <v>478</v>
      </c>
      <c r="AN1079">
        <v>89</v>
      </c>
      <c r="AO1079">
        <v>10</v>
      </c>
      <c r="AP1079" t="s">
        <v>93</v>
      </c>
      <c r="AQ1079" t="s">
        <v>89</v>
      </c>
      <c r="AR1079" t="s">
        <v>89</v>
      </c>
      <c r="AS1079" t="s">
        <v>111</v>
      </c>
      <c r="AT1079" s="1">
        <v>44993</v>
      </c>
      <c r="AU1079">
        <v>2023</v>
      </c>
      <c r="AV1079">
        <v>18</v>
      </c>
      <c r="AW1079">
        <v>18</v>
      </c>
      <c r="AX1079" t="s">
        <v>89</v>
      </c>
      <c r="AY1079" t="s">
        <v>111</v>
      </c>
      <c r="AZ1079">
        <v>3</v>
      </c>
      <c r="BA1079">
        <v>5</v>
      </c>
      <c r="BB1079">
        <v>288</v>
      </c>
      <c r="BC1079">
        <v>2</v>
      </c>
      <c r="BD1079">
        <v>574</v>
      </c>
      <c r="BE1079">
        <v>37152</v>
      </c>
      <c r="BF1079">
        <v>212</v>
      </c>
      <c r="BG1079">
        <v>38</v>
      </c>
      <c r="BH1079">
        <v>579</v>
      </c>
      <c r="BI1079">
        <v>37440</v>
      </c>
      <c r="BJ1079">
        <v>214</v>
      </c>
      <c r="BK1079">
        <f t="shared" si="146"/>
        <v>579</v>
      </c>
      <c r="BL1079">
        <f t="shared" si="147"/>
        <v>37440</v>
      </c>
      <c r="BM1079">
        <f t="shared" si="148"/>
        <v>214</v>
      </c>
      <c r="BN1079">
        <f t="shared" si="149"/>
        <v>0</v>
      </c>
      <c r="BO1079">
        <f t="shared" si="150"/>
        <v>0</v>
      </c>
      <c r="BP1079">
        <f t="shared" si="151"/>
        <v>0</v>
      </c>
      <c r="BQ1079" t="s">
        <v>123</v>
      </c>
      <c r="BR1079" t="s">
        <v>112</v>
      </c>
      <c r="BS1079" s="1">
        <v>31194</v>
      </c>
      <c r="BT1079">
        <v>40</v>
      </c>
      <c r="BU1079" s="1">
        <v>44993</v>
      </c>
      <c r="BV1079" s="1">
        <v>45141</v>
      </c>
      <c r="BW1079">
        <v>18</v>
      </c>
      <c r="BX1079">
        <v>1985</v>
      </c>
      <c r="BY1079">
        <v>18</v>
      </c>
      <c r="BZ1079">
        <f t="shared" si="152"/>
        <v>0</v>
      </c>
      <c r="CA1079">
        <f t="shared" si="153"/>
        <v>0</v>
      </c>
      <c r="CB1079" t="b">
        <f t="shared" si="154"/>
        <v>1</v>
      </c>
    </row>
    <row r="1080" spans="1:80" x14ac:dyDescent="0.3">
      <c r="A1080" t="s">
        <v>8613</v>
      </c>
      <c r="B1080" t="s">
        <v>71</v>
      </c>
      <c r="C1080" t="s">
        <v>8614</v>
      </c>
      <c r="D1080">
        <v>36</v>
      </c>
      <c r="E1080">
        <v>32574</v>
      </c>
      <c r="F1080" t="s">
        <v>89</v>
      </c>
      <c r="G1080" t="s">
        <v>75</v>
      </c>
      <c r="H1080" t="s">
        <v>89</v>
      </c>
      <c r="I1080" t="s">
        <v>3616</v>
      </c>
      <c r="J1080" t="s">
        <v>78</v>
      </c>
      <c r="K1080" t="s">
        <v>89</v>
      </c>
      <c r="L1080" t="s">
        <v>278</v>
      </c>
      <c r="M1080">
        <v>22</v>
      </c>
      <c r="N1080" t="s">
        <v>820</v>
      </c>
      <c r="O1080">
        <v>2011</v>
      </c>
      <c r="P1080" t="s">
        <v>8615</v>
      </c>
      <c r="Q1080" t="s">
        <v>8616</v>
      </c>
      <c r="R1080">
        <v>63056</v>
      </c>
      <c r="S1080" t="s">
        <v>8613</v>
      </c>
      <c r="T1080" s="1">
        <v>32692</v>
      </c>
      <c r="U1080">
        <v>1989</v>
      </c>
      <c r="V1080" t="s">
        <v>8617</v>
      </c>
      <c r="W1080">
        <v>1.78</v>
      </c>
      <c r="X1080" t="s">
        <v>76</v>
      </c>
      <c r="Y1080" t="s">
        <v>106</v>
      </c>
      <c r="Z1080" t="s">
        <v>87</v>
      </c>
      <c r="AA1080" t="s">
        <v>476</v>
      </c>
      <c r="AB1080" s="1">
        <v>45664</v>
      </c>
      <c r="AC1080" t="s">
        <v>108</v>
      </c>
      <c r="AD1080" t="s">
        <v>89</v>
      </c>
      <c r="AE1080" s="1">
        <v>40859</v>
      </c>
      <c r="AF1080">
        <v>22</v>
      </c>
      <c r="AG1080" t="s">
        <v>91</v>
      </c>
      <c r="AH1080" t="s">
        <v>561</v>
      </c>
      <c r="AI1080">
        <v>25</v>
      </c>
      <c r="AJ1080" t="s">
        <v>110</v>
      </c>
      <c r="AK1080">
        <v>22</v>
      </c>
      <c r="AL1080">
        <v>4</v>
      </c>
      <c r="AM1080">
        <v>108</v>
      </c>
      <c r="AN1080">
        <v>7</v>
      </c>
      <c r="AO1080">
        <v>3</v>
      </c>
      <c r="AP1080" t="s">
        <v>93</v>
      </c>
      <c r="AQ1080" t="s">
        <v>89</v>
      </c>
      <c r="AR1080" t="s">
        <v>89</v>
      </c>
      <c r="AS1080" t="s">
        <v>93</v>
      </c>
      <c r="AT1080" t="s">
        <v>89</v>
      </c>
      <c r="AU1080" t="s">
        <v>89</v>
      </c>
      <c r="AV1080" t="s">
        <v>89</v>
      </c>
      <c r="AW1080">
        <v>14</v>
      </c>
      <c r="AX1080" t="s">
        <v>89</v>
      </c>
      <c r="AY1080" t="s">
        <v>93</v>
      </c>
      <c r="AZ1080">
        <v>0</v>
      </c>
      <c r="BA1080">
        <v>0</v>
      </c>
      <c r="BB1080">
        <v>0</v>
      </c>
      <c r="BC1080">
        <v>0</v>
      </c>
      <c r="BD1080">
        <v>370</v>
      </c>
      <c r="BE1080">
        <v>25059</v>
      </c>
      <c r="BF1080">
        <v>65</v>
      </c>
      <c r="BG1080" t="s">
        <v>89</v>
      </c>
      <c r="BH1080">
        <v>370</v>
      </c>
      <c r="BI1080">
        <v>25059</v>
      </c>
      <c r="BJ1080">
        <v>65</v>
      </c>
      <c r="BK1080">
        <f t="shared" si="146"/>
        <v>370</v>
      </c>
      <c r="BL1080">
        <f t="shared" si="147"/>
        <v>25059</v>
      </c>
      <c r="BM1080">
        <f t="shared" si="148"/>
        <v>65</v>
      </c>
      <c r="BN1080">
        <f t="shared" si="149"/>
        <v>0</v>
      </c>
      <c r="BO1080">
        <f t="shared" si="150"/>
        <v>0</v>
      </c>
      <c r="BP1080">
        <f t="shared" si="151"/>
        <v>0</v>
      </c>
      <c r="BQ1080" t="s">
        <v>106</v>
      </c>
      <c r="BR1080" t="s">
        <v>112</v>
      </c>
      <c r="BS1080" s="1">
        <v>32574</v>
      </c>
      <c r="BT1080">
        <v>36</v>
      </c>
      <c r="BU1080" t="s">
        <v>89</v>
      </c>
      <c r="BV1080" t="s">
        <v>89</v>
      </c>
      <c r="BW1080">
        <v>14</v>
      </c>
      <c r="BX1080">
        <v>1989</v>
      </c>
      <c r="BY1080">
        <v>14</v>
      </c>
      <c r="BZ1080">
        <f t="shared" si="152"/>
        <v>0</v>
      </c>
      <c r="CA1080">
        <f t="shared" si="153"/>
        <v>0</v>
      </c>
      <c r="CB1080" t="b">
        <f t="shared" si="154"/>
        <v>1</v>
      </c>
    </row>
    <row r="1081" spans="1:80" x14ac:dyDescent="0.3">
      <c r="A1081" t="s">
        <v>8618</v>
      </c>
      <c r="B1081" t="s">
        <v>71</v>
      </c>
      <c r="C1081" t="s">
        <v>8619</v>
      </c>
      <c r="D1081">
        <v>44</v>
      </c>
      <c r="E1081" s="1">
        <v>29645</v>
      </c>
      <c r="F1081" t="s">
        <v>89</v>
      </c>
      <c r="G1081" t="s">
        <v>160</v>
      </c>
      <c r="H1081" t="s">
        <v>76</v>
      </c>
      <c r="I1081" t="s">
        <v>1235</v>
      </c>
      <c r="J1081" t="s">
        <v>78</v>
      </c>
      <c r="K1081" t="s">
        <v>89</v>
      </c>
      <c r="L1081" t="s">
        <v>99</v>
      </c>
      <c r="M1081">
        <v>20</v>
      </c>
      <c r="N1081" t="s">
        <v>644</v>
      </c>
      <c r="O1081">
        <v>2001</v>
      </c>
      <c r="P1081" t="s">
        <v>8620</v>
      </c>
      <c r="Q1081" t="s">
        <v>8621</v>
      </c>
      <c r="R1081">
        <v>7923</v>
      </c>
      <c r="S1081" t="s">
        <v>8618</v>
      </c>
      <c r="T1081" t="s">
        <v>8622</v>
      </c>
      <c r="U1081">
        <v>1981</v>
      </c>
      <c r="V1081" t="s">
        <v>8623</v>
      </c>
      <c r="W1081">
        <v>1.77</v>
      </c>
      <c r="X1081" t="s">
        <v>76</v>
      </c>
      <c r="Y1081" t="s">
        <v>86</v>
      </c>
      <c r="Z1081" t="s">
        <v>87</v>
      </c>
      <c r="AA1081" t="s">
        <v>162</v>
      </c>
      <c r="AB1081" t="s">
        <v>4213</v>
      </c>
      <c r="AC1081" t="s">
        <v>108</v>
      </c>
      <c r="AD1081" t="s">
        <v>89</v>
      </c>
      <c r="AE1081" s="1">
        <v>37052</v>
      </c>
      <c r="AF1081">
        <v>20</v>
      </c>
      <c r="AG1081" t="s">
        <v>91</v>
      </c>
      <c r="AH1081" t="s">
        <v>6862</v>
      </c>
      <c r="AI1081">
        <v>24</v>
      </c>
      <c r="AJ1081" t="s">
        <v>110</v>
      </c>
      <c r="AK1081">
        <v>20</v>
      </c>
      <c r="AL1081">
        <v>1</v>
      </c>
      <c r="AM1081">
        <v>15</v>
      </c>
      <c r="AN1081">
        <v>2</v>
      </c>
      <c r="AO1081">
        <v>1</v>
      </c>
      <c r="AP1081" t="s">
        <v>93</v>
      </c>
      <c r="AQ1081" t="s">
        <v>89</v>
      </c>
      <c r="AR1081" t="s">
        <v>89</v>
      </c>
      <c r="AS1081" t="s">
        <v>111</v>
      </c>
      <c r="AT1081" t="s">
        <v>4213</v>
      </c>
      <c r="AU1081">
        <v>2018</v>
      </c>
      <c r="AV1081">
        <v>17</v>
      </c>
      <c r="AW1081">
        <v>17</v>
      </c>
      <c r="AX1081" t="s">
        <v>89</v>
      </c>
      <c r="AY1081" t="s">
        <v>93</v>
      </c>
      <c r="AZ1081">
        <v>0</v>
      </c>
      <c r="BA1081">
        <v>0</v>
      </c>
      <c r="BB1081">
        <v>0</v>
      </c>
      <c r="BC1081">
        <v>0</v>
      </c>
      <c r="BD1081">
        <v>397</v>
      </c>
      <c r="BE1081">
        <v>30599</v>
      </c>
      <c r="BF1081">
        <v>37</v>
      </c>
      <c r="BG1081">
        <v>37</v>
      </c>
      <c r="BH1081">
        <v>397</v>
      </c>
      <c r="BI1081">
        <v>30599</v>
      </c>
      <c r="BJ1081">
        <v>37</v>
      </c>
      <c r="BK1081">
        <f t="shared" si="146"/>
        <v>397</v>
      </c>
      <c r="BL1081">
        <f t="shared" si="147"/>
        <v>30599</v>
      </c>
      <c r="BM1081">
        <f t="shared" si="148"/>
        <v>37</v>
      </c>
      <c r="BN1081">
        <f t="shared" si="149"/>
        <v>0</v>
      </c>
      <c r="BO1081">
        <f t="shared" si="150"/>
        <v>0</v>
      </c>
      <c r="BP1081">
        <f t="shared" si="151"/>
        <v>0</v>
      </c>
      <c r="BQ1081" t="s">
        <v>86</v>
      </c>
      <c r="BR1081" t="s">
        <v>94</v>
      </c>
      <c r="BS1081" s="1">
        <v>29645</v>
      </c>
      <c r="BT1081">
        <v>44</v>
      </c>
      <c r="BU1081" t="s">
        <v>4213</v>
      </c>
      <c r="BV1081" s="1">
        <v>43341</v>
      </c>
      <c r="BW1081">
        <v>17</v>
      </c>
      <c r="BX1081">
        <v>1981</v>
      </c>
      <c r="BY1081">
        <v>17</v>
      </c>
      <c r="BZ1081">
        <f t="shared" si="152"/>
        <v>0</v>
      </c>
      <c r="CA1081">
        <f t="shared" si="153"/>
        <v>0</v>
      </c>
      <c r="CB1081" t="b">
        <f t="shared" si="154"/>
        <v>1</v>
      </c>
    </row>
    <row r="1082" spans="1:80" x14ac:dyDescent="0.3">
      <c r="A1082" t="s">
        <v>8624</v>
      </c>
      <c r="B1082" t="s">
        <v>1231</v>
      </c>
      <c r="C1082" t="s">
        <v>8625</v>
      </c>
      <c r="D1082">
        <v>34</v>
      </c>
      <c r="E1082" t="s">
        <v>8626</v>
      </c>
      <c r="F1082" t="s">
        <v>8627</v>
      </c>
      <c r="G1082" t="s">
        <v>5492</v>
      </c>
      <c r="H1082" t="s">
        <v>1234</v>
      </c>
      <c r="I1082" t="s">
        <v>1331</v>
      </c>
      <c r="J1082" t="s">
        <v>78</v>
      </c>
      <c r="K1082" t="s">
        <v>5986</v>
      </c>
      <c r="L1082" t="s">
        <v>228</v>
      </c>
      <c r="M1082">
        <v>19</v>
      </c>
      <c r="N1082" t="s">
        <v>490</v>
      </c>
      <c r="O1082">
        <v>2010</v>
      </c>
      <c r="P1082" t="s">
        <v>8628</v>
      </c>
      <c r="Q1082" t="s">
        <v>8629</v>
      </c>
      <c r="R1082">
        <v>87856</v>
      </c>
      <c r="S1082" t="s">
        <v>8624</v>
      </c>
      <c r="T1082" t="s">
        <v>8630</v>
      </c>
      <c r="U1082">
        <v>1991</v>
      </c>
      <c r="V1082" t="s">
        <v>8631</v>
      </c>
      <c r="W1082">
        <v>1.93</v>
      </c>
      <c r="X1082" t="s">
        <v>8166</v>
      </c>
      <c r="Y1082" t="s">
        <v>235</v>
      </c>
      <c r="Z1082" t="s">
        <v>87</v>
      </c>
      <c r="AA1082" t="s">
        <v>5991</v>
      </c>
      <c r="AB1082">
        <v>44206</v>
      </c>
      <c r="AC1082" t="s">
        <v>170</v>
      </c>
      <c r="AD1082" t="s">
        <v>89</v>
      </c>
      <c r="AE1082">
        <v>40370</v>
      </c>
      <c r="AF1082">
        <v>19</v>
      </c>
      <c r="AG1082" t="s">
        <v>613</v>
      </c>
      <c r="AH1082" t="s">
        <v>5790</v>
      </c>
      <c r="AI1082">
        <v>21</v>
      </c>
      <c r="AJ1082" t="s">
        <v>615</v>
      </c>
      <c r="AK1082">
        <v>19</v>
      </c>
      <c r="AL1082">
        <v>5</v>
      </c>
      <c r="AM1082">
        <v>288</v>
      </c>
      <c r="AN1082">
        <v>33</v>
      </c>
      <c r="AO1082">
        <v>5</v>
      </c>
      <c r="AP1082" t="s">
        <v>93</v>
      </c>
      <c r="AQ1082" t="s">
        <v>89</v>
      </c>
      <c r="AR1082" t="s">
        <v>89</v>
      </c>
      <c r="AS1082" t="s">
        <v>93</v>
      </c>
      <c r="AT1082" t="s">
        <v>89</v>
      </c>
      <c r="AU1082" t="s">
        <v>89</v>
      </c>
      <c r="AV1082" t="s">
        <v>89</v>
      </c>
      <c r="AW1082">
        <v>15</v>
      </c>
      <c r="AX1082">
        <v>21</v>
      </c>
      <c r="AY1082" t="s">
        <v>93</v>
      </c>
      <c r="AZ1082">
        <v>0</v>
      </c>
      <c r="BA1082">
        <v>0</v>
      </c>
      <c r="BB1082">
        <v>0</v>
      </c>
      <c r="BC1082">
        <v>0</v>
      </c>
      <c r="BD1082">
        <v>269</v>
      </c>
      <c r="BE1082">
        <v>22409</v>
      </c>
      <c r="BF1082">
        <v>10</v>
      </c>
      <c r="BG1082" t="s">
        <v>89</v>
      </c>
      <c r="BH1082">
        <v>269</v>
      </c>
      <c r="BI1082">
        <v>22409</v>
      </c>
      <c r="BJ1082">
        <v>10</v>
      </c>
      <c r="BK1082">
        <f t="shared" si="146"/>
        <v>269</v>
      </c>
      <c r="BL1082">
        <f t="shared" si="147"/>
        <v>22409</v>
      </c>
      <c r="BM1082">
        <f t="shared" si="148"/>
        <v>10</v>
      </c>
      <c r="BN1082">
        <f t="shared" si="149"/>
        <v>0</v>
      </c>
      <c r="BO1082">
        <f t="shared" si="150"/>
        <v>0</v>
      </c>
      <c r="BP1082">
        <f t="shared" si="151"/>
        <v>0</v>
      </c>
      <c r="BQ1082" t="s">
        <v>235</v>
      </c>
      <c r="BR1082" t="s">
        <v>140</v>
      </c>
      <c r="BS1082" s="1">
        <v>33327</v>
      </c>
      <c r="BT1082">
        <v>34</v>
      </c>
      <c r="BU1082" t="s">
        <v>89</v>
      </c>
      <c r="BV1082" t="s">
        <v>89</v>
      </c>
      <c r="BW1082">
        <v>15</v>
      </c>
      <c r="BX1082">
        <v>1991</v>
      </c>
      <c r="BY1082">
        <v>15</v>
      </c>
      <c r="BZ1082">
        <f t="shared" si="152"/>
        <v>0</v>
      </c>
      <c r="CA1082">
        <f t="shared" si="153"/>
        <v>0</v>
      </c>
      <c r="CB1082" t="b">
        <f t="shared" si="154"/>
        <v>1</v>
      </c>
    </row>
    <row r="1083" spans="1:80" x14ac:dyDescent="0.3">
      <c r="A1083" t="s">
        <v>8632</v>
      </c>
      <c r="B1083" t="s">
        <v>3343</v>
      </c>
      <c r="C1083" t="s">
        <v>8633</v>
      </c>
      <c r="D1083">
        <v>47</v>
      </c>
      <c r="E1083" s="1">
        <v>28423</v>
      </c>
      <c r="F1083" t="s">
        <v>89</v>
      </c>
      <c r="G1083" t="s">
        <v>97</v>
      </c>
      <c r="H1083" t="s">
        <v>3347</v>
      </c>
      <c r="I1083" t="s">
        <v>437</v>
      </c>
      <c r="J1083" t="s">
        <v>89</v>
      </c>
      <c r="K1083" t="s">
        <v>89</v>
      </c>
      <c r="L1083" t="s">
        <v>99</v>
      </c>
      <c r="M1083">
        <v>23</v>
      </c>
      <c r="N1083" t="s">
        <v>416</v>
      </c>
      <c r="O1083">
        <v>2001</v>
      </c>
      <c r="P1083" t="s">
        <v>8634</v>
      </c>
      <c r="Q1083" t="s">
        <v>8635</v>
      </c>
      <c r="R1083">
        <v>7867</v>
      </c>
      <c r="S1083" t="s">
        <v>8632</v>
      </c>
      <c r="T1083" t="s">
        <v>8636</v>
      </c>
      <c r="U1083">
        <v>1977</v>
      </c>
      <c r="V1083" t="s">
        <v>304</v>
      </c>
      <c r="W1083">
        <v>1.84</v>
      </c>
      <c r="X1083" t="s">
        <v>3352</v>
      </c>
      <c r="Y1083" t="s">
        <v>123</v>
      </c>
      <c r="Z1083" t="s">
        <v>87</v>
      </c>
      <c r="AA1083" t="s">
        <v>8637</v>
      </c>
      <c r="AB1083" s="1">
        <v>41281</v>
      </c>
      <c r="AC1083" t="s">
        <v>108</v>
      </c>
      <c r="AD1083" t="s">
        <v>89</v>
      </c>
      <c r="AE1083" t="s">
        <v>1162</v>
      </c>
      <c r="AF1083">
        <v>24</v>
      </c>
      <c r="AG1083" t="s">
        <v>91</v>
      </c>
      <c r="AH1083" t="s">
        <v>8638</v>
      </c>
      <c r="AI1083">
        <v>21</v>
      </c>
      <c r="AJ1083" t="s">
        <v>110</v>
      </c>
      <c r="AK1083">
        <v>21</v>
      </c>
      <c r="AL1083">
        <v>4</v>
      </c>
      <c r="AM1083">
        <v>101</v>
      </c>
      <c r="AN1083">
        <v>20</v>
      </c>
      <c r="AO1083">
        <v>2</v>
      </c>
      <c r="AP1083" t="s">
        <v>93</v>
      </c>
      <c r="AQ1083" t="s">
        <v>89</v>
      </c>
      <c r="AR1083" t="s">
        <v>89</v>
      </c>
      <c r="AS1083" t="s">
        <v>111</v>
      </c>
      <c r="AT1083" s="1">
        <v>41281</v>
      </c>
      <c r="AU1083">
        <v>2013</v>
      </c>
      <c r="AV1083">
        <v>12</v>
      </c>
      <c r="AW1083">
        <v>12</v>
      </c>
      <c r="AX1083" t="s">
        <v>89</v>
      </c>
      <c r="AY1083" t="s">
        <v>111</v>
      </c>
      <c r="AZ1083">
        <v>2</v>
      </c>
      <c r="BA1083">
        <v>2</v>
      </c>
      <c r="BB1083">
        <v>13</v>
      </c>
      <c r="BC1083">
        <v>0</v>
      </c>
      <c r="BD1083">
        <v>267</v>
      </c>
      <c r="BE1083">
        <v>15314</v>
      </c>
      <c r="BF1083">
        <v>65</v>
      </c>
      <c r="BG1083">
        <v>36</v>
      </c>
      <c r="BH1083">
        <v>269</v>
      </c>
      <c r="BI1083">
        <v>15327</v>
      </c>
      <c r="BJ1083">
        <v>65</v>
      </c>
      <c r="BK1083">
        <f t="shared" si="146"/>
        <v>269</v>
      </c>
      <c r="BL1083">
        <f t="shared" si="147"/>
        <v>15327</v>
      </c>
      <c r="BM1083">
        <f t="shared" si="148"/>
        <v>65</v>
      </c>
      <c r="BN1083">
        <f t="shared" si="149"/>
        <v>0</v>
      </c>
      <c r="BO1083">
        <f t="shared" si="150"/>
        <v>0</v>
      </c>
      <c r="BP1083">
        <f t="shared" si="151"/>
        <v>0</v>
      </c>
      <c r="BQ1083" t="s">
        <v>123</v>
      </c>
      <c r="BR1083" t="s">
        <v>112</v>
      </c>
      <c r="BS1083" s="1">
        <v>28423</v>
      </c>
      <c r="BT1083">
        <v>48</v>
      </c>
      <c r="BU1083" s="1">
        <v>41281</v>
      </c>
      <c r="BV1083" s="1">
        <v>41456</v>
      </c>
      <c r="BW1083">
        <v>15</v>
      </c>
      <c r="BX1083">
        <v>1977</v>
      </c>
      <c r="BY1083">
        <v>15</v>
      </c>
      <c r="BZ1083">
        <f t="shared" si="152"/>
        <v>-3</v>
      </c>
      <c r="CA1083">
        <f t="shared" si="153"/>
        <v>0</v>
      </c>
      <c r="CB1083" t="b">
        <f t="shared" si="154"/>
        <v>0</v>
      </c>
    </row>
    <row r="1084" spans="1:80" x14ac:dyDescent="0.3">
      <c r="A1084" t="s">
        <v>8639</v>
      </c>
      <c r="B1084" t="s">
        <v>71</v>
      </c>
      <c r="C1084" t="s">
        <v>8640</v>
      </c>
      <c r="D1084">
        <v>35</v>
      </c>
      <c r="E1084" t="s">
        <v>8641</v>
      </c>
      <c r="F1084" t="s">
        <v>8642</v>
      </c>
      <c r="G1084" t="s">
        <v>211</v>
      </c>
      <c r="H1084" t="s">
        <v>76</v>
      </c>
      <c r="I1084" t="s">
        <v>437</v>
      </c>
      <c r="J1084" t="s">
        <v>89</v>
      </c>
      <c r="K1084" t="s">
        <v>2513</v>
      </c>
      <c r="L1084" t="s">
        <v>254</v>
      </c>
      <c r="M1084">
        <v>19</v>
      </c>
      <c r="N1084" t="s">
        <v>304</v>
      </c>
      <c r="O1084">
        <v>2009</v>
      </c>
      <c r="P1084" t="s">
        <v>8643</v>
      </c>
      <c r="Q1084" t="s">
        <v>8644</v>
      </c>
      <c r="R1084">
        <v>117549</v>
      </c>
      <c r="S1084" t="s">
        <v>8645</v>
      </c>
      <c r="T1084" t="s">
        <v>8646</v>
      </c>
      <c r="U1084">
        <v>1990</v>
      </c>
      <c r="V1084" t="s">
        <v>8647</v>
      </c>
      <c r="W1084">
        <v>1.74</v>
      </c>
      <c r="X1084" t="s">
        <v>76</v>
      </c>
      <c r="Y1084" t="s">
        <v>123</v>
      </c>
      <c r="Z1084" t="s">
        <v>87</v>
      </c>
      <c r="AA1084" t="s">
        <v>305</v>
      </c>
      <c r="AB1084" t="s">
        <v>3844</v>
      </c>
      <c r="AC1084" t="s">
        <v>170</v>
      </c>
      <c r="AD1084" t="s">
        <v>89</v>
      </c>
      <c r="AE1084" t="s">
        <v>8648</v>
      </c>
      <c r="AF1084">
        <v>19</v>
      </c>
      <c r="AG1084" t="s">
        <v>91</v>
      </c>
      <c r="AH1084" t="s">
        <v>306</v>
      </c>
      <c r="AI1084">
        <v>21</v>
      </c>
      <c r="AJ1084" t="s">
        <v>110</v>
      </c>
      <c r="AK1084">
        <v>19</v>
      </c>
      <c r="AL1084">
        <v>3</v>
      </c>
      <c r="AM1084">
        <v>193</v>
      </c>
      <c r="AN1084">
        <v>24</v>
      </c>
      <c r="AO1084">
        <v>2</v>
      </c>
      <c r="AP1084" t="s">
        <v>93</v>
      </c>
      <c r="AQ1084" t="s">
        <v>89</v>
      </c>
      <c r="AR1084" t="s">
        <v>89</v>
      </c>
      <c r="AS1084" t="s">
        <v>93</v>
      </c>
      <c r="AT1084" t="s">
        <v>89</v>
      </c>
      <c r="AU1084" t="s">
        <v>89</v>
      </c>
      <c r="AV1084" t="s">
        <v>89</v>
      </c>
      <c r="AW1084">
        <v>16</v>
      </c>
      <c r="AX1084">
        <v>9</v>
      </c>
      <c r="AY1084" t="s">
        <v>93</v>
      </c>
      <c r="AZ1084">
        <v>0</v>
      </c>
      <c r="BA1084">
        <v>0</v>
      </c>
      <c r="BB1084">
        <v>0</v>
      </c>
      <c r="BC1084">
        <v>0</v>
      </c>
      <c r="BD1084">
        <v>307</v>
      </c>
      <c r="BE1084">
        <v>18298</v>
      </c>
      <c r="BF1084">
        <v>61</v>
      </c>
      <c r="BG1084" t="s">
        <v>89</v>
      </c>
      <c r="BH1084">
        <v>307</v>
      </c>
      <c r="BI1084">
        <v>18298</v>
      </c>
      <c r="BJ1084">
        <v>61</v>
      </c>
      <c r="BK1084">
        <f t="shared" si="146"/>
        <v>307</v>
      </c>
      <c r="BL1084">
        <f t="shared" si="147"/>
        <v>18298</v>
      </c>
      <c r="BM1084">
        <f t="shared" si="148"/>
        <v>61</v>
      </c>
      <c r="BN1084">
        <f t="shared" si="149"/>
        <v>0</v>
      </c>
      <c r="BO1084">
        <f t="shared" si="150"/>
        <v>0</v>
      </c>
      <c r="BP1084">
        <f t="shared" si="151"/>
        <v>0</v>
      </c>
      <c r="BQ1084" t="s">
        <v>123</v>
      </c>
      <c r="BR1084" t="s">
        <v>112</v>
      </c>
      <c r="BS1084" t="s">
        <v>89</v>
      </c>
      <c r="BT1084">
        <v>36</v>
      </c>
      <c r="BU1084" t="s">
        <v>89</v>
      </c>
      <c r="BV1084" t="s">
        <v>89</v>
      </c>
      <c r="BW1084">
        <v>17</v>
      </c>
      <c r="BX1084">
        <v>1990</v>
      </c>
      <c r="BY1084">
        <v>16</v>
      </c>
      <c r="BZ1084">
        <f t="shared" si="152"/>
        <v>-1</v>
      </c>
      <c r="CA1084">
        <f t="shared" si="153"/>
        <v>1</v>
      </c>
      <c r="CB1084" t="b">
        <f t="shared" si="154"/>
        <v>0</v>
      </c>
    </row>
    <row r="1085" spans="1:80" x14ac:dyDescent="0.3">
      <c r="A1085" t="s">
        <v>8639</v>
      </c>
      <c r="B1085" t="s">
        <v>89</v>
      </c>
      <c r="C1085" t="s">
        <v>8649</v>
      </c>
      <c r="D1085">
        <v>40</v>
      </c>
      <c r="E1085">
        <v>30911</v>
      </c>
      <c r="F1085" t="s">
        <v>89</v>
      </c>
      <c r="G1085" t="s">
        <v>226</v>
      </c>
      <c r="H1085" t="s">
        <v>76</v>
      </c>
      <c r="I1085" t="s">
        <v>227</v>
      </c>
      <c r="J1085" t="s">
        <v>78</v>
      </c>
      <c r="K1085" t="s">
        <v>89</v>
      </c>
      <c r="L1085" t="s">
        <v>145</v>
      </c>
      <c r="M1085">
        <v>19</v>
      </c>
      <c r="N1085" t="s">
        <v>644</v>
      </c>
      <c r="O1085">
        <v>2004</v>
      </c>
      <c r="P1085" t="s">
        <v>8650</v>
      </c>
      <c r="Q1085" t="s">
        <v>8651</v>
      </c>
      <c r="R1085">
        <v>8163</v>
      </c>
      <c r="S1085" t="s">
        <v>8639</v>
      </c>
      <c r="T1085" t="s">
        <v>8652</v>
      </c>
      <c r="U1085">
        <v>1984</v>
      </c>
      <c r="V1085" t="s">
        <v>1603</v>
      </c>
      <c r="W1085">
        <v>1.85</v>
      </c>
      <c r="X1085" t="s">
        <v>76</v>
      </c>
      <c r="Y1085" t="s">
        <v>235</v>
      </c>
      <c r="Z1085" t="s">
        <v>87</v>
      </c>
      <c r="AA1085" t="s">
        <v>700</v>
      </c>
      <c r="AB1085">
        <v>43472</v>
      </c>
      <c r="AC1085" t="s">
        <v>108</v>
      </c>
      <c r="AD1085" t="s">
        <v>89</v>
      </c>
      <c r="AE1085" s="1">
        <v>38303</v>
      </c>
      <c r="AF1085">
        <v>20</v>
      </c>
      <c r="AG1085" t="s">
        <v>91</v>
      </c>
      <c r="AH1085">
        <v>39174</v>
      </c>
      <c r="AI1085">
        <v>22</v>
      </c>
      <c r="AJ1085" t="s">
        <v>110</v>
      </c>
      <c r="AK1085">
        <v>20</v>
      </c>
      <c r="AL1085">
        <v>4</v>
      </c>
      <c r="AM1085">
        <v>576</v>
      </c>
      <c r="AN1085">
        <v>75</v>
      </c>
      <c r="AO1085">
        <v>4</v>
      </c>
      <c r="AP1085" t="s">
        <v>93</v>
      </c>
      <c r="AQ1085" t="s">
        <v>89</v>
      </c>
      <c r="AR1085" t="s">
        <v>89</v>
      </c>
      <c r="AS1085" t="s">
        <v>111</v>
      </c>
      <c r="AT1085">
        <v>43472</v>
      </c>
      <c r="AU1085">
        <v>2019</v>
      </c>
      <c r="AV1085">
        <v>15</v>
      </c>
      <c r="AW1085">
        <v>15</v>
      </c>
      <c r="AX1085" t="s">
        <v>89</v>
      </c>
      <c r="AY1085" t="s">
        <v>93</v>
      </c>
      <c r="AZ1085">
        <v>0</v>
      </c>
      <c r="BA1085">
        <v>0</v>
      </c>
      <c r="BB1085">
        <v>0</v>
      </c>
      <c r="BC1085">
        <v>0</v>
      </c>
      <c r="BD1085">
        <v>153</v>
      </c>
      <c r="BE1085">
        <v>12201</v>
      </c>
      <c r="BF1085">
        <v>14</v>
      </c>
      <c r="BG1085">
        <v>35</v>
      </c>
      <c r="BH1085">
        <v>153</v>
      </c>
      <c r="BI1085">
        <v>12201</v>
      </c>
      <c r="BJ1085">
        <v>14</v>
      </c>
      <c r="BK1085">
        <f t="shared" si="146"/>
        <v>153</v>
      </c>
      <c r="BL1085">
        <f t="shared" si="147"/>
        <v>12201</v>
      </c>
      <c r="BM1085">
        <f t="shared" si="148"/>
        <v>14</v>
      </c>
      <c r="BN1085">
        <f t="shared" si="149"/>
        <v>0</v>
      </c>
      <c r="BO1085">
        <f t="shared" si="150"/>
        <v>0</v>
      </c>
      <c r="BP1085">
        <f t="shared" si="151"/>
        <v>0</v>
      </c>
      <c r="BQ1085" t="s">
        <v>235</v>
      </c>
      <c r="BR1085" t="s">
        <v>140</v>
      </c>
      <c r="BS1085" t="s">
        <v>89</v>
      </c>
      <c r="BT1085">
        <v>42</v>
      </c>
      <c r="BU1085">
        <v>43472</v>
      </c>
      <c r="BV1085" t="s">
        <v>89</v>
      </c>
      <c r="BW1085">
        <v>15</v>
      </c>
      <c r="BX1085">
        <v>1984</v>
      </c>
      <c r="BY1085">
        <v>15</v>
      </c>
      <c r="BZ1085">
        <f t="shared" si="152"/>
        <v>0</v>
      </c>
      <c r="CA1085">
        <f t="shared" si="153"/>
        <v>0</v>
      </c>
      <c r="CB1085" t="b">
        <f t="shared" si="154"/>
        <v>1</v>
      </c>
    </row>
    <row r="1086" spans="1:80" x14ac:dyDescent="0.3">
      <c r="A1086" t="s">
        <v>8653</v>
      </c>
      <c r="B1086" t="s">
        <v>71</v>
      </c>
      <c r="C1086" t="s">
        <v>8654</v>
      </c>
      <c r="D1086">
        <v>34</v>
      </c>
      <c r="E1086" t="s">
        <v>8655</v>
      </c>
      <c r="F1086" t="s">
        <v>8170</v>
      </c>
      <c r="G1086" t="s">
        <v>115</v>
      </c>
      <c r="H1086" t="s">
        <v>2990</v>
      </c>
      <c r="I1086" t="s">
        <v>401</v>
      </c>
      <c r="J1086" t="s">
        <v>300</v>
      </c>
      <c r="K1086" t="s">
        <v>8656</v>
      </c>
      <c r="L1086" t="s">
        <v>228</v>
      </c>
      <c r="M1086">
        <v>19</v>
      </c>
      <c r="N1086" t="s">
        <v>8657</v>
      </c>
      <c r="O1086">
        <v>2010</v>
      </c>
      <c r="P1086" t="s">
        <v>8658</v>
      </c>
      <c r="Q1086" t="s">
        <v>8659</v>
      </c>
      <c r="R1086">
        <v>131505</v>
      </c>
      <c r="S1086" t="s">
        <v>8653</v>
      </c>
      <c r="T1086" t="s">
        <v>8660</v>
      </c>
      <c r="U1086">
        <v>1991</v>
      </c>
      <c r="V1086" t="s">
        <v>2938</v>
      </c>
      <c r="W1086">
        <v>1.82</v>
      </c>
      <c r="X1086" t="s">
        <v>2994</v>
      </c>
      <c r="Y1086" t="s">
        <v>123</v>
      </c>
      <c r="Z1086" t="s">
        <v>152</v>
      </c>
      <c r="AA1086" t="s">
        <v>8661</v>
      </c>
      <c r="AB1086" t="s">
        <v>8662</v>
      </c>
      <c r="AC1086" t="s">
        <v>170</v>
      </c>
      <c r="AD1086" t="s">
        <v>223</v>
      </c>
      <c r="AE1086" t="s">
        <v>561</v>
      </c>
      <c r="AF1086">
        <v>23</v>
      </c>
      <c r="AG1086" t="s">
        <v>91</v>
      </c>
      <c r="AH1086" t="s">
        <v>92</v>
      </c>
      <c r="AI1086" t="s">
        <v>89</v>
      </c>
      <c r="AJ1086" t="s">
        <v>92</v>
      </c>
      <c r="AK1086">
        <v>23</v>
      </c>
      <c r="AL1086">
        <v>19</v>
      </c>
      <c r="AM1086">
        <v>618</v>
      </c>
      <c r="AN1086">
        <v>105</v>
      </c>
      <c r="AO1086">
        <v>10</v>
      </c>
      <c r="AP1086" t="s">
        <v>93</v>
      </c>
      <c r="AQ1086" t="s">
        <v>89</v>
      </c>
      <c r="AR1086" t="s">
        <v>89</v>
      </c>
      <c r="AS1086" t="s">
        <v>93</v>
      </c>
      <c r="AT1086" t="s">
        <v>89</v>
      </c>
      <c r="AU1086" t="s">
        <v>89</v>
      </c>
      <c r="AV1086" t="s">
        <v>89</v>
      </c>
      <c r="AW1086">
        <v>15</v>
      </c>
      <c r="AX1086">
        <v>19</v>
      </c>
      <c r="AY1086" t="s">
        <v>111</v>
      </c>
      <c r="AZ1086">
        <v>11</v>
      </c>
      <c r="BA1086">
        <v>28</v>
      </c>
      <c r="BB1086">
        <v>1458</v>
      </c>
      <c r="BC1086">
        <v>8</v>
      </c>
      <c r="BD1086">
        <v>431</v>
      </c>
      <c r="BE1086">
        <v>27122</v>
      </c>
      <c r="BF1086">
        <v>122</v>
      </c>
      <c r="BG1086" t="s">
        <v>89</v>
      </c>
      <c r="BH1086">
        <v>459</v>
      </c>
      <c r="BI1086">
        <v>28580</v>
      </c>
      <c r="BJ1086">
        <v>130</v>
      </c>
      <c r="BK1086">
        <f t="shared" si="146"/>
        <v>459</v>
      </c>
      <c r="BL1086">
        <f t="shared" si="147"/>
        <v>28580</v>
      </c>
      <c r="BM1086">
        <f t="shared" si="148"/>
        <v>130</v>
      </c>
      <c r="BN1086">
        <f t="shared" si="149"/>
        <v>0</v>
      </c>
      <c r="BO1086">
        <f t="shared" si="150"/>
        <v>0</v>
      </c>
      <c r="BP1086">
        <f t="shared" si="151"/>
        <v>0</v>
      </c>
      <c r="BQ1086" t="s">
        <v>123</v>
      </c>
      <c r="BR1086" t="s">
        <v>112</v>
      </c>
      <c r="BS1086" t="s">
        <v>89</v>
      </c>
      <c r="BT1086">
        <v>35</v>
      </c>
      <c r="BU1086" t="s">
        <v>89</v>
      </c>
      <c r="BV1086" t="s">
        <v>89</v>
      </c>
      <c r="BW1086">
        <v>12</v>
      </c>
      <c r="BX1086">
        <v>1991</v>
      </c>
      <c r="BY1086">
        <v>11</v>
      </c>
      <c r="BZ1086">
        <f t="shared" si="152"/>
        <v>3</v>
      </c>
      <c r="CA1086">
        <f t="shared" si="153"/>
        <v>1</v>
      </c>
      <c r="CB1086" t="b">
        <f t="shared" si="154"/>
        <v>0</v>
      </c>
    </row>
    <row r="1087" spans="1:80" x14ac:dyDescent="0.3">
      <c r="A1087" t="s">
        <v>8663</v>
      </c>
      <c r="B1087" t="s">
        <v>156</v>
      </c>
      <c r="C1087" t="s">
        <v>8664</v>
      </c>
      <c r="D1087">
        <v>31</v>
      </c>
      <c r="E1087" t="s">
        <v>8665</v>
      </c>
      <c r="F1087" t="s">
        <v>8666</v>
      </c>
      <c r="G1087" t="s">
        <v>75</v>
      </c>
      <c r="H1087" t="s">
        <v>177</v>
      </c>
      <c r="I1087" t="s">
        <v>7216</v>
      </c>
      <c r="J1087" t="s">
        <v>78</v>
      </c>
      <c r="K1087" t="s">
        <v>179</v>
      </c>
      <c r="L1087" t="s">
        <v>762</v>
      </c>
      <c r="M1087">
        <v>20</v>
      </c>
      <c r="N1087" t="s">
        <v>214</v>
      </c>
      <c r="O1087">
        <v>2014</v>
      </c>
      <c r="P1087" t="s">
        <v>8667</v>
      </c>
      <c r="Q1087" t="s">
        <v>8668</v>
      </c>
      <c r="R1087">
        <v>255901</v>
      </c>
      <c r="S1087" t="s">
        <v>8663</v>
      </c>
      <c r="T1087" t="s">
        <v>8587</v>
      </c>
      <c r="U1087">
        <v>1994</v>
      </c>
      <c r="V1087" t="s">
        <v>8669</v>
      </c>
      <c r="W1087">
        <v>1.8</v>
      </c>
      <c r="X1087" t="s">
        <v>169</v>
      </c>
      <c r="Y1087" t="s">
        <v>86</v>
      </c>
      <c r="Z1087" t="s">
        <v>87</v>
      </c>
      <c r="AA1087" t="s">
        <v>187</v>
      </c>
      <c r="AB1087" t="s">
        <v>3748</v>
      </c>
      <c r="AC1087" t="s">
        <v>222</v>
      </c>
      <c r="AD1087" t="s">
        <v>442</v>
      </c>
      <c r="AE1087">
        <v>41549</v>
      </c>
      <c r="AF1087">
        <v>18</v>
      </c>
      <c r="AG1087" t="s">
        <v>171</v>
      </c>
      <c r="AH1087" t="s">
        <v>92</v>
      </c>
      <c r="AI1087" t="s">
        <v>89</v>
      </c>
      <c r="AJ1087" t="s">
        <v>92</v>
      </c>
      <c r="AK1087">
        <v>18</v>
      </c>
      <c r="AL1087">
        <v>1</v>
      </c>
      <c r="AM1087">
        <v>18</v>
      </c>
      <c r="AN1087">
        <v>4</v>
      </c>
      <c r="AO1087">
        <v>1</v>
      </c>
      <c r="AP1087" t="s">
        <v>93</v>
      </c>
      <c r="AQ1087" t="s">
        <v>89</v>
      </c>
      <c r="AR1087" t="s">
        <v>89</v>
      </c>
      <c r="AS1087" t="s">
        <v>93</v>
      </c>
      <c r="AT1087" t="s">
        <v>89</v>
      </c>
      <c r="AU1087" t="s">
        <v>89</v>
      </c>
      <c r="AV1087" t="s">
        <v>89</v>
      </c>
      <c r="AW1087">
        <v>11</v>
      </c>
      <c r="AX1087">
        <v>7</v>
      </c>
      <c r="AY1087" t="s">
        <v>111</v>
      </c>
      <c r="AZ1087">
        <v>9</v>
      </c>
      <c r="BA1087">
        <v>64</v>
      </c>
      <c r="BB1087">
        <v>4707</v>
      </c>
      <c r="BC1087">
        <v>1</v>
      </c>
      <c r="BD1087">
        <v>445</v>
      </c>
      <c r="BE1087">
        <v>30373</v>
      </c>
      <c r="BF1087">
        <v>52</v>
      </c>
      <c r="BG1087" t="s">
        <v>89</v>
      </c>
      <c r="BH1087">
        <v>509</v>
      </c>
      <c r="BI1087">
        <v>35080</v>
      </c>
      <c r="BJ1087">
        <v>53</v>
      </c>
      <c r="BK1087">
        <f t="shared" si="146"/>
        <v>509</v>
      </c>
      <c r="BL1087">
        <f t="shared" si="147"/>
        <v>35080</v>
      </c>
      <c r="BM1087">
        <f t="shared" si="148"/>
        <v>53</v>
      </c>
      <c r="BN1087">
        <f t="shared" si="149"/>
        <v>0</v>
      </c>
      <c r="BO1087">
        <f t="shared" si="150"/>
        <v>0</v>
      </c>
      <c r="BP1087">
        <f t="shared" si="151"/>
        <v>0</v>
      </c>
      <c r="BQ1087" t="s">
        <v>86</v>
      </c>
      <c r="BR1087" t="s">
        <v>94</v>
      </c>
      <c r="BS1087" s="1">
        <v>34478</v>
      </c>
      <c r="BT1087">
        <v>31</v>
      </c>
      <c r="BU1087" t="s">
        <v>89</v>
      </c>
      <c r="BV1087" t="s">
        <v>89</v>
      </c>
      <c r="BW1087">
        <v>13</v>
      </c>
      <c r="BX1087">
        <v>1994</v>
      </c>
      <c r="BY1087">
        <v>13</v>
      </c>
      <c r="BZ1087">
        <f t="shared" si="152"/>
        <v>-2</v>
      </c>
      <c r="CA1087">
        <f t="shared" si="153"/>
        <v>0</v>
      </c>
      <c r="CB1087" t="b">
        <f t="shared" si="154"/>
        <v>0</v>
      </c>
    </row>
    <row r="1088" spans="1:80" x14ac:dyDescent="0.3">
      <c r="A1088" t="s">
        <v>8670</v>
      </c>
      <c r="B1088" t="s">
        <v>776</v>
      </c>
      <c r="C1088" t="s">
        <v>8671</v>
      </c>
      <c r="D1088">
        <v>42</v>
      </c>
      <c r="E1088" s="1">
        <v>30416</v>
      </c>
      <c r="F1088" t="s">
        <v>89</v>
      </c>
      <c r="G1088" t="s">
        <v>2881</v>
      </c>
      <c r="H1088" t="s">
        <v>89</v>
      </c>
      <c r="I1088" t="s">
        <v>178</v>
      </c>
      <c r="J1088" t="s">
        <v>89</v>
      </c>
      <c r="K1088" t="s">
        <v>89</v>
      </c>
      <c r="L1088" t="s">
        <v>254</v>
      </c>
      <c r="M1088">
        <v>26</v>
      </c>
      <c r="N1088" t="s">
        <v>8672</v>
      </c>
      <c r="O1088">
        <v>2009</v>
      </c>
      <c r="P1088" t="s">
        <v>8673</v>
      </c>
      <c r="Q1088" t="s">
        <v>8674</v>
      </c>
      <c r="R1088">
        <v>52311</v>
      </c>
      <c r="S1088" t="s">
        <v>8675</v>
      </c>
      <c r="T1088" t="s">
        <v>8676</v>
      </c>
      <c r="U1088">
        <v>1983</v>
      </c>
      <c r="V1088" t="s">
        <v>8677</v>
      </c>
      <c r="W1088">
        <v>1.93</v>
      </c>
      <c r="X1088" t="s">
        <v>2292</v>
      </c>
      <c r="Y1088" t="s">
        <v>186</v>
      </c>
      <c r="Z1088" t="s">
        <v>152</v>
      </c>
      <c r="AA1088" t="s">
        <v>8678</v>
      </c>
      <c r="AB1088" s="1">
        <v>42736</v>
      </c>
      <c r="AC1088" t="s">
        <v>108</v>
      </c>
      <c r="AD1088" t="s">
        <v>89</v>
      </c>
      <c r="AE1088" t="s">
        <v>972</v>
      </c>
      <c r="AF1088">
        <v>23</v>
      </c>
      <c r="AG1088" t="s">
        <v>786</v>
      </c>
      <c r="AH1088" t="s">
        <v>8679</v>
      </c>
      <c r="AI1088">
        <v>29</v>
      </c>
      <c r="AJ1088" t="s">
        <v>986</v>
      </c>
      <c r="AK1088">
        <v>23</v>
      </c>
      <c r="AL1088" t="s">
        <v>89</v>
      </c>
      <c r="AM1088" t="s">
        <v>89</v>
      </c>
      <c r="AN1088" t="s">
        <v>89</v>
      </c>
      <c r="AO1088">
        <v>0</v>
      </c>
      <c r="AP1088" t="s">
        <v>93</v>
      </c>
      <c r="AQ1088" t="s">
        <v>89</v>
      </c>
      <c r="AR1088" t="s">
        <v>89</v>
      </c>
      <c r="AS1088" t="s">
        <v>111</v>
      </c>
      <c r="AT1088">
        <v>42736</v>
      </c>
      <c r="AU1088">
        <v>2017</v>
      </c>
      <c r="AV1088">
        <v>8</v>
      </c>
      <c r="AW1088">
        <v>8</v>
      </c>
      <c r="AX1088" t="s">
        <v>89</v>
      </c>
      <c r="AY1088" t="s">
        <v>93</v>
      </c>
      <c r="AZ1088">
        <v>0</v>
      </c>
      <c r="BA1088">
        <v>0</v>
      </c>
      <c r="BB1088">
        <v>0</v>
      </c>
      <c r="BC1088">
        <v>0</v>
      </c>
      <c r="BD1088">
        <v>22</v>
      </c>
      <c r="BE1088">
        <v>1819</v>
      </c>
      <c r="BF1088">
        <v>0</v>
      </c>
      <c r="BG1088">
        <v>34</v>
      </c>
      <c r="BH1088">
        <v>22</v>
      </c>
      <c r="BI1088">
        <v>1819</v>
      </c>
      <c r="BJ1088">
        <v>0</v>
      </c>
      <c r="BK1088">
        <f t="shared" si="146"/>
        <v>22</v>
      </c>
      <c r="BL1088">
        <f t="shared" si="147"/>
        <v>1819</v>
      </c>
      <c r="BM1088">
        <f t="shared" si="148"/>
        <v>0</v>
      </c>
      <c r="BN1088">
        <f t="shared" si="149"/>
        <v>0</v>
      </c>
      <c r="BO1088">
        <f t="shared" si="150"/>
        <v>0</v>
      </c>
      <c r="BP1088">
        <f t="shared" si="151"/>
        <v>0</v>
      </c>
      <c r="BQ1088" t="s">
        <v>186</v>
      </c>
      <c r="BR1088" t="s">
        <v>186</v>
      </c>
      <c r="BS1088" t="s">
        <v>89</v>
      </c>
      <c r="BT1088">
        <v>43</v>
      </c>
      <c r="BU1088">
        <v>42736</v>
      </c>
      <c r="BV1088" t="s">
        <v>89</v>
      </c>
      <c r="BW1088">
        <v>11</v>
      </c>
      <c r="BX1088">
        <v>1983</v>
      </c>
      <c r="BY1088">
        <v>11</v>
      </c>
      <c r="BZ1088">
        <f t="shared" si="152"/>
        <v>-3</v>
      </c>
      <c r="CA1088">
        <f t="shared" si="153"/>
        <v>0</v>
      </c>
      <c r="CB1088" t="b">
        <f t="shared" si="154"/>
        <v>0</v>
      </c>
    </row>
    <row r="1089" spans="1:80" x14ac:dyDescent="0.3">
      <c r="A1089" t="s">
        <v>8680</v>
      </c>
      <c r="B1089" t="s">
        <v>71</v>
      </c>
      <c r="C1089" t="s">
        <v>8681</v>
      </c>
      <c r="D1089">
        <v>34</v>
      </c>
      <c r="E1089" t="s">
        <v>8682</v>
      </c>
      <c r="F1089" t="s">
        <v>7967</v>
      </c>
      <c r="G1089" t="s">
        <v>321</v>
      </c>
      <c r="H1089" t="s">
        <v>89</v>
      </c>
      <c r="I1089" t="s">
        <v>437</v>
      </c>
      <c r="J1089" t="s">
        <v>78</v>
      </c>
      <c r="K1089" t="s">
        <v>267</v>
      </c>
      <c r="L1089" t="s">
        <v>278</v>
      </c>
      <c r="M1089">
        <v>20</v>
      </c>
      <c r="N1089" t="s">
        <v>751</v>
      </c>
      <c r="O1089">
        <v>2011</v>
      </c>
      <c r="P1089" t="s">
        <v>8683</v>
      </c>
      <c r="Q1089" t="s">
        <v>8684</v>
      </c>
      <c r="R1089">
        <v>212391</v>
      </c>
      <c r="S1089" t="s">
        <v>8680</v>
      </c>
      <c r="T1089">
        <v>33298</v>
      </c>
      <c r="U1089">
        <v>1991</v>
      </c>
      <c r="V1089" t="s">
        <v>754</v>
      </c>
      <c r="W1089">
        <v>1.79</v>
      </c>
      <c r="X1089" t="s">
        <v>76</v>
      </c>
      <c r="Y1089" t="s">
        <v>123</v>
      </c>
      <c r="Z1089" t="s">
        <v>87</v>
      </c>
      <c r="AA1089" t="s">
        <v>273</v>
      </c>
      <c r="AB1089" t="s">
        <v>8685</v>
      </c>
      <c r="AC1089" t="s">
        <v>170</v>
      </c>
      <c r="AD1089" t="s">
        <v>89</v>
      </c>
      <c r="AE1089" t="s">
        <v>285</v>
      </c>
      <c r="AF1089">
        <v>21</v>
      </c>
      <c r="AG1089" t="s">
        <v>91</v>
      </c>
      <c r="AH1089" t="s">
        <v>421</v>
      </c>
      <c r="AI1089">
        <v>22</v>
      </c>
      <c r="AJ1089" t="s">
        <v>110</v>
      </c>
      <c r="AK1089">
        <v>21</v>
      </c>
      <c r="AL1089">
        <v>4</v>
      </c>
      <c r="AM1089">
        <v>397</v>
      </c>
      <c r="AN1089">
        <v>54</v>
      </c>
      <c r="AO1089">
        <v>3</v>
      </c>
      <c r="AP1089" t="s">
        <v>93</v>
      </c>
      <c r="AQ1089" t="s">
        <v>89</v>
      </c>
      <c r="AR1089" t="s">
        <v>89</v>
      </c>
      <c r="AS1089" t="s">
        <v>93</v>
      </c>
      <c r="AT1089" t="s">
        <v>89</v>
      </c>
      <c r="AU1089" t="s">
        <v>89</v>
      </c>
      <c r="AV1089" t="s">
        <v>89</v>
      </c>
      <c r="AW1089">
        <v>14</v>
      </c>
      <c r="AX1089">
        <v>9</v>
      </c>
      <c r="AY1089" t="s">
        <v>93</v>
      </c>
      <c r="AZ1089">
        <v>0</v>
      </c>
      <c r="BA1089">
        <v>0</v>
      </c>
      <c r="BB1089">
        <v>0</v>
      </c>
      <c r="BC1089">
        <v>0</v>
      </c>
      <c r="BD1089">
        <v>379</v>
      </c>
      <c r="BE1089">
        <v>23528</v>
      </c>
      <c r="BF1089">
        <v>107</v>
      </c>
      <c r="BG1089" t="s">
        <v>89</v>
      </c>
      <c r="BH1089">
        <v>379</v>
      </c>
      <c r="BI1089">
        <v>23528</v>
      </c>
      <c r="BJ1089">
        <v>107</v>
      </c>
      <c r="BK1089">
        <f t="shared" si="146"/>
        <v>379</v>
      </c>
      <c r="BL1089">
        <f t="shared" si="147"/>
        <v>23528</v>
      </c>
      <c r="BM1089">
        <f t="shared" si="148"/>
        <v>107</v>
      </c>
      <c r="BN1089">
        <f t="shared" si="149"/>
        <v>0</v>
      </c>
      <c r="BO1089">
        <f t="shared" si="150"/>
        <v>0</v>
      </c>
      <c r="BP1089">
        <f t="shared" si="151"/>
        <v>0</v>
      </c>
      <c r="BQ1089" t="s">
        <v>123</v>
      </c>
      <c r="BR1089" t="s">
        <v>112</v>
      </c>
      <c r="BS1089" t="s">
        <v>89</v>
      </c>
      <c r="BT1089">
        <v>35</v>
      </c>
      <c r="BU1089" t="s">
        <v>89</v>
      </c>
      <c r="BV1089" t="s">
        <v>89</v>
      </c>
      <c r="BW1089">
        <v>14</v>
      </c>
      <c r="BX1089">
        <v>1991</v>
      </c>
      <c r="BY1089">
        <v>13</v>
      </c>
      <c r="BZ1089">
        <f t="shared" si="152"/>
        <v>0</v>
      </c>
      <c r="CA1089">
        <f t="shared" si="153"/>
        <v>1</v>
      </c>
      <c r="CB1089" t="b">
        <f t="shared" si="154"/>
        <v>1</v>
      </c>
    </row>
    <row r="1090" spans="1:80" x14ac:dyDescent="0.3">
      <c r="A1090" t="s">
        <v>8686</v>
      </c>
      <c r="B1090" t="s">
        <v>7098</v>
      </c>
      <c r="C1090" t="s">
        <v>8687</v>
      </c>
      <c r="D1090">
        <v>37</v>
      </c>
      <c r="E1090" s="1">
        <v>32142</v>
      </c>
      <c r="F1090" t="s">
        <v>89</v>
      </c>
      <c r="G1090" t="s">
        <v>115</v>
      </c>
      <c r="H1090" t="s">
        <v>8688</v>
      </c>
      <c r="I1090" t="s">
        <v>865</v>
      </c>
      <c r="J1090" t="s">
        <v>300</v>
      </c>
      <c r="K1090" t="s">
        <v>89</v>
      </c>
      <c r="L1090" t="s">
        <v>163</v>
      </c>
      <c r="M1090">
        <v>18</v>
      </c>
      <c r="N1090" t="s">
        <v>7666</v>
      </c>
      <c r="O1090">
        <v>2006</v>
      </c>
      <c r="P1090" t="s">
        <v>8689</v>
      </c>
      <c r="Q1090" t="s">
        <v>8690</v>
      </c>
      <c r="R1090">
        <v>35035</v>
      </c>
      <c r="S1090" t="s">
        <v>8686</v>
      </c>
      <c r="T1090" t="s">
        <v>8691</v>
      </c>
      <c r="U1090">
        <v>1987</v>
      </c>
      <c r="V1090" t="s">
        <v>1523</v>
      </c>
      <c r="W1090">
        <v>1.8</v>
      </c>
      <c r="X1090" t="s">
        <v>8692</v>
      </c>
      <c r="Y1090" t="s">
        <v>391</v>
      </c>
      <c r="Z1090" t="s">
        <v>152</v>
      </c>
      <c r="AA1090" t="s">
        <v>8693</v>
      </c>
      <c r="AB1090" s="1">
        <v>44208</v>
      </c>
      <c r="AC1090" t="s">
        <v>108</v>
      </c>
      <c r="AD1090" t="s">
        <v>89</v>
      </c>
      <c r="AE1090" s="1">
        <v>38845</v>
      </c>
      <c r="AF1090">
        <v>18</v>
      </c>
      <c r="AG1090" t="s">
        <v>1161</v>
      </c>
      <c r="AH1090" t="s">
        <v>8694</v>
      </c>
      <c r="AI1090">
        <v>16</v>
      </c>
      <c r="AJ1090" t="s">
        <v>1122</v>
      </c>
      <c r="AK1090">
        <v>16</v>
      </c>
      <c r="AL1090">
        <v>1</v>
      </c>
      <c r="AM1090">
        <v>6</v>
      </c>
      <c r="AN1090">
        <v>1</v>
      </c>
      <c r="AO1090">
        <v>1</v>
      </c>
      <c r="AP1090" t="s">
        <v>93</v>
      </c>
      <c r="AQ1090" t="s">
        <v>89</v>
      </c>
      <c r="AR1090" t="s">
        <v>89</v>
      </c>
      <c r="AS1090" t="s">
        <v>111</v>
      </c>
      <c r="AT1090">
        <v>44208</v>
      </c>
      <c r="AU1090">
        <v>2021</v>
      </c>
      <c r="AV1090">
        <v>15</v>
      </c>
      <c r="AW1090">
        <v>15</v>
      </c>
      <c r="AX1090" t="s">
        <v>89</v>
      </c>
      <c r="AY1090" t="s">
        <v>111</v>
      </c>
      <c r="AZ1090">
        <v>1</v>
      </c>
      <c r="BA1090">
        <v>3</v>
      </c>
      <c r="BB1090">
        <v>178</v>
      </c>
      <c r="BC1090">
        <v>0</v>
      </c>
      <c r="BD1090">
        <v>349</v>
      </c>
      <c r="BE1090">
        <v>22156</v>
      </c>
      <c r="BF1090">
        <v>62</v>
      </c>
      <c r="BG1090">
        <v>34</v>
      </c>
      <c r="BH1090">
        <v>352</v>
      </c>
      <c r="BI1090">
        <v>22334</v>
      </c>
      <c r="BJ1090">
        <v>62</v>
      </c>
      <c r="BK1090">
        <f t="shared" si="146"/>
        <v>352</v>
      </c>
      <c r="BL1090">
        <f t="shared" si="147"/>
        <v>22334</v>
      </c>
      <c r="BM1090">
        <f t="shared" si="148"/>
        <v>62</v>
      </c>
      <c r="BN1090">
        <f t="shared" si="149"/>
        <v>0</v>
      </c>
      <c r="BO1090">
        <f t="shared" si="150"/>
        <v>0</v>
      </c>
      <c r="BP1090">
        <f t="shared" si="151"/>
        <v>0</v>
      </c>
      <c r="BQ1090" t="s">
        <v>391</v>
      </c>
      <c r="BR1090" t="s">
        <v>112</v>
      </c>
      <c r="BS1090" s="1">
        <v>32142</v>
      </c>
      <c r="BT1090">
        <v>38</v>
      </c>
      <c r="BU1090">
        <v>44208</v>
      </c>
      <c r="BV1090" t="s">
        <v>89</v>
      </c>
      <c r="BW1090">
        <v>18</v>
      </c>
      <c r="BX1090">
        <v>1987</v>
      </c>
      <c r="BY1090">
        <v>18</v>
      </c>
      <c r="BZ1090">
        <f t="shared" si="152"/>
        <v>-3</v>
      </c>
      <c r="CA1090">
        <f t="shared" si="153"/>
        <v>0</v>
      </c>
      <c r="CB1090" t="b">
        <f t="shared" si="154"/>
        <v>0</v>
      </c>
    </row>
    <row r="1091" spans="1:80" x14ac:dyDescent="0.3">
      <c r="A1091" t="s">
        <v>8695</v>
      </c>
      <c r="B1091" t="s">
        <v>1508</v>
      </c>
      <c r="C1091" t="s">
        <v>8696</v>
      </c>
      <c r="D1091">
        <v>42</v>
      </c>
      <c r="E1091" s="1">
        <v>30471</v>
      </c>
      <c r="F1091" t="s">
        <v>89</v>
      </c>
      <c r="G1091" t="s">
        <v>819</v>
      </c>
      <c r="H1091" t="s">
        <v>1510</v>
      </c>
      <c r="I1091" t="s">
        <v>750</v>
      </c>
      <c r="J1091" t="s">
        <v>639</v>
      </c>
      <c r="K1091" t="s">
        <v>89</v>
      </c>
      <c r="L1091" t="s">
        <v>657</v>
      </c>
      <c r="M1091">
        <v>20</v>
      </c>
      <c r="N1091" t="s">
        <v>1520</v>
      </c>
      <c r="O1091">
        <v>2003</v>
      </c>
      <c r="P1091" t="s">
        <v>8697</v>
      </c>
      <c r="Q1091" t="s">
        <v>8698</v>
      </c>
      <c r="R1091">
        <v>15808</v>
      </c>
      <c r="S1091" t="s">
        <v>8695</v>
      </c>
      <c r="T1091" s="1">
        <v>30412</v>
      </c>
      <c r="U1091">
        <v>1983</v>
      </c>
      <c r="V1091" t="s">
        <v>1523</v>
      </c>
      <c r="W1091">
        <v>1.87</v>
      </c>
      <c r="X1091" t="s">
        <v>1515</v>
      </c>
      <c r="Y1091" t="s">
        <v>259</v>
      </c>
      <c r="Z1091" t="s">
        <v>152</v>
      </c>
      <c r="AA1091" t="s">
        <v>4923</v>
      </c>
      <c r="AB1091" s="1">
        <v>42736</v>
      </c>
      <c r="AC1091" t="s">
        <v>108</v>
      </c>
      <c r="AD1091" t="s">
        <v>89</v>
      </c>
      <c r="AE1091">
        <v>2004</v>
      </c>
      <c r="AF1091">
        <v>20</v>
      </c>
      <c r="AG1091" t="s">
        <v>1161</v>
      </c>
      <c r="AH1091" t="s">
        <v>89</v>
      </c>
      <c r="AI1091" t="s">
        <v>89</v>
      </c>
      <c r="AJ1091" t="s">
        <v>89</v>
      </c>
      <c r="AK1091">
        <v>20</v>
      </c>
      <c r="AL1091">
        <v>1</v>
      </c>
      <c r="AM1091">
        <v>29</v>
      </c>
      <c r="AN1091">
        <v>7</v>
      </c>
      <c r="AO1091">
        <v>1</v>
      </c>
      <c r="AP1091" t="s">
        <v>93</v>
      </c>
      <c r="AQ1091" t="s">
        <v>89</v>
      </c>
      <c r="AR1091" t="s">
        <v>89</v>
      </c>
      <c r="AS1091" t="s">
        <v>111</v>
      </c>
      <c r="AT1091">
        <v>42736</v>
      </c>
      <c r="AU1091">
        <v>2017</v>
      </c>
      <c r="AV1091">
        <v>14</v>
      </c>
      <c r="AW1091">
        <v>14</v>
      </c>
      <c r="AX1091" t="s">
        <v>89</v>
      </c>
      <c r="AY1091" t="s">
        <v>111</v>
      </c>
      <c r="AZ1091">
        <v>5</v>
      </c>
      <c r="BA1091">
        <v>11</v>
      </c>
      <c r="BB1091">
        <v>593</v>
      </c>
      <c r="BC1091">
        <v>1</v>
      </c>
      <c r="BD1091">
        <v>348</v>
      </c>
      <c r="BE1091">
        <v>25100</v>
      </c>
      <c r="BF1091">
        <v>40</v>
      </c>
      <c r="BG1091">
        <v>34</v>
      </c>
      <c r="BH1091">
        <v>359</v>
      </c>
      <c r="BI1091">
        <v>25693</v>
      </c>
      <c r="BJ1091">
        <v>41</v>
      </c>
      <c r="BK1091">
        <f t="shared" ref="BK1091:BK1154" si="155">+BA1091+BD1091</f>
        <v>359</v>
      </c>
      <c r="BL1091">
        <f t="shared" ref="BL1091:BL1154" si="156">+BB1091+BE1091</f>
        <v>25693</v>
      </c>
      <c r="BM1091">
        <f t="shared" ref="BM1091:BM1154" si="157">+BC1091+BF1091</f>
        <v>41</v>
      </c>
      <c r="BN1091">
        <f t="shared" ref="BN1091:BN1154" si="158">+BK1091-BH1091</f>
        <v>0</v>
      </c>
      <c r="BO1091">
        <f t="shared" ref="BO1091:BO1154" si="159">+BL1091-BI1091</f>
        <v>0</v>
      </c>
      <c r="BP1091">
        <f t="shared" ref="BP1091:BP1154" si="160">+BM1091-BJ1091</f>
        <v>0</v>
      </c>
      <c r="BQ1091" t="s">
        <v>259</v>
      </c>
      <c r="BR1091" t="s">
        <v>94</v>
      </c>
      <c r="BS1091" s="1">
        <v>30471</v>
      </c>
      <c r="BT1091">
        <v>42</v>
      </c>
      <c r="BU1091">
        <v>42736</v>
      </c>
      <c r="BV1091" t="s">
        <v>89</v>
      </c>
      <c r="BW1091">
        <v>14</v>
      </c>
      <c r="BX1091">
        <v>1983</v>
      </c>
      <c r="BY1091">
        <v>14</v>
      </c>
      <c r="BZ1091">
        <f t="shared" ref="BZ1091:BZ1154" si="161">+AW1091-BW1091</f>
        <v>0</v>
      </c>
      <c r="CA1091">
        <f t="shared" ref="CA1091:CA1154" si="162">+BW1091-BY1091</f>
        <v>0</v>
      </c>
      <c r="CB1091" t="b">
        <f t="shared" ref="CB1091:CB1154" si="163">+BW1091=AW1091</f>
        <v>1</v>
      </c>
    </row>
    <row r="1092" spans="1:80" x14ac:dyDescent="0.3">
      <c r="A1092" t="s">
        <v>8699</v>
      </c>
      <c r="B1092" t="s">
        <v>2322</v>
      </c>
      <c r="C1092" t="s">
        <v>8700</v>
      </c>
      <c r="D1092">
        <v>43</v>
      </c>
      <c r="E1092" t="s">
        <v>8701</v>
      </c>
      <c r="F1092" t="s">
        <v>8702</v>
      </c>
      <c r="G1092" t="s">
        <v>334</v>
      </c>
      <c r="H1092" t="s">
        <v>2324</v>
      </c>
      <c r="I1092" t="s">
        <v>437</v>
      </c>
      <c r="J1092" t="s">
        <v>78</v>
      </c>
      <c r="K1092" t="s">
        <v>7062</v>
      </c>
      <c r="L1092" t="s">
        <v>2014</v>
      </c>
      <c r="M1092">
        <v>17</v>
      </c>
      <c r="N1092" t="s">
        <v>2265</v>
      </c>
      <c r="O1092">
        <v>1999</v>
      </c>
      <c r="P1092" t="s">
        <v>8703</v>
      </c>
      <c r="Q1092" t="s">
        <v>8704</v>
      </c>
      <c r="R1092">
        <v>215</v>
      </c>
      <c r="S1092" t="s">
        <v>8699</v>
      </c>
      <c r="T1092" t="s">
        <v>8705</v>
      </c>
      <c r="U1092">
        <v>1981</v>
      </c>
      <c r="V1092" t="s">
        <v>2327</v>
      </c>
      <c r="W1092">
        <v>1.93</v>
      </c>
      <c r="X1092" t="s">
        <v>4486</v>
      </c>
      <c r="Y1092" t="s">
        <v>123</v>
      </c>
      <c r="Z1092" t="s">
        <v>87</v>
      </c>
      <c r="AA1092" t="s">
        <v>7062</v>
      </c>
      <c r="AB1092" s="1">
        <v>44562</v>
      </c>
      <c r="AC1092" t="s">
        <v>108</v>
      </c>
      <c r="AD1092" t="s">
        <v>395</v>
      </c>
      <c r="AE1092">
        <v>1999</v>
      </c>
      <c r="AF1092">
        <v>18</v>
      </c>
      <c r="AG1092" t="s">
        <v>2272</v>
      </c>
      <c r="AH1092" t="s">
        <v>89</v>
      </c>
      <c r="AI1092" t="s">
        <v>89</v>
      </c>
      <c r="AJ1092" t="s">
        <v>89</v>
      </c>
      <c r="AK1092">
        <v>18</v>
      </c>
      <c r="AL1092">
        <v>15</v>
      </c>
      <c r="AM1092">
        <v>696</v>
      </c>
      <c r="AN1092">
        <v>110</v>
      </c>
      <c r="AO1092">
        <v>7</v>
      </c>
      <c r="AP1092" t="s">
        <v>93</v>
      </c>
      <c r="AQ1092" t="s">
        <v>89</v>
      </c>
      <c r="AR1092" t="s">
        <v>89</v>
      </c>
      <c r="AS1092" t="s">
        <v>93</v>
      </c>
      <c r="AT1092" t="s">
        <v>89</v>
      </c>
      <c r="AU1092" t="s">
        <v>89</v>
      </c>
      <c r="AV1092" t="s">
        <v>89</v>
      </c>
      <c r="AW1092">
        <v>26</v>
      </c>
      <c r="AX1092">
        <v>24</v>
      </c>
      <c r="AY1092" t="s">
        <v>111</v>
      </c>
      <c r="AZ1092">
        <v>7</v>
      </c>
      <c r="BA1092">
        <v>25</v>
      </c>
      <c r="BB1092">
        <v>1797</v>
      </c>
      <c r="BC1092">
        <v>5</v>
      </c>
      <c r="BD1092">
        <v>775</v>
      </c>
      <c r="BE1092">
        <v>44765</v>
      </c>
      <c r="BF1092">
        <v>197</v>
      </c>
      <c r="BG1092" t="s">
        <v>89</v>
      </c>
      <c r="BH1092">
        <v>800</v>
      </c>
      <c r="BI1092">
        <v>46562</v>
      </c>
      <c r="BJ1092">
        <v>202</v>
      </c>
      <c r="BK1092">
        <f t="shared" si="155"/>
        <v>800</v>
      </c>
      <c r="BL1092">
        <f t="shared" si="156"/>
        <v>46562</v>
      </c>
      <c r="BM1092">
        <f t="shared" si="157"/>
        <v>202</v>
      </c>
      <c r="BN1092">
        <f t="shared" si="158"/>
        <v>0</v>
      </c>
      <c r="BO1092">
        <f t="shared" si="159"/>
        <v>0</v>
      </c>
      <c r="BP1092">
        <f t="shared" si="160"/>
        <v>0</v>
      </c>
      <c r="BQ1092" t="s">
        <v>123</v>
      </c>
      <c r="BR1092" t="s">
        <v>112</v>
      </c>
      <c r="BS1092" s="1">
        <v>29814</v>
      </c>
      <c r="BT1092">
        <v>44</v>
      </c>
      <c r="BU1092" t="s">
        <v>89</v>
      </c>
      <c r="BV1092" t="s">
        <v>89</v>
      </c>
      <c r="BW1092">
        <v>26</v>
      </c>
      <c r="BX1092">
        <v>1981</v>
      </c>
      <c r="BY1092">
        <v>25</v>
      </c>
      <c r="BZ1092">
        <f t="shared" si="161"/>
        <v>0</v>
      </c>
      <c r="CA1092">
        <f t="shared" si="162"/>
        <v>1</v>
      </c>
      <c r="CB1092" t="b">
        <f t="shared" si="163"/>
        <v>1</v>
      </c>
    </row>
    <row r="1093" spans="1:80" x14ac:dyDescent="0.3">
      <c r="A1093" t="s">
        <v>8706</v>
      </c>
      <c r="B1093" t="s">
        <v>776</v>
      </c>
      <c r="C1093" t="s">
        <v>8707</v>
      </c>
      <c r="D1093">
        <v>41</v>
      </c>
      <c r="E1093">
        <v>30698</v>
      </c>
      <c r="F1093" t="s">
        <v>89</v>
      </c>
      <c r="G1093" t="s">
        <v>819</v>
      </c>
      <c r="H1093" t="s">
        <v>89</v>
      </c>
      <c r="I1093" t="s">
        <v>227</v>
      </c>
      <c r="J1093" t="s">
        <v>89</v>
      </c>
      <c r="K1093" t="s">
        <v>89</v>
      </c>
      <c r="L1093" t="s">
        <v>845</v>
      </c>
      <c r="M1093">
        <v>18</v>
      </c>
      <c r="N1093" t="s">
        <v>3199</v>
      </c>
      <c r="O1093">
        <v>2002</v>
      </c>
      <c r="P1093" t="s">
        <v>8708</v>
      </c>
      <c r="Q1093" t="s">
        <v>8709</v>
      </c>
      <c r="R1093">
        <v>25110</v>
      </c>
      <c r="S1093" t="s">
        <v>8706</v>
      </c>
      <c r="T1093" t="s">
        <v>8710</v>
      </c>
      <c r="U1093">
        <v>1984</v>
      </c>
      <c r="V1093" t="s">
        <v>8711</v>
      </c>
      <c r="W1093">
        <v>1.87</v>
      </c>
      <c r="X1093" t="s">
        <v>2173</v>
      </c>
      <c r="Y1093" t="s">
        <v>235</v>
      </c>
      <c r="Z1093" t="s">
        <v>87</v>
      </c>
      <c r="AA1093" t="s">
        <v>6934</v>
      </c>
      <c r="AB1093">
        <v>42736</v>
      </c>
      <c r="AC1093" t="s">
        <v>108</v>
      </c>
      <c r="AD1093" t="s">
        <v>89</v>
      </c>
      <c r="AE1093" s="1">
        <v>38269</v>
      </c>
      <c r="AF1093">
        <v>20</v>
      </c>
      <c r="AG1093" t="s">
        <v>613</v>
      </c>
      <c r="AH1093" s="1">
        <v>38727</v>
      </c>
      <c r="AI1093">
        <v>22</v>
      </c>
      <c r="AJ1093" t="s">
        <v>615</v>
      </c>
      <c r="AK1093">
        <v>20</v>
      </c>
      <c r="AL1093">
        <v>6</v>
      </c>
      <c r="AM1093">
        <v>380</v>
      </c>
      <c r="AN1093">
        <v>53</v>
      </c>
      <c r="AO1093">
        <v>4</v>
      </c>
      <c r="AP1093" t="s">
        <v>93</v>
      </c>
      <c r="AQ1093" t="s">
        <v>89</v>
      </c>
      <c r="AR1093" t="s">
        <v>89</v>
      </c>
      <c r="AS1093" t="s">
        <v>111</v>
      </c>
      <c r="AT1093">
        <v>42736</v>
      </c>
      <c r="AU1093">
        <v>2017</v>
      </c>
      <c r="AV1093">
        <v>15</v>
      </c>
      <c r="AW1093">
        <v>15</v>
      </c>
      <c r="AX1093" t="s">
        <v>89</v>
      </c>
      <c r="AY1093" t="s">
        <v>93</v>
      </c>
      <c r="AZ1093">
        <v>0</v>
      </c>
      <c r="BA1093">
        <v>0</v>
      </c>
      <c r="BB1093">
        <v>0</v>
      </c>
      <c r="BC1093">
        <v>0</v>
      </c>
      <c r="BD1093">
        <v>193</v>
      </c>
      <c r="BE1093">
        <v>14570</v>
      </c>
      <c r="BF1093">
        <v>11</v>
      </c>
      <c r="BG1093">
        <v>33</v>
      </c>
      <c r="BH1093">
        <v>193</v>
      </c>
      <c r="BI1093">
        <v>14570</v>
      </c>
      <c r="BJ1093">
        <v>11</v>
      </c>
      <c r="BK1093">
        <f t="shared" si="155"/>
        <v>193</v>
      </c>
      <c r="BL1093">
        <f t="shared" si="156"/>
        <v>14570</v>
      </c>
      <c r="BM1093">
        <f t="shared" si="157"/>
        <v>11</v>
      </c>
      <c r="BN1093">
        <f t="shared" si="158"/>
        <v>0</v>
      </c>
      <c r="BO1093">
        <f t="shared" si="159"/>
        <v>0</v>
      </c>
      <c r="BP1093">
        <f t="shared" si="160"/>
        <v>0</v>
      </c>
      <c r="BQ1093" t="s">
        <v>235</v>
      </c>
      <c r="BR1093" t="s">
        <v>140</v>
      </c>
      <c r="BS1093" s="1">
        <v>30698</v>
      </c>
      <c r="BT1093">
        <v>42</v>
      </c>
      <c r="BU1093">
        <v>42736</v>
      </c>
      <c r="BV1093" t="s">
        <v>89</v>
      </c>
      <c r="BW1093">
        <v>13</v>
      </c>
      <c r="BX1093">
        <v>1984</v>
      </c>
      <c r="BY1093">
        <v>13</v>
      </c>
      <c r="BZ1093">
        <f t="shared" si="161"/>
        <v>2</v>
      </c>
      <c r="CA1093">
        <f t="shared" si="162"/>
        <v>0</v>
      </c>
      <c r="CB1093" t="b">
        <f t="shared" si="163"/>
        <v>0</v>
      </c>
    </row>
    <row r="1094" spans="1:80" x14ac:dyDescent="0.3">
      <c r="A1094" t="s">
        <v>8712</v>
      </c>
      <c r="B1094" t="s">
        <v>4104</v>
      </c>
      <c r="C1094" t="s">
        <v>8713</v>
      </c>
      <c r="D1094">
        <v>38</v>
      </c>
      <c r="E1094" s="1">
        <v>31875</v>
      </c>
      <c r="F1094" t="s">
        <v>89</v>
      </c>
      <c r="G1094" t="s">
        <v>385</v>
      </c>
      <c r="H1094" t="s">
        <v>4106</v>
      </c>
      <c r="I1094" t="s">
        <v>8714</v>
      </c>
      <c r="J1094" t="s">
        <v>300</v>
      </c>
      <c r="K1094" t="s">
        <v>89</v>
      </c>
      <c r="L1094" t="s">
        <v>117</v>
      </c>
      <c r="M1094">
        <v>18</v>
      </c>
      <c r="N1094" t="s">
        <v>4107</v>
      </c>
      <c r="O1094">
        <v>2005</v>
      </c>
      <c r="P1094" t="s">
        <v>8715</v>
      </c>
      <c r="Q1094" t="s">
        <v>8716</v>
      </c>
      <c r="R1094">
        <v>35631</v>
      </c>
      <c r="S1094" t="s">
        <v>8712</v>
      </c>
      <c r="T1094">
        <v>31993</v>
      </c>
      <c r="U1094">
        <v>1987</v>
      </c>
      <c r="V1094" t="s">
        <v>4022</v>
      </c>
      <c r="W1094">
        <v>1.67</v>
      </c>
      <c r="X1094" t="s">
        <v>4111</v>
      </c>
      <c r="Y1094" t="s">
        <v>151</v>
      </c>
      <c r="Z1094" t="s">
        <v>152</v>
      </c>
      <c r="AA1094" t="s">
        <v>8717</v>
      </c>
      <c r="AB1094" t="s">
        <v>8718</v>
      </c>
      <c r="AC1094" t="s">
        <v>108</v>
      </c>
      <c r="AD1094" t="s">
        <v>89</v>
      </c>
      <c r="AE1094" t="s">
        <v>524</v>
      </c>
      <c r="AF1094">
        <v>18</v>
      </c>
      <c r="AG1094" t="s">
        <v>5212</v>
      </c>
      <c r="AH1094" s="1">
        <v>41341</v>
      </c>
      <c r="AI1094">
        <v>26</v>
      </c>
      <c r="AJ1094" t="s">
        <v>855</v>
      </c>
      <c r="AK1094">
        <v>18</v>
      </c>
      <c r="AL1094">
        <v>6</v>
      </c>
      <c r="AM1094">
        <v>110</v>
      </c>
      <c r="AN1094">
        <v>20</v>
      </c>
      <c r="AO1094">
        <v>5</v>
      </c>
      <c r="AP1094" t="s">
        <v>93</v>
      </c>
      <c r="AQ1094" t="s">
        <v>89</v>
      </c>
      <c r="AR1094" t="s">
        <v>89</v>
      </c>
      <c r="AS1094" t="s">
        <v>111</v>
      </c>
      <c r="AT1094" t="s">
        <v>8718</v>
      </c>
      <c r="AU1094">
        <v>2023</v>
      </c>
      <c r="AV1094">
        <v>18</v>
      </c>
      <c r="AW1094">
        <v>18</v>
      </c>
      <c r="AX1094" t="s">
        <v>89</v>
      </c>
      <c r="AY1094" t="s">
        <v>93</v>
      </c>
      <c r="AZ1094">
        <v>0</v>
      </c>
      <c r="BA1094">
        <v>0</v>
      </c>
      <c r="BB1094">
        <v>0</v>
      </c>
      <c r="BC1094">
        <v>0</v>
      </c>
      <c r="BD1094">
        <v>215</v>
      </c>
      <c r="BE1094">
        <v>12984</v>
      </c>
      <c r="BF1094">
        <v>24</v>
      </c>
      <c r="BG1094">
        <v>36</v>
      </c>
      <c r="BH1094">
        <v>215</v>
      </c>
      <c r="BI1094">
        <v>12984</v>
      </c>
      <c r="BJ1094">
        <v>24</v>
      </c>
      <c r="BK1094">
        <f t="shared" si="155"/>
        <v>215</v>
      </c>
      <c r="BL1094">
        <f t="shared" si="156"/>
        <v>12984</v>
      </c>
      <c r="BM1094">
        <f t="shared" si="157"/>
        <v>24</v>
      </c>
      <c r="BN1094">
        <f t="shared" si="158"/>
        <v>0</v>
      </c>
      <c r="BO1094">
        <f t="shared" si="159"/>
        <v>0</v>
      </c>
      <c r="BP1094">
        <f t="shared" si="160"/>
        <v>0</v>
      </c>
      <c r="BQ1094" t="s">
        <v>151</v>
      </c>
      <c r="BR1094" t="s">
        <v>94</v>
      </c>
      <c r="BS1094" t="s">
        <v>89</v>
      </c>
      <c r="BT1094">
        <v>39</v>
      </c>
      <c r="BU1094" t="s">
        <v>8718</v>
      </c>
      <c r="BV1094" s="1">
        <v>45247</v>
      </c>
      <c r="BW1094">
        <v>18</v>
      </c>
      <c r="BX1094">
        <v>1987</v>
      </c>
      <c r="BY1094">
        <v>18</v>
      </c>
      <c r="BZ1094">
        <f t="shared" si="161"/>
        <v>0</v>
      </c>
      <c r="CA1094">
        <f t="shared" si="162"/>
        <v>0</v>
      </c>
      <c r="CB1094" t="b">
        <f t="shared" si="163"/>
        <v>1</v>
      </c>
    </row>
    <row r="1095" spans="1:80" x14ac:dyDescent="0.3">
      <c r="A1095" t="s">
        <v>8719</v>
      </c>
      <c r="B1095" t="s">
        <v>71</v>
      </c>
      <c r="C1095" t="s">
        <v>8720</v>
      </c>
      <c r="D1095">
        <v>41</v>
      </c>
      <c r="E1095" s="1">
        <v>30855</v>
      </c>
      <c r="F1095" t="s">
        <v>89</v>
      </c>
      <c r="G1095" t="s">
        <v>819</v>
      </c>
      <c r="H1095" t="s">
        <v>76</v>
      </c>
      <c r="I1095" t="s">
        <v>178</v>
      </c>
      <c r="J1095" t="s">
        <v>78</v>
      </c>
      <c r="K1095" t="s">
        <v>89</v>
      </c>
      <c r="L1095" t="s">
        <v>145</v>
      </c>
      <c r="M1095">
        <v>20</v>
      </c>
      <c r="N1095" t="s">
        <v>644</v>
      </c>
      <c r="O1095">
        <v>2004</v>
      </c>
      <c r="P1095" t="s">
        <v>8721</v>
      </c>
      <c r="Q1095" t="s">
        <v>8722</v>
      </c>
      <c r="R1095">
        <v>8184</v>
      </c>
      <c r="S1095" t="s">
        <v>8723</v>
      </c>
      <c r="T1095" t="s">
        <v>8724</v>
      </c>
      <c r="U1095">
        <v>1983</v>
      </c>
      <c r="V1095" t="s">
        <v>8725</v>
      </c>
      <c r="W1095">
        <v>1.87</v>
      </c>
      <c r="X1095" t="s">
        <v>76</v>
      </c>
      <c r="Y1095" t="s">
        <v>186</v>
      </c>
      <c r="Z1095" t="s">
        <v>87</v>
      </c>
      <c r="AA1095" t="s">
        <v>1916</v>
      </c>
      <c r="AB1095" t="s">
        <v>6800</v>
      </c>
      <c r="AC1095" t="s">
        <v>108</v>
      </c>
      <c r="AD1095" t="s">
        <v>89</v>
      </c>
      <c r="AE1095" t="s">
        <v>8726</v>
      </c>
      <c r="AF1095">
        <v>20</v>
      </c>
      <c r="AG1095" t="s">
        <v>91</v>
      </c>
      <c r="AH1095" t="s">
        <v>371</v>
      </c>
      <c r="AI1095">
        <v>25</v>
      </c>
      <c r="AJ1095" t="s">
        <v>110</v>
      </c>
      <c r="AK1095">
        <v>20</v>
      </c>
      <c r="AL1095">
        <v>6</v>
      </c>
      <c r="AM1095">
        <v>458</v>
      </c>
      <c r="AN1095">
        <v>70</v>
      </c>
      <c r="AO1095">
        <v>6</v>
      </c>
      <c r="AP1095" t="s">
        <v>93</v>
      </c>
      <c r="AQ1095" t="s">
        <v>89</v>
      </c>
      <c r="AR1095" t="s">
        <v>89</v>
      </c>
      <c r="AS1095" t="s">
        <v>111</v>
      </c>
      <c r="AT1095" t="s">
        <v>6800</v>
      </c>
      <c r="AU1095">
        <v>2022</v>
      </c>
      <c r="AV1095">
        <v>18</v>
      </c>
      <c r="AW1095">
        <v>18</v>
      </c>
      <c r="AX1095" t="s">
        <v>89</v>
      </c>
      <c r="AY1095" t="s">
        <v>93</v>
      </c>
      <c r="AZ1095">
        <v>0</v>
      </c>
      <c r="BA1095">
        <v>0</v>
      </c>
      <c r="BB1095">
        <v>0</v>
      </c>
      <c r="BC1095">
        <v>0</v>
      </c>
      <c r="BD1095">
        <v>252</v>
      </c>
      <c r="BE1095">
        <v>22121</v>
      </c>
      <c r="BF1095">
        <v>0</v>
      </c>
      <c r="BG1095">
        <v>39</v>
      </c>
      <c r="BH1095">
        <v>252</v>
      </c>
      <c r="BI1095">
        <v>22121</v>
      </c>
      <c r="BJ1095">
        <v>0</v>
      </c>
      <c r="BK1095">
        <f t="shared" si="155"/>
        <v>252</v>
      </c>
      <c r="BL1095">
        <f t="shared" si="156"/>
        <v>22121</v>
      </c>
      <c r="BM1095">
        <f t="shared" si="157"/>
        <v>0</v>
      </c>
      <c r="BN1095">
        <f t="shared" si="158"/>
        <v>0</v>
      </c>
      <c r="BO1095">
        <f t="shared" si="159"/>
        <v>0</v>
      </c>
      <c r="BP1095">
        <f t="shared" si="160"/>
        <v>0</v>
      </c>
      <c r="BQ1095" t="s">
        <v>186</v>
      </c>
      <c r="BR1095" t="s">
        <v>186</v>
      </c>
      <c r="BS1095" t="s">
        <v>89</v>
      </c>
      <c r="BT1095">
        <v>43</v>
      </c>
      <c r="BU1095" t="s">
        <v>6800</v>
      </c>
      <c r="BV1095" s="1">
        <v>44589</v>
      </c>
      <c r="BW1095">
        <v>19</v>
      </c>
      <c r="BX1095">
        <v>1983</v>
      </c>
      <c r="BY1095">
        <v>19</v>
      </c>
      <c r="BZ1095">
        <f t="shared" si="161"/>
        <v>-1</v>
      </c>
      <c r="CA1095">
        <f t="shared" si="162"/>
        <v>0</v>
      </c>
      <c r="CB1095" t="b">
        <f t="shared" si="163"/>
        <v>0</v>
      </c>
    </row>
    <row r="1096" spans="1:80" x14ac:dyDescent="0.3">
      <c r="A1096" t="s">
        <v>8719</v>
      </c>
      <c r="B1096" t="s">
        <v>89</v>
      </c>
      <c r="C1096" t="s">
        <v>8727</v>
      </c>
      <c r="D1096">
        <v>43</v>
      </c>
      <c r="E1096" s="1">
        <v>29980</v>
      </c>
      <c r="F1096" t="s">
        <v>89</v>
      </c>
      <c r="G1096" t="s">
        <v>819</v>
      </c>
      <c r="H1096" t="s">
        <v>76</v>
      </c>
      <c r="I1096" t="s">
        <v>227</v>
      </c>
      <c r="J1096" t="s">
        <v>89</v>
      </c>
      <c r="K1096" t="s">
        <v>89</v>
      </c>
      <c r="L1096" t="s">
        <v>99</v>
      </c>
      <c r="M1096">
        <v>19</v>
      </c>
      <c r="N1096" t="s">
        <v>268</v>
      </c>
      <c r="O1096">
        <v>2001</v>
      </c>
      <c r="P1096" t="s">
        <v>8728</v>
      </c>
      <c r="Q1096" t="s">
        <v>8729</v>
      </c>
      <c r="R1096">
        <v>7519</v>
      </c>
      <c r="S1096" t="s">
        <v>8730</v>
      </c>
      <c r="T1096" t="s">
        <v>8731</v>
      </c>
      <c r="U1096">
        <v>1983</v>
      </c>
      <c r="V1096" t="s">
        <v>1767</v>
      </c>
      <c r="W1096" t="s">
        <v>89</v>
      </c>
      <c r="X1096" t="s">
        <v>76</v>
      </c>
      <c r="Y1096" t="s">
        <v>235</v>
      </c>
      <c r="Z1096" t="s">
        <v>89</v>
      </c>
      <c r="AA1096" t="s">
        <v>5511</v>
      </c>
      <c r="AB1096">
        <v>42742</v>
      </c>
      <c r="AC1096" t="s">
        <v>108</v>
      </c>
      <c r="AD1096" t="s">
        <v>89</v>
      </c>
      <c r="AE1096" s="1">
        <v>37534</v>
      </c>
      <c r="AF1096">
        <v>20</v>
      </c>
      <c r="AG1096" t="s">
        <v>91</v>
      </c>
      <c r="AH1096" t="s">
        <v>354</v>
      </c>
      <c r="AI1096">
        <v>23</v>
      </c>
      <c r="AJ1096" t="s">
        <v>110</v>
      </c>
      <c r="AK1096">
        <v>20</v>
      </c>
      <c r="AL1096" t="s">
        <v>89</v>
      </c>
      <c r="AM1096" t="s">
        <v>89</v>
      </c>
      <c r="AN1096" t="s">
        <v>89</v>
      </c>
      <c r="AO1096">
        <v>0</v>
      </c>
      <c r="AP1096" t="s">
        <v>93</v>
      </c>
      <c r="AQ1096" t="s">
        <v>89</v>
      </c>
      <c r="AR1096" t="s">
        <v>89</v>
      </c>
      <c r="AS1096" t="s">
        <v>111</v>
      </c>
      <c r="AT1096">
        <v>42742</v>
      </c>
      <c r="AU1096">
        <v>2017</v>
      </c>
      <c r="AV1096">
        <v>16</v>
      </c>
      <c r="AW1096">
        <v>16</v>
      </c>
      <c r="AX1096" t="s">
        <v>89</v>
      </c>
      <c r="AY1096" t="s">
        <v>93</v>
      </c>
      <c r="AZ1096">
        <v>0</v>
      </c>
      <c r="BA1096">
        <v>0</v>
      </c>
      <c r="BB1096">
        <v>0</v>
      </c>
      <c r="BC1096">
        <v>0</v>
      </c>
      <c r="BD1096">
        <v>270</v>
      </c>
      <c r="BE1096">
        <v>21549</v>
      </c>
      <c r="BF1096">
        <v>9</v>
      </c>
      <c r="BG1096">
        <v>34</v>
      </c>
      <c r="BH1096">
        <v>270</v>
      </c>
      <c r="BI1096">
        <v>21549</v>
      </c>
      <c r="BJ1096">
        <v>9</v>
      </c>
      <c r="BK1096">
        <f t="shared" si="155"/>
        <v>270</v>
      </c>
      <c r="BL1096">
        <f t="shared" si="156"/>
        <v>21549</v>
      </c>
      <c r="BM1096">
        <f t="shared" si="157"/>
        <v>9</v>
      </c>
      <c r="BN1096">
        <f t="shared" si="158"/>
        <v>0</v>
      </c>
      <c r="BO1096">
        <f t="shared" si="159"/>
        <v>0</v>
      </c>
      <c r="BP1096">
        <f t="shared" si="160"/>
        <v>0</v>
      </c>
      <c r="BQ1096" t="s">
        <v>235</v>
      </c>
      <c r="BR1096" t="s">
        <v>140</v>
      </c>
      <c r="BS1096" t="s">
        <v>89</v>
      </c>
      <c r="BT1096">
        <v>43</v>
      </c>
      <c r="BU1096">
        <v>42742</v>
      </c>
      <c r="BV1096" t="s">
        <v>89</v>
      </c>
      <c r="BW1096">
        <v>14</v>
      </c>
      <c r="BX1096">
        <v>1983</v>
      </c>
      <c r="BY1096">
        <v>14</v>
      </c>
      <c r="BZ1096">
        <f t="shared" si="161"/>
        <v>2</v>
      </c>
      <c r="CA1096">
        <f t="shared" si="162"/>
        <v>0</v>
      </c>
      <c r="CB1096" t="b">
        <f t="shared" si="163"/>
        <v>0</v>
      </c>
    </row>
    <row r="1097" spans="1:80" x14ac:dyDescent="0.3">
      <c r="A1097" t="s">
        <v>8732</v>
      </c>
      <c r="B1097" t="s">
        <v>71</v>
      </c>
      <c r="C1097" t="s">
        <v>8733</v>
      </c>
      <c r="D1097">
        <v>30</v>
      </c>
      <c r="E1097" s="1">
        <v>34905</v>
      </c>
      <c r="F1097" t="s">
        <v>89</v>
      </c>
      <c r="G1097" t="s">
        <v>277</v>
      </c>
      <c r="H1097" t="s">
        <v>76</v>
      </c>
      <c r="I1097" t="s">
        <v>178</v>
      </c>
      <c r="J1097" t="s">
        <v>78</v>
      </c>
      <c r="K1097" t="s">
        <v>89</v>
      </c>
      <c r="L1097" t="s">
        <v>80</v>
      </c>
      <c r="M1097">
        <v>17</v>
      </c>
      <c r="N1097" t="s">
        <v>289</v>
      </c>
      <c r="O1097">
        <v>2012</v>
      </c>
      <c r="P1097" t="s">
        <v>8734</v>
      </c>
      <c r="Q1097" t="s">
        <v>8735</v>
      </c>
      <c r="R1097">
        <v>199321</v>
      </c>
      <c r="S1097" t="s">
        <v>8732</v>
      </c>
      <c r="T1097" t="s">
        <v>8736</v>
      </c>
      <c r="U1097">
        <v>1995</v>
      </c>
      <c r="V1097" t="s">
        <v>8737</v>
      </c>
      <c r="W1097">
        <v>1.88</v>
      </c>
      <c r="X1097" t="s">
        <v>76</v>
      </c>
      <c r="Y1097" t="s">
        <v>186</v>
      </c>
      <c r="Z1097" t="s">
        <v>87</v>
      </c>
      <c r="AA1097" t="s">
        <v>599</v>
      </c>
      <c r="AB1097" t="s">
        <v>8738</v>
      </c>
      <c r="AC1097" t="s">
        <v>170</v>
      </c>
      <c r="AD1097" t="s">
        <v>89</v>
      </c>
      <c r="AE1097" t="s">
        <v>1993</v>
      </c>
      <c r="AF1097">
        <v>17</v>
      </c>
      <c r="AG1097" t="s">
        <v>91</v>
      </c>
      <c r="AH1097" t="s">
        <v>92</v>
      </c>
      <c r="AI1097" t="s">
        <v>89</v>
      </c>
      <c r="AJ1097" t="s">
        <v>92</v>
      </c>
      <c r="AK1097">
        <v>17</v>
      </c>
      <c r="AL1097">
        <v>13</v>
      </c>
      <c r="AM1097">
        <v>724</v>
      </c>
      <c r="AN1097">
        <v>92</v>
      </c>
      <c r="AO1097">
        <v>7</v>
      </c>
      <c r="AP1097" t="s">
        <v>93</v>
      </c>
      <c r="AQ1097" t="s">
        <v>89</v>
      </c>
      <c r="AR1097" t="s">
        <v>89</v>
      </c>
      <c r="AS1097" t="s">
        <v>93</v>
      </c>
      <c r="AT1097" t="s">
        <v>89</v>
      </c>
      <c r="AU1097" t="s">
        <v>89</v>
      </c>
      <c r="AV1097" t="s">
        <v>89</v>
      </c>
      <c r="AW1097">
        <v>13</v>
      </c>
      <c r="AX1097">
        <v>36</v>
      </c>
      <c r="AY1097" t="s">
        <v>93</v>
      </c>
      <c r="AZ1097">
        <v>0</v>
      </c>
      <c r="BA1097">
        <v>0</v>
      </c>
      <c r="BB1097">
        <v>0</v>
      </c>
      <c r="BC1097">
        <v>0</v>
      </c>
      <c r="BD1097">
        <v>151</v>
      </c>
      <c r="BE1097">
        <v>13255</v>
      </c>
      <c r="BF1097">
        <v>0</v>
      </c>
      <c r="BG1097" t="s">
        <v>89</v>
      </c>
      <c r="BH1097">
        <v>151</v>
      </c>
      <c r="BI1097">
        <v>13255</v>
      </c>
      <c r="BJ1097">
        <v>0</v>
      </c>
      <c r="BK1097">
        <f t="shared" si="155"/>
        <v>151</v>
      </c>
      <c r="BL1097">
        <f t="shared" si="156"/>
        <v>13255</v>
      </c>
      <c r="BM1097">
        <f t="shared" si="157"/>
        <v>0</v>
      </c>
      <c r="BN1097">
        <f t="shared" si="158"/>
        <v>0</v>
      </c>
      <c r="BO1097">
        <f t="shared" si="159"/>
        <v>0</v>
      </c>
      <c r="BP1097">
        <f t="shared" si="160"/>
        <v>0</v>
      </c>
      <c r="BQ1097" t="s">
        <v>186</v>
      </c>
      <c r="BR1097" t="s">
        <v>186</v>
      </c>
      <c r="BS1097" s="1">
        <v>34905</v>
      </c>
      <c r="BT1097">
        <v>30</v>
      </c>
      <c r="BU1097" t="s">
        <v>89</v>
      </c>
      <c r="BV1097" t="s">
        <v>89</v>
      </c>
      <c r="BW1097">
        <v>13</v>
      </c>
      <c r="BX1097">
        <v>1995</v>
      </c>
      <c r="BY1097">
        <v>13</v>
      </c>
      <c r="BZ1097">
        <f t="shared" si="161"/>
        <v>0</v>
      </c>
      <c r="CA1097">
        <f t="shared" si="162"/>
        <v>0</v>
      </c>
      <c r="CB1097" t="b">
        <f t="shared" si="163"/>
        <v>1</v>
      </c>
    </row>
    <row r="1098" spans="1:80" x14ac:dyDescent="0.3">
      <c r="A1098" t="s">
        <v>8739</v>
      </c>
      <c r="B1098" t="s">
        <v>71</v>
      </c>
      <c r="C1098" t="s">
        <v>8740</v>
      </c>
      <c r="D1098">
        <v>44</v>
      </c>
      <c r="E1098" s="1">
        <v>29764</v>
      </c>
      <c r="F1098" t="s">
        <v>89</v>
      </c>
      <c r="G1098" t="s">
        <v>211</v>
      </c>
      <c r="H1098" t="s">
        <v>76</v>
      </c>
      <c r="I1098" t="s">
        <v>340</v>
      </c>
      <c r="J1098" t="s">
        <v>78</v>
      </c>
      <c r="K1098" t="s">
        <v>89</v>
      </c>
      <c r="L1098" t="s">
        <v>196</v>
      </c>
      <c r="M1098">
        <v>19</v>
      </c>
      <c r="N1098" t="s">
        <v>364</v>
      </c>
      <c r="O1098">
        <v>2000</v>
      </c>
      <c r="P1098" t="s">
        <v>8741</v>
      </c>
      <c r="Q1098" t="s">
        <v>8742</v>
      </c>
      <c r="R1098">
        <v>25316</v>
      </c>
      <c r="S1098" t="s">
        <v>8739</v>
      </c>
      <c r="T1098" t="s">
        <v>8743</v>
      </c>
      <c r="U1098">
        <v>1981</v>
      </c>
      <c r="V1098" t="s">
        <v>502</v>
      </c>
      <c r="W1098">
        <v>1.69</v>
      </c>
      <c r="X1098" t="s">
        <v>76</v>
      </c>
      <c r="Y1098" t="s">
        <v>123</v>
      </c>
      <c r="Z1098" t="s">
        <v>87</v>
      </c>
      <c r="AA1098" t="s">
        <v>745</v>
      </c>
      <c r="AB1098" s="1">
        <v>44933</v>
      </c>
      <c r="AC1098" t="s">
        <v>108</v>
      </c>
      <c r="AD1098" t="s">
        <v>89</v>
      </c>
      <c r="AE1098" t="s">
        <v>8744</v>
      </c>
      <c r="AF1098">
        <v>19</v>
      </c>
      <c r="AG1098" t="s">
        <v>91</v>
      </c>
      <c r="AH1098" t="s">
        <v>1162</v>
      </c>
      <c r="AI1098">
        <v>21</v>
      </c>
      <c r="AJ1098" t="s">
        <v>110</v>
      </c>
      <c r="AK1098">
        <v>19</v>
      </c>
      <c r="AL1098">
        <v>3</v>
      </c>
      <c r="AM1098">
        <v>178</v>
      </c>
      <c r="AN1098">
        <v>27</v>
      </c>
      <c r="AO1098">
        <v>3</v>
      </c>
      <c r="AP1098" t="s">
        <v>93</v>
      </c>
      <c r="AQ1098" t="s">
        <v>89</v>
      </c>
      <c r="AR1098" t="s">
        <v>89</v>
      </c>
      <c r="AS1098" t="s">
        <v>111</v>
      </c>
      <c r="AT1098" s="1">
        <v>44933</v>
      </c>
      <c r="AU1098">
        <v>2023</v>
      </c>
      <c r="AV1098">
        <v>23</v>
      </c>
      <c r="AW1098">
        <v>23</v>
      </c>
      <c r="AX1098" t="s">
        <v>89</v>
      </c>
      <c r="AY1098" t="s">
        <v>93</v>
      </c>
      <c r="AZ1098">
        <v>0</v>
      </c>
      <c r="BA1098">
        <v>0</v>
      </c>
      <c r="BB1098">
        <v>0</v>
      </c>
      <c r="BC1098">
        <v>0</v>
      </c>
      <c r="BD1098">
        <v>742</v>
      </c>
      <c r="BE1098">
        <v>56802</v>
      </c>
      <c r="BF1098">
        <v>298</v>
      </c>
      <c r="BG1098">
        <v>42</v>
      </c>
      <c r="BH1098">
        <v>742</v>
      </c>
      <c r="BI1098">
        <v>56802</v>
      </c>
      <c r="BJ1098">
        <v>298</v>
      </c>
      <c r="BK1098">
        <f t="shared" si="155"/>
        <v>742</v>
      </c>
      <c r="BL1098">
        <f t="shared" si="156"/>
        <v>56802</v>
      </c>
      <c r="BM1098">
        <f t="shared" si="157"/>
        <v>298</v>
      </c>
      <c r="BN1098">
        <f t="shared" si="158"/>
        <v>0</v>
      </c>
      <c r="BO1098">
        <f t="shared" si="159"/>
        <v>0</v>
      </c>
      <c r="BP1098">
        <f t="shared" si="160"/>
        <v>0</v>
      </c>
      <c r="BQ1098" t="s">
        <v>123</v>
      </c>
      <c r="BR1098" t="s">
        <v>112</v>
      </c>
      <c r="BS1098" s="1">
        <v>29764</v>
      </c>
      <c r="BT1098">
        <v>44</v>
      </c>
      <c r="BU1098" s="1">
        <v>44933</v>
      </c>
      <c r="BV1098" s="1">
        <v>45108</v>
      </c>
      <c r="BW1098">
        <v>23</v>
      </c>
      <c r="BX1098">
        <v>1981</v>
      </c>
      <c r="BY1098">
        <v>23</v>
      </c>
      <c r="BZ1098">
        <f t="shared" si="161"/>
        <v>0</v>
      </c>
      <c r="CA1098">
        <f t="shared" si="162"/>
        <v>0</v>
      </c>
      <c r="CB1098" t="b">
        <f t="shared" si="163"/>
        <v>1</v>
      </c>
    </row>
    <row r="1099" spans="1:80" x14ac:dyDescent="0.3">
      <c r="A1099" t="s">
        <v>8745</v>
      </c>
      <c r="B1099" t="s">
        <v>71</v>
      </c>
      <c r="C1099" t="s">
        <v>8746</v>
      </c>
      <c r="D1099">
        <v>29</v>
      </c>
      <c r="E1099" t="s">
        <v>8747</v>
      </c>
      <c r="F1099" t="s">
        <v>8748</v>
      </c>
      <c r="G1099" t="s">
        <v>518</v>
      </c>
      <c r="H1099" t="s">
        <v>76</v>
      </c>
      <c r="I1099" t="s">
        <v>375</v>
      </c>
      <c r="J1099" t="s">
        <v>300</v>
      </c>
      <c r="K1099" t="s">
        <v>6246</v>
      </c>
      <c r="L1099" t="s">
        <v>762</v>
      </c>
      <c r="M1099">
        <v>18</v>
      </c>
      <c r="N1099" t="s">
        <v>146</v>
      </c>
      <c r="O1099">
        <v>2014</v>
      </c>
      <c r="P1099" t="s">
        <v>8749</v>
      </c>
      <c r="Q1099" t="s">
        <v>8750</v>
      </c>
      <c r="R1099">
        <v>177046</v>
      </c>
      <c r="S1099" t="s">
        <v>8745</v>
      </c>
      <c r="T1099" t="s">
        <v>8751</v>
      </c>
      <c r="U1099">
        <v>1995</v>
      </c>
      <c r="V1099" t="s">
        <v>527</v>
      </c>
      <c r="W1099">
        <v>1.82</v>
      </c>
      <c r="X1099" t="s">
        <v>76</v>
      </c>
      <c r="Y1099" t="s">
        <v>235</v>
      </c>
      <c r="Z1099" t="s">
        <v>152</v>
      </c>
      <c r="AA1099" t="s">
        <v>2508</v>
      </c>
      <c r="AB1099" s="1">
        <v>45542</v>
      </c>
      <c r="AC1099" t="s">
        <v>88</v>
      </c>
      <c r="AD1099" t="s">
        <v>89</v>
      </c>
      <c r="AE1099">
        <v>42218</v>
      </c>
      <c r="AF1099">
        <v>19</v>
      </c>
      <c r="AG1099" t="s">
        <v>91</v>
      </c>
      <c r="AH1099" t="s">
        <v>5642</v>
      </c>
      <c r="AI1099">
        <v>26</v>
      </c>
      <c r="AJ1099" t="s">
        <v>110</v>
      </c>
      <c r="AK1099">
        <v>19</v>
      </c>
      <c r="AL1099">
        <v>8</v>
      </c>
      <c r="AM1099">
        <v>152</v>
      </c>
      <c r="AN1099">
        <v>16</v>
      </c>
      <c r="AO1099">
        <v>5</v>
      </c>
      <c r="AP1099" t="s">
        <v>93</v>
      </c>
      <c r="AQ1099" t="s">
        <v>89</v>
      </c>
      <c r="AR1099" t="s">
        <v>89</v>
      </c>
      <c r="AS1099" t="s">
        <v>93</v>
      </c>
      <c r="AT1099" t="s">
        <v>89</v>
      </c>
      <c r="AU1099" t="s">
        <v>89</v>
      </c>
      <c r="AV1099" t="s">
        <v>89</v>
      </c>
      <c r="AW1099">
        <v>11</v>
      </c>
      <c r="AX1099">
        <v>5</v>
      </c>
      <c r="AY1099" t="s">
        <v>93</v>
      </c>
      <c r="AZ1099">
        <v>0</v>
      </c>
      <c r="BA1099">
        <v>0</v>
      </c>
      <c r="BB1099">
        <v>0</v>
      </c>
      <c r="BC1099">
        <v>0</v>
      </c>
      <c r="BD1099">
        <v>323</v>
      </c>
      <c r="BE1099">
        <v>26331</v>
      </c>
      <c r="BF1099">
        <v>5</v>
      </c>
      <c r="BG1099" t="s">
        <v>89</v>
      </c>
      <c r="BH1099">
        <v>323</v>
      </c>
      <c r="BI1099">
        <v>26331</v>
      </c>
      <c r="BJ1099">
        <v>5</v>
      </c>
      <c r="BK1099">
        <f t="shared" si="155"/>
        <v>323</v>
      </c>
      <c r="BL1099">
        <f t="shared" si="156"/>
        <v>26331</v>
      </c>
      <c r="BM1099">
        <f t="shared" si="157"/>
        <v>5</v>
      </c>
      <c r="BN1099">
        <f t="shared" si="158"/>
        <v>0</v>
      </c>
      <c r="BO1099">
        <f t="shared" si="159"/>
        <v>0</v>
      </c>
      <c r="BP1099">
        <f t="shared" si="160"/>
        <v>0</v>
      </c>
      <c r="BQ1099" t="s">
        <v>235</v>
      </c>
      <c r="BR1099" t="s">
        <v>140</v>
      </c>
      <c r="BS1099" s="1">
        <v>34990</v>
      </c>
      <c r="BT1099">
        <v>30</v>
      </c>
      <c r="BU1099" t="s">
        <v>89</v>
      </c>
      <c r="BV1099" t="s">
        <v>89</v>
      </c>
      <c r="BW1099">
        <v>11</v>
      </c>
      <c r="BX1099">
        <v>1995</v>
      </c>
      <c r="BY1099">
        <v>10</v>
      </c>
      <c r="BZ1099">
        <f t="shared" si="161"/>
        <v>0</v>
      </c>
      <c r="CA1099">
        <f t="shared" si="162"/>
        <v>1</v>
      </c>
      <c r="CB1099" t="b">
        <f t="shared" si="163"/>
        <v>1</v>
      </c>
    </row>
    <row r="1100" spans="1:80" x14ac:dyDescent="0.3">
      <c r="A1100" t="s">
        <v>8752</v>
      </c>
      <c r="B1100" t="s">
        <v>71</v>
      </c>
      <c r="C1100" t="s">
        <v>8753</v>
      </c>
      <c r="D1100">
        <v>32</v>
      </c>
      <c r="E1100" t="s">
        <v>8754</v>
      </c>
      <c r="F1100" t="s">
        <v>1904</v>
      </c>
      <c r="G1100" t="s">
        <v>1289</v>
      </c>
      <c r="H1100" t="s">
        <v>76</v>
      </c>
      <c r="I1100" t="s">
        <v>116</v>
      </c>
      <c r="J1100" t="s">
        <v>300</v>
      </c>
      <c r="K1100" t="s">
        <v>820</v>
      </c>
      <c r="L1100" t="s">
        <v>80</v>
      </c>
      <c r="M1100">
        <v>19</v>
      </c>
      <c r="N1100" t="s">
        <v>751</v>
      </c>
      <c r="O1100">
        <v>2012</v>
      </c>
      <c r="P1100" t="s">
        <v>8755</v>
      </c>
      <c r="Q1100" t="s">
        <v>8756</v>
      </c>
      <c r="R1100">
        <v>213260</v>
      </c>
      <c r="S1100" t="s">
        <v>8752</v>
      </c>
      <c r="T1100" t="s">
        <v>8757</v>
      </c>
      <c r="U1100">
        <v>1993</v>
      </c>
      <c r="V1100" t="s">
        <v>8758</v>
      </c>
      <c r="W1100">
        <v>1.72</v>
      </c>
      <c r="X1100" t="s">
        <v>76</v>
      </c>
      <c r="Y1100" t="s">
        <v>494</v>
      </c>
      <c r="Z1100" t="s">
        <v>152</v>
      </c>
      <c r="AA1100" t="s">
        <v>3885</v>
      </c>
      <c r="AB1100" s="1">
        <v>43472</v>
      </c>
      <c r="AC1100" t="s">
        <v>170</v>
      </c>
      <c r="AD1100" t="s">
        <v>89</v>
      </c>
      <c r="AE1100">
        <v>40948</v>
      </c>
      <c r="AF1100">
        <v>19</v>
      </c>
      <c r="AG1100" t="s">
        <v>91</v>
      </c>
      <c r="AH1100" t="s">
        <v>2827</v>
      </c>
      <c r="AI1100">
        <v>23</v>
      </c>
      <c r="AJ1100" t="s">
        <v>110</v>
      </c>
      <c r="AK1100">
        <v>19</v>
      </c>
      <c r="AL1100">
        <v>15</v>
      </c>
      <c r="AM1100">
        <v>301</v>
      </c>
      <c r="AN1100">
        <v>37</v>
      </c>
      <c r="AO1100">
        <v>7</v>
      </c>
      <c r="AP1100" t="s">
        <v>93</v>
      </c>
      <c r="AQ1100" t="s">
        <v>89</v>
      </c>
      <c r="AR1100" t="s">
        <v>89</v>
      </c>
      <c r="AS1100" t="s">
        <v>93</v>
      </c>
      <c r="AT1100" t="s">
        <v>89</v>
      </c>
      <c r="AU1100" t="s">
        <v>89</v>
      </c>
      <c r="AV1100" t="s">
        <v>89</v>
      </c>
      <c r="AW1100">
        <v>13</v>
      </c>
      <c r="AX1100">
        <v>14</v>
      </c>
      <c r="AY1100" t="s">
        <v>93</v>
      </c>
      <c r="AZ1100">
        <v>0</v>
      </c>
      <c r="BA1100">
        <v>0</v>
      </c>
      <c r="BB1100">
        <v>0</v>
      </c>
      <c r="BC1100">
        <v>0</v>
      </c>
      <c r="BD1100">
        <v>448</v>
      </c>
      <c r="BE1100">
        <v>28081</v>
      </c>
      <c r="BF1100">
        <v>47</v>
      </c>
      <c r="BG1100" t="s">
        <v>89</v>
      </c>
      <c r="BH1100">
        <v>448</v>
      </c>
      <c r="BI1100">
        <v>28081</v>
      </c>
      <c r="BJ1100">
        <v>47</v>
      </c>
      <c r="BK1100">
        <f t="shared" si="155"/>
        <v>448</v>
      </c>
      <c r="BL1100">
        <f t="shared" si="156"/>
        <v>28081</v>
      </c>
      <c r="BM1100">
        <f t="shared" si="157"/>
        <v>47</v>
      </c>
      <c r="BN1100">
        <f t="shared" si="158"/>
        <v>0</v>
      </c>
      <c r="BO1100">
        <f t="shared" si="159"/>
        <v>0</v>
      </c>
      <c r="BP1100">
        <f t="shared" si="160"/>
        <v>0</v>
      </c>
      <c r="BQ1100" t="s">
        <v>494</v>
      </c>
      <c r="BR1100" t="s">
        <v>112</v>
      </c>
      <c r="BS1100" s="1">
        <v>34164</v>
      </c>
      <c r="BT1100">
        <v>32</v>
      </c>
      <c r="BU1100" t="s">
        <v>89</v>
      </c>
      <c r="BV1100" t="s">
        <v>89</v>
      </c>
      <c r="BW1100">
        <v>13</v>
      </c>
      <c r="BX1100">
        <v>1993</v>
      </c>
      <c r="BY1100">
        <v>13</v>
      </c>
      <c r="BZ1100">
        <f t="shared" si="161"/>
        <v>0</v>
      </c>
      <c r="CA1100">
        <f t="shared" si="162"/>
        <v>0</v>
      </c>
      <c r="CB1100" t="b">
        <f t="shared" si="163"/>
        <v>1</v>
      </c>
    </row>
    <row r="1101" spans="1:80" x14ac:dyDescent="0.3">
      <c r="A1101" t="s">
        <v>8759</v>
      </c>
      <c r="B1101" t="s">
        <v>71</v>
      </c>
      <c r="C1101" t="s">
        <v>8760</v>
      </c>
      <c r="D1101">
        <v>36</v>
      </c>
      <c r="E1101" s="1">
        <v>32526</v>
      </c>
      <c r="F1101" t="s">
        <v>89</v>
      </c>
      <c r="G1101" t="s">
        <v>241</v>
      </c>
      <c r="H1101" t="s">
        <v>76</v>
      </c>
      <c r="I1101" t="s">
        <v>178</v>
      </c>
      <c r="J1101" t="s">
        <v>89</v>
      </c>
      <c r="K1101" t="s">
        <v>89</v>
      </c>
      <c r="L1101" t="s">
        <v>228</v>
      </c>
      <c r="M1101">
        <v>21</v>
      </c>
      <c r="N1101" t="s">
        <v>649</v>
      </c>
      <c r="O1101">
        <v>2010</v>
      </c>
      <c r="P1101" t="s">
        <v>8761</v>
      </c>
      <c r="Q1101" t="s">
        <v>8762</v>
      </c>
      <c r="R1101">
        <v>65266</v>
      </c>
      <c r="S1101" t="s">
        <v>8759</v>
      </c>
      <c r="T1101" t="s">
        <v>8763</v>
      </c>
      <c r="U1101">
        <v>1989</v>
      </c>
      <c r="V1101" t="s">
        <v>8764</v>
      </c>
      <c r="W1101">
        <v>1.91</v>
      </c>
      <c r="X1101" t="s">
        <v>76</v>
      </c>
      <c r="Y1101" t="s">
        <v>186</v>
      </c>
      <c r="Z1101" t="s">
        <v>87</v>
      </c>
      <c r="AA1101" t="s">
        <v>6752</v>
      </c>
      <c r="AB1101">
        <v>44993</v>
      </c>
      <c r="AC1101" t="s">
        <v>170</v>
      </c>
      <c r="AD1101" t="s">
        <v>89</v>
      </c>
      <c r="AE1101" t="s">
        <v>8765</v>
      </c>
      <c r="AF1101">
        <v>24</v>
      </c>
      <c r="AG1101" t="s">
        <v>91</v>
      </c>
      <c r="AH1101" t="s">
        <v>614</v>
      </c>
      <c r="AI1101">
        <v>21</v>
      </c>
      <c r="AJ1101" t="s">
        <v>110</v>
      </c>
      <c r="AK1101">
        <v>21</v>
      </c>
      <c r="AL1101">
        <v>7</v>
      </c>
      <c r="AM1101">
        <v>539</v>
      </c>
      <c r="AN1101">
        <v>67</v>
      </c>
      <c r="AO1101">
        <v>5</v>
      </c>
      <c r="AP1101" t="s">
        <v>93</v>
      </c>
      <c r="AQ1101" t="s">
        <v>89</v>
      </c>
      <c r="AR1101" t="s">
        <v>89</v>
      </c>
      <c r="AS1101" t="s">
        <v>93</v>
      </c>
      <c r="AT1101" t="s">
        <v>89</v>
      </c>
      <c r="AU1101" t="s">
        <v>89</v>
      </c>
      <c r="AV1101" t="s">
        <v>89</v>
      </c>
      <c r="AW1101">
        <v>15</v>
      </c>
      <c r="AX1101">
        <v>1</v>
      </c>
      <c r="AY1101" t="s">
        <v>93</v>
      </c>
      <c r="AZ1101">
        <v>0</v>
      </c>
      <c r="BA1101">
        <v>0</v>
      </c>
      <c r="BB1101">
        <v>0</v>
      </c>
      <c r="BC1101">
        <v>0</v>
      </c>
      <c r="BD1101">
        <v>104</v>
      </c>
      <c r="BE1101">
        <v>9292</v>
      </c>
      <c r="BF1101">
        <v>0</v>
      </c>
      <c r="BG1101" t="s">
        <v>89</v>
      </c>
      <c r="BH1101">
        <v>104</v>
      </c>
      <c r="BI1101">
        <v>9292</v>
      </c>
      <c r="BJ1101">
        <v>0</v>
      </c>
      <c r="BK1101">
        <f t="shared" si="155"/>
        <v>104</v>
      </c>
      <c r="BL1101">
        <f t="shared" si="156"/>
        <v>9292</v>
      </c>
      <c r="BM1101">
        <f t="shared" si="157"/>
        <v>0</v>
      </c>
      <c r="BN1101">
        <f t="shared" si="158"/>
        <v>0</v>
      </c>
      <c r="BO1101">
        <f t="shared" si="159"/>
        <v>0</v>
      </c>
      <c r="BP1101">
        <f t="shared" si="160"/>
        <v>0</v>
      </c>
      <c r="BQ1101" t="s">
        <v>186</v>
      </c>
      <c r="BR1101" t="s">
        <v>186</v>
      </c>
      <c r="BS1101" s="1">
        <v>32526</v>
      </c>
      <c r="BT1101">
        <v>37</v>
      </c>
      <c r="BU1101" t="s">
        <v>89</v>
      </c>
      <c r="BV1101" t="s">
        <v>89</v>
      </c>
      <c r="BW1101">
        <v>16</v>
      </c>
      <c r="BX1101">
        <v>1989</v>
      </c>
      <c r="BY1101">
        <v>15</v>
      </c>
      <c r="BZ1101">
        <f t="shared" si="161"/>
        <v>-1</v>
      </c>
      <c r="CA1101">
        <f t="shared" si="162"/>
        <v>1</v>
      </c>
      <c r="CB1101" t="b">
        <f t="shared" si="163"/>
        <v>0</v>
      </c>
    </row>
    <row r="1102" spans="1:80" x14ac:dyDescent="0.3">
      <c r="A1102" t="s">
        <v>8766</v>
      </c>
      <c r="B1102" t="s">
        <v>71</v>
      </c>
      <c r="C1102" t="s">
        <v>8767</v>
      </c>
      <c r="D1102">
        <v>36</v>
      </c>
      <c r="E1102" t="s">
        <v>8768</v>
      </c>
      <c r="F1102" t="s">
        <v>3174</v>
      </c>
      <c r="G1102" t="s">
        <v>75</v>
      </c>
      <c r="H1102" t="s">
        <v>76</v>
      </c>
      <c r="I1102" t="s">
        <v>288</v>
      </c>
      <c r="J1102" t="s">
        <v>78</v>
      </c>
      <c r="K1102" t="s">
        <v>874</v>
      </c>
      <c r="L1102" t="s">
        <v>254</v>
      </c>
      <c r="M1102">
        <v>20</v>
      </c>
      <c r="N1102" t="s">
        <v>81</v>
      </c>
      <c r="O1102">
        <v>2009</v>
      </c>
      <c r="P1102" t="s">
        <v>8769</v>
      </c>
      <c r="Q1102" t="s">
        <v>8770</v>
      </c>
      <c r="R1102">
        <v>113045</v>
      </c>
      <c r="S1102" t="s">
        <v>8766</v>
      </c>
      <c r="T1102" t="s">
        <v>538</v>
      </c>
      <c r="U1102">
        <v>1989</v>
      </c>
      <c r="V1102" t="s">
        <v>8771</v>
      </c>
      <c r="W1102">
        <v>1.78</v>
      </c>
      <c r="X1102" t="s">
        <v>76</v>
      </c>
      <c r="Y1102" t="s">
        <v>259</v>
      </c>
      <c r="Z1102" t="s">
        <v>87</v>
      </c>
      <c r="AA1102" t="s">
        <v>879</v>
      </c>
      <c r="AB1102" s="1">
        <v>45664</v>
      </c>
      <c r="AC1102" t="s">
        <v>170</v>
      </c>
      <c r="AD1102" t="s">
        <v>89</v>
      </c>
      <c r="AE1102" t="s">
        <v>1424</v>
      </c>
      <c r="AF1102">
        <v>21</v>
      </c>
      <c r="AG1102" t="s">
        <v>91</v>
      </c>
      <c r="AH1102">
        <v>44174</v>
      </c>
      <c r="AI1102">
        <v>31</v>
      </c>
      <c r="AJ1102" t="s">
        <v>110</v>
      </c>
      <c r="AK1102">
        <v>21</v>
      </c>
      <c r="AL1102">
        <v>4</v>
      </c>
      <c r="AM1102">
        <v>111</v>
      </c>
      <c r="AN1102">
        <v>14</v>
      </c>
      <c r="AO1102">
        <v>3</v>
      </c>
      <c r="AP1102" t="s">
        <v>93</v>
      </c>
      <c r="AQ1102" t="s">
        <v>89</v>
      </c>
      <c r="AR1102" t="s">
        <v>89</v>
      </c>
      <c r="AS1102" t="s">
        <v>93</v>
      </c>
      <c r="AT1102" t="s">
        <v>89</v>
      </c>
      <c r="AU1102" t="s">
        <v>89</v>
      </c>
      <c r="AV1102" t="s">
        <v>89</v>
      </c>
      <c r="AW1102">
        <v>16</v>
      </c>
      <c r="AX1102">
        <v>21</v>
      </c>
      <c r="AY1102" t="s">
        <v>93</v>
      </c>
      <c r="AZ1102">
        <v>0</v>
      </c>
      <c r="BA1102">
        <v>0</v>
      </c>
      <c r="BB1102">
        <v>0</v>
      </c>
      <c r="BC1102">
        <v>0</v>
      </c>
      <c r="BD1102">
        <v>413</v>
      </c>
      <c r="BE1102">
        <v>32372</v>
      </c>
      <c r="BF1102">
        <v>2</v>
      </c>
      <c r="BG1102" t="s">
        <v>89</v>
      </c>
      <c r="BH1102">
        <v>413</v>
      </c>
      <c r="BI1102">
        <v>32372</v>
      </c>
      <c r="BJ1102">
        <v>2</v>
      </c>
      <c r="BK1102">
        <f t="shared" si="155"/>
        <v>413</v>
      </c>
      <c r="BL1102">
        <f t="shared" si="156"/>
        <v>32372</v>
      </c>
      <c r="BM1102">
        <f t="shared" si="157"/>
        <v>2</v>
      </c>
      <c r="BN1102">
        <f t="shared" si="158"/>
        <v>0</v>
      </c>
      <c r="BO1102">
        <f t="shared" si="159"/>
        <v>0</v>
      </c>
      <c r="BP1102">
        <f t="shared" si="160"/>
        <v>0</v>
      </c>
      <c r="BQ1102" t="s">
        <v>259</v>
      </c>
      <c r="BR1102" t="s">
        <v>94</v>
      </c>
      <c r="BS1102" s="1">
        <v>32624</v>
      </c>
      <c r="BT1102">
        <v>36</v>
      </c>
      <c r="BU1102" t="s">
        <v>89</v>
      </c>
      <c r="BV1102" t="s">
        <v>89</v>
      </c>
      <c r="BW1102">
        <v>15</v>
      </c>
      <c r="BX1102">
        <v>1989</v>
      </c>
      <c r="BY1102">
        <v>15</v>
      </c>
      <c r="BZ1102">
        <f t="shared" si="161"/>
        <v>1</v>
      </c>
      <c r="CA1102">
        <f t="shared" si="162"/>
        <v>0</v>
      </c>
      <c r="CB1102" t="b">
        <f t="shared" si="163"/>
        <v>0</v>
      </c>
    </row>
    <row r="1103" spans="1:80" x14ac:dyDescent="0.3">
      <c r="A1103" t="s">
        <v>8772</v>
      </c>
      <c r="B1103" t="s">
        <v>71</v>
      </c>
      <c r="C1103" t="s">
        <v>8773</v>
      </c>
      <c r="D1103">
        <v>32</v>
      </c>
      <c r="E1103" s="1">
        <v>33899</v>
      </c>
      <c r="F1103" t="s">
        <v>89</v>
      </c>
      <c r="G1103" t="s">
        <v>400</v>
      </c>
      <c r="H1103" t="s">
        <v>76</v>
      </c>
      <c r="I1103" t="s">
        <v>555</v>
      </c>
      <c r="J1103" t="s">
        <v>78</v>
      </c>
      <c r="K1103" t="s">
        <v>89</v>
      </c>
      <c r="L1103" t="s">
        <v>278</v>
      </c>
      <c r="M1103">
        <v>18</v>
      </c>
      <c r="N1103" t="s">
        <v>1365</v>
      </c>
      <c r="O1103">
        <v>2011</v>
      </c>
      <c r="P1103" t="s">
        <v>8774</v>
      </c>
      <c r="Q1103" t="s">
        <v>8775</v>
      </c>
      <c r="R1103">
        <v>99352</v>
      </c>
      <c r="S1103" t="s">
        <v>8772</v>
      </c>
      <c r="T1103" t="s">
        <v>2667</v>
      </c>
      <c r="U1103">
        <v>1992</v>
      </c>
      <c r="V1103" t="s">
        <v>234</v>
      </c>
      <c r="W1103">
        <v>1.82</v>
      </c>
      <c r="X1103" t="s">
        <v>76</v>
      </c>
      <c r="Y1103" t="s">
        <v>86</v>
      </c>
      <c r="Z1103" t="s">
        <v>87</v>
      </c>
      <c r="AA1103" t="s">
        <v>476</v>
      </c>
      <c r="AB1103" s="1">
        <v>45664</v>
      </c>
      <c r="AC1103" t="s">
        <v>108</v>
      </c>
      <c r="AD1103" t="s">
        <v>89</v>
      </c>
      <c r="AE1103" t="s">
        <v>407</v>
      </c>
      <c r="AF1103">
        <v>19</v>
      </c>
      <c r="AG1103" t="s">
        <v>91</v>
      </c>
      <c r="AH1103">
        <v>43931</v>
      </c>
      <c r="AI1103">
        <v>27</v>
      </c>
      <c r="AJ1103" t="s">
        <v>110</v>
      </c>
      <c r="AK1103">
        <v>19</v>
      </c>
      <c r="AL1103">
        <v>14</v>
      </c>
      <c r="AM1103">
        <v>424</v>
      </c>
      <c r="AN1103">
        <v>64</v>
      </c>
      <c r="AO1103">
        <v>6</v>
      </c>
      <c r="AP1103" t="s">
        <v>93</v>
      </c>
      <c r="AQ1103" t="s">
        <v>89</v>
      </c>
      <c r="AR1103" t="s">
        <v>89</v>
      </c>
      <c r="AS1103" t="s">
        <v>93</v>
      </c>
      <c r="AT1103" t="s">
        <v>89</v>
      </c>
      <c r="AU1103" t="s">
        <v>89</v>
      </c>
      <c r="AV1103" t="s">
        <v>89</v>
      </c>
      <c r="AW1103">
        <v>14</v>
      </c>
      <c r="AX1103" t="s">
        <v>89</v>
      </c>
      <c r="AY1103" t="s">
        <v>93</v>
      </c>
      <c r="AZ1103">
        <v>0</v>
      </c>
      <c r="BA1103">
        <v>0</v>
      </c>
      <c r="BB1103">
        <v>0</v>
      </c>
      <c r="BC1103">
        <v>0</v>
      </c>
      <c r="BD1103">
        <v>336</v>
      </c>
      <c r="BE1103">
        <v>19446</v>
      </c>
      <c r="BF1103">
        <v>15</v>
      </c>
      <c r="BG1103" t="s">
        <v>89</v>
      </c>
      <c r="BH1103">
        <v>336</v>
      </c>
      <c r="BI1103">
        <v>19446</v>
      </c>
      <c r="BJ1103">
        <v>15</v>
      </c>
      <c r="BK1103">
        <f t="shared" si="155"/>
        <v>336</v>
      </c>
      <c r="BL1103">
        <f t="shared" si="156"/>
        <v>19446</v>
      </c>
      <c r="BM1103">
        <f t="shared" si="157"/>
        <v>15</v>
      </c>
      <c r="BN1103">
        <f t="shared" si="158"/>
        <v>0</v>
      </c>
      <c r="BO1103">
        <f t="shared" si="159"/>
        <v>0</v>
      </c>
      <c r="BP1103">
        <f t="shared" si="160"/>
        <v>0</v>
      </c>
      <c r="BQ1103" t="s">
        <v>86</v>
      </c>
      <c r="BR1103" t="s">
        <v>94</v>
      </c>
      <c r="BS1103" s="1">
        <v>33899</v>
      </c>
      <c r="BT1103">
        <v>33</v>
      </c>
      <c r="BU1103" t="s">
        <v>89</v>
      </c>
      <c r="BV1103" t="s">
        <v>89</v>
      </c>
      <c r="BW1103">
        <v>14</v>
      </c>
      <c r="BX1103">
        <v>1992</v>
      </c>
      <c r="BY1103">
        <v>13</v>
      </c>
      <c r="BZ1103">
        <f t="shared" si="161"/>
        <v>0</v>
      </c>
      <c r="CA1103">
        <f t="shared" si="162"/>
        <v>1</v>
      </c>
      <c r="CB1103" t="b">
        <f t="shared" si="163"/>
        <v>1</v>
      </c>
    </row>
    <row r="1104" spans="1:80" x14ac:dyDescent="0.3">
      <c r="A1104" t="s">
        <v>8776</v>
      </c>
      <c r="B1104" t="s">
        <v>71</v>
      </c>
      <c r="C1104" t="s">
        <v>8777</v>
      </c>
      <c r="D1104">
        <v>34</v>
      </c>
      <c r="E1104" t="s">
        <v>8778</v>
      </c>
      <c r="F1104" t="s">
        <v>8779</v>
      </c>
      <c r="G1104" t="s">
        <v>535</v>
      </c>
      <c r="H1104" t="s">
        <v>89</v>
      </c>
      <c r="I1104" t="s">
        <v>1190</v>
      </c>
      <c r="J1104" t="s">
        <v>78</v>
      </c>
      <c r="K1104" t="s">
        <v>2077</v>
      </c>
      <c r="L1104" t="s">
        <v>80</v>
      </c>
      <c r="M1104">
        <v>21</v>
      </c>
      <c r="N1104" t="s">
        <v>100</v>
      </c>
      <c r="O1104">
        <v>2012</v>
      </c>
      <c r="P1104" t="s">
        <v>8780</v>
      </c>
      <c r="Q1104" t="s">
        <v>8781</v>
      </c>
      <c r="R1104">
        <v>238868</v>
      </c>
      <c r="S1104" t="s">
        <v>8776</v>
      </c>
      <c r="T1104" t="s">
        <v>8782</v>
      </c>
      <c r="U1104">
        <v>1991</v>
      </c>
      <c r="V1104" t="s">
        <v>8783</v>
      </c>
      <c r="W1104">
        <v>1.7</v>
      </c>
      <c r="X1104" t="s">
        <v>76</v>
      </c>
      <c r="Y1104" t="s">
        <v>136</v>
      </c>
      <c r="Z1104" t="s">
        <v>87</v>
      </c>
      <c r="AA1104" t="s">
        <v>1544</v>
      </c>
      <c r="AB1104" s="1">
        <v>45664</v>
      </c>
      <c r="AC1104" t="s">
        <v>88</v>
      </c>
      <c r="AD1104" t="s">
        <v>89</v>
      </c>
      <c r="AE1104">
        <v>41224</v>
      </c>
      <c r="AF1104">
        <v>21</v>
      </c>
      <c r="AG1104" t="s">
        <v>91</v>
      </c>
      <c r="AH1104" t="s">
        <v>1729</v>
      </c>
      <c r="AI1104">
        <v>23</v>
      </c>
      <c r="AJ1104" t="s">
        <v>110</v>
      </c>
      <c r="AK1104">
        <v>21</v>
      </c>
      <c r="AL1104">
        <v>11</v>
      </c>
      <c r="AM1104">
        <v>431</v>
      </c>
      <c r="AN1104">
        <v>53</v>
      </c>
      <c r="AO1104">
        <v>7</v>
      </c>
      <c r="AP1104" t="s">
        <v>93</v>
      </c>
      <c r="AQ1104" t="s">
        <v>89</v>
      </c>
      <c r="AR1104" t="s">
        <v>89</v>
      </c>
      <c r="AS1104" t="s">
        <v>93</v>
      </c>
      <c r="AT1104" t="s">
        <v>89</v>
      </c>
      <c r="AU1104" t="s">
        <v>89</v>
      </c>
      <c r="AV1104" t="s">
        <v>89</v>
      </c>
      <c r="AW1104">
        <v>13</v>
      </c>
      <c r="AX1104">
        <v>7</v>
      </c>
      <c r="AY1104" t="s">
        <v>93</v>
      </c>
      <c r="AZ1104">
        <v>0</v>
      </c>
      <c r="BA1104">
        <v>0</v>
      </c>
      <c r="BB1104">
        <v>0</v>
      </c>
      <c r="BC1104">
        <v>0</v>
      </c>
      <c r="BD1104">
        <v>326</v>
      </c>
      <c r="BE1104">
        <v>19881</v>
      </c>
      <c r="BF1104">
        <v>17</v>
      </c>
      <c r="BG1104" t="s">
        <v>89</v>
      </c>
      <c r="BH1104">
        <v>326</v>
      </c>
      <c r="BI1104">
        <v>19881</v>
      </c>
      <c r="BJ1104">
        <v>17</v>
      </c>
      <c r="BK1104">
        <f t="shared" si="155"/>
        <v>326</v>
      </c>
      <c r="BL1104">
        <f t="shared" si="156"/>
        <v>19881</v>
      </c>
      <c r="BM1104">
        <f t="shared" si="157"/>
        <v>17</v>
      </c>
      <c r="BN1104">
        <f t="shared" si="158"/>
        <v>0</v>
      </c>
      <c r="BO1104">
        <f t="shared" si="159"/>
        <v>0</v>
      </c>
      <c r="BP1104">
        <f t="shared" si="160"/>
        <v>0</v>
      </c>
      <c r="BQ1104" t="s">
        <v>136</v>
      </c>
      <c r="BR1104" t="s">
        <v>140</v>
      </c>
      <c r="BS1104" s="1">
        <v>33437</v>
      </c>
      <c r="BT1104">
        <v>34</v>
      </c>
      <c r="BU1104" t="s">
        <v>89</v>
      </c>
      <c r="BV1104" t="s">
        <v>89</v>
      </c>
      <c r="BW1104">
        <v>13</v>
      </c>
      <c r="BX1104">
        <v>1991</v>
      </c>
      <c r="BY1104">
        <v>13</v>
      </c>
      <c r="BZ1104">
        <f t="shared" si="161"/>
        <v>0</v>
      </c>
      <c r="CA1104">
        <f t="shared" si="162"/>
        <v>0</v>
      </c>
      <c r="CB1104" t="b">
        <f t="shared" si="163"/>
        <v>1</v>
      </c>
    </row>
    <row r="1105" spans="1:80" x14ac:dyDescent="0.3">
      <c r="A1105" t="s">
        <v>8784</v>
      </c>
      <c r="B1105" t="s">
        <v>71</v>
      </c>
      <c r="C1105" t="s">
        <v>8785</v>
      </c>
      <c r="D1105">
        <v>32</v>
      </c>
      <c r="E1105">
        <v>34075</v>
      </c>
      <c r="F1105" t="s">
        <v>89</v>
      </c>
      <c r="G1105" t="s">
        <v>298</v>
      </c>
      <c r="H1105" t="s">
        <v>89</v>
      </c>
      <c r="I1105" t="s">
        <v>437</v>
      </c>
      <c r="J1105" t="s">
        <v>89</v>
      </c>
      <c r="K1105" t="s">
        <v>89</v>
      </c>
      <c r="L1105" t="s">
        <v>80</v>
      </c>
      <c r="M1105">
        <v>19</v>
      </c>
      <c r="N1105" t="s">
        <v>162</v>
      </c>
      <c r="O1105">
        <v>2012</v>
      </c>
      <c r="P1105" t="s">
        <v>8786</v>
      </c>
      <c r="Q1105" t="s">
        <v>8787</v>
      </c>
      <c r="R1105">
        <v>227965</v>
      </c>
      <c r="S1105" t="s">
        <v>8784</v>
      </c>
      <c r="T1105" t="s">
        <v>8788</v>
      </c>
      <c r="U1105">
        <v>1993</v>
      </c>
      <c r="V1105" t="s">
        <v>122</v>
      </c>
      <c r="W1105" t="s">
        <v>89</v>
      </c>
      <c r="X1105" t="s">
        <v>76</v>
      </c>
      <c r="Y1105" t="s">
        <v>391</v>
      </c>
      <c r="Z1105" t="s">
        <v>87</v>
      </c>
      <c r="AA1105" t="s">
        <v>8789</v>
      </c>
      <c r="AB1105">
        <v>45298</v>
      </c>
      <c r="AC1105" t="s">
        <v>1615</v>
      </c>
      <c r="AD1105" t="s">
        <v>89</v>
      </c>
      <c r="AE1105" s="1">
        <v>40948</v>
      </c>
      <c r="AF1105">
        <v>19</v>
      </c>
      <c r="AG1105" t="s">
        <v>91</v>
      </c>
      <c r="AH1105" t="s">
        <v>92</v>
      </c>
      <c r="AI1105" t="s">
        <v>89</v>
      </c>
      <c r="AJ1105" t="s">
        <v>89</v>
      </c>
      <c r="AK1105">
        <v>19</v>
      </c>
      <c r="AL1105" t="s">
        <v>89</v>
      </c>
      <c r="AM1105" t="s">
        <v>89</v>
      </c>
      <c r="AN1105" t="s">
        <v>89</v>
      </c>
      <c r="AO1105">
        <v>0</v>
      </c>
      <c r="AP1105" t="s">
        <v>93</v>
      </c>
      <c r="AQ1105" t="s">
        <v>89</v>
      </c>
      <c r="AR1105" t="s">
        <v>89</v>
      </c>
      <c r="AS1105" t="s">
        <v>93</v>
      </c>
      <c r="AT1105" t="s">
        <v>89</v>
      </c>
      <c r="AU1105" t="s">
        <v>89</v>
      </c>
      <c r="AV1105" t="s">
        <v>89</v>
      </c>
      <c r="AW1105">
        <v>13</v>
      </c>
      <c r="AX1105" t="s">
        <v>89</v>
      </c>
      <c r="AY1105" t="s">
        <v>93</v>
      </c>
      <c r="AZ1105">
        <v>0</v>
      </c>
      <c r="BA1105">
        <v>0</v>
      </c>
      <c r="BB1105">
        <v>0</v>
      </c>
      <c r="BC1105">
        <v>0</v>
      </c>
      <c r="BD1105">
        <v>2</v>
      </c>
      <c r="BE1105">
        <v>38</v>
      </c>
      <c r="BF1105">
        <v>0</v>
      </c>
      <c r="BG1105" t="s">
        <v>89</v>
      </c>
      <c r="BH1105">
        <v>2</v>
      </c>
      <c r="BI1105">
        <v>38</v>
      </c>
      <c r="BJ1105">
        <v>0</v>
      </c>
      <c r="BK1105">
        <f t="shared" si="155"/>
        <v>2</v>
      </c>
      <c r="BL1105">
        <f t="shared" si="156"/>
        <v>38</v>
      </c>
      <c r="BM1105">
        <f t="shared" si="157"/>
        <v>0</v>
      </c>
      <c r="BN1105">
        <f t="shared" si="158"/>
        <v>0</v>
      </c>
      <c r="BO1105">
        <f t="shared" si="159"/>
        <v>0</v>
      </c>
      <c r="BP1105">
        <f t="shared" si="160"/>
        <v>0</v>
      </c>
      <c r="BQ1105" t="s">
        <v>391</v>
      </c>
      <c r="BR1105" t="s">
        <v>112</v>
      </c>
      <c r="BS1105" s="1">
        <v>34075</v>
      </c>
      <c r="BT1105">
        <v>32</v>
      </c>
      <c r="BU1105" t="s">
        <v>89</v>
      </c>
      <c r="BV1105" t="s">
        <v>89</v>
      </c>
      <c r="BW1105">
        <v>13</v>
      </c>
      <c r="BX1105">
        <v>1993</v>
      </c>
      <c r="BY1105">
        <v>13</v>
      </c>
      <c r="BZ1105">
        <f t="shared" si="161"/>
        <v>0</v>
      </c>
      <c r="CA1105">
        <f t="shared" si="162"/>
        <v>0</v>
      </c>
      <c r="CB1105" t="b">
        <f t="shared" si="163"/>
        <v>1</v>
      </c>
    </row>
    <row r="1106" spans="1:80" x14ac:dyDescent="0.3">
      <c r="A1106" t="s">
        <v>8790</v>
      </c>
      <c r="B1106" t="s">
        <v>71</v>
      </c>
      <c r="C1106" t="s">
        <v>8791</v>
      </c>
      <c r="D1106">
        <v>34</v>
      </c>
      <c r="E1106" s="1">
        <v>33320</v>
      </c>
      <c r="F1106" t="s">
        <v>89</v>
      </c>
      <c r="G1106" t="s">
        <v>400</v>
      </c>
      <c r="H1106" t="s">
        <v>76</v>
      </c>
      <c r="I1106" t="s">
        <v>401</v>
      </c>
      <c r="J1106" t="s">
        <v>300</v>
      </c>
      <c r="K1106" t="s">
        <v>89</v>
      </c>
      <c r="L1106" t="s">
        <v>228</v>
      </c>
      <c r="M1106">
        <v>19</v>
      </c>
      <c r="N1106" t="s">
        <v>649</v>
      </c>
      <c r="O1106">
        <v>2010</v>
      </c>
      <c r="P1106" t="s">
        <v>8792</v>
      </c>
      <c r="Q1106" t="s">
        <v>8793</v>
      </c>
      <c r="R1106">
        <v>67548</v>
      </c>
      <c r="S1106" t="s">
        <v>8790</v>
      </c>
      <c r="T1106" t="s">
        <v>8794</v>
      </c>
      <c r="U1106">
        <v>1991</v>
      </c>
      <c r="V1106" t="s">
        <v>8795</v>
      </c>
      <c r="W1106">
        <v>1.82</v>
      </c>
      <c r="X1106" t="s">
        <v>76</v>
      </c>
      <c r="Y1106" t="s">
        <v>494</v>
      </c>
      <c r="Z1106" t="s">
        <v>152</v>
      </c>
      <c r="AA1106" t="s">
        <v>476</v>
      </c>
      <c r="AB1106" s="1">
        <v>45298</v>
      </c>
      <c r="AC1106" t="s">
        <v>108</v>
      </c>
      <c r="AD1106" t="s">
        <v>89</v>
      </c>
      <c r="AE1106">
        <v>40666</v>
      </c>
      <c r="AF1106">
        <v>19</v>
      </c>
      <c r="AG1106" t="s">
        <v>1653</v>
      </c>
      <c r="AH1106">
        <v>40307</v>
      </c>
      <c r="AI1106">
        <v>19</v>
      </c>
      <c r="AJ1106" t="s">
        <v>110</v>
      </c>
      <c r="AK1106">
        <v>19</v>
      </c>
      <c r="AL1106">
        <v>12</v>
      </c>
      <c r="AM1106">
        <v>396</v>
      </c>
      <c r="AN1106">
        <v>60</v>
      </c>
      <c r="AO1106">
        <v>9</v>
      </c>
      <c r="AP1106" t="s">
        <v>93</v>
      </c>
      <c r="AQ1106" t="s">
        <v>89</v>
      </c>
      <c r="AR1106" t="s">
        <v>89</v>
      </c>
      <c r="AS1106" t="s">
        <v>93</v>
      </c>
      <c r="AT1106" t="s">
        <v>89</v>
      </c>
      <c r="AU1106" t="s">
        <v>89</v>
      </c>
      <c r="AV1106" t="s">
        <v>89</v>
      </c>
      <c r="AW1106">
        <v>15</v>
      </c>
      <c r="AX1106" t="s">
        <v>89</v>
      </c>
      <c r="AY1106" t="s">
        <v>93</v>
      </c>
      <c r="AZ1106">
        <v>0</v>
      </c>
      <c r="BA1106">
        <v>0</v>
      </c>
      <c r="BB1106">
        <v>0</v>
      </c>
      <c r="BC1106">
        <v>0</v>
      </c>
      <c r="BD1106">
        <v>293</v>
      </c>
      <c r="BE1106">
        <v>16344</v>
      </c>
      <c r="BF1106">
        <v>33</v>
      </c>
      <c r="BG1106" t="s">
        <v>89</v>
      </c>
      <c r="BH1106">
        <v>293</v>
      </c>
      <c r="BI1106">
        <v>16344</v>
      </c>
      <c r="BJ1106">
        <v>33</v>
      </c>
      <c r="BK1106">
        <f t="shared" si="155"/>
        <v>293</v>
      </c>
      <c r="BL1106">
        <f t="shared" si="156"/>
        <v>16344</v>
      </c>
      <c r="BM1106">
        <f t="shared" si="157"/>
        <v>33</v>
      </c>
      <c r="BN1106">
        <f t="shared" si="158"/>
        <v>0</v>
      </c>
      <c r="BO1106">
        <f t="shared" si="159"/>
        <v>0</v>
      </c>
      <c r="BP1106">
        <f t="shared" si="160"/>
        <v>0</v>
      </c>
      <c r="BQ1106" t="s">
        <v>494</v>
      </c>
      <c r="BR1106" t="s">
        <v>112</v>
      </c>
      <c r="BS1106" s="1">
        <v>33320</v>
      </c>
      <c r="BT1106">
        <v>34</v>
      </c>
      <c r="BU1106" t="s">
        <v>89</v>
      </c>
      <c r="BV1106" t="s">
        <v>89</v>
      </c>
      <c r="BW1106">
        <v>15</v>
      </c>
      <c r="BX1106">
        <v>1991</v>
      </c>
      <c r="BY1106">
        <v>15</v>
      </c>
      <c r="BZ1106">
        <f t="shared" si="161"/>
        <v>0</v>
      </c>
      <c r="CA1106">
        <f t="shared" si="162"/>
        <v>0</v>
      </c>
      <c r="CB1106" t="b">
        <f t="shared" si="163"/>
        <v>1</v>
      </c>
    </row>
    <row r="1107" spans="1:80" x14ac:dyDescent="0.3">
      <c r="A1107" t="s">
        <v>8796</v>
      </c>
      <c r="B1107" t="s">
        <v>71</v>
      </c>
      <c r="C1107" t="s">
        <v>8797</v>
      </c>
      <c r="D1107">
        <v>46</v>
      </c>
      <c r="E1107" s="1">
        <v>28905</v>
      </c>
      <c r="F1107" t="s">
        <v>89</v>
      </c>
      <c r="G1107" t="s">
        <v>731</v>
      </c>
      <c r="H1107" t="s">
        <v>76</v>
      </c>
      <c r="I1107" t="s">
        <v>3874</v>
      </c>
      <c r="J1107" t="s">
        <v>300</v>
      </c>
      <c r="K1107" t="s">
        <v>89</v>
      </c>
      <c r="L1107" t="s">
        <v>845</v>
      </c>
      <c r="M1107">
        <v>23</v>
      </c>
      <c r="N1107" t="s">
        <v>279</v>
      </c>
      <c r="O1107">
        <v>2002</v>
      </c>
      <c r="P1107" t="s">
        <v>8798</v>
      </c>
      <c r="Q1107" t="s">
        <v>8799</v>
      </c>
      <c r="R1107">
        <v>29193</v>
      </c>
      <c r="S1107" t="s">
        <v>8796</v>
      </c>
      <c r="T1107" t="s">
        <v>8800</v>
      </c>
      <c r="U1107">
        <v>1979</v>
      </c>
      <c r="V1107" t="s">
        <v>315</v>
      </c>
      <c r="W1107">
        <v>1.68</v>
      </c>
      <c r="X1107" t="s">
        <v>76</v>
      </c>
      <c r="Y1107" t="s">
        <v>369</v>
      </c>
      <c r="Z1107" t="s">
        <v>152</v>
      </c>
      <c r="AA1107" t="s">
        <v>8801</v>
      </c>
      <c r="AB1107" s="1">
        <v>43107</v>
      </c>
      <c r="AC1107" t="s">
        <v>108</v>
      </c>
      <c r="AD1107" t="s">
        <v>89</v>
      </c>
      <c r="AE1107">
        <v>2010</v>
      </c>
      <c r="AF1107">
        <v>31</v>
      </c>
      <c r="AG1107" t="s">
        <v>91</v>
      </c>
      <c r="AH1107">
        <v>1998</v>
      </c>
      <c r="AI1107">
        <v>19</v>
      </c>
      <c r="AJ1107">
        <v>0</v>
      </c>
      <c r="AK1107">
        <v>19</v>
      </c>
      <c r="AL1107" t="s">
        <v>89</v>
      </c>
      <c r="AM1107" t="s">
        <v>89</v>
      </c>
      <c r="AN1107" t="s">
        <v>89</v>
      </c>
      <c r="AO1107">
        <v>0</v>
      </c>
      <c r="AP1107" t="s">
        <v>93</v>
      </c>
      <c r="AQ1107" t="s">
        <v>89</v>
      </c>
      <c r="AR1107" t="s">
        <v>89</v>
      </c>
      <c r="AS1107" t="s">
        <v>111</v>
      </c>
      <c r="AT1107" s="1">
        <v>43107</v>
      </c>
      <c r="AU1107">
        <v>2018</v>
      </c>
      <c r="AV1107">
        <v>16</v>
      </c>
      <c r="AW1107">
        <v>16</v>
      </c>
      <c r="AX1107" t="s">
        <v>89</v>
      </c>
      <c r="AY1107" t="s">
        <v>93</v>
      </c>
      <c r="AZ1107">
        <v>0</v>
      </c>
      <c r="BA1107">
        <v>0</v>
      </c>
      <c r="BB1107">
        <v>0</v>
      </c>
      <c r="BC1107">
        <v>0</v>
      </c>
      <c r="BD1107">
        <v>310</v>
      </c>
      <c r="BE1107">
        <v>15812</v>
      </c>
      <c r="BF1107">
        <v>60</v>
      </c>
      <c r="BG1107">
        <v>39</v>
      </c>
      <c r="BH1107">
        <v>310</v>
      </c>
      <c r="BI1107">
        <v>15812</v>
      </c>
      <c r="BJ1107">
        <v>60</v>
      </c>
      <c r="BK1107">
        <f t="shared" si="155"/>
        <v>310</v>
      </c>
      <c r="BL1107">
        <f t="shared" si="156"/>
        <v>15812</v>
      </c>
      <c r="BM1107">
        <f t="shared" si="157"/>
        <v>60</v>
      </c>
      <c r="BN1107">
        <f t="shared" si="158"/>
        <v>0</v>
      </c>
      <c r="BO1107">
        <f t="shared" si="159"/>
        <v>0</v>
      </c>
      <c r="BP1107">
        <f t="shared" si="160"/>
        <v>0</v>
      </c>
      <c r="BQ1107" t="s">
        <v>369</v>
      </c>
      <c r="BR1107" t="s">
        <v>112</v>
      </c>
      <c r="BS1107" s="1">
        <v>28905</v>
      </c>
      <c r="BT1107">
        <v>46</v>
      </c>
      <c r="BU1107" s="1">
        <v>43107</v>
      </c>
      <c r="BV1107" s="1">
        <v>43282</v>
      </c>
      <c r="BW1107">
        <v>20</v>
      </c>
      <c r="BX1107">
        <v>1979</v>
      </c>
      <c r="BY1107">
        <v>20</v>
      </c>
      <c r="BZ1107">
        <f t="shared" si="161"/>
        <v>-4</v>
      </c>
      <c r="CA1107">
        <f t="shared" si="162"/>
        <v>0</v>
      </c>
      <c r="CB1107" t="b">
        <f t="shared" si="163"/>
        <v>0</v>
      </c>
    </row>
    <row r="1108" spans="1:80" x14ac:dyDescent="0.3">
      <c r="A1108" t="s">
        <v>8802</v>
      </c>
      <c r="B1108" t="s">
        <v>1231</v>
      </c>
      <c r="C1108" t="s">
        <v>8803</v>
      </c>
      <c r="D1108">
        <v>35</v>
      </c>
      <c r="E1108" t="s">
        <v>8804</v>
      </c>
      <c r="F1108" t="s">
        <v>8805</v>
      </c>
      <c r="G1108" t="s">
        <v>97</v>
      </c>
      <c r="H1108" t="s">
        <v>1234</v>
      </c>
      <c r="I1108" t="s">
        <v>340</v>
      </c>
      <c r="J1108" t="s">
        <v>639</v>
      </c>
      <c r="K1108" t="s">
        <v>3095</v>
      </c>
      <c r="L1108" t="s">
        <v>130</v>
      </c>
      <c r="M1108">
        <v>18</v>
      </c>
      <c r="N1108" t="s">
        <v>8806</v>
      </c>
      <c r="O1108">
        <v>2008</v>
      </c>
      <c r="P1108" t="s">
        <v>8807</v>
      </c>
      <c r="Q1108" t="s">
        <v>8808</v>
      </c>
      <c r="R1108">
        <v>9335</v>
      </c>
      <c r="S1108" t="s">
        <v>8802</v>
      </c>
      <c r="T1108" t="s">
        <v>8809</v>
      </c>
      <c r="U1108">
        <v>1990</v>
      </c>
      <c r="V1108" t="s">
        <v>8810</v>
      </c>
      <c r="W1108">
        <v>1.81</v>
      </c>
      <c r="X1108" t="s">
        <v>1234</v>
      </c>
      <c r="Y1108" t="s">
        <v>123</v>
      </c>
      <c r="Z1108" t="s">
        <v>87</v>
      </c>
      <c r="AA1108" t="s">
        <v>8811</v>
      </c>
      <c r="AB1108" s="1">
        <v>45664</v>
      </c>
      <c r="AC1108" t="s">
        <v>108</v>
      </c>
      <c r="AD1108" t="s">
        <v>89</v>
      </c>
      <c r="AE1108" t="s">
        <v>8812</v>
      </c>
      <c r="AF1108">
        <v>19</v>
      </c>
      <c r="AG1108" t="s">
        <v>613</v>
      </c>
      <c r="AH1108" t="s">
        <v>7454</v>
      </c>
      <c r="AI1108">
        <v>18</v>
      </c>
      <c r="AJ1108" t="s">
        <v>855</v>
      </c>
      <c r="AK1108">
        <v>18</v>
      </c>
      <c r="AL1108">
        <v>13</v>
      </c>
      <c r="AM1108">
        <v>1025</v>
      </c>
      <c r="AN1108">
        <v>241</v>
      </c>
      <c r="AO1108">
        <v>8</v>
      </c>
      <c r="AP1108" t="s">
        <v>93</v>
      </c>
      <c r="AQ1108" t="s">
        <v>89</v>
      </c>
      <c r="AR1108" t="s">
        <v>89</v>
      </c>
      <c r="AS1108" t="s">
        <v>111</v>
      </c>
      <c r="AT1108">
        <v>45664</v>
      </c>
      <c r="AU1108">
        <v>2025</v>
      </c>
      <c r="AV1108">
        <v>17</v>
      </c>
      <c r="AW1108">
        <v>17</v>
      </c>
      <c r="AX1108" t="s">
        <v>89</v>
      </c>
      <c r="AY1108" t="s">
        <v>93</v>
      </c>
      <c r="AZ1108">
        <v>0</v>
      </c>
      <c r="BA1108">
        <v>0</v>
      </c>
      <c r="BB1108">
        <v>0</v>
      </c>
      <c r="BC1108">
        <v>0</v>
      </c>
      <c r="BD1108">
        <v>256</v>
      </c>
      <c r="BE1108">
        <v>11987</v>
      </c>
      <c r="BF1108">
        <v>33</v>
      </c>
      <c r="BG1108">
        <v>35</v>
      </c>
      <c r="BH1108">
        <v>256</v>
      </c>
      <c r="BI1108">
        <v>11987</v>
      </c>
      <c r="BJ1108">
        <v>33</v>
      </c>
      <c r="BK1108">
        <f t="shared" si="155"/>
        <v>256</v>
      </c>
      <c r="BL1108">
        <f t="shared" si="156"/>
        <v>11987</v>
      </c>
      <c r="BM1108">
        <f t="shared" si="157"/>
        <v>33</v>
      </c>
      <c r="BN1108">
        <f t="shared" si="158"/>
        <v>0</v>
      </c>
      <c r="BO1108">
        <f t="shared" si="159"/>
        <v>0</v>
      </c>
      <c r="BP1108">
        <f t="shared" si="160"/>
        <v>0</v>
      </c>
      <c r="BQ1108" t="s">
        <v>123</v>
      </c>
      <c r="BR1108" t="s">
        <v>112</v>
      </c>
      <c r="BS1108" s="1">
        <v>32986</v>
      </c>
      <c r="BT1108">
        <v>35</v>
      </c>
      <c r="BU1108">
        <v>45664</v>
      </c>
      <c r="BV1108" t="s">
        <v>89</v>
      </c>
      <c r="BW1108">
        <v>17</v>
      </c>
      <c r="BX1108">
        <v>1990</v>
      </c>
      <c r="BY1108">
        <v>17</v>
      </c>
      <c r="BZ1108">
        <f t="shared" si="161"/>
        <v>0</v>
      </c>
      <c r="CA1108">
        <f t="shared" si="162"/>
        <v>0</v>
      </c>
      <c r="CB1108" t="b">
        <f t="shared" si="163"/>
        <v>1</v>
      </c>
    </row>
    <row r="1109" spans="1:80" x14ac:dyDescent="0.3">
      <c r="A1109" t="s">
        <v>8813</v>
      </c>
      <c r="B1109" t="s">
        <v>4104</v>
      </c>
      <c r="C1109" t="s">
        <v>8814</v>
      </c>
      <c r="D1109">
        <v>49</v>
      </c>
      <c r="E1109" s="1">
        <v>27942</v>
      </c>
      <c r="F1109" t="s">
        <v>89</v>
      </c>
      <c r="G1109" t="s">
        <v>277</v>
      </c>
      <c r="H1109" t="s">
        <v>4106</v>
      </c>
      <c r="I1109" t="s">
        <v>437</v>
      </c>
      <c r="J1109" t="s">
        <v>78</v>
      </c>
      <c r="K1109" t="s">
        <v>89</v>
      </c>
      <c r="L1109" t="s">
        <v>196</v>
      </c>
      <c r="M1109">
        <v>24</v>
      </c>
      <c r="N1109" t="s">
        <v>4610</v>
      </c>
      <c r="O1109">
        <v>2000</v>
      </c>
      <c r="P1109" t="s">
        <v>8815</v>
      </c>
      <c r="Q1109" t="s">
        <v>8816</v>
      </c>
      <c r="R1109">
        <v>3407</v>
      </c>
      <c r="S1109" t="s">
        <v>8813</v>
      </c>
      <c r="T1109">
        <v>27766</v>
      </c>
      <c r="U1109">
        <v>1976</v>
      </c>
      <c r="V1109" t="s">
        <v>8817</v>
      </c>
      <c r="W1109">
        <v>1.89</v>
      </c>
      <c r="X1109" t="s">
        <v>4106</v>
      </c>
      <c r="Y1109" t="s">
        <v>123</v>
      </c>
      <c r="Z1109" t="s">
        <v>87</v>
      </c>
      <c r="AA1109" t="s">
        <v>745</v>
      </c>
      <c r="AB1109" s="1">
        <v>40915</v>
      </c>
      <c r="AC1109" t="s">
        <v>108</v>
      </c>
      <c r="AD1109" t="s">
        <v>89</v>
      </c>
      <c r="AE1109" s="1">
        <v>1997</v>
      </c>
      <c r="AF1109">
        <v>21</v>
      </c>
      <c r="AG1109" t="s">
        <v>4114</v>
      </c>
      <c r="AH1109">
        <v>1996</v>
      </c>
      <c r="AI1109">
        <v>20</v>
      </c>
      <c r="AJ1109">
        <v>0</v>
      </c>
      <c r="AK1109">
        <v>20</v>
      </c>
      <c r="AL1109">
        <v>11</v>
      </c>
      <c r="AM1109">
        <v>632</v>
      </c>
      <c r="AN1109">
        <v>121</v>
      </c>
      <c r="AO1109">
        <v>6</v>
      </c>
      <c r="AP1109" t="s">
        <v>93</v>
      </c>
      <c r="AQ1109" t="s">
        <v>89</v>
      </c>
      <c r="AR1109" t="s">
        <v>89</v>
      </c>
      <c r="AS1109" t="s">
        <v>111</v>
      </c>
      <c r="AT1109" s="1">
        <v>40915</v>
      </c>
      <c r="AU1109">
        <v>2012</v>
      </c>
      <c r="AV1109">
        <v>12</v>
      </c>
      <c r="AW1109">
        <v>12</v>
      </c>
      <c r="AX1109" t="s">
        <v>89</v>
      </c>
      <c r="AY1109" t="s">
        <v>111</v>
      </c>
      <c r="AZ1109">
        <v>6</v>
      </c>
      <c r="BA1109">
        <v>30</v>
      </c>
      <c r="BB1109">
        <v>2155</v>
      </c>
      <c r="BC1109">
        <v>18</v>
      </c>
      <c r="BD1109">
        <v>373</v>
      </c>
      <c r="BE1109">
        <v>28793</v>
      </c>
      <c r="BF1109">
        <v>217</v>
      </c>
      <c r="BG1109">
        <v>36</v>
      </c>
      <c r="BH1109">
        <v>403</v>
      </c>
      <c r="BI1109">
        <v>30948</v>
      </c>
      <c r="BJ1109">
        <v>235</v>
      </c>
      <c r="BK1109">
        <f t="shared" si="155"/>
        <v>403</v>
      </c>
      <c r="BL1109">
        <f t="shared" si="156"/>
        <v>30948</v>
      </c>
      <c r="BM1109">
        <f t="shared" si="157"/>
        <v>235</v>
      </c>
      <c r="BN1109">
        <f t="shared" si="158"/>
        <v>0</v>
      </c>
      <c r="BO1109">
        <f t="shared" si="159"/>
        <v>0</v>
      </c>
      <c r="BP1109">
        <f t="shared" si="160"/>
        <v>0</v>
      </c>
      <c r="BQ1109" t="s">
        <v>123</v>
      </c>
      <c r="BR1109" t="s">
        <v>112</v>
      </c>
      <c r="BS1109" t="s">
        <v>89</v>
      </c>
      <c r="BT1109">
        <v>50</v>
      </c>
      <c r="BU1109" s="1">
        <v>40915</v>
      </c>
      <c r="BV1109" s="1">
        <v>41091</v>
      </c>
      <c r="BW1109">
        <v>16</v>
      </c>
      <c r="BX1109">
        <v>1976</v>
      </c>
      <c r="BY1109">
        <v>16</v>
      </c>
      <c r="BZ1109">
        <f t="shared" si="161"/>
        <v>-4</v>
      </c>
      <c r="CA1109">
        <f t="shared" si="162"/>
        <v>0</v>
      </c>
      <c r="CB1109" t="b">
        <f t="shared" si="163"/>
        <v>0</v>
      </c>
    </row>
    <row r="1110" spans="1:80" x14ac:dyDescent="0.3">
      <c r="A1110" t="s">
        <v>8818</v>
      </c>
      <c r="B1110" t="s">
        <v>776</v>
      </c>
      <c r="C1110" t="s">
        <v>8819</v>
      </c>
      <c r="D1110">
        <v>32</v>
      </c>
      <c r="E1110" t="s">
        <v>8820</v>
      </c>
      <c r="F1110" t="s">
        <v>8821</v>
      </c>
      <c r="G1110" t="s">
        <v>413</v>
      </c>
      <c r="H1110" t="s">
        <v>778</v>
      </c>
      <c r="I1110" t="s">
        <v>340</v>
      </c>
      <c r="J1110" t="s">
        <v>78</v>
      </c>
      <c r="K1110" t="s">
        <v>8822</v>
      </c>
      <c r="L1110" t="s">
        <v>324</v>
      </c>
      <c r="M1110">
        <v>20</v>
      </c>
      <c r="N1110" t="s">
        <v>2763</v>
      </c>
      <c r="O1110">
        <v>2013</v>
      </c>
      <c r="P1110" t="s">
        <v>8823</v>
      </c>
      <c r="Q1110" t="s">
        <v>8824</v>
      </c>
      <c r="R1110">
        <v>62713</v>
      </c>
      <c r="S1110" t="s">
        <v>8818</v>
      </c>
      <c r="T1110" t="s">
        <v>8825</v>
      </c>
      <c r="U1110">
        <v>1993</v>
      </c>
      <c r="V1110" t="s">
        <v>8826</v>
      </c>
      <c r="W1110">
        <v>1.82</v>
      </c>
      <c r="X1110" t="s">
        <v>2292</v>
      </c>
      <c r="Y1110" t="s">
        <v>391</v>
      </c>
      <c r="Z1110" t="s">
        <v>87</v>
      </c>
      <c r="AA1110" t="s">
        <v>8822</v>
      </c>
      <c r="AB1110" t="s">
        <v>8827</v>
      </c>
      <c r="AC1110" t="s">
        <v>170</v>
      </c>
      <c r="AD1110" t="s">
        <v>89</v>
      </c>
      <c r="AE1110">
        <v>41129</v>
      </c>
      <c r="AF1110">
        <v>19</v>
      </c>
      <c r="AG1110" t="s">
        <v>786</v>
      </c>
      <c r="AH1110" t="s">
        <v>8828</v>
      </c>
      <c r="AI1110">
        <v>25</v>
      </c>
      <c r="AJ1110" t="s">
        <v>575</v>
      </c>
      <c r="AK1110">
        <v>19</v>
      </c>
      <c r="AL1110">
        <v>9</v>
      </c>
      <c r="AM1110">
        <v>205</v>
      </c>
      <c r="AN1110">
        <v>34</v>
      </c>
      <c r="AO1110">
        <v>7</v>
      </c>
      <c r="AP1110" t="s">
        <v>93</v>
      </c>
      <c r="AQ1110" t="s">
        <v>89</v>
      </c>
      <c r="AR1110" t="s">
        <v>89</v>
      </c>
      <c r="AS1110" t="s">
        <v>93</v>
      </c>
      <c r="AT1110" t="s">
        <v>89</v>
      </c>
      <c r="AU1110" t="s">
        <v>89</v>
      </c>
      <c r="AV1110" t="s">
        <v>89</v>
      </c>
      <c r="AW1110">
        <v>12</v>
      </c>
      <c r="AX1110">
        <v>10</v>
      </c>
      <c r="AY1110" t="s">
        <v>93</v>
      </c>
      <c r="AZ1110">
        <v>0</v>
      </c>
      <c r="BA1110">
        <v>0</v>
      </c>
      <c r="BB1110">
        <v>0</v>
      </c>
      <c r="BC1110">
        <v>0</v>
      </c>
      <c r="BD1110">
        <v>233</v>
      </c>
      <c r="BE1110">
        <v>12099</v>
      </c>
      <c r="BF1110">
        <v>23</v>
      </c>
      <c r="BG1110" t="s">
        <v>89</v>
      </c>
      <c r="BH1110">
        <v>233</v>
      </c>
      <c r="BI1110">
        <v>12099</v>
      </c>
      <c r="BJ1110">
        <v>23</v>
      </c>
      <c r="BK1110">
        <f t="shared" si="155"/>
        <v>233</v>
      </c>
      <c r="BL1110">
        <f t="shared" si="156"/>
        <v>12099</v>
      </c>
      <c r="BM1110">
        <f t="shared" si="157"/>
        <v>23</v>
      </c>
      <c r="BN1110">
        <f t="shared" si="158"/>
        <v>0</v>
      </c>
      <c r="BO1110">
        <f t="shared" si="159"/>
        <v>0</v>
      </c>
      <c r="BP1110">
        <f t="shared" si="160"/>
        <v>0</v>
      </c>
      <c r="BQ1110" t="s">
        <v>391</v>
      </c>
      <c r="BR1110" t="s">
        <v>112</v>
      </c>
      <c r="BS1110" s="1">
        <v>34027</v>
      </c>
      <c r="BT1110">
        <v>32</v>
      </c>
      <c r="BU1110" t="s">
        <v>89</v>
      </c>
      <c r="BV1110" t="s">
        <v>89</v>
      </c>
      <c r="BW1110">
        <v>13</v>
      </c>
      <c r="BX1110">
        <v>1993</v>
      </c>
      <c r="BY1110">
        <v>13</v>
      </c>
      <c r="BZ1110">
        <f t="shared" si="161"/>
        <v>-1</v>
      </c>
      <c r="CA1110">
        <f t="shared" si="162"/>
        <v>0</v>
      </c>
      <c r="CB1110" t="b">
        <f t="shared" si="163"/>
        <v>0</v>
      </c>
    </row>
    <row r="1111" spans="1:80" x14ac:dyDescent="0.3">
      <c r="A1111" t="s">
        <v>8829</v>
      </c>
      <c r="B1111" t="s">
        <v>1231</v>
      </c>
      <c r="C1111" t="s">
        <v>8830</v>
      </c>
      <c r="D1111">
        <v>44</v>
      </c>
      <c r="E1111" s="1">
        <v>29510</v>
      </c>
      <c r="F1111" t="s">
        <v>89</v>
      </c>
      <c r="G1111" t="s">
        <v>400</v>
      </c>
      <c r="H1111" t="s">
        <v>89</v>
      </c>
      <c r="I1111" t="s">
        <v>7216</v>
      </c>
      <c r="J1111" t="s">
        <v>89</v>
      </c>
      <c r="K1111" t="s">
        <v>89</v>
      </c>
      <c r="L1111" t="s">
        <v>2014</v>
      </c>
      <c r="M1111">
        <v>18</v>
      </c>
      <c r="N1111" t="s">
        <v>4356</v>
      </c>
      <c r="O1111">
        <v>1999</v>
      </c>
      <c r="P1111" t="s">
        <v>8831</v>
      </c>
      <c r="Q1111" t="s">
        <v>8832</v>
      </c>
      <c r="R1111">
        <v>277</v>
      </c>
      <c r="S1111" t="s">
        <v>8833</v>
      </c>
      <c r="T1111" t="s">
        <v>8834</v>
      </c>
      <c r="U1111">
        <v>1980</v>
      </c>
      <c r="V1111" t="s">
        <v>8508</v>
      </c>
      <c r="W1111" t="s">
        <v>89</v>
      </c>
      <c r="X1111" t="s">
        <v>8835</v>
      </c>
      <c r="Y1111" t="s">
        <v>86</v>
      </c>
      <c r="Z1111" t="s">
        <v>89</v>
      </c>
      <c r="AA1111" t="s">
        <v>8836</v>
      </c>
      <c r="AB1111" s="1">
        <v>42376</v>
      </c>
      <c r="AC1111" t="s">
        <v>108</v>
      </c>
      <c r="AD1111" t="s">
        <v>89</v>
      </c>
      <c r="AE1111" s="1">
        <v>36473</v>
      </c>
      <c r="AF1111">
        <v>18</v>
      </c>
      <c r="AG1111" t="s">
        <v>2272</v>
      </c>
      <c r="AH1111" s="1">
        <v>38238</v>
      </c>
      <c r="AI1111">
        <v>23</v>
      </c>
      <c r="AJ1111" t="s">
        <v>250</v>
      </c>
      <c r="AK1111">
        <v>18</v>
      </c>
      <c r="AL1111">
        <v>7</v>
      </c>
      <c r="AM1111">
        <v>573</v>
      </c>
      <c r="AN1111">
        <v>59</v>
      </c>
      <c r="AO1111">
        <v>4</v>
      </c>
      <c r="AP1111" t="s">
        <v>93</v>
      </c>
      <c r="AQ1111" t="s">
        <v>89</v>
      </c>
      <c r="AR1111" t="s">
        <v>89</v>
      </c>
      <c r="AS1111" t="s">
        <v>111</v>
      </c>
      <c r="AT1111" s="1">
        <v>42376</v>
      </c>
      <c r="AU1111">
        <v>2016</v>
      </c>
      <c r="AV1111">
        <v>17</v>
      </c>
      <c r="AW1111">
        <v>17</v>
      </c>
      <c r="AX1111" t="s">
        <v>89</v>
      </c>
      <c r="AY1111" t="s">
        <v>93</v>
      </c>
      <c r="AZ1111">
        <v>0</v>
      </c>
      <c r="BA1111">
        <v>0</v>
      </c>
      <c r="BB1111">
        <v>0</v>
      </c>
      <c r="BC1111">
        <v>0</v>
      </c>
      <c r="BD1111">
        <v>338</v>
      </c>
      <c r="BE1111">
        <v>25054</v>
      </c>
      <c r="BF1111">
        <v>34</v>
      </c>
      <c r="BG1111">
        <v>36</v>
      </c>
      <c r="BH1111">
        <v>338</v>
      </c>
      <c r="BI1111">
        <v>25054</v>
      </c>
      <c r="BJ1111">
        <v>34</v>
      </c>
      <c r="BK1111">
        <f t="shared" si="155"/>
        <v>338</v>
      </c>
      <c r="BL1111">
        <f t="shared" si="156"/>
        <v>25054</v>
      </c>
      <c r="BM1111">
        <f t="shared" si="157"/>
        <v>34</v>
      </c>
      <c r="BN1111">
        <f t="shared" si="158"/>
        <v>0</v>
      </c>
      <c r="BO1111">
        <f t="shared" si="159"/>
        <v>0</v>
      </c>
      <c r="BP1111">
        <f t="shared" si="160"/>
        <v>0</v>
      </c>
      <c r="BQ1111" t="s">
        <v>86</v>
      </c>
      <c r="BR1111" t="s">
        <v>94</v>
      </c>
      <c r="BS1111" t="s">
        <v>89</v>
      </c>
      <c r="BT1111">
        <v>46</v>
      </c>
      <c r="BU1111" s="1">
        <v>42376</v>
      </c>
      <c r="BV1111" s="1">
        <v>42552</v>
      </c>
      <c r="BW1111">
        <v>18</v>
      </c>
      <c r="BX1111">
        <v>1980</v>
      </c>
      <c r="BY1111">
        <v>18</v>
      </c>
      <c r="BZ1111">
        <f t="shared" si="161"/>
        <v>-1</v>
      </c>
      <c r="CA1111">
        <f t="shared" si="162"/>
        <v>0</v>
      </c>
      <c r="CB1111" t="b">
        <f t="shared" si="163"/>
        <v>0</v>
      </c>
    </row>
    <row r="1112" spans="1:80" x14ac:dyDescent="0.3">
      <c r="A1112" t="s">
        <v>8837</v>
      </c>
      <c r="B1112" t="s">
        <v>4104</v>
      </c>
      <c r="C1112" t="s">
        <v>8838</v>
      </c>
      <c r="D1112">
        <v>42</v>
      </c>
      <c r="E1112">
        <v>30175</v>
      </c>
      <c r="F1112" t="s">
        <v>89</v>
      </c>
      <c r="G1112" t="s">
        <v>518</v>
      </c>
      <c r="H1112" t="s">
        <v>89</v>
      </c>
      <c r="I1112" t="s">
        <v>2523</v>
      </c>
      <c r="J1112" t="s">
        <v>89</v>
      </c>
      <c r="K1112" t="s">
        <v>89</v>
      </c>
      <c r="L1112" t="s">
        <v>99</v>
      </c>
      <c r="M1112">
        <v>18</v>
      </c>
      <c r="N1112" t="s">
        <v>4107</v>
      </c>
      <c r="O1112">
        <v>2001</v>
      </c>
      <c r="P1112" t="s">
        <v>8839</v>
      </c>
      <c r="Q1112" t="s">
        <v>8840</v>
      </c>
      <c r="R1112">
        <v>17993</v>
      </c>
      <c r="S1112" t="s">
        <v>8837</v>
      </c>
      <c r="T1112">
        <v>30293</v>
      </c>
      <c r="U1112">
        <v>1982</v>
      </c>
      <c r="V1112" t="s">
        <v>4022</v>
      </c>
      <c r="W1112">
        <v>1.72</v>
      </c>
      <c r="X1112" t="s">
        <v>4614</v>
      </c>
      <c r="Y1112" t="s">
        <v>106</v>
      </c>
      <c r="Z1112" t="s">
        <v>152</v>
      </c>
      <c r="AA1112" t="s">
        <v>5221</v>
      </c>
      <c r="AB1112" s="1">
        <v>42011</v>
      </c>
      <c r="AC1112" t="s">
        <v>108</v>
      </c>
      <c r="AD1112" t="s">
        <v>89</v>
      </c>
      <c r="AE1112">
        <v>37146</v>
      </c>
      <c r="AF1112">
        <v>19</v>
      </c>
      <c r="AG1112" t="s">
        <v>4114</v>
      </c>
      <c r="AH1112" t="s">
        <v>92</v>
      </c>
      <c r="AI1112" t="s">
        <v>89</v>
      </c>
      <c r="AJ1112" t="s">
        <v>92</v>
      </c>
      <c r="AK1112">
        <v>19</v>
      </c>
      <c r="AL1112" t="s">
        <v>89</v>
      </c>
      <c r="AM1112" t="s">
        <v>89</v>
      </c>
      <c r="AN1112" t="s">
        <v>89</v>
      </c>
      <c r="AO1112">
        <v>0</v>
      </c>
      <c r="AP1112" t="s">
        <v>93</v>
      </c>
      <c r="AQ1112" t="s">
        <v>89</v>
      </c>
      <c r="AR1112" t="s">
        <v>89</v>
      </c>
      <c r="AS1112" t="s">
        <v>111</v>
      </c>
      <c r="AT1112">
        <v>42011</v>
      </c>
      <c r="AU1112">
        <v>2015</v>
      </c>
      <c r="AV1112">
        <v>14</v>
      </c>
      <c r="AW1112">
        <v>14</v>
      </c>
      <c r="AX1112" t="s">
        <v>89</v>
      </c>
      <c r="AY1112" t="s">
        <v>93</v>
      </c>
      <c r="AZ1112">
        <v>0</v>
      </c>
      <c r="BA1112">
        <v>0</v>
      </c>
      <c r="BB1112">
        <v>0</v>
      </c>
      <c r="BC1112">
        <v>0</v>
      </c>
      <c r="BD1112">
        <v>262</v>
      </c>
      <c r="BE1112">
        <v>20168</v>
      </c>
      <c r="BF1112">
        <v>46</v>
      </c>
      <c r="BG1112">
        <v>33</v>
      </c>
      <c r="BH1112">
        <v>262</v>
      </c>
      <c r="BI1112">
        <v>20168</v>
      </c>
      <c r="BJ1112">
        <v>46</v>
      </c>
      <c r="BK1112">
        <f t="shared" si="155"/>
        <v>262</v>
      </c>
      <c r="BL1112">
        <f t="shared" si="156"/>
        <v>20168</v>
      </c>
      <c r="BM1112">
        <f t="shared" si="157"/>
        <v>46</v>
      </c>
      <c r="BN1112">
        <f t="shared" si="158"/>
        <v>0</v>
      </c>
      <c r="BO1112">
        <f t="shared" si="159"/>
        <v>0</v>
      </c>
      <c r="BP1112">
        <f t="shared" si="160"/>
        <v>0</v>
      </c>
      <c r="BQ1112" t="s">
        <v>106</v>
      </c>
      <c r="BR1112" t="s">
        <v>112</v>
      </c>
      <c r="BS1112" t="s">
        <v>89</v>
      </c>
      <c r="BT1112">
        <v>44</v>
      </c>
      <c r="BU1112">
        <v>42011</v>
      </c>
      <c r="BV1112" t="s">
        <v>89</v>
      </c>
      <c r="BW1112">
        <v>14</v>
      </c>
      <c r="BX1112">
        <v>1982</v>
      </c>
      <c r="BY1112">
        <v>14</v>
      </c>
      <c r="BZ1112">
        <f t="shared" si="161"/>
        <v>0</v>
      </c>
      <c r="CA1112">
        <f t="shared" si="162"/>
        <v>0</v>
      </c>
      <c r="CB1112" t="b">
        <f t="shared" si="163"/>
        <v>1</v>
      </c>
    </row>
    <row r="1113" spans="1:80" x14ac:dyDescent="0.3">
      <c r="A1113" t="s">
        <v>8841</v>
      </c>
      <c r="B1113" t="s">
        <v>71</v>
      </c>
      <c r="C1113" t="s">
        <v>8842</v>
      </c>
      <c r="D1113">
        <v>40</v>
      </c>
      <c r="E1113" s="1">
        <v>31146</v>
      </c>
      <c r="F1113" t="s">
        <v>89</v>
      </c>
      <c r="G1113" t="s">
        <v>298</v>
      </c>
      <c r="H1113" t="s">
        <v>76</v>
      </c>
      <c r="I1113" t="s">
        <v>3616</v>
      </c>
      <c r="J1113" t="s">
        <v>89</v>
      </c>
      <c r="K1113" t="s">
        <v>89</v>
      </c>
      <c r="L1113" t="s">
        <v>117</v>
      </c>
      <c r="M1113">
        <v>20</v>
      </c>
      <c r="N1113" t="s">
        <v>629</v>
      </c>
      <c r="O1113">
        <v>2005</v>
      </c>
      <c r="P1113" t="s">
        <v>8843</v>
      </c>
      <c r="Q1113" t="s">
        <v>8844</v>
      </c>
      <c r="R1113">
        <v>56130</v>
      </c>
      <c r="S1113" t="s">
        <v>8841</v>
      </c>
      <c r="T1113" t="s">
        <v>8361</v>
      </c>
      <c r="U1113">
        <v>1985</v>
      </c>
      <c r="V1113" t="s">
        <v>716</v>
      </c>
      <c r="W1113">
        <v>1.76</v>
      </c>
      <c r="X1113" t="s">
        <v>76</v>
      </c>
      <c r="Y1113" t="s">
        <v>106</v>
      </c>
      <c r="Z1113" t="s">
        <v>87</v>
      </c>
      <c r="AA1113" t="s">
        <v>1723</v>
      </c>
      <c r="AB1113" t="s">
        <v>8845</v>
      </c>
      <c r="AC1113" t="s">
        <v>108</v>
      </c>
      <c r="AD1113" t="s">
        <v>89</v>
      </c>
      <c r="AE1113" s="1">
        <v>38903</v>
      </c>
      <c r="AF1113">
        <v>21</v>
      </c>
      <c r="AG1113" t="s">
        <v>91</v>
      </c>
      <c r="AH1113" s="1">
        <v>38451</v>
      </c>
      <c r="AI1113">
        <v>20</v>
      </c>
      <c r="AJ1113" t="s">
        <v>110</v>
      </c>
      <c r="AK1113">
        <v>20</v>
      </c>
      <c r="AL1113">
        <v>4</v>
      </c>
      <c r="AM1113">
        <v>354</v>
      </c>
      <c r="AN1113">
        <v>46</v>
      </c>
      <c r="AO1113">
        <v>3</v>
      </c>
      <c r="AP1113" t="s">
        <v>93</v>
      </c>
      <c r="AQ1113" t="s">
        <v>89</v>
      </c>
      <c r="AR1113" t="s">
        <v>89</v>
      </c>
      <c r="AS1113" t="s">
        <v>111</v>
      </c>
      <c r="AT1113" t="s">
        <v>8845</v>
      </c>
      <c r="AU1113">
        <v>2014</v>
      </c>
      <c r="AV1113">
        <v>9</v>
      </c>
      <c r="AW1113">
        <v>9</v>
      </c>
      <c r="AX1113" t="s">
        <v>89</v>
      </c>
      <c r="AY1113" t="s">
        <v>93</v>
      </c>
      <c r="AZ1113">
        <v>0</v>
      </c>
      <c r="BA1113">
        <v>0</v>
      </c>
      <c r="BB1113">
        <v>0</v>
      </c>
      <c r="BC1113">
        <v>0</v>
      </c>
      <c r="BD1113">
        <v>175</v>
      </c>
      <c r="BE1113">
        <v>10106</v>
      </c>
      <c r="BF1113">
        <v>14</v>
      </c>
      <c r="BG1113">
        <v>29</v>
      </c>
      <c r="BH1113">
        <v>175</v>
      </c>
      <c r="BI1113">
        <v>10106</v>
      </c>
      <c r="BJ1113">
        <v>14</v>
      </c>
      <c r="BK1113">
        <f t="shared" si="155"/>
        <v>175</v>
      </c>
      <c r="BL1113">
        <f t="shared" si="156"/>
        <v>10106</v>
      </c>
      <c r="BM1113">
        <f t="shared" si="157"/>
        <v>14</v>
      </c>
      <c r="BN1113">
        <f t="shared" si="158"/>
        <v>0</v>
      </c>
      <c r="BO1113">
        <f t="shared" si="159"/>
        <v>0</v>
      </c>
      <c r="BP1113">
        <f t="shared" si="160"/>
        <v>0</v>
      </c>
      <c r="BQ1113" t="s">
        <v>106</v>
      </c>
      <c r="BR1113" t="s">
        <v>112</v>
      </c>
      <c r="BS1113" t="s">
        <v>89</v>
      </c>
      <c r="BT1113">
        <v>41</v>
      </c>
      <c r="BU1113" t="s">
        <v>8845</v>
      </c>
      <c r="BV1113" s="1">
        <v>41751</v>
      </c>
      <c r="BW1113">
        <v>9</v>
      </c>
      <c r="BX1113">
        <v>1985</v>
      </c>
      <c r="BY1113">
        <v>9</v>
      </c>
      <c r="BZ1113">
        <f t="shared" si="161"/>
        <v>0</v>
      </c>
      <c r="CA1113">
        <f t="shared" si="162"/>
        <v>0</v>
      </c>
      <c r="CB1113" t="b">
        <f t="shared" si="163"/>
        <v>1</v>
      </c>
    </row>
    <row r="1114" spans="1:80" x14ac:dyDescent="0.3">
      <c r="A1114" t="s">
        <v>8846</v>
      </c>
      <c r="B1114" t="s">
        <v>71</v>
      </c>
      <c r="C1114" t="s">
        <v>8847</v>
      </c>
      <c r="D1114">
        <v>30</v>
      </c>
      <c r="E1114" t="s">
        <v>8848</v>
      </c>
      <c r="F1114" t="s">
        <v>399</v>
      </c>
      <c r="G1114" t="s">
        <v>97</v>
      </c>
      <c r="H1114" t="s">
        <v>76</v>
      </c>
      <c r="I1114" t="s">
        <v>8849</v>
      </c>
      <c r="J1114" t="s">
        <v>300</v>
      </c>
      <c r="K1114" t="s">
        <v>2932</v>
      </c>
      <c r="L1114" t="s">
        <v>80</v>
      </c>
      <c r="M1114">
        <v>17</v>
      </c>
      <c r="N1114" t="s">
        <v>81</v>
      </c>
      <c r="O1114">
        <v>2012</v>
      </c>
      <c r="P1114" t="s">
        <v>8850</v>
      </c>
      <c r="Q1114" t="s">
        <v>8851</v>
      </c>
      <c r="R1114">
        <v>148928</v>
      </c>
      <c r="S1114" t="s">
        <v>8846</v>
      </c>
      <c r="T1114" t="s">
        <v>8852</v>
      </c>
      <c r="U1114">
        <v>1994</v>
      </c>
      <c r="V1114" t="s">
        <v>402</v>
      </c>
      <c r="W1114">
        <v>1.84</v>
      </c>
      <c r="X1114" t="s">
        <v>76</v>
      </c>
      <c r="Y1114" t="s">
        <v>86</v>
      </c>
      <c r="Z1114" t="s">
        <v>152</v>
      </c>
      <c r="AA1114" t="s">
        <v>2932</v>
      </c>
      <c r="AB1114" t="s">
        <v>6479</v>
      </c>
      <c r="AC1114" t="s">
        <v>6449</v>
      </c>
      <c r="AD1114" t="s">
        <v>223</v>
      </c>
      <c r="AE1114" t="s">
        <v>8853</v>
      </c>
      <c r="AF1114">
        <v>18</v>
      </c>
      <c r="AG1114" t="s">
        <v>91</v>
      </c>
      <c r="AH1114" t="s">
        <v>92</v>
      </c>
      <c r="AI1114" t="s">
        <v>89</v>
      </c>
      <c r="AJ1114" t="s">
        <v>92</v>
      </c>
      <c r="AK1114">
        <v>18</v>
      </c>
      <c r="AL1114">
        <v>10</v>
      </c>
      <c r="AM1114">
        <v>190</v>
      </c>
      <c r="AN1114">
        <v>37</v>
      </c>
      <c r="AO1114">
        <v>8</v>
      </c>
      <c r="AP1114" t="s">
        <v>93</v>
      </c>
      <c r="AQ1114" t="s">
        <v>89</v>
      </c>
      <c r="AR1114" t="s">
        <v>89</v>
      </c>
      <c r="AS1114" t="s">
        <v>93</v>
      </c>
      <c r="AT1114" t="s">
        <v>89</v>
      </c>
      <c r="AU1114" t="s">
        <v>89</v>
      </c>
      <c r="AV1114" t="s">
        <v>89</v>
      </c>
      <c r="AW1114">
        <v>13</v>
      </c>
      <c r="AX1114">
        <v>8</v>
      </c>
      <c r="AY1114" t="s">
        <v>111</v>
      </c>
      <c r="AZ1114">
        <v>7</v>
      </c>
      <c r="BA1114">
        <v>19</v>
      </c>
      <c r="BB1114">
        <v>1018</v>
      </c>
      <c r="BC1114">
        <v>3</v>
      </c>
      <c r="BD1114">
        <v>519</v>
      </c>
      <c r="BE1114">
        <v>35687</v>
      </c>
      <c r="BF1114">
        <v>52</v>
      </c>
      <c r="BG1114" t="s">
        <v>89</v>
      </c>
      <c r="BH1114">
        <v>538</v>
      </c>
      <c r="BI1114">
        <v>36705</v>
      </c>
      <c r="BJ1114">
        <v>55</v>
      </c>
      <c r="BK1114">
        <f t="shared" si="155"/>
        <v>538</v>
      </c>
      <c r="BL1114">
        <f t="shared" si="156"/>
        <v>36705</v>
      </c>
      <c r="BM1114">
        <f t="shared" si="157"/>
        <v>55</v>
      </c>
      <c r="BN1114">
        <f t="shared" si="158"/>
        <v>0</v>
      </c>
      <c r="BO1114">
        <f t="shared" si="159"/>
        <v>0</v>
      </c>
      <c r="BP1114">
        <f t="shared" si="160"/>
        <v>0</v>
      </c>
      <c r="BQ1114" t="s">
        <v>86</v>
      </c>
      <c r="BR1114" t="s">
        <v>94</v>
      </c>
      <c r="BS1114" s="1">
        <v>34659</v>
      </c>
      <c r="BT1114">
        <v>31</v>
      </c>
      <c r="BU1114" t="s">
        <v>89</v>
      </c>
      <c r="BV1114" t="s">
        <v>89</v>
      </c>
      <c r="BW1114">
        <v>13</v>
      </c>
      <c r="BX1114">
        <v>1994</v>
      </c>
      <c r="BY1114">
        <v>12</v>
      </c>
      <c r="BZ1114">
        <f t="shared" si="161"/>
        <v>0</v>
      </c>
      <c r="CA1114">
        <f t="shared" si="162"/>
        <v>1</v>
      </c>
      <c r="CB1114" t="b">
        <f t="shared" si="163"/>
        <v>1</v>
      </c>
    </row>
    <row r="1115" spans="1:80" x14ac:dyDescent="0.3">
      <c r="A1115" t="s">
        <v>8854</v>
      </c>
      <c r="B1115" t="s">
        <v>71</v>
      </c>
      <c r="C1115" t="s">
        <v>8855</v>
      </c>
      <c r="D1115">
        <v>39</v>
      </c>
      <c r="E1115" s="1">
        <v>31556</v>
      </c>
      <c r="F1115" t="s">
        <v>89</v>
      </c>
      <c r="G1115" t="s">
        <v>75</v>
      </c>
      <c r="H1115" t="s">
        <v>89</v>
      </c>
      <c r="I1115" t="s">
        <v>1755</v>
      </c>
      <c r="J1115" t="s">
        <v>639</v>
      </c>
      <c r="K1115" t="s">
        <v>89</v>
      </c>
      <c r="L1115" t="s">
        <v>130</v>
      </c>
      <c r="M1115">
        <v>22</v>
      </c>
      <c r="N1115" t="s">
        <v>364</v>
      </c>
      <c r="O1115">
        <v>2008</v>
      </c>
      <c r="P1115" t="s">
        <v>8856</v>
      </c>
      <c r="Q1115" t="s">
        <v>8857</v>
      </c>
      <c r="R1115">
        <v>74954</v>
      </c>
      <c r="S1115" t="s">
        <v>8854</v>
      </c>
      <c r="T1115" t="s">
        <v>8858</v>
      </c>
      <c r="U1115">
        <v>1986</v>
      </c>
      <c r="V1115" t="s">
        <v>716</v>
      </c>
      <c r="W1115">
        <v>1.78</v>
      </c>
      <c r="X1115" t="s">
        <v>76</v>
      </c>
      <c r="Y1115" t="s">
        <v>391</v>
      </c>
      <c r="Z1115" t="s">
        <v>87</v>
      </c>
      <c r="AA1115" t="s">
        <v>2027</v>
      </c>
      <c r="AB1115">
        <v>45170</v>
      </c>
      <c r="AC1115" t="s">
        <v>108</v>
      </c>
      <c r="AD1115" t="s">
        <v>442</v>
      </c>
      <c r="AE1115" t="s">
        <v>1758</v>
      </c>
      <c r="AF1115">
        <v>28</v>
      </c>
      <c r="AG1115" t="s">
        <v>91</v>
      </c>
      <c r="AH1115" t="s">
        <v>961</v>
      </c>
      <c r="AI1115">
        <v>22</v>
      </c>
      <c r="AJ1115" t="s">
        <v>110</v>
      </c>
      <c r="AK1115">
        <v>22</v>
      </c>
      <c r="AL1115">
        <v>3</v>
      </c>
      <c r="AM1115">
        <v>104</v>
      </c>
      <c r="AN1115">
        <v>14</v>
      </c>
      <c r="AO1115">
        <v>2</v>
      </c>
      <c r="AP1115" t="s">
        <v>93</v>
      </c>
      <c r="AQ1115" t="s">
        <v>89</v>
      </c>
      <c r="AR1115" t="s">
        <v>89</v>
      </c>
      <c r="AS1115" t="s">
        <v>111</v>
      </c>
      <c r="AT1115">
        <v>45170</v>
      </c>
      <c r="AU1115">
        <v>2023</v>
      </c>
      <c r="AV1115">
        <v>15</v>
      </c>
      <c r="AW1115">
        <v>15</v>
      </c>
      <c r="AX1115" t="s">
        <v>89</v>
      </c>
      <c r="AY1115" t="s">
        <v>93</v>
      </c>
      <c r="AZ1115">
        <v>0</v>
      </c>
      <c r="BA1115">
        <v>0</v>
      </c>
      <c r="BB1115">
        <v>0</v>
      </c>
      <c r="BC1115">
        <v>0</v>
      </c>
      <c r="BD1115">
        <v>437</v>
      </c>
      <c r="BE1115">
        <v>24717</v>
      </c>
      <c r="BF1115">
        <v>48</v>
      </c>
      <c r="BG1115">
        <v>37</v>
      </c>
      <c r="BH1115">
        <v>437</v>
      </c>
      <c r="BI1115">
        <v>24717</v>
      </c>
      <c r="BJ1115">
        <v>48</v>
      </c>
      <c r="BK1115">
        <f t="shared" si="155"/>
        <v>437</v>
      </c>
      <c r="BL1115">
        <f t="shared" si="156"/>
        <v>24717</v>
      </c>
      <c r="BM1115">
        <f t="shared" si="157"/>
        <v>48</v>
      </c>
      <c r="BN1115">
        <f t="shared" si="158"/>
        <v>0</v>
      </c>
      <c r="BO1115">
        <f t="shared" si="159"/>
        <v>0</v>
      </c>
      <c r="BP1115">
        <f t="shared" si="160"/>
        <v>0</v>
      </c>
      <c r="BQ1115" t="s">
        <v>391</v>
      </c>
      <c r="BR1115" t="s">
        <v>112</v>
      </c>
      <c r="BS1115" s="1">
        <v>31556</v>
      </c>
      <c r="BT1115">
        <v>39</v>
      </c>
      <c r="BU1115">
        <v>45170</v>
      </c>
      <c r="BV1115" t="s">
        <v>89</v>
      </c>
      <c r="BW1115">
        <v>15</v>
      </c>
      <c r="BX1115">
        <v>1986</v>
      </c>
      <c r="BY1115">
        <v>15</v>
      </c>
      <c r="BZ1115">
        <f t="shared" si="161"/>
        <v>0</v>
      </c>
      <c r="CA1115">
        <f t="shared" si="162"/>
        <v>0</v>
      </c>
      <c r="CB1115" t="b">
        <f t="shared" si="163"/>
        <v>1</v>
      </c>
    </row>
    <row r="1116" spans="1:80" x14ac:dyDescent="0.3">
      <c r="A1116" t="s">
        <v>8859</v>
      </c>
      <c r="B1116" t="s">
        <v>1305</v>
      </c>
      <c r="C1116" t="s">
        <v>8860</v>
      </c>
      <c r="D1116">
        <v>35</v>
      </c>
      <c r="E1116" t="s">
        <v>8861</v>
      </c>
      <c r="F1116" t="s">
        <v>6104</v>
      </c>
      <c r="G1116" t="s">
        <v>374</v>
      </c>
      <c r="H1116" t="s">
        <v>1307</v>
      </c>
      <c r="I1116" t="s">
        <v>437</v>
      </c>
      <c r="J1116" t="s">
        <v>78</v>
      </c>
      <c r="K1116" t="s">
        <v>716</v>
      </c>
      <c r="L1116" t="s">
        <v>130</v>
      </c>
      <c r="M1116">
        <v>18</v>
      </c>
      <c r="N1116" t="s">
        <v>364</v>
      </c>
      <c r="O1116">
        <v>2008</v>
      </c>
      <c r="P1116" t="s">
        <v>8862</v>
      </c>
      <c r="Q1116" t="s">
        <v>8863</v>
      </c>
      <c r="R1116">
        <v>80197</v>
      </c>
      <c r="S1116" t="s">
        <v>8859</v>
      </c>
      <c r="T1116" t="s">
        <v>8864</v>
      </c>
      <c r="U1116">
        <v>1989</v>
      </c>
      <c r="V1116" t="s">
        <v>1312</v>
      </c>
      <c r="W1116">
        <v>1.89</v>
      </c>
      <c r="X1116" t="s">
        <v>1307</v>
      </c>
      <c r="Y1116" t="s">
        <v>123</v>
      </c>
      <c r="Z1116" t="s">
        <v>87</v>
      </c>
      <c r="AA1116" t="s">
        <v>2758</v>
      </c>
      <c r="AB1116" s="1">
        <v>45723</v>
      </c>
      <c r="AC1116" t="s">
        <v>170</v>
      </c>
      <c r="AD1116" t="s">
        <v>223</v>
      </c>
      <c r="AE1116">
        <v>38939</v>
      </c>
      <c r="AF1116">
        <v>17</v>
      </c>
      <c r="AG1116" t="s">
        <v>8865</v>
      </c>
      <c r="AH1116">
        <v>39578</v>
      </c>
      <c r="AI1116">
        <v>19</v>
      </c>
      <c r="AJ1116" t="s">
        <v>110</v>
      </c>
      <c r="AK1116">
        <v>17</v>
      </c>
      <c r="AL1116">
        <v>3</v>
      </c>
      <c r="AM1116">
        <v>132</v>
      </c>
      <c r="AN1116">
        <v>26</v>
      </c>
      <c r="AO1116">
        <v>2</v>
      </c>
      <c r="AP1116" t="s">
        <v>93</v>
      </c>
      <c r="AQ1116" t="s">
        <v>89</v>
      </c>
      <c r="AR1116" t="s">
        <v>89</v>
      </c>
      <c r="AS1116" t="s">
        <v>93</v>
      </c>
      <c r="AT1116" t="s">
        <v>89</v>
      </c>
      <c r="AU1116" t="s">
        <v>89</v>
      </c>
      <c r="AV1116" t="s">
        <v>89</v>
      </c>
      <c r="AW1116">
        <v>17</v>
      </c>
      <c r="AX1116">
        <v>23</v>
      </c>
      <c r="AY1116" t="s">
        <v>111</v>
      </c>
      <c r="AZ1116">
        <v>13</v>
      </c>
      <c r="BA1116">
        <v>75</v>
      </c>
      <c r="BB1116">
        <v>6022</v>
      </c>
      <c r="BC1116">
        <v>31</v>
      </c>
      <c r="BD1116">
        <v>534</v>
      </c>
      <c r="BE1116">
        <v>37654</v>
      </c>
      <c r="BF1116">
        <v>183</v>
      </c>
      <c r="BG1116" t="s">
        <v>89</v>
      </c>
      <c r="BH1116">
        <v>609</v>
      </c>
      <c r="BI1116">
        <v>43676</v>
      </c>
      <c r="BJ1116">
        <v>214</v>
      </c>
      <c r="BK1116">
        <f t="shared" si="155"/>
        <v>609</v>
      </c>
      <c r="BL1116">
        <f t="shared" si="156"/>
        <v>43676</v>
      </c>
      <c r="BM1116">
        <f t="shared" si="157"/>
        <v>214</v>
      </c>
      <c r="BN1116">
        <f t="shared" si="158"/>
        <v>0</v>
      </c>
      <c r="BO1116">
        <f t="shared" si="159"/>
        <v>0</v>
      </c>
      <c r="BP1116">
        <f t="shared" si="160"/>
        <v>0</v>
      </c>
      <c r="BQ1116" t="s">
        <v>123</v>
      </c>
      <c r="BR1116" t="s">
        <v>112</v>
      </c>
      <c r="BS1116" s="1">
        <v>32767</v>
      </c>
      <c r="BT1116">
        <v>36</v>
      </c>
      <c r="BU1116" t="s">
        <v>89</v>
      </c>
      <c r="BV1116" t="s">
        <v>89</v>
      </c>
      <c r="BW1116">
        <v>19</v>
      </c>
      <c r="BX1116">
        <v>1989</v>
      </c>
      <c r="BY1116">
        <v>18</v>
      </c>
      <c r="BZ1116">
        <f t="shared" si="161"/>
        <v>-2</v>
      </c>
      <c r="CA1116">
        <f t="shared" si="162"/>
        <v>1</v>
      </c>
      <c r="CB1116" t="b">
        <f t="shared" si="163"/>
        <v>0</v>
      </c>
    </row>
    <row r="1117" spans="1:80" x14ac:dyDescent="0.3">
      <c r="A1117" t="s">
        <v>8866</v>
      </c>
      <c r="B1117" t="s">
        <v>71</v>
      </c>
      <c r="C1117" t="s">
        <v>8867</v>
      </c>
      <c r="D1117">
        <v>41</v>
      </c>
      <c r="E1117" s="1">
        <v>30759</v>
      </c>
      <c r="F1117" t="s">
        <v>89</v>
      </c>
      <c r="G1117" t="s">
        <v>75</v>
      </c>
      <c r="H1117" t="s">
        <v>89</v>
      </c>
      <c r="I1117" t="s">
        <v>1235</v>
      </c>
      <c r="J1117" t="s">
        <v>78</v>
      </c>
      <c r="K1117" t="s">
        <v>89</v>
      </c>
      <c r="L1117" t="s">
        <v>657</v>
      </c>
      <c r="M1117">
        <v>19</v>
      </c>
      <c r="N1117" t="s">
        <v>5603</v>
      </c>
      <c r="O1117">
        <v>2003</v>
      </c>
      <c r="P1117" t="s">
        <v>8868</v>
      </c>
      <c r="Q1117" t="s">
        <v>8869</v>
      </c>
      <c r="R1117">
        <v>58799</v>
      </c>
      <c r="S1117" t="s">
        <v>8866</v>
      </c>
      <c r="T1117" t="s">
        <v>8870</v>
      </c>
      <c r="U1117">
        <v>1984</v>
      </c>
      <c r="V1117" t="s">
        <v>8871</v>
      </c>
      <c r="W1117">
        <v>1.78</v>
      </c>
      <c r="X1117" t="s">
        <v>76</v>
      </c>
      <c r="Y1117" t="s">
        <v>86</v>
      </c>
      <c r="Z1117" t="s">
        <v>87</v>
      </c>
      <c r="AA1117" t="s">
        <v>260</v>
      </c>
      <c r="AB1117" s="1">
        <v>45298</v>
      </c>
      <c r="AC1117" t="s">
        <v>108</v>
      </c>
      <c r="AD1117" t="s">
        <v>89</v>
      </c>
      <c r="AE1117" t="s">
        <v>306</v>
      </c>
      <c r="AF1117">
        <v>27</v>
      </c>
      <c r="AG1117" t="s">
        <v>91</v>
      </c>
      <c r="AH1117" t="s">
        <v>458</v>
      </c>
      <c r="AI1117">
        <v>19</v>
      </c>
      <c r="AJ1117" t="s">
        <v>110</v>
      </c>
      <c r="AK1117">
        <v>19</v>
      </c>
      <c r="AL1117">
        <v>6</v>
      </c>
      <c r="AM1117">
        <v>280</v>
      </c>
      <c r="AN1117">
        <v>30</v>
      </c>
      <c r="AO1117">
        <v>6</v>
      </c>
      <c r="AP1117" t="s">
        <v>93</v>
      </c>
      <c r="AQ1117" t="s">
        <v>89</v>
      </c>
      <c r="AR1117" t="s">
        <v>89</v>
      </c>
      <c r="AS1117" t="s">
        <v>111</v>
      </c>
      <c r="AT1117" s="1">
        <v>45298</v>
      </c>
      <c r="AU1117">
        <v>2024</v>
      </c>
      <c r="AV1117">
        <v>21</v>
      </c>
      <c r="AW1117">
        <v>21</v>
      </c>
      <c r="AX1117" t="s">
        <v>89</v>
      </c>
      <c r="AY1117" t="s">
        <v>93</v>
      </c>
      <c r="AZ1117">
        <v>0</v>
      </c>
      <c r="BA1117">
        <v>0</v>
      </c>
      <c r="BB1117">
        <v>0</v>
      </c>
      <c r="BC1117">
        <v>0</v>
      </c>
      <c r="BD1117">
        <v>455</v>
      </c>
      <c r="BE1117">
        <v>29730</v>
      </c>
      <c r="BF1117">
        <v>58</v>
      </c>
      <c r="BG1117">
        <v>40</v>
      </c>
      <c r="BH1117">
        <v>455</v>
      </c>
      <c r="BI1117">
        <v>29730</v>
      </c>
      <c r="BJ1117">
        <v>58</v>
      </c>
      <c r="BK1117">
        <f t="shared" si="155"/>
        <v>455</v>
      </c>
      <c r="BL1117">
        <f t="shared" si="156"/>
        <v>29730</v>
      </c>
      <c r="BM1117">
        <f t="shared" si="157"/>
        <v>58</v>
      </c>
      <c r="BN1117">
        <f t="shared" si="158"/>
        <v>0</v>
      </c>
      <c r="BO1117">
        <f t="shared" si="159"/>
        <v>0</v>
      </c>
      <c r="BP1117">
        <f t="shared" si="160"/>
        <v>0</v>
      </c>
      <c r="BQ1117" t="s">
        <v>86</v>
      </c>
      <c r="BR1117" t="s">
        <v>94</v>
      </c>
      <c r="BS1117" s="1">
        <v>30759</v>
      </c>
      <c r="BT1117">
        <v>41</v>
      </c>
      <c r="BU1117" s="1">
        <v>45298</v>
      </c>
      <c r="BV1117" s="1">
        <v>45474</v>
      </c>
      <c r="BW1117">
        <v>21</v>
      </c>
      <c r="BX1117">
        <v>1984</v>
      </c>
      <c r="BY1117">
        <v>21</v>
      </c>
      <c r="BZ1117">
        <f t="shared" si="161"/>
        <v>0</v>
      </c>
      <c r="CA1117">
        <f t="shared" si="162"/>
        <v>0</v>
      </c>
      <c r="CB1117" t="b">
        <f t="shared" si="163"/>
        <v>1</v>
      </c>
    </row>
    <row r="1118" spans="1:80" x14ac:dyDescent="0.3">
      <c r="A1118" t="s">
        <v>8872</v>
      </c>
      <c r="B1118" t="s">
        <v>1231</v>
      </c>
      <c r="C1118" t="s">
        <v>8873</v>
      </c>
      <c r="D1118">
        <v>33</v>
      </c>
      <c r="E1118" t="s">
        <v>8874</v>
      </c>
      <c r="F1118" t="s">
        <v>8875</v>
      </c>
      <c r="G1118" t="s">
        <v>1519</v>
      </c>
      <c r="H1118" t="s">
        <v>1234</v>
      </c>
      <c r="I1118" t="s">
        <v>161</v>
      </c>
      <c r="J1118" t="s">
        <v>78</v>
      </c>
      <c r="K1118" t="s">
        <v>1674</v>
      </c>
      <c r="L1118" t="s">
        <v>278</v>
      </c>
      <c r="M1118">
        <v>19</v>
      </c>
      <c r="N1118" t="s">
        <v>8058</v>
      </c>
      <c r="O1118">
        <v>2011</v>
      </c>
      <c r="P1118" t="s">
        <v>8876</v>
      </c>
      <c r="Q1118" t="s">
        <v>8877</v>
      </c>
      <c r="R1118">
        <v>155395</v>
      </c>
      <c r="S1118" t="s">
        <v>8872</v>
      </c>
      <c r="T1118">
        <v>33553</v>
      </c>
      <c r="U1118">
        <v>1991</v>
      </c>
      <c r="V1118" t="s">
        <v>3536</v>
      </c>
      <c r="W1118">
        <v>1.66</v>
      </c>
      <c r="X1118" t="s">
        <v>1234</v>
      </c>
      <c r="Y1118" t="s">
        <v>494</v>
      </c>
      <c r="Z1118" t="s">
        <v>87</v>
      </c>
      <c r="AA1118" t="s">
        <v>1674</v>
      </c>
      <c r="AB1118" t="s">
        <v>5854</v>
      </c>
      <c r="AC1118" t="s">
        <v>170</v>
      </c>
      <c r="AD1118" t="s">
        <v>89</v>
      </c>
      <c r="AE1118" t="s">
        <v>1043</v>
      </c>
      <c r="AF1118">
        <v>19</v>
      </c>
      <c r="AG1118" t="s">
        <v>613</v>
      </c>
      <c r="AH1118" t="s">
        <v>237</v>
      </c>
      <c r="AI1118">
        <v>18</v>
      </c>
      <c r="AJ1118" t="s">
        <v>615</v>
      </c>
      <c r="AK1118">
        <v>18</v>
      </c>
      <c r="AL1118">
        <v>2</v>
      </c>
      <c r="AM1118">
        <v>25</v>
      </c>
      <c r="AN1118">
        <v>3</v>
      </c>
      <c r="AO1118">
        <v>2</v>
      </c>
      <c r="AP1118" t="s">
        <v>93</v>
      </c>
      <c r="AQ1118" t="s">
        <v>89</v>
      </c>
      <c r="AR1118" t="s">
        <v>89</v>
      </c>
      <c r="AS1118" t="s">
        <v>93</v>
      </c>
      <c r="AT1118" t="s">
        <v>89</v>
      </c>
      <c r="AU1118" t="s">
        <v>89</v>
      </c>
      <c r="AV1118" t="s">
        <v>89</v>
      </c>
      <c r="AW1118">
        <v>14</v>
      </c>
      <c r="AX1118">
        <v>11</v>
      </c>
      <c r="AY1118" t="s">
        <v>93</v>
      </c>
      <c r="AZ1118">
        <v>0</v>
      </c>
      <c r="BA1118">
        <v>0</v>
      </c>
      <c r="BB1118">
        <v>0</v>
      </c>
      <c r="BC1118">
        <v>0</v>
      </c>
      <c r="BD1118">
        <v>361</v>
      </c>
      <c r="BE1118">
        <v>24464</v>
      </c>
      <c r="BF1118">
        <v>44</v>
      </c>
      <c r="BG1118" t="s">
        <v>89</v>
      </c>
      <c r="BH1118">
        <v>361</v>
      </c>
      <c r="BI1118">
        <v>24464</v>
      </c>
      <c r="BJ1118">
        <v>44</v>
      </c>
      <c r="BK1118">
        <f t="shared" si="155"/>
        <v>361</v>
      </c>
      <c r="BL1118">
        <f t="shared" si="156"/>
        <v>24464</v>
      </c>
      <c r="BM1118">
        <f t="shared" si="157"/>
        <v>44</v>
      </c>
      <c r="BN1118">
        <f t="shared" si="158"/>
        <v>0</v>
      </c>
      <c r="BO1118">
        <f t="shared" si="159"/>
        <v>0</v>
      </c>
      <c r="BP1118">
        <f t="shared" si="160"/>
        <v>0</v>
      </c>
      <c r="BQ1118" t="s">
        <v>494</v>
      </c>
      <c r="BR1118" t="s">
        <v>112</v>
      </c>
      <c r="BS1118" t="s">
        <v>89</v>
      </c>
      <c r="BT1118">
        <v>35</v>
      </c>
      <c r="BU1118" t="s">
        <v>89</v>
      </c>
      <c r="BV1118" t="s">
        <v>89</v>
      </c>
      <c r="BW1118">
        <v>17</v>
      </c>
      <c r="BX1118">
        <v>1991</v>
      </c>
      <c r="BY1118">
        <v>15</v>
      </c>
      <c r="BZ1118">
        <f t="shared" si="161"/>
        <v>-3</v>
      </c>
      <c r="CA1118">
        <f t="shared" si="162"/>
        <v>2</v>
      </c>
      <c r="CB1118" t="b">
        <f t="shared" si="163"/>
        <v>0</v>
      </c>
    </row>
    <row r="1119" spans="1:80" x14ac:dyDescent="0.3">
      <c r="A1119" t="s">
        <v>8878</v>
      </c>
      <c r="B1119" t="s">
        <v>1231</v>
      </c>
      <c r="C1119" t="s">
        <v>8879</v>
      </c>
      <c r="D1119">
        <v>37</v>
      </c>
      <c r="E1119" s="1">
        <v>32048</v>
      </c>
      <c r="F1119" t="s">
        <v>89</v>
      </c>
      <c r="G1119" t="s">
        <v>75</v>
      </c>
      <c r="H1119" t="s">
        <v>1234</v>
      </c>
      <c r="I1119" t="s">
        <v>5098</v>
      </c>
      <c r="J1119" t="s">
        <v>78</v>
      </c>
      <c r="K1119" t="s">
        <v>89</v>
      </c>
      <c r="L1119" t="s">
        <v>130</v>
      </c>
      <c r="M1119">
        <v>20</v>
      </c>
      <c r="N1119" t="s">
        <v>2614</v>
      </c>
      <c r="O1119">
        <v>2008</v>
      </c>
      <c r="P1119" t="s">
        <v>8880</v>
      </c>
      <c r="Q1119" t="s">
        <v>8881</v>
      </c>
      <c r="R1119">
        <v>84511</v>
      </c>
      <c r="S1119" t="s">
        <v>8878</v>
      </c>
      <c r="T1119" t="s">
        <v>8882</v>
      </c>
      <c r="U1119">
        <v>1987</v>
      </c>
      <c r="V1119" t="s">
        <v>1650</v>
      </c>
      <c r="W1119">
        <v>1.76</v>
      </c>
      <c r="X1119" t="s">
        <v>1234</v>
      </c>
      <c r="Y1119" t="s">
        <v>136</v>
      </c>
      <c r="Z1119" t="s">
        <v>87</v>
      </c>
      <c r="AA1119" t="s">
        <v>8883</v>
      </c>
      <c r="AB1119" s="1">
        <v>44933</v>
      </c>
      <c r="AC1119" t="s">
        <v>108</v>
      </c>
      <c r="AD1119" t="s">
        <v>89</v>
      </c>
      <c r="AE1119" t="s">
        <v>1242</v>
      </c>
      <c r="AF1119">
        <v>20</v>
      </c>
      <c r="AG1119" t="s">
        <v>613</v>
      </c>
      <c r="AH1119" t="s">
        <v>8884</v>
      </c>
      <c r="AI1119">
        <v>28</v>
      </c>
      <c r="AJ1119" t="s">
        <v>855</v>
      </c>
      <c r="AK1119">
        <v>20</v>
      </c>
      <c r="AL1119">
        <v>5</v>
      </c>
      <c r="AM1119">
        <v>422</v>
      </c>
      <c r="AN1119">
        <v>58</v>
      </c>
      <c r="AO1119">
        <v>5</v>
      </c>
      <c r="AP1119" t="s">
        <v>93</v>
      </c>
      <c r="AQ1119" t="s">
        <v>89</v>
      </c>
      <c r="AR1119" t="s">
        <v>89</v>
      </c>
      <c r="AS1119" t="s">
        <v>111</v>
      </c>
      <c r="AT1119" s="1">
        <v>44933</v>
      </c>
      <c r="AU1119">
        <v>2023</v>
      </c>
      <c r="AV1119">
        <v>15</v>
      </c>
      <c r="AW1119">
        <v>15</v>
      </c>
      <c r="AX1119" t="s">
        <v>89</v>
      </c>
      <c r="AY1119" t="s">
        <v>111</v>
      </c>
      <c r="AZ1119">
        <v>2</v>
      </c>
      <c r="BA1119">
        <v>2</v>
      </c>
      <c r="BB1119">
        <v>108</v>
      </c>
      <c r="BC1119">
        <v>0</v>
      </c>
      <c r="BD1119">
        <v>190</v>
      </c>
      <c r="BE1119">
        <v>16039</v>
      </c>
      <c r="BF1119">
        <v>3</v>
      </c>
      <c r="BG1119">
        <v>36</v>
      </c>
      <c r="BH1119">
        <v>192</v>
      </c>
      <c r="BI1119">
        <v>16147</v>
      </c>
      <c r="BJ1119">
        <v>3</v>
      </c>
      <c r="BK1119">
        <f t="shared" si="155"/>
        <v>192</v>
      </c>
      <c r="BL1119">
        <f t="shared" si="156"/>
        <v>16147</v>
      </c>
      <c r="BM1119">
        <f t="shared" si="157"/>
        <v>3</v>
      </c>
      <c r="BN1119">
        <f t="shared" si="158"/>
        <v>0</v>
      </c>
      <c r="BO1119">
        <f t="shared" si="159"/>
        <v>0</v>
      </c>
      <c r="BP1119">
        <f t="shared" si="160"/>
        <v>0</v>
      </c>
      <c r="BQ1119" t="s">
        <v>136</v>
      </c>
      <c r="BR1119" t="s">
        <v>140</v>
      </c>
      <c r="BS1119" t="s">
        <v>89</v>
      </c>
      <c r="BT1119">
        <v>39</v>
      </c>
      <c r="BU1119" s="1">
        <v>44933</v>
      </c>
      <c r="BV1119" s="1">
        <v>45108</v>
      </c>
      <c r="BW1119">
        <v>16</v>
      </c>
      <c r="BX1119">
        <v>1987</v>
      </c>
      <c r="BY1119">
        <v>16</v>
      </c>
      <c r="BZ1119">
        <f t="shared" si="161"/>
        <v>-1</v>
      </c>
      <c r="CA1119">
        <f t="shared" si="162"/>
        <v>0</v>
      </c>
      <c r="CB1119" t="b">
        <f t="shared" si="163"/>
        <v>0</v>
      </c>
    </row>
    <row r="1120" spans="1:80" x14ac:dyDescent="0.3">
      <c r="A1120" t="s">
        <v>8885</v>
      </c>
      <c r="B1120" t="s">
        <v>2262</v>
      </c>
      <c r="C1120" t="s">
        <v>8886</v>
      </c>
      <c r="D1120">
        <v>38</v>
      </c>
      <c r="E1120" s="1">
        <v>31871</v>
      </c>
      <c r="F1120" t="s">
        <v>89</v>
      </c>
      <c r="G1120" t="s">
        <v>374</v>
      </c>
      <c r="H1120" t="s">
        <v>2264</v>
      </c>
      <c r="I1120" t="s">
        <v>288</v>
      </c>
      <c r="J1120" t="s">
        <v>78</v>
      </c>
      <c r="K1120" t="s">
        <v>89</v>
      </c>
      <c r="L1120" t="s">
        <v>163</v>
      </c>
      <c r="M1120">
        <v>19</v>
      </c>
      <c r="N1120" t="s">
        <v>5893</v>
      </c>
      <c r="O1120">
        <v>2006</v>
      </c>
      <c r="P1120" t="s">
        <v>8887</v>
      </c>
      <c r="Q1120" t="s">
        <v>8888</v>
      </c>
      <c r="R1120">
        <v>29401</v>
      </c>
      <c r="S1120" t="s">
        <v>8885</v>
      </c>
      <c r="T1120" s="1">
        <v>31871</v>
      </c>
      <c r="U1120">
        <v>1987</v>
      </c>
      <c r="V1120" t="s">
        <v>5893</v>
      </c>
      <c r="W1120" t="s">
        <v>89</v>
      </c>
      <c r="X1120" t="s">
        <v>8889</v>
      </c>
      <c r="Y1120" t="s">
        <v>86</v>
      </c>
      <c r="Z1120" t="s">
        <v>89</v>
      </c>
      <c r="AA1120" t="s">
        <v>8011</v>
      </c>
      <c r="AB1120" s="1">
        <v>44203</v>
      </c>
      <c r="AC1120" t="s">
        <v>108</v>
      </c>
      <c r="AD1120" t="s">
        <v>223</v>
      </c>
      <c r="AE1120" s="1">
        <v>38727</v>
      </c>
      <c r="AF1120">
        <v>19</v>
      </c>
      <c r="AG1120" t="s">
        <v>2272</v>
      </c>
      <c r="AH1120" t="s">
        <v>92</v>
      </c>
      <c r="AI1120" t="s">
        <v>89</v>
      </c>
      <c r="AJ1120" t="s">
        <v>92</v>
      </c>
      <c r="AK1120">
        <v>19</v>
      </c>
      <c r="AL1120">
        <v>52</v>
      </c>
      <c r="AM1120">
        <v>1129</v>
      </c>
      <c r="AN1120">
        <v>245</v>
      </c>
      <c r="AO1120">
        <v>14</v>
      </c>
      <c r="AP1120" t="s">
        <v>93</v>
      </c>
      <c r="AQ1120" t="s">
        <v>89</v>
      </c>
      <c r="AR1120" t="s">
        <v>89</v>
      </c>
      <c r="AS1120" t="s">
        <v>111</v>
      </c>
      <c r="AT1120">
        <v>44203</v>
      </c>
      <c r="AU1120">
        <v>2021</v>
      </c>
      <c r="AV1120">
        <v>15</v>
      </c>
      <c r="AW1120">
        <v>15</v>
      </c>
      <c r="AX1120" t="s">
        <v>89</v>
      </c>
      <c r="AY1120" t="s">
        <v>111</v>
      </c>
      <c r="AZ1120">
        <v>15</v>
      </c>
      <c r="BA1120">
        <v>61</v>
      </c>
      <c r="BB1120">
        <v>4607</v>
      </c>
      <c r="BC1120">
        <v>6</v>
      </c>
      <c r="BD1120">
        <v>407</v>
      </c>
      <c r="BE1120">
        <v>29099</v>
      </c>
      <c r="BF1120">
        <v>43</v>
      </c>
      <c r="BG1120">
        <v>34</v>
      </c>
      <c r="BH1120">
        <v>468</v>
      </c>
      <c r="BI1120">
        <v>33706</v>
      </c>
      <c r="BJ1120">
        <v>49</v>
      </c>
      <c r="BK1120">
        <f t="shared" si="155"/>
        <v>468</v>
      </c>
      <c r="BL1120">
        <f t="shared" si="156"/>
        <v>33706</v>
      </c>
      <c r="BM1120">
        <f t="shared" si="157"/>
        <v>49</v>
      </c>
      <c r="BN1120">
        <f t="shared" si="158"/>
        <v>0</v>
      </c>
      <c r="BO1120">
        <f t="shared" si="159"/>
        <v>0</v>
      </c>
      <c r="BP1120">
        <f t="shared" si="160"/>
        <v>0</v>
      </c>
      <c r="BQ1120" t="s">
        <v>86</v>
      </c>
      <c r="BR1120" t="s">
        <v>94</v>
      </c>
      <c r="BS1120" s="1">
        <v>31871</v>
      </c>
      <c r="BT1120">
        <v>38</v>
      </c>
      <c r="BU1120">
        <v>44203</v>
      </c>
      <c r="BV1120" t="s">
        <v>89</v>
      </c>
      <c r="BW1120">
        <v>15</v>
      </c>
      <c r="BX1120">
        <v>1987</v>
      </c>
      <c r="BY1120">
        <v>15</v>
      </c>
      <c r="BZ1120">
        <f t="shared" si="161"/>
        <v>0</v>
      </c>
      <c r="CA1120">
        <f t="shared" si="162"/>
        <v>0</v>
      </c>
      <c r="CB1120" t="b">
        <f t="shared" si="163"/>
        <v>1</v>
      </c>
    </row>
    <row r="1121" spans="1:80" x14ac:dyDescent="0.3">
      <c r="A1121" t="s">
        <v>8890</v>
      </c>
      <c r="B1121" t="s">
        <v>2677</v>
      </c>
      <c r="C1121" t="s">
        <v>8891</v>
      </c>
      <c r="D1121">
        <v>38</v>
      </c>
      <c r="E1121" s="1">
        <v>31890</v>
      </c>
      <c r="F1121" t="s">
        <v>89</v>
      </c>
      <c r="G1121" t="s">
        <v>75</v>
      </c>
      <c r="H1121" t="s">
        <v>8892</v>
      </c>
      <c r="I1121" t="s">
        <v>161</v>
      </c>
      <c r="J1121" t="s">
        <v>89</v>
      </c>
      <c r="K1121" t="s">
        <v>89</v>
      </c>
      <c r="L1121" t="s">
        <v>180</v>
      </c>
      <c r="M1121">
        <v>20</v>
      </c>
      <c r="N1121" t="s">
        <v>6652</v>
      </c>
      <c r="O1121">
        <v>2007</v>
      </c>
      <c r="P1121" t="s">
        <v>8893</v>
      </c>
      <c r="Q1121" t="s">
        <v>8894</v>
      </c>
      <c r="R1121">
        <v>45710</v>
      </c>
      <c r="S1121" t="s">
        <v>8890</v>
      </c>
      <c r="T1121" t="s">
        <v>8895</v>
      </c>
      <c r="U1121">
        <v>1987</v>
      </c>
      <c r="V1121" t="s">
        <v>8896</v>
      </c>
      <c r="W1121">
        <v>1.78</v>
      </c>
      <c r="X1121" t="s">
        <v>8897</v>
      </c>
      <c r="Y1121" t="s">
        <v>106</v>
      </c>
      <c r="Z1121" t="s">
        <v>87</v>
      </c>
      <c r="AA1121" t="s">
        <v>8898</v>
      </c>
      <c r="AB1121">
        <v>44199</v>
      </c>
      <c r="AC1121" t="s">
        <v>108</v>
      </c>
      <c r="AD1121" t="s">
        <v>89</v>
      </c>
      <c r="AE1121" s="1">
        <v>2007</v>
      </c>
      <c r="AF1121">
        <v>19</v>
      </c>
      <c r="AG1121" t="s">
        <v>6997</v>
      </c>
      <c r="AH1121">
        <v>2017</v>
      </c>
      <c r="AI1121">
        <v>30</v>
      </c>
      <c r="AJ1121">
        <v>0</v>
      </c>
      <c r="AK1121">
        <v>19</v>
      </c>
      <c r="AL1121">
        <v>2</v>
      </c>
      <c r="AM1121">
        <v>47</v>
      </c>
      <c r="AN1121">
        <v>9</v>
      </c>
      <c r="AO1121">
        <v>2</v>
      </c>
      <c r="AP1121" t="s">
        <v>93</v>
      </c>
      <c r="AQ1121" t="s">
        <v>89</v>
      </c>
      <c r="AR1121" t="s">
        <v>89</v>
      </c>
      <c r="AS1121" t="s">
        <v>111</v>
      </c>
      <c r="AT1121">
        <v>44199</v>
      </c>
      <c r="AU1121">
        <v>2021</v>
      </c>
      <c r="AV1121">
        <v>14</v>
      </c>
      <c r="AW1121">
        <v>14</v>
      </c>
      <c r="AX1121" t="s">
        <v>89</v>
      </c>
      <c r="AY1121" t="s">
        <v>111</v>
      </c>
      <c r="AZ1121">
        <v>3</v>
      </c>
      <c r="BA1121">
        <v>6</v>
      </c>
      <c r="BB1121">
        <v>338</v>
      </c>
      <c r="BC1121">
        <v>0</v>
      </c>
      <c r="BD1121">
        <v>338</v>
      </c>
      <c r="BE1121">
        <v>23385</v>
      </c>
      <c r="BF1121">
        <v>58</v>
      </c>
      <c r="BG1121">
        <v>34</v>
      </c>
      <c r="BH1121">
        <v>344</v>
      </c>
      <c r="BI1121">
        <v>23723</v>
      </c>
      <c r="BJ1121">
        <v>58</v>
      </c>
      <c r="BK1121">
        <f t="shared" si="155"/>
        <v>344</v>
      </c>
      <c r="BL1121">
        <f t="shared" si="156"/>
        <v>23723</v>
      </c>
      <c r="BM1121">
        <f t="shared" si="157"/>
        <v>58</v>
      </c>
      <c r="BN1121">
        <f t="shared" si="158"/>
        <v>0</v>
      </c>
      <c r="BO1121">
        <f t="shared" si="159"/>
        <v>0</v>
      </c>
      <c r="BP1121">
        <f t="shared" si="160"/>
        <v>0</v>
      </c>
      <c r="BQ1121" t="s">
        <v>106</v>
      </c>
      <c r="BR1121" t="s">
        <v>112</v>
      </c>
      <c r="BS1121" s="1">
        <v>31890</v>
      </c>
      <c r="BT1121">
        <v>38</v>
      </c>
      <c r="BU1121">
        <v>44199</v>
      </c>
      <c r="BV1121" t="s">
        <v>89</v>
      </c>
      <c r="BW1121">
        <v>15</v>
      </c>
      <c r="BX1121">
        <v>1987</v>
      </c>
      <c r="BY1121">
        <v>15</v>
      </c>
      <c r="BZ1121">
        <f t="shared" si="161"/>
        <v>-1</v>
      </c>
      <c r="CA1121">
        <f t="shared" si="162"/>
        <v>0</v>
      </c>
      <c r="CB1121" t="b">
        <f t="shared" si="163"/>
        <v>0</v>
      </c>
    </row>
    <row r="1122" spans="1:80" x14ac:dyDescent="0.3">
      <c r="A1122" t="s">
        <v>8899</v>
      </c>
      <c r="B1122" t="s">
        <v>71</v>
      </c>
      <c r="C1122" t="s">
        <v>8900</v>
      </c>
      <c r="D1122">
        <v>30</v>
      </c>
      <c r="E1122" t="s">
        <v>8901</v>
      </c>
      <c r="F1122" t="s">
        <v>2802</v>
      </c>
      <c r="G1122" t="s">
        <v>321</v>
      </c>
      <c r="H1122" t="s">
        <v>76</v>
      </c>
      <c r="I1122" t="s">
        <v>668</v>
      </c>
      <c r="J1122" t="s">
        <v>300</v>
      </c>
      <c r="K1122" t="s">
        <v>415</v>
      </c>
      <c r="L1122" t="s">
        <v>762</v>
      </c>
      <c r="M1122">
        <v>19</v>
      </c>
      <c r="N1122" t="s">
        <v>1047</v>
      </c>
      <c r="O1122">
        <v>2014</v>
      </c>
      <c r="P1122" t="s">
        <v>8902</v>
      </c>
      <c r="Q1122" t="s">
        <v>8903</v>
      </c>
      <c r="R1122">
        <v>195171</v>
      </c>
      <c r="S1122" t="s">
        <v>8899</v>
      </c>
      <c r="T1122" t="s">
        <v>8904</v>
      </c>
      <c r="U1122">
        <v>1995</v>
      </c>
      <c r="V1122" t="s">
        <v>1047</v>
      </c>
      <c r="W1122">
        <v>1.82</v>
      </c>
      <c r="X1122" t="s">
        <v>76</v>
      </c>
      <c r="Y1122" t="s">
        <v>494</v>
      </c>
      <c r="Z1122" t="s">
        <v>152</v>
      </c>
      <c r="AA1122" t="s">
        <v>796</v>
      </c>
      <c r="AB1122" t="s">
        <v>8905</v>
      </c>
      <c r="AC1122" t="s">
        <v>798</v>
      </c>
      <c r="AD1122" t="s">
        <v>442</v>
      </c>
      <c r="AE1122" t="s">
        <v>3946</v>
      </c>
      <c r="AF1122">
        <v>19</v>
      </c>
      <c r="AG1122" t="s">
        <v>91</v>
      </c>
      <c r="AH1122" t="s">
        <v>92</v>
      </c>
      <c r="AI1122" t="s">
        <v>89</v>
      </c>
      <c r="AJ1122" t="s">
        <v>92</v>
      </c>
      <c r="AK1122">
        <v>19</v>
      </c>
      <c r="AL1122">
        <v>19</v>
      </c>
      <c r="AM1122">
        <v>328</v>
      </c>
      <c r="AN1122">
        <v>61</v>
      </c>
      <c r="AO1122">
        <v>8</v>
      </c>
      <c r="AP1122" t="s">
        <v>93</v>
      </c>
      <c r="AQ1122" t="s">
        <v>89</v>
      </c>
      <c r="AR1122" t="s">
        <v>89</v>
      </c>
      <c r="AS1122" t="s">
        <v>93</v>
      </c>
      <c r="AT1122" t="s">
        <v>89</v>
      </c>
      <c r="AU1122" t="s">
        <v>89</v>
      </c>
      <c r="AV1122" t="s">
        <v>89</v>
      </c>
      <c r="AW1122">
        <v>11</v>
      </c>
      <c r="AX1122">
        <v>70</v>
      </c>
      <c r="AY1122" t="s">
        <v>93</v>
      </c>
      <c r="AZ1122">
        <v>0</v>
      </c>
      <c r="BA1122">
        <v>0</v>
      </c>
      <c r="BB1122">
        <v>0</v>
      </c>
      <c r="BC1122">
        <v>0</v>
      </c>
      <c r="BD1122">
        <v>319</v>
      </c>
      <c r="BE1122">
        <v>17495</v>
      </c>
      <c r="BF1122">
        <v>26</v>
      </c>
      <c r="BG1122" t="s">
        <v>89</v>
      </c>
      <c r="BH1122">
        <v>319</v>
      </c>
      <c r="BI1122">
        <v>17495</v>
      </c>
      <c r="BJ1122">
        <v>26</v>
      </c>
      <c r="BK1122">
        <f t="shared" si="155"/>
        <v>319</v>
      </c>
      <c r="BL1122">
        <f t="shared" si="156"/>
        <v>17495</v>
      </c>
      <c r="BM1122">
        <f t="shared" si="157"/>
        <v>26</v>
      </c>
      <c r="BN1122">
        <f t="shared" si="158"/>
        <v>0</v>
      </c>
      <c r="BO1122">
        <f t="shared" si="159"/>
        <v>0</v>
      </c>
      <c r="BP1122">
        <f t="shared" si="160"/>
        <v>0</v>
      </c>
      <c r="BQ1122" t="s">
        <v>494</v>
      </c>
      <c r="BR1122" t="s">
        <v>112</v>
      </c>
      <c r="BS1122" s="1">
        <v>34717</v>
      </c>
      <c r="BT1122">
        <v>31</v>
      </c>
      <c r="BU1122" t="s">
        <v>89</v>
      </c>
      <c r="BV1122" t="s">
        <v>89</v>
      </c>
      <c r="BW1122">
        <v>12</v>
      </c>
      <c r="BX1122">
        <v>1995</v>
      </c>
      <c r="BY1122">
        <v>11</v>
      </c>
      <c r="BZ1122">
        <f t="shared" si="161"/>
        <v>-1</v>
      </c>
      <c r="CA1122">
        <f t="shared" si="162"/>
        <v>1</v>
      </c>
      <c r="CB1122" t="b">
        <f t="shared" si="163"/>
        <v>0</v>
      </c>
    </row>
    <row r="1123" spans="1:80" x14ac:dyDescent="0.3">
      <c r="A1123" t="s">
        <v>8906</v>
      </c>
      <c r="B1123" t="s">
        <v>71</v>
      </c>
      <c r="C1123" t="s">
        <v>8907</v>
      </c>
      <c r="D1123">
        <v>35</v>
      </c>
      <c r="E1123" s="1">
        <v>33067</v>
      </c>
      <c r="F1123" t="s">
        <v>89</v>
      </c>
      <c r="G1123" t="s">
        <v>321</v>
      </c>
      <c r="H1123" t="s">
        <v>89</v>
      </c>
      <c r="I1123" t="s">
        <v>340</v>
      </c>
      <c r="J1123" t="s">
        <v>78</v>
      </c>
      <c r="K1123" t="s">
        <v>89</v>
      </c>
      <c r="L1123" t="s">
        <v>324</v>
      </c>
      <c r="M1123">
        <v>23</v>
      </c>
      <c r="N1123" t="s">
        <v>1047</v>
      </c>
      <c r="O1123">
        <v>2013</v>
      </c>
      <c r="P1123" t="s">
        <v>8908</v>
      </c>
      <c r="Q1123" t="s">
        <v>8909</v>
      </c>
      <c r="R1123">
        <v>208890</v>
      </c>
      <c r="S1123" t="s">
        <v>8906</v>
      </c>
      <c r="T1123" t="s">
        <v>3258</v>
      </c>
      <c r="U1123">
        <v>1990</v>
      </c>
      <c r="V1123" t="s">
        <v>1047</v>
      </c>
      <c r="W1123">
        <v>1.77</v>
      </c>
      <c r="X1123" t="s">
        <v>76</v>
      </c>
      <c r="Y1123" t="s">
        <v>494</v>
      </c>
      <c r="Z1123" t="s">
        <v>87</v>
      </c>
      <c r="AA1123" t="s">
        <v>751</v>
      </c>
      <c r="AB1123" s="1">
        <v>43466</v>
      </c>
      <c r="AC1123" t="s">
        <v>108</v>
      </c>
      <c r="AD1123" t="s">
        <v>442</v>
      </c>
      <c r="AE1123" t="s">
        <v>421</v>
      </c>
      <c r="AF1123">
        <v>23</v>
      </c>
      <c r="AG1123" t="s">
        <v>91</v>
      </c>
      <c r="AH1123" t="s">
        <v>92</v>
      </c>
      <c r="AI1123" t="s">
        <v>89</v>
      </c>
      <c r="AJ1123" t="s">
        <v>89</v>
      </c>
      <c r="AK1123">
        <v>23</v>
      </c>
      <c r="AL1123">
        <v>8</v>
      </c>
      <c r="AM1123">
        <v>191</v>
      </c>
      <c r="AN1123">
        <v>29</v>
      </c>
      <c r="AO1123">
        <v>5</v>
      </c>
      <c r="AP1123" t="s">
        <v>93</v>
      </c>
      <c r="AQ1123" t="s">
        <v>89</v>
      </c>
      <c r="AR1123" t="s">
        <v>89</v>
      </c>
      <c r="AS1123" t="s">
        <v>111</v>
      </c>
      <c r="AT1123" s="1">
        <v>43466</v>
      </c>
      <c r="AU1123">
        <v>2019</v>
      </c>
      <c r="AV1123">
        <v>6</v>
      </c>
      <c r="AW1123">
        <v>6</v>
      </c>
      <c r="AX1123" t="s">
        <v>89</v>
      </c>
      <c r="AY1123" t="s">
        <v>93</v>
      </c>
      <c r="AZ1123">
        <v>0</v>
      </c>
      <c r="BA1123">
        <v>0</v>
      </c>
      <c r="BB1123">
        <v>0</v>
      </c>
      <c r="BC1123">
        <v>0</v>
      </c>
      <c r="BD1123">
        <v>138</v>
      </c>
      <c r="BE1123">
        <v>7573</v>
      </c>
      <c r="BF1123">
        <v>12</v>
      </c>
      <c r="BG1123">
        <v>29</v>
      </c>
      <c r="BH1123">
        <v>138</v>
      </c>
      <c r="BI1123">
        <v>7573</v>
      </c>
      <c r="BJ1123">
        <v>12</v>
      </c>
      <c r="BK1123">
        <f t="shared" si="155"/>
        <v>138</v>
      </c>
      <c r="BL1123">
        <f t="shared" si="156"/>
        <v>7573</v>
      </c>
      <c r="BM1123">
        <f t="shared" si="157"/>
        <v>12</v>
      </c>
      <c r="BN1123">
        <f t="shared" si="158"/>
        <v>0</v>
      </c>
      <c r="BO1123">
        <f t="shared" si="159"/>
        <v>0</v>
      </c>
      <c r="BP1123">
        <f t="shared" si="160"/>
        <v>0</v>
      </c>
      <c r="BQ1123" t="s">
        <v>494</v>
      </c>
      <c r="BR1123" t="s">
        <v>112</v>
      </c>
      <c r="BS1123" s="1">
        <v>33067</v>
      </c>
      <c r="BT1123">
        <v>35</v>
      </c>
      <c r="BU1123" s="1">
        <v>43466</v>
      </c>
      <c r="BV1123" s="1">
        <v>43466</v>
      </c>
      <c r="BW1123">
        <v>6</v>
      </c>
      <c r="BX1123">
        <v>1990</v>
      </c>
      <c r="BY1123">
        <v>6</v>
      </c>
      <c r="BZ1123">
        <f t="shared" si="161"/>
        <v>0</v>
      </c>
      <c r="CA1123">
        <f t="shared" si="162"/>
        <v>0</v>
      </c>
      <c r="CB1123" t="b">
        <f t="shared" si="163"/>
        <v>1</v>
      </c>
    </row>
    <row r="1124" spans="1:80" x14ac:dyDescent="0.3">
      <c r="A1124" t="s">
        <v>8910</v>
      </c>
      <c r="B1124" t="s">
        <v>71</v>
      </c>
      <c r="C1124" t="s">
        <v>8911</v>
      </c>
      <c r="D1124">
        <v>31</v>
      </c>
      <c r="E1124">
        <v>34439</v>
      </c>
      <c r="F1124" t="s">
        <v>89</v>
      </c>
      <c r="G1124" t="s">
        <v>518</v>
      </c>
      <c r="H1124" t="s">
        <v>89</v>
      </c>
      <c r="I1124" t="s">
        <v>750</v>
      </c>
      <c r="J1124" t="s">
        <v>78</v>
      </c>
      <c r="K1124" t="s">
        <v>89</v>
      </c>
      <c r="L1124" t="s">
        <v>324</v>
      </c>
      <c r="M1124">
        <v>19</v>
      </c>
      <c r="N1124" t="s">
        <v>402</v>
      </c>
      <c r="O1124">
        <v>2013</v>
      </c>
      <c r="P1124" t="s">
        <v>8912</v>
      </c>
      <c r="Q1124" t="s">
        <v>8913</v>
      </c>
      <c r="R1124">
        <v>242827</v>
      </c>
      <c r="S1124" t="s">
        <v>8910</v>
      </c>
      <c r="T1124" t="s">
        <v>8914</v>
      </c>
      <c r="U1124">
        <v>1994</v>
      </c>
      <c r="V1124" t="s">
        <v>6440</v>
      </c>
      <c r="W1124">
        <v>1.72</v>
      </c>
      <c r="X1124" t="s">
        <v>76</v>
      </c>
      <c r="Y1124" t="s">
        <v>494</v>
      </c>
      <c r="Z1124" t="s">
        <v>392</v>
      </c>
      <c r="AA1124" t="s">
        <v>8915</v>
      </c>
      <c r="AB1124">
        <v>45329</v>
      </c>
      <c r="AC1124" t="s">
        <v>170</v>
      </c>
      <c r="AD1124" t="s">
        <v>89</v>
      </c>
      <c r="AE1124" t="s">
        <v>3845</v>
      </c>
      <c r="AF1124">
        <v>21</v>
      </c>
      <c r="AG1124" t="s">
        <v>91</v>
      </c>
      <c r="AH1124">
        <v>42227</v>
      </c>
      <c r="AI1124">
        <v>21</v>
      </c>
      <c r="AJ1124" t="s">
        <v>110</v>
      </c>
      <c r="AK1124">
        <v>21</v>
      </c>
      <c r="AL1124" t="s">
        <v>89</v>
      </c>
      <c r="AM1124" t="s">
        <v>89</v>
      </c>
      <c r="AN1124" t="s">
        <v>89</v>
      </c>
      <c r="AO1124">
        <v>0</v>
      </c>
      <c r="AP1124" t="s">
        <v>93</v>
      </c>
      <c r="AQ1124" t="s">
        <v>89</v>
      </c>
      <c r="AR1124" t="s">
        <v>89</v>
      </c>
      <c r="AS1124" t="s">
        <v>93</v>
      </c>
      <c r="AT1124" t="s">
        <v>89</v>
      </c>
      <c r="AU1124" t="s">
        <v>89</v>
      </c>
      <c r="AV1124" t="s">
        <v>89</v>
      </c>
      <c r="AW1124">
        <v>12</v>
      </c>
      <c r="AX1124">
        <v>7</v>
      </c>
      <c r="AY1124" t="s">
        <v>93</v>
      </c>
      <c r="AZ1124">
        <v>0</v>
      </c>
      <c r="BA1124">
        <v>0</v>
      </c>
      <c r="BB1124">
        <v>0</v>
      </c>
      <c r="BC1124">
        <v>0</v>
      </c>
      <c r="BD1124">
        <v>10</v>
      </c>
      <c r="BE1124">
        <v>440</v>
      </c>
      <c r="BF1124">
        <v>0</v>
      </c>
      <c r="BG1124" t="s">
        <v>89</v>
      </c>
      <c r="BH1124">
        <v>10</v>
      </c>
      <c r="BI1124">
        <v>440</v>
      </c>
      <c r="BJ1124">
        <v>0</v>
      </c>
      <c r="BK1124">
        <f t="shared" si="155"/>
        <v>10</v>
      </c>
      <c r="BL1124">
        <f t="shared" si="156"/>
        <v>440</v>
      </c>
      <c r="BM1124">
        <f t="shared" si="157"/>
        <v>0</v>
      </c>
      <c r="BN1124">
        <f t="shared" si="158"/>
        <v>0</v>
      </c>
      <c r="BO1124">
        <f t="shared" si="159"/>
        <v>0</v>
      </c>
      <c r="BP1124">
        <f t="shared" si="160"/>
        <v>0</v>
      </c>
      <c r="BQ1124" t="s">
        <v>494</v>
      </c>
      <c r="BR1124" t="s">
        <v>112</v>
      </c>
      <c r="BS1124" s="1">
        <v>34439</v>
      </c>
      <c r="BT1124">
        <v>31</v>
      </c>
      <c r="BU1124" t="s">
        <v>89</v>
      </c>
      <c r="BV1124" t="s">
        <v>89</v>
      </c>
      <c r="BW1124">
        <v>10</v>
      </c>
      <c r="BX1124">
        <v>1994</v>
      </c>
      <c r="BY1124">
        <v>10</v>
      </c>
      <c r="BZ1124">
        <f t="shared" si="161"/>
        <v>2</v>
      </c>
      <c r="CA1124">
        <f t="shared" si="162"/>
        <v>0</v>
      </c>
      <c r="CB1124" t="b">
        <f t="shared" si="163"/>
        <v>0</v>
      </c>
    </row>
    <row r="1125" spans="1:80" x14ac:dyDescent="0.3">
      <c r="A1125" t="s">
        <v>8916</v>
      </c>
      <c r="B1125" t="s">
        <v>71</v>
      </c>
      <c r="C1125" t="s">
        <v>8917</v>
      </c>
      <c r="D1125">
        <v>40</v>
      </c>
      <c r="E1125" s="1">
        <v>31163</v>
      </c>
      <c r="F1125" t="s">
        <v>89</v>
      </c>
      <c r="G1125" t="s">
        <v>819</v>
      </c>
      <c r="H1125" t="s">
        <v>89</v>
      </c>
      <c r="I1125" t="s">
        <v>227</v>
      </c>
      <c r="J1125" t="s">
        <v>89</v>
      </c>
      <c r="K1125" t="s">
        <v>89</v>
      </c>
      <c r="L1125" t="s">
        <v>163</v>
      </c>
      <c r="M1125">
        <v>21</v>
      </c>
      <c r="N1125" t="s">
        <v>402</v>
      </c>
      <c r="O1125">
        <v>2006</v>
      </c>
      <c r="P1125" t="s">
        <v>8918</v>
      </c>
      <c r="Q1125" t="s">
        <v>8919</v>
      </c>
      <c r="R1125">
        <v>57941</v>
      </c>
      <c r="S1125" t="s">
        <v>8916</v>
      </c>
      <c r="T1125" t="s">
        <v>8920</v>
      </c>
      <c r="U1125">
        <v>1985</v>
      </c>
      <c r="V1125" t="s">
        <v>2389</v>
      </c>
      <c r="W1125">
        <v>1.86</v>
      </c>
      <c r="X1125" t="s">
        <v>76</v>
      </c>
      <c r="Y1125" t="s">
        <v>235</v>
      </c>
      <c r="Z1125" t="s">
        <v>87</v>
      </c>
      <c r="AA1125" t="s">
        <v>3843</v>
      </c>
      <c r="AB1125" s="1">
        <v>43837</v>
      </c>
      <c r="AC1125" t="s">
        <v>108</v>
      </c>
      <c r="AD1125" t="s">
        <v>89</v>
      </c>
      <c r="AE1125" t="s">
        <v>1251</v>
      </c>
      <c r="AF1125">
        <v>27</v>
      </c>
      <c r="AG1125" t="s">
        <v>91</v>
      </c>
      <c r="AH1125" s="1">
        <v>39361</v>
      </c>
      <c r="AI1125">
        <v>22</v>
      </c>
      <c r="AJ1125" t="s">
        <v>110</v>
      </c>
      <c r="AK1125">
        <v>22</v>
      </c>
      <c r="AL1125">
        <v>4</v>
      </c>
      <c r="AM1125">
        <v>569</v>
      </c>
      <c r="AN1125">
        <v>67</v>
      </c>
      <c r="AO1125">
        <v>4</v>
      </c>
      <c r="AP1125" t="s">
        <v>93</v>
      </c>
      <c r="AQ1125" t="s">
        <v>89</v>
      </c>
      <c r="AR1125" t="s">
        <v>89</v>
      </c>
      <c r="AS1125" t="s">
        <v>111</v>
      </c>
      <c r="AT1125" s="1">
        <v>43837</v>
      </c>
      <c r="AU1125">
        <v>2020</v>
      </c>
      <c r="AV1125">
        <v>14</v>
      </c>
      <c r="AW1125">
        <v>14</v>
      </c>
      <c r="AX1125" t="s">
        <v>89</v>
      </c>
      <c r="AY1125" t="s">
        <v>93</v>
      </c>
      <c r="AZ1125">
        <v>0</v>
      </c>
      <c r="BA1125">
        <v>0</v>
      </c>
      <c r="BB1125">
        <v>0</v>
      </c>
      <c r="BC1125">
        <v>0</v>
      </c>
      <c r="BD1125">
        <v>229</v>
      </c>
      <c r="BE1125">
        <v>19733</v>
      </c>
      <c r="BF1125">
        <v>12</v>
      </c>
      <c r="BG1125">
        <v>35</v>
      </c>
      <c r="BH1125">
        <v>229</v>
      </c>
      <c r="BI1125">
        <v>19733</v>
      </c>
      <c r="BJ1125">
        <v>12</v>
      </c>
      <c r="BK1125">
        <f t="shared" si="155"/>
        <v>229</v>
      </c>
      <c r="BL1125">
        <f t="shared" si="156"/>
        <v>19733</v>
      </c>
      <c r="BM1125">
        <f t="shared" si="157"/>
        <v>12</v>
      </c>
      <c r="BN1125">
        <f t="shared" si="158"/>
        <v>0</v>
      </c>
      <c r="BO1125">
        <f t="shared" si="159"/>
        <v>0</v>
      </c>
      <c r="BP1125">
        <f t="shared" si="160"/>
        <v>0</v>
      </c>
      <c r="BQ1125" t="s">
        <v>235</v>
      </c>
      <c r="BR1125" t="s">
        <v>140</v>
      </c>
      <c r="BS1125" s="1">
        <v>31163</v>
      </c>
      <c r="BT1125">
        <v>40</v>
      </c>
      <c r="BU1125" s="1">
        <v>43837</v>
      </c>
      <c r="BV1125" s="1">
        <v>44013</v>
      </c>
      <c r="BW1125">
        <v>13</v>
      </c>
      <c r="BX1125">
        <v>1985</v>
      </c>
      <c r="BY1125">
        <v>13</v>
      </c>
      <c r="BZ1125">
        <f t="shared" si="161"/>
        <v>1</v>
      </c>
      <c r="CA1125">
        <f t="shared" si="162"/>
        <v>0</v>
      </c>
      <c r="CB1125" t="b">
        <f t="shared" si="163"/>
        <v>0</v>
      </c>
    </row>
    <row r="1126" spans="1:80" x14ac:dyDescent="0.3">
      <c r="A1126" t="s">
        <v>8921</v>
      </c>
      <c r="B1126" t="s">
        <v>71</v>
      </c>
      <c r="C1126" t="s">
        <v>8922</v>
      </c>
      <c r="D1126">
        <v>34</v>
      </c>
      <c r="E1126" t="s">
        <v>8923</v>
      </c>
      <c r="F1126" t="s">
        <v>265</v>
      </c>
      <c r="G1126" t="s">
        <v>211</v>
      </c>
      <c r="H1126" t="s">
        <v>76</v>
      </c>
      <c r="I1126" t="s">
        <v>161</v>
      </c>
      <c r="J1126" t="s">
        <v>78</v>
      </c>
      <c r="K1126" t="s">
        <v>8924</v>
      </c>
      <c r="L1126" t="s">
        <v>278</v>
      </c>
      <c r="M1126">
        <v>20</v>
      </c>
      <c r="N1126" t="s">
        <v>181</v>
      </c>
      <c r="O1126">
        <v>2011</v>
      </c>
      <c r="P1126" t="s">
        <v>8925</v>
      </c>
      <c r="Q1126" t="s">
        <v>8926</v>
      </c>
      <c r="R1126">
        <v>131506</v>
      </c>
      <c r="S1126" t="s">
        <v>8927</v>
      </c>
      <c r="T1126" t="s">
        <v>8928</v>
      </c>
      <c r="U1126">
        <v>1991</v>
      </c>
      <c r="V1126" t="s">
        <v>122</v>
      </c>
      <c r="W1126">
        <v>1.74</v>
      </c>
      <c r="X1126" t="s">
        <v>76</v>
      </c>
      <c r="Y1126" t="s">
        <v>106</v>
      </c>
      <c r="Z1126" t="s">
        <v>87</v>
      </c>
      <c r="AA1126" t="s">
        <v>8924</v>
      </c>
      <c r="AB1126" t="s">
        <v>8929</v>
      </c>
      <c r="AC1126" t="s">
        <v>170</v>
      </c>
      <c r="AD1126" t="s">
        <v>89</v>
      </c>
      <c r="AE1126">
        <v>40912</v>
      </c>
      <c r="AF1126">
        <v>21</v>
      </c>
      <c r="AG1126" t="s">
        <v>91</v>
      </c>
      <c r="AH1126" t="s">
        <v>3798</v>
      </c>
      <c r="AI1126">
        <v>24</v>
      </c>
      <c r="AJ1126" t="s">
        <v>110</v>
      </c>
      <c r="AK1126">
        <v>21</v>
      </c>
      <c r="AL1126">
        <v>4</v>
      </c>
      <c r="AM1126">
        <v>129</v>
      </c>
      <c r="AN1126">
        <v>15</v>
      </c>
      <c r="AO1126">
        <v>3</v>
      </c>
      <c r="AP1126" t="s">
        <v>93</v>
      </c>
      <c r="AQ1126" t="s">
        <v>89</v>
      </c>
      <c r="AR1126" t="s">
        <v>89</v>
      </c>
      <c r="AS1126" t="s">
        <v>93</v>
      </c>
      <c r="AT1126" t="s">
        <v>89</v>
      </c>
      <c r="AU1126" t="s">
        <v>89</v>
      </c>
      <c r="AV1126" t="s">
        <v>89</v>
      </c>
      <c r="AW1126">
        <v>14</v>
      </c>
      <c r="AX1126">
        <v>14</v>
      </c>
      <c r="AY1126" t="s">
        <v>93</v>
      </c>
      <c r="AZ1126">
        <v>0</v>
      </c>
      <c r="BA1126">
        <v>0</v>
      </c>
      <c r="BB1126">
        <v>0</v>
      </c>
      <c r="BC1126">
        <v>0</v>
      </c>
      <c r="BD1126">
        <v>302</v>
      </c>
      <c r="BE1126">
        <v>18887</v>
      </c>
      <c r="BF1126">
        <v>49</v>
      </c>
      <c r="BG1126" t="s">
        <v>89</v>
      </c>
      <c r="BH1126">
        <v>302</v>
      </c>
      <c r="BI1126">
        <v>18887</v>
      </c>
      <c r="BJ1126">
        <v>49</v>
      </c>
      <c r="BK1126">
        <f t="shared" si="155"/>
        <v>302</v>
      </c>
      <c r="BL1126">
        <f t="shared" si="156"/>
        <v>18887</v>
      </c>
      <c r="BM1126">
        <f t="shared" si="157"/>
        <v>49</v>
      </c>
      <c r="BN1126">
        <f t="shared" si="158"/>
        <v>0</v>
      </c>
      <c r="BO1126">
        <f t="shared" si="159"/>
        <v>0</v>
      </c>
      <c r="BP1126">
        <f t="shared" si="160"/>
        <v>0</v>
      </c>
      <c r="BQ1126" t="s">
        <v>106</v>
      </c>
      <c r="BR1126" t="s">
        <v>112</v>
      </c>
      <c r="BS1126" s="1">
        <v>33260</v>
      </c>
      <c r="BT1126">
        <v>35</v>
      </c>
      <c r="BU1126" t="s">
        <v>89</v>
      </c>
      <c r="BV1126" t="s">
        <v>89</v>
      </c>
      <c r="BW1126">
        <v>14</v>
      </c>
      <c r="BX1126">
        <v>1991</v>
      </c>
      <c r="BY1126">
        <v>13</v>
      </c>
      <c r="BZ1126">
        <f t="shared" si="161"/>
        <v>0</v>
      </c>
      <c r="CA1126">
        <f t="shared" si="162"/>
        <v>1</v>
      </c>
      <c r="CB1126" t="b">
        <f t="shared" si="163"/>
        <v>1</v>
      </c>
    </row>
    <row r="1127" spans="1:80" x14ac:dyDescent="0.3">
      <c r="A1127" t="s">
        <v>8930</v>
      </c>
      <c r="B1127" t="s">
        <v>1008</v>
      </c>
      <c r="C1127" t="s">
        <v>8931</v>
      </c>
      <c r="D1127">
        <v>33</v>
      </c>
      <c r="E1127" t="s">
        <v>8932</v>
      </c>
      <c r="F1127" t="s">
        <v>8933</v>
      </c>
      <c r="G1127" t="s">
        <v>226</v>
      </c>
      <c r="H1127" t="s">
        <v>1010</v>
      </c>
      <c r="I1127" t="s">
        <v>437</v>
      </c>
      <c r="J1127" t="s">
        <v>78</v>
      </c>
      <c r="K1127" t="s">
        <v>89</v>
      </c>
      <c r="L1127" t="s">
        <v>278</v>
      </c>
      <c r="M1127">
        <v>19</v>
      </c>
      <c r="N1127" t="s">
        <v>3381</v>
      </c>
      <c r="O1127">
        <v>2011</v>
      </c>
      <c r="P1127" t="s">
        <v>8934</v>
      </c>
      <c r="Q1127" t="s">
        <v>8935</v>
      </c>
      <c r="R1127">
        <v>124560</v>
      </c>
      <c r="S1127" t="s">
        <v>8930</v>
      </c>
      <c r="T1127">
        <v>33939</v>
      </c>
      <c r="U1127">
        <v>1992</v>
      </c>
      <c r="V1127" t="s">
        <v>8936</v>
      </c>
      <c r="W1127">
        <v>1.85</v>
      </c>
      <c r="X1127" t="s">
        <v>1010</v>
      </c>
      <c r="Y1127" t="s">
        <v>123</v>
      </c>
      <c r="Z1127" t="s">
        <v>87</v>
      </c>
      <c r="AA1127" t="s">
        <v>476</v>
      </c>
      <c r="AB1127">
        <v>45664</v>
      </c>
      <c r="AC1127" t="s">
        <v>108</v>
      </c>
      <c r="AD1127" t="s">
        <v>89</v>
      </c>
      <c r="AE1127" t="s">
        <v>8937</v>
      </c>
      <c r="AF1127">
        <v>20</v>
      </c>
      <c r="AG1127" t="s">
        <v>573</v>
      </c>
      <c r="AH1127">
        <v>43498</v>
      </c>
      <c r="AI1127">
        <v>27</v>
      </c>
      <c r="AJ1127" t="s">
        <v>575</v>
      </c>
      <c r="AK1127">
        <v>20</v>
      </c>
      <c r="AL1127">
        <v>13</v>
      </c>
      <c r="AM1127">
        <v>469</v>
      </c>
      <c r="AN1127">
        <v>56</v>
      </c>
      <c r="AO1127">
        <v>8</v>
      </c>
      <c r="AP1127" t="s">
        <v>93</v>
      </c>
      <c r="AQ1127" t="s">
        <v>89</v>
      </c>
      <c r="AR1127" t="s">
        <v>89</v>
      </c>
      <c r="AS1127" t="s">
        <v>93</v>
      </c>
      <c r="AT1127" t="s">
        <v>89</v>
      </c>
      <c r="AU1127" t="s">
        <v>89</v>
      </c>
      <c r="AV1127" t="s">
        <v>89</v>
      </c>
      <c r="AW1127">
        <v>14</v>
      </c>
      <c r="AX1127" t="s">
        <v>89</v>
      </c>
      <c r="AY1127" t="s">
        <v>93</v>
      </c>
      <c r="AZ1127">
        <v>0</v>
      </c>
      <c r="BA1127">
        <v>0</v>
      </c>
      <c r="BB1127">
        <v>0</v>
      </c>
      <c r="BC1127">
        <v>0</v>
      </c>
      <c r="BD1127">
        <v>292</v>
      </c>
      <c r="BE1127">
        <v>15521</v>
      </c>
      <c r="BF1127">
        <v>54</v>
      </c>
      <c r="BG1127" t="s">
        <v>89</v>
      </c>
      <c r="BH1127">
        <v>292</v>
      </c>
      <c r="BI1127">
        <v>15521</v>
      </c>
      <c r="BJ1127">
        <v>54</v>
      </c>
      <c r="BK1127">
        <f t="shared" si="155"/>
        <v>292</v>
      </c>
      <c r="BL1127">
        <f t="shared" si="156"/>
        <v>15521</v>
      </c>
      <c r="BM1127">
        <f t="shared" si="157"/>
        <v>54</v>
      </c>
      <c r="BN1127">
        <f t="shared" si="158"/>
        <v>0</v>
      </c>
      <c r="BO1127">
        <f t="shared" si="159"/>
        <v>0</v>
      </c>
      <c r="BP1127">
        <f t="shared" si="160"/>
        <v>0</v>
      </c>
      <c r="BQ1127" t="s">
        <v>123</v>
      </c>
      <c r="BR1127" t="s">
        <v>112</v>
      </c>
      <c r="BS1127" t="s">
        <v>89</v>
      </c>
      <c r="BT1127">
        <v>34</v>
      </c>
      <c r="BU1127" t="s">
        <v>89</v>
      </c>
      <c r="BV1127" t="s">
        <v>89</v>
      </c>
      <c r="BW1127">
        <v>14</v>
      </c>
      <c r="BX1127">
        <v>1992</v>
      </c>
      <c r="BY1127">
        <v>13</v>
      </c>
      <c r="BZ1127">
        <f t="shared" si="161"/>
        <v>0</v>
      </c>
      <c r="CA1127">
        <f t="shared" si="162"/>
        <v>1</v>
      </c>
      <c r="CB1127" t="b">
        <f t="shared" si="163"/>
        <v>1</v>
      </c>
    </row>
    <row r="1128" spans="1:80" x14ac:dyDescent="0.3">
      <c r="A1128" t="s">
        <v>8938</v>
      </c>
      <c r="B1128" t="s">
        <v>71</v>
      </c>
      <c r="C1128" t="s">
        <v>8939</v>
      </c>
      <c r="D1128">
        <v>30</v>
      </c>
      <c r="E1128" t="s">
        <v>8940</v>
      </c>
      <c r="F1128" t="s">
        <v>2400</v>
      </c>
      <c r="G1128" t="s">
        <v>143</v>
      </c>
      <c r="H1128" t="s">
        <v>76</v>
      </c>
      <c r="I1128" t="s">
        <v>401</v>
      </c>
      <c r="J1128" t="s">
        <v>78</v>
      </c>
      <c r="K1128" t="s">
        <v>364</v>
      </c>
      <c r="L1128" t="s">
        <v>324</v>
      </c>
      <c r="M1128">
        <v>18</v>
      </c>
      <c r="N1128" t="s">
        <v>649</v>
      </c>
      <c r="O1128">
        <v>2013</v>
      </c>
      <c r="P1128" t="s">
        <v>8941</v>
      </c>
      <c r="Q1128" t="s">
        <v>8942</v>
      </c>
      <c r="R1128">
        <v>199369</v>
      </c>
      <c r="S1128" t="s">
        <v>8938</v>
      </c>
      <c r="T1128">
        <v>34949</v>
      </c>
      <c r="U1128">
        <v>1995</v>
      </c>
      <c r="V1128" t="s">
        <v>502</v>
      </c>
      <c r="W1128">
        <v>1.74</v>
      </c>
      <c r="X1128" t="s">
        <v>76</v>
      </c>
      <c r="Y1128" t="s">
        <v>123</v>
      </c>
      <c r="Z1128" t="s">
        <v>87</v>
      </c>
      <c r="AA1128" t="s">
        <v>503</v>
      </c>
      <c r="AB1128" s="1">
        <v>44933</v>
      </c>
      <c r="AC1128" t="s">
        <v>170</v>
      </c>
      <c r="AD1128" t="s">
        <v>89</v>
      </c>
      <c r="AE1128" t="s">
        <v>550</v>
      </c>
      <c r="AF1128">
        <v>19</v>
      </c>
      <c r="AG1128" t="s">
        <v>91</v>
      </c>
      <c r="AH1128" t="s">
        <v>421</v>
      </c>
      <c r="AI1128">
        <v>18</v>
      </c>
      <c r="AJ1128" t="s">
        <v>110</v>
      </c>
      <c r="AK1128">
        <v>18</v>
      </c>
      <c r="AL1128">
        <v>18</v>
      </c>
      <c r="AM1128">
        <v>504</v>
      </c>
      <c r="AN1128">
        <v>85</v>
      </c>
      <c r="AO1128">
        <v>9</v>
      </c>
      <c r="AP1128" t="s">
        <v>93</v>
      </c>
      <c r="AQ1128" t="s">
        <v>89</v>
      </c>
      <c r="AR1128" t="s">
        <v>89</v>
      </c>
      <c r="AS1128" t="s">
        <v>93</v>
      </c>
      <c r="AT1128" t="s">
        <v>89</v>
      </c>
      <c r="AU1128" t="s">
        <v>89</v>
      </c>
      <c r="AV1128" t="s">
        <v>89</v>
      </c>
      <c r="AW1128">
        <v>12</v>
      </c>
      <c r="AX1128">
        <v>19</v>
      </c>
      <c r="AY1128" t="s">
        <v>93</v>
      </c>
      <c r="AZ1128">
        <v>0</v>
      </c>
      <c r="BA1128">
        <v>0</v>
      </c>
      <c r="BB1128">
        <v>0</v>
      </c>
      <c r="BC1128">
        <v>0</v>
      </c>
      <c r="BD1128">
        <v>337</v>
      </c>
      <c r="BE1128">
        <v>19324</v>
      </c>
      <c r="BF1128">
        <v>69</v>
      </c>
      <c r="BG1128" t="s">
        <v>89</v>
      </c>
      <c r="BH1128">
        <v>337</v>
      </c>
      <c r="BI1128">
        <v>19324</v>
      </c>
      <c r="BJ1128">
        <v>69</v>
      </c>
      <c r="BK1128">
        <f t="shared" si="155"/>
        <v>337</v>
      </c>
      <c r="BL1128">
        <f t="shared" si="156"/>
        <v>19324</v>
      </c>
      <c r="BM1128">
        <f t="shared" si="157"/>
        <v>69</v>
      </c>
      <c r="BN1128">
        <f t="shared" si="158"/>
        <v>0</v>
      </c>
      <c r="BO1128">
        <f t="shared" si="159"/>
        <v>0</v>
      </c>
      <c r="BP1128">
        <f t="shared" si="160"/>
        <v>0</v>
      </c>
      <c r="BQ1128" t="s">
        <v>123</v>
      </c>
      <c r="BR1128" t="s">
        <v>112</v>
      </c>
      <c r="BS1128" t="s">
        <v>89</v>
      </c>
      <c r="BT1128">
        <v>31</v>
      </c>
      <c r="BU1128" t="s">
        <v>89</v>
      </c>
      <c r="BV1128" t="s">
        <v>89</v>
      </c>
      <c r="BW1128">
        <v>13</v>
      </c>
      <c r="BX1128">
        <v>1995</v>
      </c>
      <c r="BY1128">
        <v>12</v>
      </c>
      <c r="BZ1128">
        <f t="shared" si="161"/>
        <v>-1</v>
      </c>
      <c r="CA1128">
        <f t="shared" si="162"/>
        <v>1</v>
      </c>
      <c r="CB1128" t="b">
        <f t="shared" si="163"/>
        <v>0</v>
      </c>
    </row>
    <row r="1129" spans="1:80" x14ac:dyDescent="0.3">
      <c r="A1129" t="s">
        <v>8943</v>
      </c>
      <c r="B1129" t="s">
        <v>776</v>
      </c>
      <c r="C1129" t="s">
        <v>8944</v>
      </c>
      <c r="D1129">
        <v>41</v>
      </c>
      <c r="E1129">
        <v>30801</v>
      </c>
      <c r="F1129" t="s">
        <v>89</v>
      </c>
      <c r="G1129" t="s">
        <v>193</v>
      </c>
      <c r="H1129" t="s">
        <v>89</v>
      </c>
      <c r="I1129" t="s">
        <v>253</v>
      </c>
      <c r="J1129" t="s">
        <v>89</v>
      </c>
      <c r="K1129" t="s">
        <v>89</v>
      </c>
      <c r="L1129" t="s">
        <v>228</v>
      </c>
      <c r="M1129">
        <v>26</v>
      </c>
      <c r="N1129" t="s">
        <v>1047</v>
      </c>
      <c r="O1129">
        <v>2010</v>
      </c>
      <c r="P1129" t="s">
        <v>8945</v>
      </c>
      <c r="Q1129" t="s">
        <v>8946</v>
      </c>
      <c r="R1129">
        <v>74536</v>
      </c>
      <c r="S1129" t="s">
        <v>8943</v>
      </c>
      <c r="T1129" t="s">
        <v>1996</v>
      </c>
      <c r="U1129">
        <v>1984</v>
      </c>
      <c r="V1129" t="s">
        <v>2938</v>
      </c>
      <c r="W1129">
        <v>1.85</v>
      </c>
      <c r="X1129" t="s">
        <v>778</v>
      </c>
      <c r="Y1129" t="s">
        <v>259</v>
      </c>
      <c r="Z1129" t="s">
        <v>87</v>
      </c>
      <c r="AA1129" t="s">
        <v>8947</v>
      </c>
      <c r="AB1129">
        <v>43476</v>
      </c>
      <c r="AC1129" t="s">
        <v>108</v>
      </c>
      <c r="AD1129" t="s">
        <v>89</v>
      </c>
      <c r="AE1129">
        <v>2008</v>
      </c>
      <c r="AF1129">
        <v>24</v>
      </c>
      <c r="AG1129" t="s">
        <v>786</v>
      </c>
      <c r="AH1129">
        <v>2015</v>
      </c>
      <c r="AI1129">
        <v>31</v>
      </c>
      <c r="AJ1129">
        <v>0</v>
      </c>
      <c r="AK1129">
        <v>24</v>
      </c>
      <c r="AL1129">
        <v>1</v>
      </c>
      <c r="AM1129">
        <v>102</v>
      </c>
      <c r="AN1129">
        <v>22</v>
      </c>
      <c r="AO1129">
        <v>1</v>
      </c>
      <c r="AP1129" t="s">
        <v>93</v>
      </c>
      <c r="AQ1129" t="s">
        <v>89</v>
      </c>
      <c r="AR1129" t="s">
        <v>89</v>
      </c>
      <c r="AS1129" t="s">
        <v>111</v>
      </c>
      <c r="AT1129">
        <v>43476</v>
      </c>
      <c r="AU1129">
        <v>2019</v>
      </c>
      <c r="AV1129">
        <v>9</v>
      </c>
      <c r="AW1129">
        <v>9</v>
      </c>
      <c r="AX1129" t="s">
        <v>89</v>
      </c>
      <c r="AY1129" t="s">
        <v>93</v>
      </c>
      <c r="AZ1129">
        <v>0</v>
      </c>
      <c r="BA1129">
        <v>0</v>
      </c>
      <c r="BB1129">
        <v>0</v>
      </c>
      <c r="BC1129">
        <v>0</v>
      </c>
      <c r="BD1129">
        <v>24</v>
      </c>
      <c r="BE1129">
        <v>1240</v>
      </c>
      <c r="BF1129">
        <v>0</v>
      </c>
      <c r="BG1129">
        <v>35</v>
      </c>
      <c r="BH1129">
        <v>24</v>
      </c>
      <c r="BI1129">
        <v>1240</v>
      </c>
      <c r="BJ1129">
        <v>0</v>
      </c>
      <c r="BK1129">
        <f t="shared" si="155"/>
        <v>24</v>
      </c>
      <c r="BL1129">
        <f t="shared" si="156"/>
        <v>1240</v>
      </c>
      <c r="BM1129">
        <f t="shared" si="157"/>
        <v>0</v>
      </c>
      <c r="BN1129">
        <f t="shared" si="158"/>
        <v>0</v>
      </c>
      <c r="BO1129">
        <f t="shared" si="159"/>
        <v>0</v>
      </c>
      <c r="BP1129">
        <f t="shared" si="160"/>
        <v>0</v>
      </c>
      <c r="BQ1129" t="s">
        <v>259</v>
      </c>
      <c r="BR1129" t="s">
        <v>94</v>
      </c>
      <c r="BS1129" s="1">
        <v>30801</v>
      </c>
      <c r="BT1129">
        <v>41</v>
      </c>
      <c r="BU1129">
        <v>43476</v>
      </c>
      <c r="BV1129" t="s">
        <v>89</v>
      </c>
      <c r="BW1129">
        <v>11</v>
      </c>
      <c r="BX1129">
        <v>1984</v>
      </c>
      <c r="BY1129">
        <v>11</v>
      </c>
      <c r="BZ1129">
        <f t="shared" si="161"/>
        <v>-2</v>
      </c>
      <c r="CA1129">
        <f t="shared" si="162"/>
        <v>0</v>
      </c>
      <c r="CB1129" t="b">
        <f t="shared" si="163"/>
        <v>0</v>
      </c>
    </row>
    <row r="1130" spans="1:80" x14ac:dyDescent="0.3">
      <c r="A1130" t="s">
        <v>8948</v>
      </c>
      <c r="B1130" t="s">
        <v>71</v>
      </c>
      <c r="C1130" t="s">
        <v>8949</v>
      </c>
      <c r="D1130">
        <v>40</v>
      </c>
      <c r="E1130" t="s">
        <v>8950</v>
      </c>
      <c r="F1130" t="s">
        <v>8951</v>
      </c>
      <c r="G1130" t="s">
        <v>858</v>
      </c>
      <c r="H1130" t="s">
        <v>76</v>
      </c>
      <c r="I1130" t="s">
        <v>98</v>
      </c>
      <c r="J1130" t="s">
        <v>78</v>
      </c>
      <c r="K1130" t="s">
        <v>716</v>
      </c>
      <c r="L1130" t="s">
        <v>657</v>
      </c>
      <c r="M1130">
        <v>18</v>
      </c>
      <c r="N1130" t="s">
        <v>763</v>
      </c>
      <c r="O1130">
        <v>2003</v>
      </c>
      <c r="P1130" t="s">
        <v>8952</v>
      </c>
      <c r="Q1130" t="s">
        <v>8953</v>
      </c>
      <c r="R1130">
        <v>15799</v>
      </c>
      <c r="S1130" t="s">
        <v>8948</v>
      </c>
      <c r="T1130" t="s">
        <v>8954</v>
      </c>
      <c r="U1130">
        <v>1984</v>
      </c>
      <c r="V1130" t="s">
        <v>8955</v>
      </c>
      <c r="W1130">
        <v>1.68</v>
      </c>
      <c r="X1130" t="s">
        <v>76</v>
      </c>
      <c r="Y1130" t="s">
        <v>86</v>
      </c>
      <c r="Z1130" t="s">
        <v>392</v>
      </c>
      <c r="AA1130" t="s">
        <v>2758</v>
      </c>
      <c r="AB1130" t="s">
        <v>8956</v>
      </c>
      <c r="AC1130" t="s">
        <v>170</v>
      </c>
      <c r="AD1130" t="s">
        <v>395</v>
      </c>
      <c r="AE1130" t="s">
        <v>8957</v>
      </c>
      <c r="AF1130">
        <v>18</v>
      </c>
      <c r="AG1130" t="s">
        <v>91</v>
      </c>
      <c r="AH1130" t="s">
        <v>8958</v>
      </c>
      <c r="AI1130">
        <v>38</v>
      </c>
      <c r="AJ1130" t="s">
        <v>110</v>
      </c>
      <c r="AK1130">
        <v>18</v>
      </c>
      <c r="AL1130">
        <v>9</v>
      </c>
      <c r="AM1130">
        <v>1003</v>
      </c>
      <c r="AN1130">
        <v>194</v>
      </c>
      <c r="AO1130">
        <v>7</v>
      </c>
      <c r="AP1130" t="s">
        <v>93</v>
      </c>
      <c r="AQ1130" t="s">
        <v>89</v>
      </c>
      <c r="AR1130" t="s">
        <v>89</v>
      </c>
      <c r="AS1130" t="s">
        <v>93</v>
      </c>
      <c r="AT1130" t="s">
        <v>89</v>
      </c>
      <c r="AU1130" t="s">
        <v>89</v>
      </c>
      <c r="AV1130" t="s">
        <v>89</v>
      </c>
      <c r="AW1130">
        <v>22</v>
      </c>
      <c r="AX1130">
        <v>8</v>
      </c>
      <c r="AY1130" t="s">
        <v>111</v>
      </c>
      <c r="AZ1130">
        <v>12</v>
      </c>
      <c r="BA1130">
        <v>52</v>
      </c>
      <c r="BB1130">
        <v>2653</v>
      </c>
      <c r="BC1130">
        <v>5</v>
      </c>
      <c r="BD1130">
        <v>608</v>
      </c>
      <c r="BE1130">
        <v>43305</v>
      </c>
      <c r="BF1130">
        <v>93</v>
      </c>
      <c r="BG1130" t="s">
        <v>89</v>
      </c>
      <c r="BH1130">
        <v>660</v>
      </c>
      <c r="BI1130">
        <v>45958</v>
      </c>
      <c r="BJ1130">
        <v>98</v>
      </c>
      <c r="BK1130">
        <f t="shared" si="155"/>
        <v>660</v>
      </c>
      <c r="BL1130">
        <f t="shared" si="156"/>
        <v>45958</v>
      </c>
      <c r="BM1130">
        <f t="shared" si="157"/>
        <v>98</v>
      </c>
      <c r="BN1130">
        <f t="shared" si="158"/>
        <v>0</v>
      </c>
      <c r="BO1130">
        <f t="shared" si="159"/>
        <v>0</v>
      </c>
      <c r="BP1130">
        <f t="shared" si="160"/>
        <v>0</v>
      </c>
      <c r="BQ1130" t="s">
        <v>86</v>
      </c>
      <c r="BR1130" t="s">
        <v>94</v>
      </c>
      <c r="BS1130" s="1">
        <v>31029</v>
      </c>
      <c r="BT1130">
        <v>41</v>
      </c>
      <c r="BU1130" t="s">
        <v>89</v>
      </c>
      <c r="BV1130" t="s">
        <v>89</v>
      </c>
      <c r="BW1130">
        <v>23</v>
      </c>
      <c r="BX1130">
        <v>1984</v>
      </c>
      <c r="BY1130">
        <v>22</v>
      </c>
      <c r="BZ1130">
        <f t="shared" si="161"/>
        <v>-1</v>
      </c>
      <c r="CA1130">
        <f t="shared" si="162"/>
        <v>1</v>
      </c>
      <c r="CB1130" t="b">
        <f t="shared" si="163"/>
        <v>0</v>
      </c>
    </row>
    <row r="1131" spans="1:80" x14ac:dyDescent="0.3">
      <c r="A1131" t="s">
        <v>8959</v>
      </c>
      <c r="B1131" t="s">
        <v>71</v>
      </c>
      <c r="C1131" t="s">
        <v>8960</v>
      </c>
      <c r="D1131">
        <v>29</v>
      </c>
      <c r="E1131" s="1">
        <v>35040</v>
      </c>
      <c r="F1131" t="s">
        <v>89</v>
      </c>
      <c r="G1131" t="s">
        <v>160</v>
      </c>
      <c r="H1131" t="s">
        <v>76</v>
      </c>
      <c r="I1131" t="s">
        <v>437</v>
      </c>
      <c r="J1131" t="s">
        <v>78</v>
      </c>
      <c r="K1131" t="s">
        <v>89</v>
      </c>
      <c r="L1131" t="s">
        <v>80</v>
      </c>
      <c r="M1131">
        <v>16</v>
      </c>
      <c r="N1131" t="s">
        <v>289</v>
      </c>
      <c r="O1131">
        <v>2012</v>
      </c>
      <c r="P1131" t="s">
        <v>8961</v>
      </c>
      <c r="Q1131" t="s">
        <v>8962</v>
      </c>
      <c r="R1131">
        <v>255653</v>
      </c>
      <c r="S1131" t="s">
        <v>8959</v>
      </c>
      <c r="T1131" s="1">
        <v>34892</v>
      </c>
      <c r="U1131">
        <v>1995</v>
      </c>
      <c r="V1131" t="s">
        <v>1727</v>
      </c>
      <c r="W1131">
        <v>1.81</v>
      </c>
      <c r="X1131" t="s">
        <v>76</v>
      </c>
      <c r="Y1131" t="s">
        <v>123</v>
      </c>
      <c r="Z1131" t="s">
        <v>87</v>
      </c>
      <c r="AA1131" t="s">
        <v>1768</v>
      </c>
      <c r="AB1131" s="1">
        <v>45024</v>
      </c>
      <c r="AC1131" t="s">
        <v>108</v>
      </c>
      <c r="AD1131" t="s">
        <v>89</v>
      </c>
      <c r="AE1131" t="s">
        <v>701</v>
      </c>
      <c r="AF1131">
        <v>17</v>
      </c>
      <c r="AG1131" t="s">
        <v>91</v>
      </c>
      <c r="AH1131" t="s">
        <v>92</v>
      </c>
      <c r="AI1131" t="s">
        <v>89</v>
      </c>
      <c r="AJ1131" t="s">
        <v>92</v>
      </c>
      <c r="AK1131">
        <v>17</v>
      </c>
      <c r="AL1131">
        <v>7</v>
      </c>
      <c r="AM1131">
        <v>150</v>
      </c>
      <c r="AN1131">
        <v>17</v>
      </c>
      <c r="AO1131">
        <v>5</v>
      </c>
      <c r="AP1131" t="s">
        <v>93</v>
      </c>
      <c r="AQ1131" t="s">
        <v>89</v>
      </c>
      <c r="AR1131" t="s">
        <v>89</v>
      </c>
      <c r="AS1131" t="s">
        <v>111</v>
      </c>
      <c r="AT1131" s="1">
        <v>45024</v>
      </c>
      <c r="AU1131">
        <v>2023</v>
      </c>
      <c r="AV1131">
        <v>11</v>
      </c>
      <c r="AW1131">
        <v>11</v>
      </c>
      <c r="AX1131" t="s">
        <v>89</v>
      </c>
      <c r="AY1131" t="s">
        <v>93</v>
      </c>
      <c r="AZ1131">
        <v>0</v>
      </c>
      <c r="BA1131">
        <v>0</v>
      </c>
      <c r="BB1131">
        <v>0</v>
      </c>
      <c r="BC1131">
        <v>0</v>
      </c>
      <c r="BD1131">
        <v>337</v>
      </c>
      <c r="BE1131">
        <v>20259</v>
      </c>
      <c r="BF1131">
        <v>87</v>
      </c>
      <c r="BG1131">
        <v>28</v>
      </c>
      <c r="BH1131">
        <v>337</v>
      </c>
      <c r="BI1131">
        <v>20259</v>
      </c>
      <c r="BJ1131">
        <v>87</v>
      </c>
      <c r="BK1131">
        <f t="shared" si="155"/>
        <v>337</v>
      </c>
      <c r="BL1131">
        <f t="shared" si="156"/>
        <v>20259</v>
      </c>
      <c r="BM1131">
        <f t="shared" si="157"/>
        <v>87</v>
      </c>
      <c r="BN1131">
        <f t="shared" si="158"/>
        <v>0</v>
      </c>
      <c r="BO1131">
        <f t="shared" si="159"/>
        <v>0</v>
      </c>
      <c r="BP1131">
        <f t="shared" si="160"/>
        <v>0</v>
      </c>
      <c r="BQ1131" t="s">
        <v>123</v>
      </c>
      <c r="BR1131" t="s">
        <v>112</v>
      </c>
      <c r="BS1131" s="1">
        <v>35040</v>
      </c>
      <c r="BT1131">
        <v>30</v>
      </c>
      <c r="BU1131" s="1">
        <v>45024</v>
      </c>
      <c r="BV1131" s="1">
        <v>45142</v>
      </c>
      <c r="BW1131">
        <v>11</v>
      </c>
      <c r="BX1131">
        <v>1995</v>
      </c>
      <c r="BY1131">
        <v>11</v>
      </c>
      <c r="BZ1131">
        <f t="shared" si="161"/>
        <v>0</v>
      </c>
      <c r="CA1131">
        <f t="shared" si="162"/>
        <v>0</v>
      </c>
      <c r="CB1131" t="b">
        <f t="shared" si="163"/>
        <v>1</v>
      </c>
    </row>
    <row r="1132" spans="1:80" x14ac:dyDescent="0.3">
      <c r="A1132" t="s">
        <v>8963</v>
      </c>
      <c r="B1132" t="s">
        <v>2248</v>
      </c>
      <c r="C1132" t="s">
        <v>8964</v>
      </c>
      <c r="D1132">
        <v>47</v>
      </c>
      <c r="E1132">
        <v>28451</v>
      </c>
      <c r="F1132" t="s">
        <v>89</v>
      </c>
      <c r="G1132" t="s">
        <v>400</v>
      </c>
      <c r="H1132" t="s">
        <v>2252</v>
      </c>
      <c r="I1132" t="s">
        <v>375</v>
      </c>
      <c r="J1132" t="s">
        <v>89</v>
      </c>
      <c r="K1132" t="s">
        <v>89</v>
      </c>
      <c r="L1132" t="s">
        <v>145</v>
      </c>
      <c r="M1132">
        <v>26</v>
      </c>
      <c r="N1132" t="s">
        <v>527</v>
      </c>
      <c r="O1132">
        <v>2004</v>
      </c>
      <c r="P1132" t="s">
        <v>8965</v>
      </c>
      <c r="Q1132" t="s">
        <v>8966</v>
      </c>
      <c r="R1132">
        <v>30563</v>
      </c>
      <c r="S1132" t="s">
        <v>8963</v>
      </c>
      <c r="T1132" t="s">
        <v>8967</v>
      </c>
      <c r="U1132">
        <v>1977</v>
      </c>
      <c r="V1132" t="s">
        <v>8968</v>
      </c>
      <c r="W1132">
        <v>1.82</v>
      </c>
      <c r="X1132" t="s">
        <v>8969</v>
      </c>
      <c r="Y1132" t="s">
        <v>235</v>
      </c>
      <c r="Z1132" t="s">
        <v>87</v>
      </c>
      <c r="AA1132" t="s">
        <v>6417</v>
      </c>
      <c r="AB1132" s="1">
        <v>42005</v>
      </c>
      <c r="AC1132" t="s">
        <v>108</v>
      </c>
      <c r="AD1132" t="s">
        <v>89</v>
      </c>
      <c r="AE1132" t="s">
        <v>449</v>
      </c>
      <c r="AF1132">
        <v>29</v>
      </c>
      <c r="AG1132" t="s">
        <v>91</v>
      </c>
      <c r="AH1132" t="s">
        <v>6090</v>
      </c>
      <c r="AI1132">
        <v>26</v>
      </c>
      <c r="AJ1132" t="s">
        <v>110</v>
      </c>
      <c r="AK1132">
        <v>26</v>
      </c>
      <c r="AL1132">
        <v>1</v>
      </c>
      <c r="AM1132">
        <v>20</v>
      </c>
      <c r="AN1132">
        <v>3</v>
      </c>
      <c r="AO1132">
        <v>1</v>
      </c>
      <c r="AP1132" t="s">
        <v>93</v>
      </c>
      <c r="AQ1132" t="s">
        <v>89</v>
      </c>
      <c r="AR1132" t="s">
        <v>89</v>
      </c>
      <c r="AS1132" t="s">
        <v>111</v>
      </c>
      <c r="AT1132">
        <v>42005</v>
      </c>
      <c r="AU1132">
        <v>2015</v>
      </c>
      <c r="AV1132">
        <v>11</v>
      </c>
      <c r="AW1132">
        <v>11</v>
      </c>
      <c r="AX1132" t="s">
        <v>89</v>
      </c>
      <c r="AY1132" t="s">
        <v>111</v>
      </c>
      <c r="AZ1132">
        <v>1</v>
      </c>
      <c r="BA1132">
        <v>4</v>
      </c>
      <c r="BB1132">
        <v>356</v>
      </c>
      <c r="BC1132">
        <v>0</v>
      </c>
      <c r="BD1132">
        <v>200</v>
      </c>
      <c r="BE1132">
        <v>16577</v>
      </c>
      <c r="BF1132">
        <v>13</v>
      </c>
      <c r="BG1132">
        <v>38</v>
      </c>
      <c r="BH1132">
        <v>204</v>
      </c>
      <c r="BI1132">
        <v>16933</v>
      </c>
      <c r="BJ1132">
        <v>13</v>
      </c>
      <c r="BK1132">
        <f t="shared" si="155"/>
        <v>204</v>
      </c>
      <c r="BL1132">
        <f t="shared" si="156"/>
        <v>16933</v>
      </c>
      <c r="BM1132">
        <f t="shared" si="157"/>
        <v>13</v>
      </c>
      <c r="BN1132">
        <f t="shared" si="158"/>
        <v>0</v>
      </c>
      <c r="BO1132">
        <f t="shared" si="159"/>
        <v>0</v>
      </c>
      <c r="BP1132">
        <f t="shared" si="160"/>
        <v>0</v>
      </c>
      <c r="BQ1132" t="s">
        <v>235</v>
      </c>
      <c r="BR1132" t="s">
        <v>140</v>
      </c>
      <c r="BS1132" s="1">
        <v>28451</v>
      </c>
      <c r="BT1132">
        <v>48</v>
      </c>
      <c r="BU1132">
        <v>42005</v>
      </c>
      <c r="BV1132" t="s">
        <v>89</v>
      </c>
      <c r="BW1132">
        <v>12</v>
      </c>
      <c r="BX1132">
        <v>1977</v>
      </c>
      <c r="BY1132">
        <v>12</v>
      </c>
      <c r="BZ1132">
        <f t="shared" si="161"/>
        <v>-1</v>
      </c>
      <c r="CA1132">
        <f t="shared" si="162"/>
        <v>0</v>
      </c>
      <c r="CB1132" t="b">
        <f t="shared" si="163"/>
        <v>0</v>
      </c>
    </row>
    <row r="1133" spans="1:80" x14ac:dyDescent="0.3">
      <c r="A1133" t="s">
        <v>8970</v>
      </c>
      <c r="B1133" t="s">
        <v>729</v>
      </c>
      <c r="C1133" t="s">
        <v>8971</v>
      </c>
      <c r="D1133">
        <v>40</v>
      </c>
      <c r="E1133" t="s">
        <v>8972</v>
      </c>
      <c r="F1133" t="s">
        <v>2487</v>
      </c>
      <c r="G1133" t="s">
        <v>1519</v>
      </c>
      <c r="H1133" t="s">
        <v>732</v>
      </c>
      <c r="I1133" t="s">
        <v>437</v>
      </c>
      <c r="J1133" t="s">
        <v>78</v>
      </c>
      <c r="K1133" t="s">
        <v>3336</v>
      </c>
      <c r="L1133" t="s">
        <v>228</v>
      </c>
      <c r="M1133">
        <v>25</v>
      </c>
      <c r="N1133" t="s">
        <v>1047</v>
      </c>
      <c r="O1133">
        <v>2010</v>
      </c>
      <c r="P1133" t="s">
        <v>8973</v>
      </c>
      <c r="Q1133" t="s">
        <v>8974</v>
      </c>
      <c r="R1133">
        <v>64545</v>
      </c>
      <c r="S1133" t="s">
        <v>8975</v>
      </c>
      <c r="T1133" t="s">
        <v>8976</v>
      </c>
      <c r="U1133">
        <v>1985</v>
      </c>
      <c r="V1133" t="s">
        <v>736</v>
      </c>
      <c r="W1133">
        <v>1.71</v>
      </c>
      <c r="X1133" t="s">
        <v>2217</v>
      </c>
      <c r="Y1133" t="s">
        <v>369</v>
      </c>
      <c r="Z1133" t="s">
        <v>87</v>
      </c>
      <c r="AA1133" t="s">
        <v>3340</v>
      </c>
      <c r="AB1133" s="1">
        <v>44713</v>
      </c>
      <c r="AC1133" t="s">
        <v>222</v>
      </c>
      <c r="AD1133" t="s">
        <v>89</v>
      </c>
      <c r="AE1133" s="1">
        <v>39148</v>
      </c>
      <c r="AF1133">
        <v>22</v>
      </c>
      <c r="AG1133">
        <v>0</v>
      </c>
      <c r="AH1133" t="s">
        <v>92</v>
      </c>
      <c r="AI1133" t="s">
        <v>89</v>
      </c>
      <c r="AJ1133" t="s">
        <v>92</v>
      </c>
      <c r="AK1133">
        <v>22</v>
      </c>
      <c r="AL1133">
        <v>4</v>
      </c>
      <c r="AM1133">
        <v>252</v>
      </c>
      <c r="AN1133">
        <v>41</v>
      </c>
      <c r="AO1133">
        <v>4</v>
      </c>
      <c r="AP1133" t="s">
        <v>93</v>
      </c>
      <c r="AQ1133" t="s">
        <v>89</v>
      </c>
      <c r="AR1133" t="s">
        <v>89</v>
      </c>
      <c r="AS1133" t="s">
        <v>93</v>
      </c>
      <c r="AT1133" t="s">
        <v>89</v>
      </c>
      <c r="AU1133" t="s">
        <v>89</v>
      </c>
      <c r="AV1133" t="s">
        <v>89</v>
      </c>
      <c r="AW1133">
        <v>15</v>
      </c>
      <c r="AX1133">
        <v>30</v>
      </c>
      <c r="AY1133" t="s">
        <v>111</v>
      </c>
      <c r="AZ1133">
        <v>2</v>
      </c>
      <c r="BA1133">
        <v>2</v>
      </c>
      <c r="BB1133">
        <v>9</v>
      </c>
      <c r="BC1133">
        <v>0</v>
      </c>
      <c r="BD1133">
        <v>473</v>
      </c>
      <c r="BE1133">
        <v>27528</v>
      </c>
      <c r="BF1133">
        <v>107</v>
      </c>
      <c r="BG1133" t="s">
        <v>89</v>
      </c>
      <c r="BH1133">
        <v>475</v>
      </c>
      <c r="BI1133">
        <v>27537</v>
      </c>
      <c r="BJ1133">
        <v>107</v>
      </c>
      <c r="BK1133">
        <f t="shared" si="155"/>
        <v>475</v>
      </c>
      <c r="BL1133">
        <f t="shared" si="156"/>
        <v>27537</v>
      </c>
      <c r="BM1133">
        <f t="shared" si="157"/>
        <v>107</v>
      </c>
      <c r="BN1133">
        <f t="shared" si="158"/>
        <v>0</v>
      </c>
      <c r="BO1133">
        <f t="shared" si="159"/>
        <v>0</v>
      </c>
      <c r="BP1133">
        <f t="shared" si="160"/>
        <v>0</v>
      </c>
      <c r="BQ1133" t="s">
        <v>369</v>
      </c>
      <c r="BR1133" t="s">
        <v>112</v>
      </c>
      <c r="BS1133" t="s">
        <v>89</v>
      </c>
      <c r="BT1133">
        <v>41</v>
      </c>
      <c r="BU1133" t="s">
        <v>89</v>
      </c>
      <c r="BV1133" t="s">
        <v>89</v>
      </c>
      <c r="BW1133">
        <v>19</v>
      </c>
      <c r="BX1133">
        <v>1985</v>
      </c>
      <c r="BY1133">
        <v>18</v>
      </c>
      <c r="BZ1133">
        <f t="shared" si="161"/>
        <v>-4</v>
      </c>
      <c r="CA1133">
        <f t="shared" si="162"/>
        <v>1</v>
      </c>
      <c r="CB1133" t="b">
        <f t="shared" si="163"/>
        <v>0</v>
      </c>
    </row>
    <row r="1134" spans="1:80" x14ac:dyDescent="0.3">
      <c r="A1134" t="s">
        <v>8977</v>
      </c>
      <c r="B1134" t="s">
        <v>729</v>
      </c>
      <c r="C1134" t="s">
        <v>8978</v>
      </c>
      <c r="D1134">
        <v>31</v>
      </c>
      <c r="E1134" t="s">
        <v>8979</v>
      </c>
      <c r="F1134" t="s">
        <v>2487</v>
      </c>
      <c r="G1134" t="s">
        <v>687</v>
      </c>
      <c r="H1134" t="s">
        <v>732</v>
      </c>
      <c r="I1134" t="s">
        <v>555</v>
      </c>
      <c r="J1134" t="s">
        <v>78</v>
      </c>
      <c r="K1134" t="s">
        <v>8980</v>
      </c>
      <c r="L1134" t="s">
        <v>324</v>
      </c>
      <c r="M1134">
        <v>19</v>
      </c>
      <c r="N1134" t="s">
        <v>304</v>
      </c>
      <c r="O1134">
        <v>2013</v>
      </c>
      <c r="P1134" t="s">
        <v>8981</v>
      </c>
      <c r="Q1134" t="s">
        <v>8982</v>
      </c>
      <c r="R1134">
        <v>188157</v>
      </c>
      <c r="S1134" t="s">
        <v>8977</v>
      </c>
      <c r="T1134" t="s">
        <v>8983</v>
      </c>
      <c r="U1134">
        <v>1993</v>
      </c>
      <c r="V1134" t="s">
        <v>736</v>
      </c>
      <c r="W1134">
        <v>1.75</v>
      </c>
      <c r="X1134" t="s">
        <v>1971</v>
      </c>
      <c r="Y1134" t="s">
        <v>86</v>
      </c>
      <c r="Z1134" t="s">
        <v>87</v>
      </c>
      <c r="AA1134" t="s">
        <v>8984</v>
      </c>
      <c r="AB1134" t="s">
        <v>8985</v>
      </c>
      <c r="AC1134" t="s">
        <v>222</v>
      </c>
      <c r="AD1134" t="s">
        <v>89</v>
      </c>
      <c r="AE1134" t="s">
        <v>1042</v>
      </c>
      <c r="AF1134">
        <v>17</v>
      </c>
      <c r="AG1134" t="s">
        <v>3341</v>
      </c>
      <c r="AH1134" s="1">
        <v>44145</v>
      </c>
      <c r="AI1134">
        <v>27</v>
      </c>
      <c r="AJ1134" t="s">
        <v>110</v>
      </c>
      <c r="AK1134">
        <v>17</v>
      </c>
      <c r="AL1134">
        <v>5</v>
      </c>
      <c r="AM1134">
        <v>502</v>
      </c>
      <c r="AN1134">
        <v>84</v>
      </c>
      <c r="AO1134">
        <v>4</v>
      </c>
      <c r="AP1134" t="s">
        <v>93</v>
      </c>
      <c r="AQ1134" t="s">
        <v>89</v>
      </c>
      <c r="AR1134" t="s">
        <v>89</v>
      </c>
      <c r="AS1134" t="s">
        <v>93</v>
      </c>
      <c r="AT1134" t="s">
        <v>89</v>
      </c>
      <c r="AU1134" t="s">
        <v>89</v>
      </c>
      <c r="AV1134" t="s">
        <v>89</v>
      </c>
      <c r="AW1134">
        <v>12</v>
      </c>
      <c r="AX1134">
        <v>15</v>
      </c>
      <c r="AY1134" t="s">
        <v>93</v>
      </c>
      <c r="AZ1134">
        <v>0</v>
      </c>
      <c r="BA1134">
        <v>0</v>
      </c>
      <c r="BB1134">
        <v>0</v>
      </c>
      <c r="BC1134">
        <v>0</v>
      </c>
      <c r="BD1134">
        <v>252</v>
      </c>
      <c r="BE1134">
        <v>12915</v>
      </c>
      <c r="BF1134">
        <v>2</v>
      </c>
      <c r="BG1134" t="s">
        <v>89</v>
      </c>
      <c r="BH1134">
        <v>252</v>
      </c>
      <c r="BI1134">
        <v>12915</v>
      </c>
      <c r="BJ1134">
        <v>2</v>
      </c>
      <c r="BK1134">
        <f t="shared" si="155"/>
        <v>252</v>
      </c>
      <c r="BL1134">
        <f t="shared" si="156"/>
        <v>12915</v>
      </c>
      <c r="BM1134">
        <f t="shared" si="157"/>
        <v>2</v>
      </c>
      <c r="BN1134">
        <f t="shared" si="158"/>
        <v>0</v>
      </c>
      <c r="BO1134">
        <f t="shared" si="159"/>
        <v>0</v>
      </c>
      <c r="BP1134">
        <f t="shared" si="160"/>
        <v>0</v>
      </c>
      <c r="BQ1134" t="s">
        <v>86</v>
      </c>
      <c r="BR1134" t="s">
        <v>94</v>
      </c>
      <c r="BS1134" s="1">
        <v>34204</v>
      </c>
      <c r="BT1134">
        <v>32</v>
      </c>
      <c r="BU1134" t="s">
        <v>89</v>
      </c>
      <c r="BV1134" t="s">
        <v>89</v>
      </c>
      <c r="BW1134">
        <v>15</v>
      </c>
      <c r="BX1134">
        <v>1993</v>
      </c>
      <c r="BY1134">
        <v>14</v>
      </c>
      <c r="BZ1134">
        <f t="shared" si="161"/>
        <v>-3</v>
      </c>
      <c r="CA1134">
        <f t="shared" si="162"/>
        <v>1</v>
      </c>
      <c r="CB1134" t="b">
        <f t="shared" si="163"/>
        <v>0</v>
      </c>
    </row>
    <row r="1135" spans="1:80" x14ac:dyDescent="0.3">
      <c r="A1135" t="s">
        <v>8986</v>
      </c>
      <c r="B1135" t="s">
        <v>156</v>
      </c>
      <c r="C1135" t="s">
        <v>8987</v>
      </c>
      <c r="D1135">
        <v>39</v>
      </c>
      <c r="E1135" s="1">
        <v>31462</v>
      </c>
      <c r="F1135" t="s">
        <v>89</v>
      </c>
      <c r="G1135" t="s">
        <v>160</v>
      </c>
      <c r="H1135" t="s">
        <v>89</v>
      </c>
      <c r="I1135" t="s">
        <v>1104</v>
      </c>
      <c r="J1135" t="s">
        <v>300</v>
      </c>
      <c r="K1135" t="s">
        <v>89</v>
      </c>
      <c r="L1135" t="s">
        <v>180</v>
      </c>
      <c r="M1135">
        <v>21</v>
      </c>
      <c r="N1135" t="s">
        <v>4946</v>
      </c>
      <c r="O1135">
        <v>2007</v>
      </c>
      <c r="P1135" t="s">
        <v>8988</v>
      </c>
      <c r="Q1135" t="s">
        <v>8989</v>
      </c>
      <c r="R1135">
        <v>55866</v>
      </c>
      <c r="S1135" t="s">
        <v>8986</v>
      </c>
      <c r="T1135" t="s">
        <v>8990</v>
      </c>
      <c r="U1135">
        <v>1986</v>
      </c>
      <c r="V1135" t="s">
        <v>4066</v>
      </c>
      <c r="W1135">
        <v>1.77</v>
      </c>
      <c r="X1135" t="s">
        <v>4165</v>
      </c>
      <c r="Y1135" t="s">
        <v>203</v>
      </c>
      <c r="Z1135" t="s">
        <v>152</v>
      </c>
      <c r="AA1135" t="s">
        <v>2595</v>
      </c>
      <c r="AB1135">
        <v>43837</v>
      </c>
      <c r="AC1135" t="s">
        <v>108</v>
      </c>
      <c r="AD1135" t="s">
        <v>89</v>
      </c>
      <c r="AE1135" t="s">
        <v>7976</v>
      </c>
      <c r="AF1135">
        <v>20</v>
      </c>
      <c r="AG1135" t="s">
        <v>171</v>
      </c>
      <c r="AH1135" t="s">
        <v>1538</v>
      </c>
      <c r="AI1135">
        <v>24</v>
      </c>
      <c r="AJ1135" t="s">
        <v>110</v>
      </c>
      <c r="AK1135">
        <v>20</v>
      </c>
      <c r="AL1135">
        <v>3</v>
      </c>
      <c r="AM1135">
        <v>164</v>
      </c>
      <c r="AN1135">
        <v>15</v>
      </c>
      <c r="AO1135">
        <v>3</v>
      </c>
      <c r="AP1135" t="s">
        <v>93</v>
      </c>
      <c r="AQ1135" t="s">
        <v>89</v>
      </c>
      <c r="AR1135" t="s">
        <v>89</v>
      </c>
      <c r="AS1135" t="s">
        <v>111</v>
      </c>
      <c r="AT1135">
        <v>43837</v>
      </c>
      <c r="AU1135">
        <v>2020</v>
      </c>
      <c r="AV1135">
        <v>13</v>
      </c>
      <c r="AW1135">
        <v>13</v>
      </c>
      <c r="AX1135" t="s">
        <v>89</v>
      </c>
      <c r="AY1135" t="s">
        <v>93</v>
      </c>
      <c r="AZ1135">
        <v>0</v>
      </c>
      <c r="BA1135">
        <v>0</v>
      </c>
      <c r="BB1135">
        <v>0</v>
      </c>
      <c r="BC1135">
        <v>0</v>
      </c>
      <c r="BD1135">
        <v>295</v>
      </c>
      <c r="BE1135">
        <v>20991</v>
      </c>
      <c r="BF1135">
        <v>20</v>
      </c>
      <c r="BG1135">
        <v>34</v>
      </c>
      <c r="BH1135">
        <v>295</v>
      </c>
      <c r="BI1135">
        <v>20991</v>
      </c>
      <c r="BJ1135">
        <v>20</v>
      </c>
      <c r="BK1135">
        <f t="shared" si="155"/>
        <v>295</v>
      </c>
      <c r="BL1135">
        <f t="shared" si="156"/>
        <v>20991</v>
      </c>
      <c r="BM1135">
        <f t="shared" si="157"/>
        <v>20</v>
      </c>
      <c r="BN1135">
        <f t="shared" si="158"/>
        <v>0</v>
      </c>
      <c r="BO1135">
        <f t="shared" si="159"/>
        <v>0</v>
      </c>
      <c r="BP1135">
        <f t="shared" si="160"/>
        <v>0</v>
      </c>
      <c r="BQ1135" t="s">
        <v>203</v>
      </c>
      <c r="BR1135" t="s">
        <v>140</v>
      </c>
      <c r="BS1135" s="1">
        <v>31462</v>
      </c>
      <c r="BT1135">
        <v>39</v>
      </c>
      <c r="BU1135">
        <v>43837</v>
      </c>
      <c r="BV1135" t="s">
        <v>89</v>
      </c>
      <c r="BW1135">
        <v>14</v>
      </c>
      <c r="BX1135">
        <v>1986</v>
      </c>
      <c r="BY1135">
        <v>14</v>
      </c>
      <c r="BZ1135">
        <f t="shared" si="161"/>
        <v>-1</v>
      </c>
      <c r="CA1135">
        <f t="shared" si="162"/>
        <v>0</v>
      </c>
      <c r="CB1135" t="b">
        <f t="shared" si="163"/>
        <v>0</v>
      </c>
    </row>
    <row r="1136" spans="1:80" x14ac:dyDescent="0.3">
      <c r="A1136" t="s">
        <v>8991</v>
      </c>
      <c r="B1136" t="s">
        <v>729</v>
      </c>
      <c r="C1136" t="s">
        <v>8992</v>
      </c>
      <c r="D1136">
        <v>44</v>
      </c>
      <c r="E1136" s="1">
        <v>29594</v>
      </c>
      <c r="F1136" t="s">
        <v>89</v>
      </c>
      <c r="G1136" t="s">
        <v>193</v>
      </c>
      <c r="H1136" t="s">
        <v>732</v>
      </c>
      <c r="I1136" t="s">
        <v>253</v>
      </c>
      <c r="J1136" t="s">
        <v>89</v>
      </c>
      <c r="K1136" t="s">
        <v>89</v>
      </c>
      <c r="L1136">
        <v>2005</v>
      </c>
      <c r="M1136">
        <v>24</v>
      </c>
      <c r="N1136" t="s">
        <v>8993</v>
      </c>
      <c r="O1136">
        <v>2005</v>
      </c>
      <c r="P1136" t="s">
        <v>8994</v>
      </c>
      <c r="Q1136" t="s">
        <v>8995</v>
      </c>
      <c r="R1136">
        <v>35590</v>
      </c>
      <c r="S1136" t="s">
        <v>8991</v>
      </c>
      <c r="T1136">
        <v>29799</v>
      </c>
      <c r="U1136">
        <v>1981</v>
      </c>
      <c r="V1136" t="s">
        <v>736</v>
      </c>
      <c r="W1136">
        <v>1.86</v>
      </c>
      <c r="X1136" t="s">
        <v>8996</v>
      </c>
      <c r="Y1136" t="s">
        <v>259</v>
      </c>
      <c r="Z1136" t="s">
        <v>87</v>
      </c>
      <c r="AA1136" t="s">
        <v>4272</v>
      </c>
      <c r="AB1136" s="1">
        <v>42376</v>
      </c>
      <c r="AC1136" t="s">
        <v>108</v>
      </c>
      <c r="AD1136" t="s">
        <v>89</v>
      </c>
      <c r="AE1136" t="s">
        <v>8997</v>
      </c>
      <c r="AF1136">
        <v>24</v>
      </c>
      <c r="AG1136" t="s">
        <v>1360</v>
      </c>
      <c r="AH1136">
        <v>41341</v>
      </c>
      <c r="AI1136">
        <v>32</v>
      </c>
      <c r="AJ1136" t="s">
        <v>986</v>
      </c>
      <c r="AK1136">
        <v>24</v>
      </c>
      <c r="AL1136">
        <v>1</v>
      </c>
      <c r="AM1136">
        <v>25</v>
      </c>
      <c r="AN1136">
        <v>6</v>
      </c>
      <c r="AO1136">
        <v>1</v>
      </c>
      <c r="AP1136" t="s">
        <v>93</v>
      </c>
      <c r="AQ1136" t="s">
        <v>89</v>
      </c>
      <c r="AR1136" t="s">
        <v>89</v>
      </c>
      <c r="AS1136" t="s">
        <v>111</v>
      </c>
      <c r="AT1136" s="1">
        <v>42376</v>
      </c>
      <c r="AU1136">
        <v>2016</v>
      </c>
      <c r="AV1136">
        <v>11</v>
      </c>
      <c r="AW1136">
        <v>20</v>
      </c>
      <c r="AX1136" t="s">
        <v>89</v>
      </c>
      <c r="AY1136" t="s">
        <v>111</v>
      </c>
      <c r="AZ1136">
        <v>3</v>
      </c>
      <c r="BA1136">
        <v>4</v>
      </c>
      <c r="BB1136">
        <v>148</v>
      </c>
      <c r="BC1136">
        <v>0</v>
      </c>
      <c r="BD1136">
        <v>205</v>
      </c>
      <c r="BE1136">
        <v>14550</v>
      </c>
      <c r="BF1136">
        <v>18</v>
      </c>
      <c r="BG1136">
        <v>35</v>
      </c>
      <c r="BH1136">
        <v>209</v>
      </c>
      <c r="BI1136">
        <v>14698</v>
      </c>
      <c r="BJ1136">
        <v>18</v>
      </c>
      <c r="BK1136">
        <f t="shared" si="155"/>
        <v>209</v>
      </c>
      <c r="BL1136">
        <f t="shared" si="156"/>
        <v>14698</v>
      </c>
      <c r="BM1136">
        <f t="shared" si="157"/>
        <v>18</v>
      </c>
      <c r="BN1136">
        <f t="shared" si="158"/>
        <v>0</v>
      </c>
      <c r="BO1136">
        <f t="shared" si="159"/>
        <v>0</v>
      </c>
      <c r="BP1136">
        <f t="shared" si="160"/>
        <v>0</v>
      </c>
      <c r="BQ1136" t="s">
        <v>259</v>
      </c>
      <c r="BR1136" t="s">
        <v>94</v>
      </c>
      <c r="BS1136" t="s">
        <v>89</v>
      </c>
      <c r="BT1136">
        <v>45</v>
      </c>
      <c r="BU1136" s="1">
        <v>42376</v>
      </c>
      <c r="BV1136" s="1">
        <v>42552</v>
      </c>
      <c r="BW1136">
        <v>11</v>
      </c>
      <c r="BX1136">
        <v>1981</v>
      </c>
      <c r="BY1136">
        <v>11</v>
      </c>
      <c r="BZ1136">
        <f t="shared" si="161"/>
        <v>9</v>
      </c>
      <c r="CA1136">
        <f t="shared" si="162"/>
        <v>0</v>
      </c>
      <c r="CB1136" t="b">
        <f t="shared" si="163"/>
        <v>0</v>
      </c>
    </row>
    <row r="1137" spans="1:80" x14ac:dyDescent="0.3">
      <c r="A1137" t="s">
        <v>8998</v>
      </c>
      <c r="B1137" t="s">
        <v>71</v>
      </c>
      <c r="C1137" t="s">
        <v>8999</v>
      </c>
      <c r="D1137">
        <v>49</v>
      </c>
      <c r="E1137" s="1">
        <v>27759</v>
      </c>
      <c r="F1137" t="s">
        <v>89</v>
      </c>
      <c r="G1137" t="s">
        <v>298</v>
      </c>
      <c r="H1137" t="s">
        <v>89</v>
      </c>
      <c r="I1137" t="s">
        <v>791</v>
      </c>
      <c r="J1137" t="s">
        <v>89</v>
      </c>
      <c r="K1137" t="s">
        <v>89</v>
      </c>
      <c r="L1137" t="s">
        <v>163</v>
      </c>
      <c r="M1137">
        <v>30</v>
      </c>
      <c r="N1137" t="s">
        <v>3221</v>
      </c>
      <c r="O1137">
        <v>2006</v>
      </c>
      <c r="P1137" t="s">
        <v>9000</v>
      </c>
      <c r="Q1137" t="s">
        <v>9001</v>
      </c>
      <c r="R1137">
        <v>57960</v>
      </c>
      <c r="S1137" t="s">
        <v>8998</v>
      </c>
      <c r="T1137" t="s">
        <v>9002</v>
      </c>
      <c r="U1137">
        <v>1975</v>
      </c>
      <c r="V1137" t="s">
        <v>795</v>
      </c>
      <c r="W1137">
        <v>1.76</v>
      </c>
      <c r="X1137" t="s">
        <v>76</v>
      </c>
      <c r="Y1137" t="s">
        <v>391</v>
      </c>
      <c r="Z1137" t="s">
        <v>152</v>
      </c>
      <c r="AA1137" t="s">
        <v>131</v>
      </c>
      <c r="AB1137">
        <v>41281</v>
      </c>
      <c r="AC1137" t="s">
        <v>108</v>
      </c>
      <c r="AD1137" t="s">
        <v>89</v>
      </c>
      <c r="AE1137" t="s">
        <v>614</v>
      </c>
      <c r="AF1137">
        <v>34</v>
      </c>
      <c r="AG1137" t="s">
        <v>91</v>
      </c>
      <c r="AH1137" s="1">
        <v>36565</v>
      </c>
      <c r="AI1137">
        <v>24</v>
      </c>
      <c r="AJ1137" t="s">
        <v>110</v>
      </c>
      <c r="AK1137">
        <v>24</v>
      </c>
      <c r="AL1137" t="s">
        <v>89</v>
      </c>
      <c r="AM1137" t="s">
        <v>89</v>
      </c>
      <c r="AN1137" t="s">
        <v>89</v>
      </c>
      <c r="AO1137">
        <v>0</v>
      </c>
      <c r="AP1137" t="s">
        <v>93</v>
      </c>
      <c r="AQ1137" t="s">
        <v>89</v>
      </c>
      <c r="AR1137" t="s">
        <v>89</v>
      </c>
      <c r="AS1137" t="s">
        <v>111</v>
      </c>
      <c r="AT1137">
        <v>41281</v>
      </c>
      <c r="AU1137">
        <v>2013</v>
      </c>
      <c r="AV1137">
        <v>7</v>
      </c>
      <c r="AW1137">
        <v>7</v>
      </c>
      <c r="AX1137" t="s">
        <v>89</v>
      </c>
      <c r="AY1137" t="s">
        <v>93</v>
      </c>
      <c r="AZ1137">
        <v>0</v>
      </c>
      <c r="BA1137">
        <v>0</v>
      </c>
      <c r="BB1137">
        <v>0</v>
      </c>
      <c r="BC1137">
        <v>0</v>
      </c>
      <c r="BD1137">
        <v>166</v>
      </c>
      <c r="BE1137">
        <v>9394</v>
      </c>
      <c r="BF1137">
        <v>27</v>
      </c>
      <c r="BG1137">
        <v>38</v>
      </c>
      <c r="BH1137">
        <v>166</v>
      </c>
      <c r="BI1137">
        <v>9394</v>
      </c>
      <c r="BJ1137">
        <v>27</v>
      </c>
      <c r="BK1137">
        <f t="shared" si="155"/>
        <v>166</v>
      </c>
      <c r="BL1137">
        <f t="shared" si="156"/>
        <v>9394</v>
      </c>
      <c r="BM1137">
        <f t="shared" si="157"/>
        <v>27</v>
      </c>
      <c r="BN1137">
        <f t="shared" si="158"/>
        <v>0</v>
      </c>
      <c r="BO1137">
        <f t="shared" si="159"/>
        <v>0</v>
      </c>
      <c r="BP1137">
        <f t="shared" si="160"/>
        <v>0</v>
      </c>
      <c r="BQ1137" t="s">
        <v>391</v>
      </c>
      <c r="BR1137" t="s">
        <v>112</v>
      </c>
      <c r="BS1137" s="1">
        <v>27759</v>
      </c>
      <c r="BT1137">
        <v>50</v>
      </c>
      <c r="BU1137">
        <v>41281</v>
      </c>
      <c r="BV1137" t="s">
        <v>89</v>
      </c>
      <c r="BW1137">
        <v>14</v>
      </c>
      <c r="BX1137">
        <v>1975</v>
      </c>
      <c r="BY1137">
        <v>14</v>
      </c>
      <c r="BZ1137">
        <f t="shared" si="161"/>
        <v>-7</v>
      </c>
      <c r="CA1137">
        <f t="shared" si="162"/>
        <v>0</v>
      </c>
      <c r="CB1137" t="b">
        <f t="shared" si="163"/>
        <v>0</v>
      </c>
    </row>
    <row r="1138" spans="1:80" x14ac:dyDescent="0.3">
      <c r="A1138" t="s">
        <v>9003</v>
      </c>
      <c r="B1138" t="s">
        <v>71</v>
      </c>
      <c r="C1138" t="s">
        <v>9004</v>
      </c>
      <c r="D1138">
        <v>31</v>
      </c>
      <c r="E1138" t="s">
        <v>9005</v>
      </c>
      <c r="F1138" t="s">
        <v>544</v>
      </c>
      <c r="G1138" t="s">
        <v>115</v>
      </c>
      <c r="H1138" t="s">
        <v>76</v>
      </c>
      <c r="I1138" t="s">
        <v>2906</v>
      </c>
      <c r="J1138" t="s">
        <v>78</v>
      </c>
      <c r="K1138" t="s">
        <v>164</v>
      </c>
      <c r="L1138" t="s">
        <v>324</v>
      </c>
      <c r="M1138">
        <v>19</v>
      </c>
      <c r="N1138" t="s">
        <v>1047</v>
      </c>
      <c r="O1138">
        <v>2013</v>
      </c>
      <c r="P1138" t="s">
        <v>9006</v>
      </c>
      <c r="Q1138" t="s">
        <v>9007</v>
      </c>
      <c r="R1138">
        <v>142021</v>
      </c>
      <c r="S1138" t="s">
        <v>9003</v>
      </c>
      <c r="T1138" t="s">
        <v>9008</v>
      </c>
      <c r="U1138">
        <v>1993</v>
      </c>
      <c r="V1138" t="s">
        <v>547</v>
      </c>
      <c r="W1138">
        <v>1.8</v>
      </c>
      <c r="X1138" t="s">
        <v>76</v>
      </c>
      <c r="Y1138" t="s">
        <v>86</v>
      </c>
      <c r="Z1138" t="s">
        <v>87</v>
      </c>
      <c r="AA1138" t="s">
        <v>548</v>
      </c>
      <c r="AB1138" s="1">
        <v>45238</v>
      </c>
      <c r="AC1138" t="s">
        <v>394</v>
      </c>
      <c r="AD1138" t="s">
        <v>89</v>
      </c>
      <c r="AE1138" t="s">
        <v>421</v>
      </c>
      <c r="AF1138">
        <v>19</v>
      </c>
      <c r="AG1138" t="s">
        <v>91</v>
      </c>
      <c r="AH1138">
        <v>44174</v>
      </c>
      <c r="AI1138">
        <v>26</v>
      </c>
      <c r="AJ1138" t="s">
        <v>110</v>
      </c>
      <c r="AK1138">
        <v>19</v>
      </c>
      <c r="AL1138">
        <v>2</v>
      </c>
      <c r="AM1138">
        <v>13</v>
      </c>
      <c r="AN1138">
        <v>2</v>
      </c>
      <c r="AO1138">
        <v>2</v>
      </c>
      <c r="AP1138" t="s">
        <v>93</v>
      </c>
      <c r="AQ1138" t="s">
        <v>89</v>
      </c>
      <c r="AR1138" t="s">
        <v>89</v>
      </c>
      <c r="AS1138" t="s">
        <v>93</v>
      </c>
      <c r="AT1138" t="s">
        <v>89</v>
      </c>
      <c r="AU1138" t="s">
        <v>89</v>
      </c>
      <c r="AV1138" t="s">
        <v>89</v>
      </c>
      <c r="AW1138">
        <v>12</v>
      </c>
      <c r="AX1138">
        <v>10</v>
      </c>
      <c r="AY1138" t="s">
        <v>93</v>
      </c>
      <c r="AZ1138">
        <v>0</v>
      </c>
      <c r="BA1138">
        <v>0</v>
      </c>
      <c r="BB1138">
        <v>0</v>
      </c>
      <c r="BC1138">
        <v>0</v>
      </c>
      <c r="BD1138">
        <v>466</v>
      </c>
      <c r="BE1138">
        <v>34132</v>
      </c>
      <c r="BF1138">
        <v>39</v>
      </c>
      <c r="BG1138" t="s">
        <v>89</v>
      </c>
      <c r="BH1138">
        <v>466</v>
      </c>
      <c r="BI1138">
        <v>34132</v>
      </c>
      <c r="BJ1138">
        <v>39</v>
      </c>
      <c r="BK1138">
        <f t="shared" si="155"/>
        <v>466</v>
      </c>
      <c r="BL1138">
        <f t="shared" si="156"/>
        <v>34132</v>
      </c>
      <c r="BM1138">
        <f t="shared" si="157"/>
        <v>39</v>
      </c>
      <c r="BN1138">
        <f t="shared" si="158"/>
        <v>0</v>
      </c>
      <c r="BO1138">
        <f t="shared" si="159"/>
        <v>0</v>
      </c>
      <c r="BP1138">
        <f t="shared" si="160"/>
        <v>0</v>
      </c>
      <c r="BQ1138" t="s">
        <v>86</v>
      </c>
      <c r="BR1138" t="s">
        <v>94</v>
      </c>
      <c r="BS1138" s="1">
        <v>34325</v>
      </c>
      <c r="BT1138">
        <v>32</v>
      </c>
      <c r="BU1138" t="s">
        <v>89</v>
      </c>
      <c r="BV1138" t="s">
        <v>89</v>
      </c>
      <c r="BW1138">
        <v>13</v>
      </c>
      <c r="BX1138">
        <v>1993</v>
      </c>
      <c r="BY1138">
        <v>12</v>
      </c>
      <c r="BZ1138">
        <f t="shared" si="161"/>
        <v>-1</v>
      </c>
      <c r="CA1138">
        <f t="shared" si="162"/>
        <v>1</v>
      </c>
      <c r="CB1138" t="b">
        <f t="shared" si="163"/>
        <v>0</v>
      </c>
    </row>
    <row r="1139" spans="1:80" x14ac:dyDescent="0.3">
      <c r="A1139" t="s">
        <v>9009</v>
      </c>
      <c r="B1139" t="s">
        <v>71</v>
      </c>
      <c r="C1139" t="s">
        <v>9010</v>
      </c>
      <c r="D1139">
        <v>35</v>
      </c>
      <c r="E1139" t="s">
        <v>9011</v>
      </c>
      <c r="F1139" t="s">
        <v>9012</v>
      </c>
      <c r="G1139" t="s">
        <v>115</v>
      </c>
      <c r="H1139" t="s">
        <v>76</v>
      </c>
      <c r="I1139" t="s">
        <v>401</v>
      </c>
      <c r="J1139" t="s">
        <v>78</v>
      </c>
      <c r="K1139" t="s">
        <v>1609</v>
      </c>
      <c r="L1139" t="s">
        <v>254</v>
      </c>
      <c r="M1139">
        <v>19</v>
      </c>
      <c r="N1139" t="s">
        <v>164</v>
      </c>
      <c r="O1139">
        <v>2009</v>
      </c>
      <c r="P1139" t="s">
        <v>9013</v>
      </c>
      <c r="Q1139" t="s">
        <v>9014</v>
      </c>
      <c r="R1139">
        <v>81988</v>
      </c>
      <c r="S1139" t="s">
        <v>9009</v>
      </c>
      <c r="T1139" t="s">
        <v>9015</v>
      </c>
      <c r="U1139">
        <v>1990</v>
      </c>
      <c r="V1139" t="s">
        <v>9016</v>
      </c>
      <c r="W1139">
        <v>1.83</v>
      </c>
      <c r="X1139" t="s">
        <v>76</v>
      </c>
      <c r="Y1139" t="s">
        <v>123</v>
      </c>
      <c r="Z1139" t="s">
        <v>87</v>
      </c>
      <c r="AA1139" t="s">
        <v>3878</v>
      </c>
      <c r="AB1139" t="s">
        <v>5854</v>
      </c>
      <c r="AC1139" t="s">
        <v>88</v>
      </c>
      <c r="AD1139" t="s">
        <v>89</v>
      </c>
      <c r="AE1139" t="s">
        <v>3879</v>
      </c>
      <c r="AF1139">
        <v>19</v>
      </c>
      <c r="AG1139" t="s">
        <v>91</v>
      </c>
      <c r="AH1139" t="s">
        <v>306</v>
      </c>
      <c r="AI1139">
        <v>21</v>
      </c>
      <c r="AJ1139" t="s">
        <v>110</v>
      </c>
      <c r="AK1139">
        <v>19</v>
      </c>
      <c r="AL1139">
        <v>3</v>
      </c>
      <c r="AM1139">
        <v>218</v>
      </c>
      <c r="AN1139">
        <v>22</v>
      </c>
      <c r="AO1139">
        <v>2</v>
      </c>
      <c r="AP1139" t="s">
        <v>93</v>
      </c>
      <c r="AQ1139" t="s">
        <v>89</v>
      </c>
      <c r="AR1139" t="s">
        <v>89</v>
      </c>
      <c r="AS1139" t="s">
        <v>93</v>
      </c>
      <c r="AT1139" t="s">
        <v>89</v>
      </c>
      <c r="AU1139" t="s">
        <v>89</v>
      </c>
      <c r="AV1139" t="s">
        <v>89</v>
      </c>
      <c r="AW1139">
        <v>16</v>
      </c>
      <c r="AX1139">
        <v>9</v>
      </c>
      <c r="AY1139" t="s">
        <v>93</v>
      </c>
      <c r="AZ1139">
        <v>0</v>
      </c>
      <c r="BA1139">
        <v>0</v>
      </c>
      <c r="BB1139">
        <v>0</v>
      </c>
      <c r="BC1139">
        <v>0</v>
      </c>
      <c r="BD1139">
        <v>476</v>
      </c>
      <c r="BE1139">
        <v>27764</v>
      </c>
      <c r="BF1139">
        <v>99</v>
      </c>
      <c r="BG1139" t="s">
        <v>89</v>
      </c>
      <c r="BH1139">
        <v>476</v>
      </c>
      <c r="BI1139">
        <v>27764</v>
      </c>
      <c r="BJ1139">
        <v>99</v>
      </c>
      <c r="BK1139">
        <f t="shared" si="155"/>
        <v>476</v>
      </c>
      <c r="BL1139">
        <f t="shared" si="156"/>
        <v>27764</v>
      </c>
      <c r="BM1139">
        <f t="shared" si="157"/>
        <v>99</v>
      </c>
      <c r="BN1139">
        <f t="shared" si="158"/>
        <v>0</v>
      </c>
      <c r="BO1139">
        <f t="shared" si="159"/>
        <v>0</v>
      </c>
      <c r="BP1139">
        <f t="shared" si="160"/>
        <v>0</v>
      </c>
      <c r="BQ1139" t="s">
        <v>123</v>
      </c>
      <c r="BR1139" t="s">
        <v>112</v>
      </c>
      <c r="BS1139" s="1">
        <v>32930</v>
      </c>
      <c r="BT1139">
        <v>35</v>
      </c>
      <c r="BU1139" t="s">
        <v>89</v>
      </c>
      <c r="BV1139" t="s">
        <v>89</v>
      </c>
      <c r="BW1139">
        <v>16</v>
      </c>
      <c r="BX1139">
        <v>1990</v>
      </c>
      <c r="BY1139">
        <v>16</v>
      </c>
      <c r="BZ1139">
        <f t="shared" si="161"/>
        <v>0</v>
      </c>
      <c r="CA1139">
        <f t="shared" si="162"/>
        <v>0</v>
      </c>
      <c r="CB1139" t="b">
        <f t="shared" si="163"/>
        <v>1</v>
      </c>
    </row>
    <row r="1140" spans="1:80" x14ac:dyDescent="0.3">
      <c r="A1140" t="s">
        <v>9017</v>
      </c>
      <c r="B1140" t="s">
        <v>71</v>
      </c>
      <c r="C1140" t="s">
        <v>9018</v>
      </c>
      <c r="D1140">
        <v>33</v>
      </c>
      <c r="E1140" t="s">
        <v>9019</v>
      </c>
      <c r="F1140" t="s">
        <v>9020</v>
      </c>
      <c r="G1140" t="s">
        <v>226</v>
      </c>
      <c r="H1140" t="s">
        <v>76</v>
      </c>
      <c r="I1140" t="s">
        <v>227</v>
      </c>
      <c r="J1140" t="s">
        <v>78</v>
      </c>
      <c r="K1140" t="s">
        <v>8498</v>
      </c>
      <c r="L1140" t="s">
        <v>228</v>
      </c>
      <c r="M1140">
        <v>18</v>
      </c>
      <c r="N1140" t="s">
        <v>649</v>
      </c>
      <c r="O1140">
        <v>2010</v>
      </c>
      <c r="P1140" t="s">
        <v>9021</v>
      </c>
      <c r="Q1140" t="s">
        <v>9022</v>
      </c>
      <c r="R1140">
        <v>92947</v>
      </c>
      <c r="S1140" t="s">
        <v>9017</v>
      </c>
      <c r="T1140" t="s">
        <v>9023</v>
      </c>
      <c r="U1140">
        <v>1992</v>
      </c>
      <c r="V1140" t="s">
        <v>2154</v>
      </c>
      <c r="W1140">
        <v>1.85</v>
      </c>
      <c r="X1140" t="s">
        <v>76</v>
      </c>
      <c r="Y1140" t="s">
        <v>235</v>
      </c>
      <c r="Z1140" t="s">
        <v>87</v>
      </c>
      <c r="AA1140" t="s">
        <v>8498</v>
      </c>
      <c r="AB1140" s="1">
        <v>45846</v>
      </c>
      <c r="AC1140" t="s">
        <v>88</v>
      </c>
      <c r="AD1140" t="s">
        <v>89</v>
      </c>
      <c r="AE1140" t="s">
        <v>3415</v>
      </c>
      <c r="AF1140">
        <v>22</v>
      </c>
      <c r="AG1140" t="s">
        <v>91</v>
      </c>
      <c r="AH1140">
        <v>40307</v>
      </c>
      <c r="AI1140">
        <v>18</v>
      </c>
      <c r="AJ1140" t="s">
        <v>110</v>
      </c>
      <c r="AK1140">
        <v>18</v>
      </c>
      <c r="AL1140">
        <v>4</v>
      </c>
      <c r="AM1140">
        <v>54</v>
      </c>
      <c r="AN1140">
        <v>10</v>
      </c>
      <c r="AO1140">
        <v>3</v>
      </c>
      <c r="AP1140" t="s">
        <v>93</v>
      </c>
      <c r="AQ1140" t="s">
        <v>89</v>
      </c>
      <c r="AR1140" t="s">
        <v>89</v>
      </c>
      <c r="AS1140" t="s">
        <v>93</v>
      </c>
      <c r="AT1140" t="s">
        <v>89</v>
      </c>
      <c r="AU1140" t="s">
        <v>89</v>
      </c>
      <c r="AV1140" t="s">
        <v>89</v>
      </c>
      <c r="AW1140">
        <v>15</v>
      </c>
      <c r="AX1140">
        <v>5</v>
      </c>
      <c r="AY1140" t="s">
        <v>93</v>
      </c>
      <c r="AZ1140">
        <v>0</v>
      </c>
      <c r="BA1140">
        <v>0</v>
      </c>
      <c r="BB1140">
        <v>0</v>
      </c>
      <c r="BC1140">
        <v>0</v>
      </c>
      <c r="BD1140">
        <v>423</v>
      </c>
      <c r="BE1140">
        <v>33263</v>
      </c>
      <c r="BF1140">
        <v>7</v>
      </c>
      <c r="BG1140" t="s">
        <v>89</v>
      </c>
      <c r="BH1140">
        <v>423</v>
      </c>
      <c r="BI1140">
        <v>33263</v>
      </c>
      <c r="BJ1140">
        <v>7</v>
      </c>
      <c r="BK1140">
        <f t="shared" si="155"/>
        <v>423</v>
      </c>
      <c r="BL1140">
        <f t="shared" si="156"/>
        <v>33263</v>
      </c>
      <c r="BM1140">
        <f t="shared" si="157"/>
        <v>7</v>
      </c>
      <c r="BN1140">
        <f t="shared" si="158"/>
        <v>0</v>
      </c>
      <c r="BO1140">
        <f t="shared" si="159"/>
        <v>0</v>
      </c>
      <c r="BP1140">
        <f t="shared" si="160"/>
        <v>0</v>
      </c>
      <c r="BQ1140" t="s">
        <v>235</v>
      </c>
      <c r="BR1140" t="s">
        <v>140</v>
      </c>
      <c r="BS1140" s="1">
        <v>33691</v>
      </c>
      <c r="BT1140">
        <v>33</v>
      </c>
      <c r="BU1140" t="s">
        <v>89</v>
      </c>
      <c r="BV1140" t="s">
        <v>89</v>
      </c>
      <c r="BW1140">
        <v>15</v>
      </c>
      <c r="BX1140">
        <v>1992</v>
      </c>
      <c r="BY1140">
        <v>15</v>
      </c>
      <c r="BZ1140">
        <f t="shared" si="161"/>
        <v>0</v>
      </c>
      <c r="CA1140">
        <f t="shared" si="162"/>
        <v>0</v>
      </c>
      <c r="CB1140" t="b">
        <f t="shared" si="163"/>
        <v>1</v>
      </c>
    </row>
    <row r="1141" spans="1:80" x14ac:dyDescent="0.3">
      <c r="A1141" t="s">
        <v>9024</v>
      </c>
      <c r="B1141" t="s">
        <v>71</v>
      </c>
      <c r="C1141" t="s">
        <v>9025</v>
      </c>
      <c r="D1141">
        <v>33</v>
      </c>
      <c r="E1141" t="s">
        <v>6887</v>
      </c>
      <c r="F1141" t="s">
        <v>5324</v>
      </c>
      <c r="G1141" t="s">
        <v>226</v>
      </c>
      <c r="H1141" t="s">
        <v>76</v>
      </c>
      <c r="I1141" t="s">
        <v>9026</v>
      </c>
      <c r="J1141" t="s">
        <v>78</v>
      </c>
      <c r="K1141" t="s">
        <v>438</v>
      </c>
      <c r="L1141" t="s">
        <v>228</v>
      </c>
      <c r="M1141">
        <v>18</v>
      </c>
      <c r="N1141" t="s">
        <v>649</v>
      </c>
      <c r="O1141">
        <v>2010</v>
      </c>
      <c r="P1141" t="s">
        <v>9027</v>
      </c>
      <c r="Q1141" t="s">
        <v>9028</v>
      </c>
      <c r="R1141">
        <v>85370</v>
      </c>
      <c r="S1141" t="s">
        <v>9024</v>
      </c>
      <c r="T1141">
        <v>33787</v>
      </c>
      <c r="U1141">
        <v>1992</v>
      </c>
      <c r="V1141" t="s">
        <v>4715</v>
      </c>
      <c r="W1141">
        <v>1.78</v>
      </c>
      <c r="X1141" t="s">
        <v>76</v>
      </c>
      <c r="Y1141" t="s">
        <v>86</v>
      </c>
      <c r="Z1141" t="s">
        <v>87</v>
      </c>
      <c r="AA1141" t="s">
        <v>438</v>
      </c>
      <c r="AB1141" t="s">
        <v>1121</v>
      </c>
      <c r="AC1141" t="s">
        <v>170</v>
      </c>
      <c r="AD1141" t="s">
        <v>223</v>
      </c>
      <c r="AE1141" t="s">
        <v>2065</v>
      </c>
      <c r="AF1141">
        <v>19</v>
      </c>
      <c r="AG1141" t="s">
        <v>91</v>
      </c>
      <c r="AH1141">
        <v>40307</v>
      </c>
      <c r="AI1141">
        <v>18</v>
      </c>
      <c r="AJ1141" t="s">
        <v>110</v>
      </c>
      <c r="AK1141">
        <v>18</v>
      </c>
      <c r="AL1141">
        <v>37</v>
      </c>
      <c r="AM1141">
        <v>1157</v>
      </c>
      <c r="AN1141">
        <v>204</v>
      </c>
      <c r="AO1141">
        <v>14</v>
      </c>
      <c r="AP1141" t="s">
        <v>93</v>
      </c>
      <c r="AQ1141" t="s">
        <v>89</v>
      </c>
      <c r="AR1141" t="s">
        <v>89</v>
      </c>
      <c r="AS1141" t="s">
        <v>93</v>
      </c>
      <c r="AT1141" t="s">
        <v>89</v>
      </c>
      <c r="AU1141" t="s">
        <v>89</v>
      </c>
      <c r="AV1141" t="s">
        <v>89</v>
      </c>
      <c r="AW1141">
        <v>15</v>
      </c>
      <c r="AX1141">
        <v>8</v>
      </c>
      <c r="AY1141" t="s">
        <v>111</v>
      </c>
      <c r="AZ1141">
        <v>7</v>
      </c>
      <c r="BA1141">
        <v>11</v>
      </c>
      <c r="BB1141">
        <v>713</v>
      </c>
      <c r="BC1141">
        <v>1</v>
      </c>
      <c r="BD1141">
        <v>455</v>
      </c>
      <c r="BE1141">
        <v>29621</v>
      </c>
      <c r="BF1141">
        <v>25</v>
      </c>
      <c r="BG1141" t="s">
        <v>89</v>
      </c>
      <c r="BH1141">
        <v>466</v>
      </c>
      <c r="BI1141">
        <v>30334</v>
      </c>
      <c r="BJ1141">
        <v>26</v>
      </c>
      <c r="BK1141">
        <f t="shared" si="155"/>
        <v>466</v>
      </c>
      <c r="BL1141">
        <f t="shared" si="156"/>
        <v>30334</v>
      </c>
      <c r="BM1141">
        <f t="shared" si="157"/>
        <v>26</v>
      </c>
      <c r="BN1141">
        <f t="shared" si="158"/>
        <v>0</v>
      </c>
      <c r="BO1141">
        <f t="shared" si="159"/>
        <v>0</v>
      </c>
      <c r="BP1141">
        <f t="shared" si="160"/>
        <v>0</v>
      </c>
      <c r="BQ1141" t="s">
        <v>86</v>
      </c>
      <c r="BR1141" t="s">
        <v>94</v>
      </c>
      <c r="BS1141" t="s">
        <v>89</v>
      </c>
      <c r="BT1141">
        <v>34</v>
      </c>
      <c r="BU1141" t="s">
        <v>89</v>
      </c>
      <c r="BV1141" t="s">
        <v>89</v>
      </c>
      <c r="BW1141">
        <v>16</v>
      </c>
      <c r="BX1141">
        <v>1992</v>
      </c>
      <c r="BY1141">
        <v>15</v>
      </c>
      <c r="BZ1141">
        <f t="shared" si="161"/>
        <v>-1</v>
      </c>
      <c r="CA1141">
        <f t="shared" si="162"/>
        <v>1</v>
      </c>
      <c r="CB1141" t="b">
        <f t="shared" si="163"/>
        <v>0</v>
      </c>
    </row>
    <row r="1142" spans="1:80" x14ac:dyDescent="0.3">
      <c r="A1142" t="s">
        <v>9029</v>
      </c>
      <c r="B1142" t="s">
        <v>71</v>
      </c>
      <c r="C1142" t="s">
        <v>9030</v>
      </c>
      <c r="D1142">
        <v>32</v>
      </c>
      <c r="E1142">
        <v>33854</v>
      </c>
      <c r="F1142" t="s">
        <v>89</v>
      </c>
      <c r="G1142" t="s">
        <v>535</v>
      </c>
      <c r="H1142" t="s">
        <v>89</v>
      </c>
      <c r="I1142" t="s">
        <v>1548</v>
      </c>
      <c r="J1142" t="s">
        <v>89</v>
      </c>
      <c r="K1142" t="s">
        <v>89</v>
      </c>
      <c r="L1142" t="s">
        <v>228</v>
      </c>
      <c r="M1142">
        <v>17</v>
      </c>
      <c r="N1142" t="s">
        <v>301</v>
      </c>
      <c r="O1142">
        <v>2010</v>
      </c>
      <c r="P1142" t="s">
        <v>9031</v>
      </c>
      <c r="Q1142" t="s">
        <v>9032</v>
      </c>
      <c r="R1142">
        <v>187674</v>
      </c>
      <c r="S1142" t="s">
        <v>9033</v>
      </c>
      <c r="T1142" t="s">
        <v>9034</v>
      </c>
      <c r="U1142">
        <v>1992</v>
      </c>
      <c r="V1142" t="s">
        <v>304</v>
      </c>
      <c r="W1142">
        <v>1.69</v>
      </c>
      <c r="X1142" t="s">
        <v>76</v>
      </c>
      <c r="Y1142" t="s">
        <v>106</v>
      </c>
      <c r="Z1142" t="s">
        <v>392</v>
      </c>
      <c r="AA1142" t="s">
        <v>9035</v>
      </c>
      <c r="AB1142" s="1">
        <v>44203</v>
      </c>
      <c r="AC1142" t="s">
        <v>108</v>
      </c>
      <c r="AD1142" t="s">
        <v>89</v>
      </c>
      <c r="AE1142" t="s">
        <v>9036</v>
      </c>
      <c r="AF1142">
        <v>19</v>
      </c>
      <c r="AG1142" t="s">
        <v>91</v>
      </c>
      <c r="AH1142" t="s">
        <v>2065</v>
      </c>
      <c r="AI1142">
        <v>18</v>
      </c>
      <c r="AJ1142" t="s">
        <v>110</v>
      </c>
      <c r="AK1142">
        <v>18</v>
      </c>
      <c r="AL1142">
        <v>5</v>
      </c>
      <c r="AM1142">
        <v>750</v>
      </c>
      <c r="AN1142">
        <v>0</v>
      </c>
      <c r="AO1142">
        <v>2</v>
      </c>
      <c r="AP1142" t="s">
        <v>93</v>
      </c>
      <c r="AQ1142" t="s">
        <v>89</v>
      </c>
      <c r="AR1142" t="s">
        <v>89</v>
      </c>
      <c r="AS1142" t="s">
        <v>93</v>
      </c>
      <c r="AT1142" t="s">
        <v>89</v>
      </c>
      <c r="AU1142" t="s">
        <v>89</v>
      </c>
      <c r="AV1142" t="s">
        <v>89</v>
      </c>
      <c r="AW1142">
        <v>15</v>
      </c>
      <c r="AX1142" t="s">
        <v>89</v>
      </c>
      <c r="AY1142" t="s">
        <v>93</v>
      </c>
      <c r="AZ1142">
        <v>0</v>
      </c>
      <c r="BA1142">
        <v>0</v>
      </c>
      <c r="BB1142">
        <v>0</v>
      </c>
      <c r="BC1142">
        <v>0</v>
      </c>
      <c r="BD1142">
        <v>17</v>
      </c>
      <c r="BE1142">
        <v>716</v>
      </c>
      <c r="BF1142">
        <v>1</v>
      </c>
      <c r="BG1142" t="s">
        <v>89</v>
      </c>
      <c r="BH1142">
        <v>17</v>
      </c>
      <c r="BI1142">
        <v>716</v>
      </c>
      <c r="BJ1142">
        <v>1</v>
      </c>
      <c r="BK1142">
        <f t="shared" si="155"/>
        <v>17</v>
      </c>
      <c r="BL1142">
        <f t="shared" si="156"/>
        <v>716</v>
      </c>
      <c r="BM1142">
        <f t="shared" si="157"/>
        <v>1</v>
      </c>
      <c r="BN1142">
        <f t="shared" si="158"/>
        <v>0</v>
      </c>
      <c r="BO1142">
        <f t="shared" si="159"/>
        <v>0</v>
      </c>
      <c r="BP1142">
        <f t="shared" si="160"/>
        <v>0</v>
      </c>
      <c r="BQ1142" t="s">
        <v>106</v>
      </c>
      <c r="BR1142" t="s">
        <v>112</v>
      </c>
      <c r="BS1142" t="s">
        <v>89</v>
      </c>
      <c r="BT1142">
        <v>34</v>
      </c>
      <c r="BU1142" t="s">
        <v>89</v>
      </c>
      <c r="BV1142" t="s">
        <v>89</v>
      </c>
      <c r="BW1142">
        <v>16</v>
      </c>
      <c r="BX1142">
        <v>1992</v>
      </c>
      <c r="BY1142">
        <v>14</v>
      </c>
      <c r="BZ1142">
        <f t="shared" si="161"/>
        <v>-1</v>
      </c>
      <c r="CA1142">
        <f t="shared" si="162"/>
        <v>2</v>
      </c>
      <c r="CB1142" t="b">
        <f t="shared" si="163"/>
        <v>0</v>
      </c>
    </row>
    <row r="1143" spans="1:80" x14ac:dyDescent="0.3">
      <c r="A1143" t="s">
        <v>9029</v>
      </c>
      <c r="B1143" t="s">
        <v>89</v>
      </c>
      <c r="C1143" t="s">
        <v>9037</v>
      </c>
      <c r="D1143">
        <v>48</v>
      </c>
      <c r="E1143" s="1">
        <v>28268</v>
      </c>
      <c r="F1143" t="s">
        <v>89</v>
      </c>
      <c r="G1143" t="s">
        <v>334</v>
      </c>
      <c r="H1143" t="s">
        <v>76</v>
      </c>
      <c r="I1143" t="s">
        <v>227</v>
      </c>
      <c r="J1143" t="s">
        <v>89</v>
      </c>
      <c r="K1143" t="s">
        <v>89</v>
      </c>
      <c r="L1143" t="s">
        <v>2852</v>
      </c>
      <c r="M1143">
        <v>18</v>
      </c>
      <c r="N1143" t="s">
        <v>279</v>
      </c>
      <c r="O1143">
        <v>1995</v>
      </c>
      <c r="P1143" t="s">
        <v>9038</v>
      </c>
      <c r="Q1143" t="s">
        <v>9039</v>
      </c>
      <c r="R1143">
        <v>7544</v>
      </c>
      <c r="S1143" t="s">
        <v>9040</v>
      </c>
      <c r="T1143" t="s">
        <v>9041</v>
      </c>
      <c r="U1143">
        <v>1977</v>
      </c>
      <c r="V1143" t="s">
        <v>2811</v>
      </c>
      <c r="W1143">
        <v>1.91</v>
      </c>
      <c r="X1143" t="s">
        <v>76</v>
      </c>
      <c r="Y1143" t="s">
        <v>235</v>
      </c>
      <c r="Z1143" t="s">
        <v>87</v>
      </c>
      <c r="AA1143" t="s">
        <v>279</v>
      </c>
      <c r="AB1143" t="s">
        <v>9042</v>
      </c>
      <c r="AC1143" t="s">
        <v>108</v>
      </c>
      <c r="AD1143" t="s">
        <v>89</v>
      </c>
      <c r="AE1143" t="s">
        <v>9043</v>
      </c>
      <c r="AF1143">
        <v>18</v>
      </c>
      <c r="AG1143" t="s">
        <v>91</v>
      </c>
      <c r="AH1143" t="s">
        <v>869</v>
      </c>
      <c r="AI1143">
        <v>21</v>
      </c>
      <c r="AJ1143" t="s">
        <v>110</v>
      </c>
      <c r="AK1143">
        <v>18</v>
      </c>
      <c r="AL1143">
        <v>4</v>
      </c>
      <c r="AM1143">
        <v>113</v>
      </c>
      <c r="AN1143">
        <v>18</v>
      </c>
      <c r="AO1143">
        <v>3</v>
      </c>
      <c r="AP1143" t="s">
        <v>93</v>
      </c>
      <c r="AQ1143" t="s">
        <v>89</v>
      </c>
      <c r="AR1143" t="s">
        <v>89</v>
      </c>
      <c r="AS1143" t="s">
        <v>111</v>
      </c>
      <c r="AT1143" t="s">
        <v>9042</v>
      </c>
      <c r="AU1143">
        <v>2012</v>
      </c>
      <c r="AV1143">
        <v>17</v>
      </c>
      <c r="AW1143">
        <v>17</v>
      </c>
      <c r="AX1143" t="s">
        <v>89</v>
      </c>
      <c r="AY1143" t="s">
        <v>93</v>
      </c>
      <c r="AZ1143">
        <v>0</v>
      </c>
      <c r="BA1143">
        <v>0</v>
      </c>
      <c r="BB1143">
        <v>0</v>
      </c>
      <c r="BC1143">
        <v>0</v>
      </c>
      <c r="BD1143">
        <v>343</v>
      </c>
      <c r="BE1143">
        <v>28609</v>
      </c>
      <c r="BF1143">
        <v>10</v>
      </c>
      <c r="BG1143">
        <v>35</v>
      </c>
      <c r="BH1143">
        <v>343</v>
      </c>
      <c r="BI1143">
        <v>28609</v>
      </c>
      <c r="BJ1143">
        <v>10</v>
      </c>
      <c r="BK1143">
        <f t="shared" si="155"/>
        <v>343</v>
      </c>
      <c r="BL1143">
        <f t="shared" si="156"/>
        <v>28609</v>
      </c>
      <c r="BM1143">
        <f t="shared" si="157"/>
        <v>10</v>
      </c>
      <c r="BN1143">
        <f t="shared" si="158"/>
        <v>0</v>
      </c>
      <c r="BO1143">
        <f t="shared" si="159"/>
        <v>0</v>
      </c>
      <c r="BP1143">
        <f t="shared" si="160"/>
        <v>0</v>
      </c>
      <c r="BQ1143" t="s">
        <v>235</v>
      </c>
      <c r="BR1143" t="s">
        <v>140</v>
      </c>
      <c r="BS1143" t="s">
        <v>89</v>
      </c>
      <c r="BT1143">
        <v>49</v>
      </c>
      <c r="BU1143" t="s">
        <v>9042</v>
      </c>
      <c r="BV1143" s="1">
        <v>41203</v>
      </c>
      <c r="BW1143">
        <v>17</v>
      </c>
      <c r="BX1143">
        <v>1977</v>
      </c>
      <c r="BY1143">
        <v>17</v>
      </c>
      <c r="BZ1143">
        <f t="shared" si="161"/>
        <v>0</v>
      </c>
      <c r="CA1143">
        <f t="shared" si="162"/>
        <v>0</v>
      </c>
      <c r="CB1143" t="b">
        <f t="shared" si="163"/>
        <v>1</v>
      </c>
    </row>
    <row r="1144" spans="1:80" x14ac:dyDescent="0.3">
      <c r="A1144" t="s">
        <v>9029</v>
      </c>
      <c r="B1144" t="s">
        <v>89</v>
      </c>
      <c r="C1144" t="s">
        <v>9044</v>
      </c>
      <c r="D1144">
        <v>48</v>
      </c>
      <c r="E1144">
        <v>28074</v>
      </c>
      <c r="F1144" t="s">
        <v>89</v>
      </c>
      <c r="G1144" t="s">
        <v>400</v>
      </c>
      <c r="H1144" t="s">
        <v>76</v>
      </c>
      <c r="I1144" t="s">
        <v>750</v>
      </c>
      <c r="J1144" t="s">
        <v>89</v>
      </c>
      <c r="K1144" t="s">
        <v>89</v>
      </c>
      <c r="L1144" t="s">
        <v>2852</v>
      </c>
      <c r="M1144">
        <v>18</v>
      </c>
      <c r="N1144" t="s">
        <v>146</v>
      </c>
      <c r="O1144">
        <v>1995</v>
      </c>
      <c r="P1144" t="s">
        <v>9045</v>
      </c>
      <c r="Q1144" t="s">
        <v>9046</v>
      </c>
      <c r="R1144">
        <v>7500</v>
      </c>
      <c r="S1144" t="s">
        <v>9029</v>
      </c>
      <c r="T1144" t="s">
        <v>9047</v>
      </c>
      <c r="U1144">
        <v>1976</v>
      </c>
      <c r="V1144" t="s">
        <v>673</v>
      </c>
      <c r="W1144">
        <v>1.82</v>
      </c>
      <c r="X1144" t="s">
        <v>76</v>
      </c>
      <c r="Y1144" t="s">
        <v>86</v>
      </c>
      <c r="Z1144" t="s">
        <v>87</v>
      </c>
      <c r="AA1144" t="s">
        <v>751</v>
      </c>
      <c r="AB1144" s="1">
        <v>40551</v>
      </c>
      <c r="AC1144" t="s">
        <v>108</v>
      </c>
      <c r="AD1144" t="s">
        <v>89</v>
      </c>
      <c r="AE1144" s="1">
        <v>36133</v>
      </c>
      <c r="AF1144">
        <v>21</v>
      </c>
      <c r="AG1144" t="s">
        <v>91</v>
      </c>
      <c r="AH1144" t="s">
        <v>92</v>
      </c>
      <c r="AI1144" t="s">
        <v>89</v>
      </c>
      <c r="AJ1144" t="s">
        <v>92</v>
      </c>
      <c r="AK1144">
        <v>21</v>
      </c>
      <c r="AL1144">
        <v>1</v>
      </c>
      <c r="AM1144">
        <v>75</v>
      </c>
      <c r="AN1144">
        <v>15</v>
      </c>
      <c r="AO1144">
        <v>1</v>
      </c>
      <c r="AP1144" t="s">
        <v>93</v>
      </c>
      <c r="AQ1144" t="s">
        <v>89</v>
      </c>
      <c r="AR1144" t="s">
        <v>89</v>
      </c>
      <c r="AS1144" t="s">
        <v>111</v>
      </c>
      <c r="AT1144">
        <v>40551</v>
      </c>
      <c r="AU1144">
        <v>2011</v>
      </c>
      <c r="AV1144">
        <v>16</v>
      </c>
      <c r="AW1144">
        <v>16</v>
      </c>
      <c r="AX1144" t="s">
        <v>89</v>
      </c>
      <c r="AY1144" t="s">
        <v>111</v>
      </c>
      <c r="AZ1144">
        <v>1</v>
      </c>
      <c r="BA1144">
        <v>1</v>
      </c>
      <c r="BB1144">
        <v>38</v>
      </c>
      <c r="BC1144">
        <v>0</v>
      </c>
      <c r="BD1144">
        <v>467</v>
      </c>
      <c r="BE1144">
        <v>35563</v>
      </c>
      <c r="BF1144">
        <v>39</v>
      </c>
      <c r="BG1144">
        <v>35</v>
      </c>
      <c r="BH1144">
        <v>468</v>
      </c>
      <c r="BI1144">
        <v>35601</v>
      </c>
      <c r="BJ1144">
        <v>39</v>
      </c>
      <c r="BK1144">
        <f t="shared" si="155"/>
        <v>468</v>
      </c>
      <c r="BL1144">
        <f t="shared" si="156"/>
        <v>35601</v>
      </c>
      <c r="BM1144">
        <f t="shared" si="157"/>
        <v>39</v>
      </c>
      <c r="BN1144">
        <f t="shared" si="158"/>
        <v>0</v>
      </c>
      <c r="BO1144">
        <f t="shared" si="159"/>
        <v>0</v>
      </c>
      <c r="BP1144">
        <f t="shared" si="160"/>
        <v>0</v>
      </c>
      <c r="BQ1144" t="s">
        <v>86</v>
      </c>
      <c r="BR1144" t="s">
        <v>94</v>
      </c>
      <c r="BS1144" t="s">
        <v>89</v>
      </c>
      <c r="BT1144">
        <v>50</v>
      </c>
      <c r="BU1144">
        <v>40551</v>
      </c>
      <c r="BV1144" t="s">
        <v>89</v>
      </c>
      <c r="BW1144">
        <v>14</v>
      </c>
      <c r="BX1144">
        <v>1976</v>
      </c>
      <c r="BY1144">
        <v>14</v>
      </c>
      <c r="BZ1144">
        <f t="shared" si="161"/>
        <v>2</v>
      </c>
      <c r="CA1144">
        <f t="shared" si="162"/>
        <v>0</v>
      </c>
      <c r="CB1144" t="b">
        <f t="shared" si="163"/>
        <v>0</v>
      </c>
    </row>
    <row r="1145" spans="1:80" x14ac:dyDescent="0.3">
      <c r="A1145" t="s">
        <v>9048</v>
      </c>
      <c r="B1145" t="s">
        <v>71</v>
      </c>
      <c r="C1145" t="s">
        <v>9049</v>
      </c>
      <c r="D1145">
        <v>38</v>
      </c>
      <c r="E1145" s="1">
        <v>31627</v>
      </c>
      <c r="F1145" t="s">
        <v>89</v>
      </c>
      <c r="G1145" t="s">
        <v>160</v>
      </c>
      <c r="H1145" t="s">
        <v>89</v>
      </c>
      <c r="I1145" t="s">
        <v>178</v>
      </c>
      <c r="J1145" t="s">
        <v>78</v>
      </c>
      <c r="K1145" t="s">
        <v>89</v>
      </c>
      <c r="L1145" t="s">
        <v>228</v>
      </c>
      <c r="M1145">
        <v>23</v>
      </c>
      <c r="N1145" t="s">
        <v>289</v>
      </c>
      <c r="O1145">
        <v>2010</v>
      </c>
      <c r="P1145" t="s">
        <v>9050</v>
      </c>
      <c r="Q1145" t="s">
        <v>9051</v>
      </c>
      <c r="R1145">
        <v>45912</v>
      </c>
      <c r="S1145" t="s">
        <v>9048</v>
      </c>
      <c r="T1145">
        <v>31479</v>
      </c>
      <c r="U1145">
        <v>1986</v>
      </c>
      <c r="V1145" t="s">
        <v>9052</v>
      </c>
      <c r="W1145">
        <v>1.79</v>
      </c>
      <c r="X1145" t="s">
        <v>76</v>
      </c>
      <c r="Y1145" t="s">
        <v>186</v>
      </c>
      <c r="Z1145" t="s">
        <v>87</v>
      </c>
      <c r="AA1145" t="s">
        <v>1768</v>
      </c>
      <c r="AB1145" s="1">
        <v>44203</v>
      </c>
      <c r="AC1145" t="s">
        <v>108</v>
      </c>
      <c r="AD1145" t="s">
        <v>89</v>
      </c>
      <c r="AE1145">
        <v>41039</v>
      </c>
      <c r="AF1145">
        <v>26</v>
      </c>
      <c r="AG1145" t="s">
        <v>91</v>
      </c>
      <c r="AH1145">
        <v>40639</v>
      </c>
      <c r="AI1145">
        <v>24</v>
      </c>
      <c r="AJ1145" t="s">
        <v>110</v>
      </c>
      <c r="AK1145">
        <v>24</v>
      </c>
      <c r="AL1145">
        <v>3</v>
      </c>
      <c r="AM1145">
        <v>2031</v>
      </c>
      <c r="AN1145">
        <v>57</v>
      </c>
      <c r="AO1145">
        <v>1</v>
      </c>
      <c r="AP1145" t="s">
        <v>93</v>
      </c>
      <c r="AQ1145" t="s">
        <v>89</v>
      </c>
      <c r="AR1145" t="s">
        <v>89</v>
      </c>
      <c r="AS1145" t="s">
        <v>111</v>
      </c>
      <c r="AT1145">
        <v>44203</v>
      </c>
      <c r="AU1145">
        <v>2021</v>
      </c>
      <c r="AV1145">
        <v>11</v>
      </c>
      <c r="AW1145">
        <v>11</v>
      </c>
      <c r="AX1145" t="s">
        <v>89</v>
      </c>
      <c r="AY1145" t="s">
        <v>93</v>
      </c>
      <c r="AZ1145">
        <v>0</v>
      </c>
      <c r="BA1145">
        <v>0</v>
      </c>
      <c r="BB1145">
        <v>0</v>
      </c>
      <c r="BC1145">
        <v>0</v>
      </c>
      <c r="BD1145">
        <v>179</v>
      </c>
      <c r="BE1145">
        <v>15636</v>
      </c>
      <c r="BF1145">
        <v>0</v>
      </c>
      <c r="BG1145">
        <v>35</v>
      </c>
      <c r="BH1145">
        <v>179</v>
      </c>
      <c r="BI1145">
        <v>15636</v>
      </c>
      <c r="BJ1145">
        <v>0</v>
      </c>
      <c r="BK1145">
        <f t="shared" si="155"/>
        <v>179</v>
      </c>
      <c r="BL1145">
        <f t="shared" si="156"/>
        <v>15636</v>
      </c>
      <c r="BM1145">
        <f t="shared" si="157"/>
        <v>0</v>
      </c>
      <c r="BN1145">
        <f t="shared" si="158"/>
        <v>0</v>
      </c>
      <c r="BO1145">
        <f t="shared" si="159"/>
        <v>0</v>
      </c>
      <c r="BP1145">
        <f t="shared" si="160"/>
        <v>0</v>
      </c>
      <c r="BQ1145" t="s">
        <v>186</v>
      </c>
      <c r="BR1145" t="s">
        <v>186</v>
      </c>
      <c r="BS1145" t="s">
        <v>89</v>
      </c>
      <c r="BT1145">
        <v>40</v>
      </c>
      <c r="BU1145">
        <v>44203</v>
      </c>
      <c r="BV1145" t="s">
        <v>89</v>
      </c>
      <c r="BW1145">
        <v>11</v>
      </c>
      <c r="BX1145">
        <v>1986</v>
      </c>
      <c r="BY1145">
        <v>11</v>
      </c>
      <c r="BZ1145">
        <f t="shared" si="161"/>
        <v>0</v>
      </c>
      <c r="CA1145">
        <f t="shared" si="162"/>
        <v>0</v>
      </c>
      <c r="CB1145" t="b">
        <f t="shared" si="163"/>
        <v>1</v>
      </c>
    </row>
    <row r="1146" spans="1:80" x14ac:dyDescent="0.3">
      <c r="A1146" t="s">
        <v>9048</v>
      </c>
      <c r="B1146" t="s">
        <v>89</v>
      </c>
      <c r="C1146" t="s">
        <v>9053</v>
      </c>
      <c r="D1146">
        <v>33</v>
      </c>
      <c r="E1146" s="1">
        <v>33626</v>
      </c>
      <c r="F1146" t="s">
        <v>9054</v>
      </c>
      <c r="G1146" t="s">
        <v>115</v>
      </c>
      <c r="H1146" t="s">
        <v>76</v>
      </c>
      <c r="I1146" t="s">
        <v>453</v>
      </c>
      <c r="J1146" t="s">
        <v>78</v>
      </c>
      <c r="K1146" t="s">
        <v>1181</v>
      </c>
      <c r="L1146" t="s">
        <v>254</v>
      </c>
      <c r="M1146">
        <v>17</v>
      </c>
      <c r="N1146" t="s">
        <v>279</v>
      </c>
      <c r="O1146">
        <v>2009</v>
      </c>
      <c r="P1146" t="s">
        <v>9055</v>
      </c>
      <c r="Q1146" t="s">
        <v>9051</v>
      </c>
      <c r="R1146">
        <v>138935</v>
      </c>
      <c r="S1146" t="s">
        <v>9048</v>
      </c>
      <c r="T1146" t="s">
        <v>9056</v>
      </c>
      <c r="U1146">
        <v>1992</v>
      </c>
      <c r="V1146" t="s">
        <v>2811</v>
      </c>
      <c r="W1146">
        <v>1.83</v>
      </c>
      <c r="X1146" t="s">
        <v>76</v>
      </c>
      <c r="Y1146" t="s">
        <v>259</v>
      </c>
      <c r="Z1146" t="s">
        <v>87</v>
      </c>
      <c r="AA1146" t="s">
        <v>1186</v>
      </c>
      <c r="AB1146" t="s">
        <v>9057</v>
      </c>
      <c r="AC1146" t="s">
        <v>170</v>
      </c>
      <c r="AD1146" t="s">
        <v>89</v>
      </c>
      <c r="AE1146" t="s">
        <v>5999</v>
      </c>
      <c r="AF1146">
        <v>18</v>
      </c>
      <c r="AG1146" t="s">
        <v>91</v>
      </c>
      <c r="AH1146" t="s">
        <v>2406</v>
      </c>
      <c r="AI1146">
        <v>21</v>
      </c>
      <c r="AJ1146" t="s">
        <v>110</v>
      </c>
      <c r="AK1146">
        <v>18</v>
      </c>
      <c r="AL1146">
        <v>5</v>
      </c>
      <c r="AM1146">
        <v>235</v>
      </c>
      <c r="AN1146">
        <v>31</v>
      </c>
      <c r="AO1146">
        <v>4</v>
      </c>
      <c r="AP1146" t="s">
        <v>93</v>
      </c>
      <c r="AQ1146" t="s">
        <v>89</v>
      </c>
      <c r="AR1146" t="s">
        <v>89</v>
      </c>
      <c r="AS1146" t="s">
        <v>93</v>
      </c>
      <c r="AT1146" t="s">
        <v>89</v>
      </c>
      <c r="AU1146" t="s">
        <v>89</v>
      </c>
      <c r="AV1146" t="s">
        <v>89</v>
      </c>
      <c r="AW1146">
        <v>16</v>
      </c>
      <c r="AX1146">
        <v>6</v>
      </c>
      <c r="AY1146" t="s">
        <v>93</v>
      </c>
      <c r="AZ1146">
        <v>0</v>
      </c>
      <c r="BA1146">
        <v>0</v>
      </c>
      <c r="BB1146">
        <v>0</v>
      </c>
      <c r="BC1146">
        <v>0</v>
      </c>
      <c r="BD1146">
        <v>400</v>
      </c>
      <c r="BE1146">
        <v>30103</v>
      </c>
      <c r="BF1146">
        <v>13</v>
      </c>
      <c r="BG1146" t="s">
        <v>89</v>
      </c>
      <c r="BH1146">
        <v>400</v>
      </c>
      <c r="BI1146">
        <v>30103</v>
      </c>
      <c r="BJ1146">
        <v>13</v>
      </c>
      <c r="BK1146">
        <f t="shared" si="155"/>
        <v>400</v>
      </c>
      <c r="BL1146">
        <f t="shared" si="156"/>
        <v>30103</v>
      </c>
      <c r="BM1146">
        <f t="shared" si="157"/>
        <v>13</v>
      </c>
      <c r="BN1146">
        <f t="shared" si="158"/>
        <v>0</v>
      </c>
      <c r="BO1146">
        <f t="shared" si="159"/>
        <v>0</v>
      </c>
      <c r="BP1146">
        <f t="shared" si="160"/>
        <v>0</v>
      </c>
      <c r="BQ1146" t="s">
        <v>259</v>
      </c>
      <c r="BR1146" t="s">
        <v>94</v>
      </c>
      <c r="BS1146" t="s">
        <v>89</v>
      </c>
      <c r="BT1146">
        <v>34</v>
      </c>
      <c r="BU1146" t="s">
        <v>89</v>
      </c>
      <c r="BV1146" t="s">
        <v>89</v>
      </c>
      <c r="BW1146">
        <v>16</v>
      </c>
      <c r="BX1146">
        <v>1992</v>
      </c>
      <c r="BY1146">
        <v>15</v>
      </c>
      <c r="BZ1146">
        <f t="shared" si="161"/>
        <v>0</v>
      </c>
      <c r="CA1146">
        <f t="shared" si="162"/>
        <v>1</v>
      </c>
      <c r="CB1146" t="b">
        <f t="shared" si="163"/>
        <v>1</v>
      </c>
    </row>
    <row r="1147" spans="1:80" ht="57.6" x14ac:dyDescent="0.3">
      <c r="A1147" t="s">
        <v>9058</v>
      </c>
      <c r="B1147" t="s">
        <v>71</v>
      </c>
      <c r="C1147" t="s">
        <v>9059</v>
      </c>
      <c r="D1147">
        <v>36</v>
      </c>
      <c r="E1147" s="1">
        <v>32568</v>
      </c>
      <c r="F1147" t="s">
        <v>89</v>
      </c>
      <c r="G1147" t="s">
        <v>89</v>
      </c>
      <c r="H1147" t="s">
        <v>89</v>
      </c>
      <c r="I1147" t="s">
        <v>1548</v>
      </c>
      <c r="J1147" t="s">
        <v>89</v>
      </c>
      <c r="K1147" t="s">
        <v>89</v>
      </c>
      <c r="L1147" t="s">
        <v>228</v>
      </c>
      <c r="M1147">
        <v>21</v>
      </c>
      <c r="N1147" t="s">
        <v>751</v>
      </c>
      <c r="O1147">
        <v>2010</v>
      </c>
      <c r="P1147" t="s">
        <v>9060</v>
      </c>
      <c r="Q1147" t="s">
        <v>9061</v>
      </c>
      <c r="R1147">
        <v>170741</v>
      </c>
      <c r="S1147" s="2" t="s">
        <v>9062</v>
      </c>
      <c r="T1147">
        <v>32511</v>
      </c>
      <c r="U1147">
        <v>1989</v>
      </c>
      <c r="V1147" t="s">
        <v>214</v>
      </c>
      <c r="W1147">
        <v>1.76</v>
      </c>
      <c r="X1147" t="s">
        <v>76</v>
      </c>
      <c r="Y1147" t="s">
        <v>123</v>
      </c>
      <c r="Z1147" t="s">
        <v>392</v>
      </c>
      <c r="AA1147" t="s">
        <v>9063</v>
      </c>
      <c r="AB1147" s="1">
        <v>43107</v>
      </c>
      <c r="AC1147" t="s">
        <v>108</v>
      </c>
      <c r="AD1147" t="s">
        <v>89</v>
      </c>
      <c r="AE1147" t="s">
        <v>4057</v>
      </c>
      <c r="AF1147">
        <v>21</v>
      </c>
      <c r="AG1147" t="s">
        <v>91</v>
      </c>
      <c r="AH1147" t="s">
        <v>89</v>
      </c>
      <c r="AI1147" t="s">
        <v>89</v>
      </c>
      <c r="AJ1147" t="s">
        <v>89</v>
      </c>
      <c r="AK1147">
        <v>21</v>
      </c>
      <c r="AL1147" t="s">
        <v>89</v>
      </c>
      <c r="AM1147" t="s">
        <v>89</v>
      </c>
      <c r="AN1147" t="s">
        <v>89</v>
      </c>
      <c r="AO1147">
        <v>0</v>
      </c>
      <c r="AP1147" t="s">
        <v>93</v>
      </c>
      <c r="AQ1147" t="s">
        <v>89</v>
      </c>
      <c r="AR1147" t="s">
        <v>89</v>
      </c>
      <c r="AS1147" t="s">
        <v>111</v>
      </c>
      <c r="AT1147" s="1">
        <v>43107</v>
      </c>
      <c r="AU1147">
        <v>2018</v>
      </c>
      <c r="AV1147">
        <v>8</v>
      </c>
      <c r="AW1147">
        <v>8</v>
      </c>
      <c r="AX1147" t="s">
        <v>89</v>
      </c>
      <c r="AY1147" t="s">
        <v>93</v>
      </c>
      <c r="AZ1147">
        <v>0</v>
      </c>
      <c r="BA1147">
        <v>0</v>
      </c>
      <c r="BB1147">
        <v>0</v>
      </c>
      <c r="BC1147">
        <v>0</v>
      </c>
      <c r="BD1147">
        <v>1</v>
      </c>
      <c r="BE1147">
        <v>5</v>
      </c>
      <c r="BF1147">
        <v>0</v>
      </c>
      <c r="BG1147">
        <v>29</v>
      </c>
      <c r="BH1147">
        <v>1</v>
      </c>
      <c r="BI1147">
        <v>5</v>
      </c>
      <c r="BJ1147">
        <v>0</v>
      </c>
      <c r="BK1147">
        <f t="shared" si="155"/>
        <v>1</v>
      </c>
      <c r="BL1147">
        <f t="shared" si="156"/>
        <v>5</v>
      </c>
      <c r="BM1147">
        <f t="shared" si="157"/>
        <v>0</v>
      </c>
      <c r="BN1147">
        <f t="shared" si="158"/>
        <v>0</v>
      </c>
      <c r="BO1147">
        <f t="shared" si="159"/>
        <v>0</v>
      </c>
      <c r="BP1147">
        <f t="shared" si="160"/>
        <v>0</v>
      </c>
      <c r="BQ1147" t="s">
        <v>123</v>
      </c>
      <c r="BR1147" t="s">
        <v>112</v>
      </c>
      <c r="BS1147" t="s">
        <v>89</v>
      </c>
      <c r="BT1147">
        <v>37</v>
      </c>
      <c r="BU1147" s="1">
        <v>43107</v>
      </c>
      <c r="BV1147" s="1">
        <v>43282</v>
      </c>
      <c r="BW1147">
        <v>8</v>
      </c>
      <c r="BX1147">
        <v>1989</v>
      </c>
      <c r="BY1147">
        <v>8</v>
      </c>
      <c r="BZ1147">
        <f t="shared" si="161"/>
        <v>0</v>
      </c>
      <c r="CA1147">
        <f t="shared" si="162"/>
        <v>0</v>
      </c>
      <c r="CB1147" t="b">
        <f t="shared" si="163"/>
        <v>1</v>
      </c>
    </row>
    <row r="1148" spans="1:80" x14ac:dyDescent="0.3">
      <c r="A1148" t="s">
        <v>9064</v>
      </c>
      <c r="B1148" t="s">
        <v>156</v>
      </c>
      <c r="C1148" t="s">
        <v>9065</v>
      </c>
      <c r="D1148">
        <v>37</v>
      </c>
      <c r="E1148">
        <v>32296</v>
      </c>
      <c r="F1148" t="s">
        <v>89</v>
      </c>
      <c r="G1148" t="s">
        <v>518</v>
      </c>
      <c r="H1148" t="s">
        <v>177</v>
      </c>
      <c r="I1148" t="s">
        <v>437</v>
      </c>
      <c r="J1148" t="s">
        <v>78</v>
      </c>
      <c r="K1148" t="s">
        <v>89</v>
      </c>
      <c r="L1148" t="s">
        <v>163</v>
      </c>
      <c r="M1148">
        <v>18</v>
      </c>
      <c r="N1148" t="s">
        <v>81</v>
      </c>
      <c r="O1148">
        <v>2006</v>
      </c>
      <c r="P1148" t="s">
        <v>9066</v>
      </c>
      <c r="Q1148" t="s">
        <v>9067</v>
      </c>
      <c r="R1148">
        <v>26399</v>
      </c>
      <c r="S1148" t="s">
        <v>9064</v>
      </c>
      <c r="T1148">
        <v>32179</v>
      </c>
      <c r="U1148">
        <v>1988</v>
      </c>
      <c r="V1148" t="s">
        <v>2986</v>
      </c>
      <c r="W1148">
        <v>1.73</v>
      </c>
      <c r="X1148" t="s">
        <v>219</v>
      </c>
      <c r="Y1148" t="s">
        <v>123</v>
      </c>
      <c r="Z1148" t="s">
        <v>87</v>
      </c>
      <c r="AA1148" t="s">
        <v>644</v>
      </c>
      <c r="AB1148" t="s">
        <v>9068</v>
      </c>
      <c r="AC1148" t="s">
        <v>108</v>
      </c>
      <c r="AD1148" t="s">
        <v>395</v>
      </c>
      <c r="AE1148">
        <v>37779</v>
      </c>
      <c r="AF1148">
        <v>15</v>
      </c>
      <c r="AG1148" t="s">
        <v>171</v>
      </c>
      <c r="AH1148" t="s">
        <v>92</v>
      </c>
      <c r="AI1148" t="s">
        <v>89</v>
      </c>
      <c r="AJ1148" t="s">
        <v>92</v>
      </c>
      <c r="AK1148">
        <v>15</v>
      </c>
      <c r="AL1148">
        <v>27</v>
      </c>
      <c r="AM1148">
        <v>750</v>
      </c>
      <c r="AN1148">
        <v>141</v>
      </c>
      <c r="AO1148">
        <v>10</v>
      </c>
      <c r="AP1148" t="s">
        <v>93</v>
      </c>
      <c r="AQ1148" t="s">
        <v>89</v>
      </c>
      <c r="AR1148" t="s">
        <v>89</v>
      </c>
      <c r="AS1148" t="s">
        <v>111</v>
      </c>
      <c r="AT1148" t="s">
        <v>9068</v>
      </c>
      <c r="AU1148">
        <v>2021</v>
      </c>
      <c r="AV1148">
        <v>15</v>
      </c>
      <c r="AW1148">
        <v>15</v>
      </c>
      <c r="AX1148" t="s">
        <v>89</v>
      </c>
      <c r="AY1148" t="s">
        <v>111</v>
      </c>
      <c r="AZ1148">
        <v>12</v>
      </c>
      <c r="BA1148">
        <v>41</v>
      </c>
      <c r="BB1148">
        <v>2329</v>
      </c>
      <c r="BC1148">
        <v>19</v>
      </c>
      <c r="BD1148">
        <v>588</v>
      </c>
      <c r="BE1148">
        <v>42273</v>
      </c>
      <c r="BF1148">
        <v>338</v>
      </c>
      <c r="BG1148">
        <v>33</v>
      </c>
      <c r="BH1148">
        <v>629</v>
      </c>
      <c r="BI1148">
        <v>44602</v>
      </c>
      <c r="BJ1148">
        <v>357</v>
      </c>
      <c r="BK1148">
        <f t="shared" si="155"/>
        <v>629</v>
      </c>
      <c r="BL1148">
        <f t="shared" si="156"/>
        <v>44602</v>
      </c>
      <c r="BM1148">
        <f t="shared" si="157"/>
        <v>357</v>
      </c>
      <c r="BN1148">
        <f t="shared" si="158"/>
        <v>0</v>
      </c>
      <c r="BO1148">
        <f t="shared" si="159"/>
        <v>0</v>
      </c>
      <c r="BP1148">
        <f t="shared" si="160"/>
        <v>0</v>
      </c>
      <c r="BQ1148" t="s">
        <v>123</v>
      </c>
      <c r="BR1148" t="s">
        <v>112</v>
      </c>
      <c r="BS1148" t="s">
        <v>89</v>
      </c>
      <c r="BT1148">
        <v>38</v>
      </c>
      <c r="BU1148" t="s">
        <v>9068</v>
      </c>
      <c r="BV1148" s="1">
        <v>44545</v>
      </c>
      <c r="BW1148">
        <v>18</v>
      </c>
      <c r="BX1148">
        <v>1988</v>
      </c>
      <c r="BY1148">
        <v>18</v>
      </c>
      <c r="BZ1148">
        <f t="shared" si="161"/>
        <v>-3</v>
      </c>
      <c r="CA1148">
        <f t="shared" si="162"/>
        <v>0</v>
      </c>
      <c r="CB1148" t="b">
        <f t="shared" si="163"/>
        <v>0</v>
      </c>
    </row>
    <row r="1149" spans="1:80" x14ac:dyDescent="0.3">
      <c r="A1149" t="s">
        <v>9069</v>
      </c>
      <c r="B1149" t="s">
        <v>71</v>
      </c>
      <c r="C1149" t="s">
        <v>9070</v>
      </c>
      <c r="D1149">
        <v>36</v>
      </c>
      <c r="E1149" s="1">
        <v>32687</v>
      </c>
      <c r="F1149" t="s">
        <v>89</v>
      </c>
      <c r="G1149" t="s">
        <v>374</v>
      </c>
      <c r="H1149" t="s">
        <v>76</v>
      </c>
      <c r="I1149" t="s">
        <v>178</v>
      </c>
      <c r="J1149" t="s">
        <v>78</v>
      </c>
      <c r="K1149" t="s">
        <v>89</v>
      </c>
      <c r="L1149" t="s">
        <v>180</v>
      </c>
      <c r="M1149">
        <v>18</v>
      </c>
      <c r="N1149" t="s">
        <v>100</v>
      </c>
      <c r="O1149">
        <v>2007</v>
      </c>
      <c r="P1149" t="s">
        <v>9071</v>
      </c>
      <c r="Q1149" t="s">
        <v>9072</v>
      </c>
      <c r="R1149">
        <v>51710</v>
      </c>
      <c r="S1149" t="s">
        <v>9069</v>
      </c>
      <c r="T1149" t="s">
        <v>9073</v>
      </c>
      <c r="U1149">
        <v>1989</v>
      </c>
      <c r="V1149" t="s">
        <v>9074</v>
      </c>
      <c r="W1149">
        <v>1.89</v>
      </c>
      <c r="X1149" t="s">
        <v>76</v>
      </c>
      <c r="Y1149" t="s">
        <v>186</v>
      </c>
      <c r="Z1149" t="s">
        <v>87</v>
      </c>
      <c r="AA1149" t="s">
        <v>107</v>
      </c>
      <c r="AB1149" s="1">
        <v>44935</v>
      </c>
      <c r="AC1149" t="s">
        <v>108</v>
      </c>
      <c r="AD1149" t="s">
        <v>89</v>
      </c>
      <c r="AE1149" s="1">
        <v>39125</v>
      </c>
      <c r="AF1149">
        <v>18</v>
      </c>
      <c r="AG1149" t="s">
        <v>91</v>
      </c>
      <c r="AH1149" t="s">
        <v>92</v>
      </c>
      <c r="AI1149" t="s">
        <v>89</v>
      </c>
      <c r="AJ1149" t="s">
        <v>92</v>
      </c>
      <c r="AK1149">
        <v>18</v>
      </c>
      <c r="AL1149">
        <v>9</v>
      </c>
      <c r="AM1149">
        <v>1079</v>
      </c>
      <c r="AN1149">
        <v>168</v>
      </c>
      <c r="AO1149">
        <v>8</v>
      </c>
      <c r="AP1149" t="s">
        <v>93</v>
      </c>
      <c r="AQ1149" t="s">
        <v>89</v>
      </c>
      <c r="AR1149" t="s">
        <v>89</v>
      </c>
      <c r="AS1149" t="s">
        <v>111</v>
      </c>
      <c r="AT1149" s="1">
        <v>44935</v>
      </c>
      <c r="AU1149">
        <v>2023</v>
      </c>
      <c r="AV1149">
        <v>16</v>
      </c>
      <c r="AW1149">
        <v>16</v>
      </c>
      <c r="AX1149" t="s">
        <v>89</v>
      </c>
      <c r="AY1149" t="s">
        <v>111</v>
      </c>
      <c r="AZ1149">
        <v>4</v>
      </c>
      <c r="BA1149">
        <v>1</v>
      </c>
      <c r="BB1149">
        <v>90</v>
      </c>
      <c r="BC1149">
        <v>0</v>
      </c>
      <c r="BD1149">
        <v>353</v>
      </c>
      <c r="BE1149">
        <v>31467</v>
      </c>
      <c r="BF1149">
        <v>0</v>
      </c>
      <c r="BG1149">
        <v>34</v>
      </c>
      <c r="BH1149">
        <v>354</v>
      </c>
      <c r="BI1149">
        <v>31557</v>
      </c>
      <c r="BJ1149">
        <v>0</v>
      </c>
      <c r="BK1149">
        <f t="shared" si="155"/>
        <v>354</v>
      </c>
      <c r="BL1149">
        <f t="shared" si="156"/>
        <v>31557</v>
      </c>
      <c r="BM1149">
        <f t="shared" si="157"/>
        <v>0</v>
      </c>
      <c r="BN1149">
        <f t="shared" si="158"/>
        <v>0</v>
      </c>
      <c r="BO1149">
        <f t="shared" si="159"/>
        <v>0</v>
      </c>
      <c r="BP1149">
        <f t="shared" si="160"/>
        <v>0</v>
      </c>
      <c r="BQ1149" t="s">
        <v>186</v>
      </c>
      <c r="BR1149" t="s">
        <v>186</v>
      </c>
      <c r="BS1149" s="1">
        <v>32687</v>
      </c>
      <c r="BT1149">
        <v>36</v>
      </c>
      <c r="BU1149" s="1">
        <v>44935</v>
      </c>
      <c r="BV1149" s="1">
        <v>45170</v>
      </c>
      <c r="BW1149">
        <v>16</v>
      </c>
      <c r="BX1149">
        <v>1989</v>
      </c>
      <c r="BY1149">
        <v>16</v>
      </c>
      <c r="BZ1149">
        <f t="shared" si="161"/>
        <v>0</v>
      </c>
      <c r="CA1149">
        <f t="shared" si="162"/>
        <v>0</v>
      </c>
      <c r="CB1149" t="b">
        <f t="shared" si="163"/>
        <v>1</v>
      </c>
    </row>
    <row r="1150" spans="1:80" x14ac:dyDescent="0.3">
      <c r="A1150" t="s">
        <v>9075</v>
      </c>
      <c r="B1150" t="s">
        <v>71</v>
      </c>
      <c r="C1150" t="s">
        <v>9076</v>
      </c>
      <c r="D1150">
        <v>49</v>
      </c>
      <c r="E1150">
        <v>27641</v>
      </c>
      <c r="F1150" t="s">
        <v>89</v>
      </c>
      <c r="G1150" t="s">
        <v>277</v>
      </c>
      <c r="H1150" t="s">
        <v>76</v>
      </c>
      <c r="I1150" t="s">
        <v>227</v>
      </c>
      <c r="J1150" t="s">
        <v>89</v>
      </c>
      <c r="K1150" t="s">
        <v>89</v>
      </c>
      <c r="L1150" t="s">
        <v>2852</v>
      </c>
      <c r="M1150">
        <v>19</v>
      </c>
      <c r="N1150" t="s">
        <v>519</v>
      </c>
      <c r="O1150">
        <v>1995</v>
      </c>
      <c r="P1150" t="s">
        <v>9077</v>
      </c>
      <c r="Q1150" t="s">
        <v>9078</v>
      </c>
      <c r="R1150">
        <v>7828</v>
      </c>
      <c r="S1150" t="s">
        <v>9075</v>
      </c>
      <c r="T1150">
        <v>27493</v>
      </c>
      <c r="U1150">
        <v>1975</v>
      </c>
      <c r="V1150" t="s">
        <v>6677</v>
      </c>
      <c r="W1150">
        <v>1.88</v>
      </c>
      <c r="X1150" t="s">
        <v>76</v>
      </c>
      <c r="Y1150" t="s">
        <v>235</v>
      </c>
      <c r="Z1150" t="s">
        <v>87</v>
      </c>
      <c r="AA1150" t="s">
        <v>751</v>
      </c>
      <c r="AB1150">
        <v>41281</v>
      </c>
      <c r="AC1150" t="s">
        <v>108</v>
      </c>
      <c r="AD1150" t="s">
        <v>89</v>
      </c>
      <c r="AE1150" s="1">
        <v>35125</v>
      </c>
      <c r="AF1150">
        <v>20</v>
      </c>
      <c r="AG1150" t="s">
        <v>91</v>
      </c>
      <c r="AH1150" t="s">
        <v>9079</v>
      </c>
      <c r="AI1150">
        <v>23</v>
      </c>
      <c r="AJ1150" t="s">
        <v>459</v>
      </c>
      <c r="AK1150">
        <v>20</v>
      </c>
      <c r="AL1150" t="s">
        <v>89</v>
      </c>
      <c r="AM1150" t="s">
        <v>89</v>
      </c>
      <c r="AN1150" t="s">
        <v>89</v>
      </c>
      <c r="AO1150">
        <v>0</v>
      </c>
      <c r="AP1150" t="s">
        <v>93</v>
      </c>
      <c r="AQ1150" t="s">
        <v>89</v>
      </c>
      <c r="AR1150" t="s">
        <v>89</v>
      </c>
      <c r="AS1150" t="s">
        <v>111</v>
      </c>
      <c r="AT1150">
        <v>41281</v>
      </c>
      <c r="AU1150">
        <v>2013</v>
      </c>
      <c r="AV1150">
        <v>18</v>
      </c>
      <c r="AW1150">
        <v>18</v>
      </c>
      <c r="AX1150" t="s">
        <v>89</v>
      </c>
      <c r="AY1150" t="s">
        <v>93</v>
      </c>
      <c r="AZ1150">
        <v>0</v>
      </c>
      <c r="BA1150">
        <v>0</v>
      </c>
      <c r="BB1150">
        <v>0</v>
      </c>
      <c r="BC1150">
        <v>0</v>
      </c>
      <c r="BD1150">
        <v>494</v>
      </c>
      <c r="BE1150">
        <v>42704</v>
      </c>
      <c r="BF1150">
        <v>9</v>
      </c>
      <c r="BG1150">
        <v>38</v>
      </c>
      <c r="BH1150">
        <v>494</v>
      </c>
      <c r="BI1150">
        <v>42704</v>
      </c>
      <c r="BJ1150">
        <v>9</v>
      </c>
      <c r="BK1150">
        <f t="shared" si="155"/>
        <v>494</v>
      </c>
      <c r="BL1150">
        <f t="shared" si="156"/>
        <v>42704</v>
      </c>
      <c r="BM1150">
        <f t="shared" si="157"/>
        <v>9</v>
      </c>
      <c r="BN1150">
        <f t="shared" si="158"/>
        <v>0</v>
      </c>
      <c r="BO1150">
        <f t="shared" si="159"/>
        <v>0</v>
      </c>
      <c r="BP1150">
        <f t="shared" si="160"/>
        <v>0</v>
      </c>
      <c r="BQ1150" t="s">
        <v>235</v>
      </c>
      <c r="BR1150" t="s">
        <v>140</v>
      </c>
      <c r="BS1150" t="s">
        <v>89</v>
      </c>
      <c r="BT1150">
        <v>51</v>
      </c>
      <c r="BU1150">
        <v>41281</v>
      </c>
      <c r="BV1150" t="s">
        <v>89</v>
      </c>
      <c r="BW1150">
        <v>18</v>
      </c>
      <c r="BX1150">
        <v>1975</v>
      </c>
      <c r="BY1150">
        <v>18</v>
      </c>
      <c r="BZ1150">
        <f t="shared" si="161"/>
        <v>0</v>
      </c>
      <c r="CA1150">
        <f t="shared" si="162"/>
        <v>0</v>
      </c>
      <c r="CB1150" t="b">
        <f t="shared" si="163"/>
        <v>1</v>
      </c>
    </row>
    <row r="1151" spans="1:80" x14ac:dyDescent="0.3">
      <c r="A1151" t="s">
        <v>9080</v>
      </c>
      <c r="B1151" t="s">
        <v>71</v>
      </c>
      <c r="C1151" t="s">
        <v>9081</v>
      </c>
      <c r="D1151">
        <v>37</v>
      </c>
      <c r="E1151" t="s">
        <v>9082</v>
      </c>
      <c r="F1151" t="s">
        <v>2456</v>
      </c>
      <c r="G1151" t="s">
        <v>374</v>
      </c>
      <c r="H1151" t="s">
        <v>76</v>
      </c>
      <c r="I1151" t="s">
        <v>288</v>
      </c>
      <c r="J1151" t="s">
        <v>78</v>
      </c>
      <c r="K1151" t="s">
        <v>179</v>
      </c>
      <c r="L1151" t="s">
        <v>130</v>
      </c>
      <c r="M1151">
        <v>20</v>
      </c>
      <c r="N1151" t="s">
        <v>644</v>
      </c>
      <c r="O1151">
        <v>2008</v>
      </c>
      <c r="P1151" t="s">
        <v>9083</v>
      </c>
      <c r="Q1151" t="s">
        <v>9084</v>
      </c>
      <c r="R1151">
        <v>65230</v>
      </c>
      <c r="S1151" t="s">
        <v>9080</v>
      </c>
      <c r="T1151" t="s">
        <v>9085</v>
      </c>
      <c r="U1151">
        <v>1988</v>
      </c>
      <c r="V1151" t="s">
        <v>9086</v>
      </c>
      <c r="W1151">
        <v>1.89</v>
      </c>
      <c r="X1151" t="s">
        <v>76</v>
      </c>
      <c r="Y1151" t="s">
        <v>259</v>
      </c>
      <c r="Z1151" t="s">
        <v>87</v>
      </c>
      <c r="AA1151" t="s">
        <v>187</v>
      </c>
      <c r="AB1151" t="s">
        <v>9087</v>
      </c>
      <c r="AC1151" t="s">
        <v>222</v>
      </c>
      <c r="AD1151" t="s">
        <v>223</v>
      </c>
      <c r="AE1151" t="s">
        <v>3908</v>
      </c>
      <c r="AF1151">
        <v>20</v>
      </c>
      <c r="AG1151" t="s">
        <v>91</v>
      </c>
      <c r="AH1151" t="s">
        <v>92</v>
      </c>
      <c r="AI1151" t="s">
        <v>89</v>
      </c>
      <c r="AJ1151" t="s">
        <v>92</v>
      </c>
      <c r="AK1151">
        <v>20</v>
      </c>
      <c r="AL1151">
        <v>18</v>
      </c>
      <c r="AM1151">
        <v>163</v>
      </c>
      <c r="AN1151">
        <v>30</v>
      </c>
      <c r="AO1151">
        <v>10</v>
      </c>
      <c r="AP1151" t="s">
        <v>93</v>
      </c>
      <c r="AQ1151" t="s">
        <v>89</v>
      </c>
      <c r="AR1151" t="s">
        <v>89</v>
      </c>
      <c r="AS1151" t="s">
        <v>93</v>
      </c>
      <c r="AT1151" t="s">
        <v>89</v>
      </c>
      <c r="AU1151" t="s">
        <v>89</v>
      </c>
      <c r="AV1151" t="s">
        <v>89</v>
      </c>
      <c r="AW1151">
        <v>17</v>
      </c>
      <c r="AX1151">
        <v>5</v>
      </c>
      <c r="AY1151" t="s">
        <v>111</v>
      </c>
      <c r="AZ1151">
        <v>26</v>
      </c>
      <c r="BA1151">
        <v>117</v>
      </c>
      <c r="BB1151">
        <v>9411</v>
      </c>
      <c r="BC1151">
        <v>2</v>
      </c>
      <c r="BD1151">
        <v>780</v>
      </c>
      <c r="BE1151">
        <v>62134</v>
      </c>
      <c r="BF1151">
        <v>16</v>
      </c>
      <c r="BG1151" t="s">
        <v>89</v>
      </c>
      <c r="BH1151">
        <v>897</v>
      </c>
      <c r="BI1151">
        <v>71545</v>
      </c>
      <c r="BJ1151">
        <v>18</v>
      </c>
      <c r="BK1151">
        <f t="shared" si="155"/>
        <v>897</v>
      </c>
      <c r="BL1151">
        <f t="shared" si="156"/>
        <v>71545</v>
      </c>
      <c r="BM1151">
        <f t="shared" si="157"/>
        <v>18</v>
      </c>
      <c r="BN1151">
        <f t="shared" si="158"/>
        <v>0</v>
      </c>
      <c r="BO1151">
        <f t="shared" si="159"/>
        <v>0</v>
      </c>
      <c r="BP1151">
        <f t="shared" si="160"/>
        <v>0</v>
      </c>
      <c r="BQ1151" t="s">
        <v>259</v>
      </c>
      <c r="BR1151" t="s">
        <v>94</v>
      </c>
      <c r="BS1151" s="1">
        <v>32340</v>
      </c>
      <c r="BT1151">
        <v>37</v>
      </c>
      <c r="BU1151" t="s">
        <v>89</v>
      </c>
      <c r="BV1151" t="s">
        <v>89</v>
      </c>
      <c r="BW1151">
        <v>17</v>
      </c>
      <c r="BX1151">
        <v>1988</v>
      </c>
      <c r="BY1151">
        <v>17</v>
      </c>
      <c r="BZ1151">
        <f t="shared" si="161"/>
        <v>0</v>
      </c>
      <c r="CA1151">
        <f t="shared" si="162"/>
        <v>0</v>
      </c>
      <c r="CB1151" t="b">
        <f t="shared" si="163"/>
        <v>1</v>
      </c>
    </row>
    <row r="1152" spans="1:80" x14ac:dyDescent="0.3">
      <c r="A1152" t="s">
        <v>9088</v>
      </c>
      <c r="B1152" t="s">
        <v>71</v>
      </c>
      <c r="C1152" t="s">
        <v>9089</v>
      </c>
      <c r="D1152">
        <v>34</v>
      </c>
      <c r="E1152" t="s">
        <v>9090</v>
      </c>
      <c r="F1152" t="s">
        <v>4807</v>
      </c>
      <c r="G1152" t="s">
        <v>298</v>
      </c>
      <c r="H1152" t="s">
        <v>76</v>
      </c>
      <c r="I1152" t="s">
        <v>3931</v>
      </c>
      <c r="J1152" t="s">
        <v>300</v>
      </c>
      <c r="K1152" t="s">
        <v>79</v>
      </c>
      <c r="L1152" t="s">
        <v>130</v>
      </c>
      <c r="M1152">
        <v>17</v>
      </c>
      <c r="N1152" t="s">
        <v>416</v>
      </c>
      <c r="O1152">
        <v>2008</v>
      </c>
      <c r="P1152" t="s">
        <v>9091</v>
      </c>
      <c r="Q1152" t="s">
        <v>9092</v>
      </c>
      <c r="R1152">
        <v>66106</v>
      </c>
      <c r="S1152" t="s">
        <v>9088</v>
      </c>
      <c r="T1152" t="s">
        <v>9093</v>
      </c>
      <c r="U1152">
        <v>1991</v>
      </c>
      <c r="V1152" t="s">
        <v>2226</v>
      </c>
      <c r="W1152">
        <v>1.78</v>
      </c>
      <c r="X1152" t="s">
        <v>76</v>
      </c>
      <c r="Y1152" t="s">
        <v>106</v>
      </c>
      <c r="Z1152" t="s">
        <v>152</v>
      </c>
      <c r="AA1152" t="s">
        <v>79</v>
      </c>
      <c r="AB1152" t="s">
        <v>6818</v>
      </c>
      <c r="AC1152" t="s">
        <v>170</v>
      </c>
      <c r="AD1152" t="s">
        <v>89</v>
      </c>
      <c r="AE1152" s="1">
        <v>39578</v>
      </c>
      <c r="AF1152">
        <v>17</v>
      </c>
      <c r="AG1152" t="s">
        <v>91</v>
      </c>
      <c r="AH1152" t="s">
        <v>92</v>
      </c>
      <c r="AI1152" t="s">
        <v>89</v>
      </c>
      <c r="AJ1152" t="s">
        <v>92</v>
      </c>
      <c r="AK1152">
        <v>17</v>
      </c>
      <c r="AL1152">
        <v>18</v>
      </c>
      <c r="AM1152">
        <v>922</v>
      </c>
      <c r="AN1152">
        <v>162</v>
      </c>
      <c r="AO1152">
        <v>12</v>
      </c>
      <c r="AP1152" t="s">
        <v>93</v>
      </c>
      <c r="AQ1152" t="s">
        <v>89</v>
      </c>
      <c r="AR1152" t="s">
        <v>89</v>
      </c>
      <c r="AS1152" t="s">
        <v>93</v>
      </c>
      <c r="AT1152" t="s">
        <v>89</v>
      </c>
      <c r="AU1152" t="s">
        <v>89</v>
      </c>
      <c r="AV1152" t="s">
        <v>89</v>
      </c>
      <c r="AW1152">
        <v>17</v>
      </c>
      <c r="AX1152">
        <v>10</v>
      </c>
      <c r="AY1152" t="s">
        <v>111</v>
      </c>
      <c r="AZ1152">
        <v>5</v>
      </c>
      <c r="BA1152">
        <v>11</v>
      </c>
      <c r="BB1152">
        <v>469</v>
      </c>
      <c r="BC1152">
        <v>1</v>
      </c>
      <c r="BD1152">
        <v>545</v>
      </c>
      <c r="BE1152">
        <v>36506</v>
      </c>
      <c r="BF1152">
        <v>98</v>
      </c>
      <c r="BG1152" t="s">
        <v>89</v>
      </c>
      <c r="BH1152">
        <v>556</v>
      </c>
      <c r="BI1152">
        <v>36975</v>
      </c>
      <c r="BJ1152">
        <v>99</v>
      </c>
      <c r="BK1152">
        <f t="shared" si="155"/>
        <v>556</v>
      </c>
      <c r="BL1152">
        <f t="shared" si="156"/>
        <v>36975</v>
      </c>
      <c r="BM1152">
        <f t="shared" si="157"/>
        <v>99</v>
      </c>
      <c r="BN1152">
        <f t="shared" si="158"/>
        <v>0</v>
      </c>
      <c r="BO1152">
        <f t="shared" si="159"/>
        <v>0</v>
      </c>
      <c r="BP1152">
        <f t="shared" si="160"/>
        <v>0</v>
      </c>
      <c r="BQ1152" t="s">
        <v>106</v>
      </c>
      <c r="BR1152" t="s">
        <v>112</v>
      </c>
      <c r="BS1152" s="1">
        <v>33285</v>
      </c>
      <c r="BT1152">
        <v>35</v>
      </c>
      <c r="BU1152" t="s">
        <v>89</v>
      </c>
      <c r="BV1152" t="s">
        <v>89</v>
      </c>
      <c r="BW1152">
        <v>18</v>
      </c>
      <c r="BX1152">
        <v>1991</v>
      </c>
      <c r="BY1152">
        <v>17</v>
      </c>
      <c r="BZ1152">
        <f t="shared" si="161"/>
        <v>-1</v>
      </c>
      <c r="CA1152">
        <f t="shared" si="162"/>
        <v>1</v>
      </c>
      <c r="CB1152" t="b">
        <f t="shared" si="163"/>
        <v>0</v>
      </c>
    </row>
    <row r="1153" spans="1:80" x14ac:dyDescent="0.3">
      <c r="A1153" t="s">
        <v>9094</v>
      </c>
      <c r="B1153" t="s">
        <v>71</v>
      </c>
      <c r="C1153" t="s">
        <v>9095</v>
      </c>
      <c r="D1153">
        <v>35</v>
      </c>
      <c r="E1153" t="s">
        <v>9096</v>
      </c>
      <c r="F1153" t="s">
        <v>4286</v>
      </c>
      <c r="G1153" t="s">
        <v>298</v>
      </c>
      <c r="H1153" t="s">
        <v>89</v>
      </c>
      <c r="I1153" t="s">
        <v>299</v>
      </c>
      <c r="J1153" t="s">
        <v>300</v>
      </c>
      <c r="K1153" t="s">
        <v>2401</v>
      </c>
      <c r="L1153" t="s">
        <v>130</v>
      </c>
      <c r="M1153">
        <v>18</v>
      </c>
      <c r="N1153" t="s">
        <v>2514</v>
      </c>
      <c r="O1153">
        <v>2008</v>
      </c>
      <c r="P1153" t="s">
        <v>9097</v>
      </c>
      <c r="Q1153" t="s">
        <v>9098</v>
      </c>
      <c r="R1153">
        <v>93935</v>
      </c>
      <c r="S1153" t="s">
        <v>9094</v>
      </c>
      <c r="T1153">
        <v>32548</v>
      </c>
      <c r="U1153">
        <v>1989</v>
      </c>
      <c r="V1153" t="s">
        <v>100</v>
      </c>
      <c r="W1153">
        <v>1.76</v>
      </c>
      <c r="X1153" t="s">
        <v>76</v>
      </c>
      <c r="Y1153" t="s">
        <v>203</v>
      </c>
      <c r="Z1153" t="s">
        <v>152</v>
      </c>
      <c r="AA1153" t="s">
        <v>260</v>
      </c>
      <c r="AB1153" t="s">
        <v>7550</v>
      </c>
      <c r="AC1153" t="s">
        <v>170</v>
      </c>
      <c r="AD1153" t="s">
        <v>223</v>
      </c>
      <c r="AE1153" t="s">
        <v>5110</v>
      </c>
      <c r="AF1153">
        <v>21</v>
      </c>
      <c r="AG1153" t="s">
        <v>2272</v>
      </c>
      <c r="AH1153" t="s">
        <v>9099</v>
      </c>
      <c r="AI1153">
        <v>19</v>
      </c>
      <c r="AJ1153" t="s">
        <v>110</v>
      </c>
      <c r="AK1153">
        <v>19</v>
      </c>
      <c r="AL1153">
        <v>18</v>
      </c>
      <c r="AM1153">
        <v>551</v>
      </c>
      <c r="AN1153">
        <v>98</v>
      </c>
      <c r="AO1153">
        <v>11</v>
      </c>
      <c r="AP1153" t="s">
        <v>93</v>
      </c>
      <c r="AQ1153" t="s">
        <v>89</v>
      </c>
      <c r="AR1153" t="s">
        <v>89</v>
      </c>
      <c r="AS1153" t="s">
        <v>93</v>
      </c>
      <c r="AT1153" t="s">
        <v>89</v>
      </c>
      <c r="AU1153" t="s">
        <v>89</v>
      </c>
      <c r="AV1153" t="s">
        <v>89</v>
      </c>
      <c r="AW1153">
        <v>17</v>
      </c>
      <c r="AX1153">
        <v>18</v>
      </c>
      <c r="AY1153" t="s">
        <v>93</v>
      </c>
      <c r="AZ1153">
        <v>0</v>
      </c>
      <c r="BA1153">
        <v>0</v>
      </c>
      <c r="BB1153">
        <v>0</v>
      </c>
      <c r="BC1153">
        <v>0</v>
      </c>
      <c r="BD1153">
        <v>388</v>
      </c>
      <c r="BE1153">
        <v>29051</v>
      </c>
      <c r="BF1153">
        <v>19</v>
      </c>
      <c r="BG1153" t="s">
        <v>89</v>
      </c>
      <c r="BH1153">
        <v>388</v>
      </c>
      <c r="BI1153">
        <v>29051</v>
      </c>
      <c r="BJ1153">
        <v>19</v>
      </c>
      <c r="BK1153">
        <f t="shared" si="155"/>
        <v>388</v>
      </c>
      <c r="BL1153">
        <f t="shared" si="156"/>
        <v>29051</v>
      </c>
      <c r="BM1153">
        <f t="shared" si="157"/>
        <v>19</v>
      </c>
      <c r="BN1153">
        <f t="shared" si="158"/>
        <v>0</v>
      </c>
      <c r="BO1153">
        <f t="shared" si="159"/>
        <v>0</v>
      </c>
      <c r="BP1153">
        <f t="shared" si="160"/>
        <v>0</v>
      </c>
      <c r="BQ1153" t="s">
        <v>203</v>
      </c>
      <c r="BR1153" t="s">
        <v>140</v>
      </c>
      <c r="BS1153" t="s">
        <v>89</v>
      </c>
      <c r="BT1153">
        <v>37</v>
      </c>
      <c r="BU1153" t="s">
        <v>89</v>
      </c>
      <c r="BV1153" t="s">
        <v>89</v>
      </c>
      <c r="BW1153">
        <v>18</v>
      </c>
      <c r="BX1153">
        <v>1989</v>
      </c>
      <c r="BY1153">
        <v>16</v>
      </c>
      <c r="BZ1153">
        <f t="shared" si="161"/>
        <v>-1</v>
      </c>
      <c r="CA1153">
        <f t="shared" si="162"/>
        <v>2</v>
      </c>
      <c r="CB1153" t="b">
        <f t="shared" si="163"/>
        <v>0</v>
      </c>
    </row>
    <row r="1154" spans="1:80" x14ac:dyDescent="0.3">
      <c r="A1154" t="s">
        <v>9100</v>
      </c>
      <c r="B1154" t="s">
        <v>71</v>
      </c>
      <c r="C1154" t="s">
        <v>9101</v>
      </c>
      <c r="D1154">
        <v>42</v>
      </c>
      <c r="E1154">
        <v>30476</v>
      </c>
      <c r="F1154" t="s">
        <v>89</v>
      </c>
      <c r="G1154" t="s">
        <v>143</v>
      </c>
      <c r="H1154" t="s">
        <v>76</v>
      </c>
      <c r="I1154" t="s">
        <v>340</v>
      </c>
      <c r="J1154" t="s">
        <v>78</v>
      </c>
      <c r="K1154" t="s">
        <v>89</v>
      </c>
      <c r="L1154" t="s">
        <v>657</v>
      </c>
      <c r="M1154">
        <v>20</v>
      </c>
      <c r="N1154" t="s">
        <v>644</v>
      </c>
      <c r="O1154">
        <v>2003</v>
      </c>
      <c r="P1154" t="s">
        <v>9102</v>
      </c>
      <c r="Q1154" t="s">
        <v>9103</v>
      </c>
      <c r="R1154">
        <v>7922</v>
      </c>
      <c r="S1154" t="s">
        <v>9100</v>
      </c>
      <c r="T1154">
        <v>30565</v>
      </c>
      <c r="U1154">
        <v>1983</v>
      </c>
      <c r="V1154" t="s">
        <v>644</v>
      </c>
      <c r="W1154">
        <v>1.74</v>
      </c>
      <c r="X1154" t="s">
        <v>76</v>
      </c>
      <c r="Y1154" t="s">
        <v>123</v>
      </c>
      <c r="Z1154" t="s">
        <v>87</v>
      </c>
      <c r="AA1154" t="s">
        <v>9104</v>
      </c>
      <c r="AB1154">
        <v>44203</v>
      </c>
      <c r="AC1154" t="s">
        <v>108</v>
      </c>
      <c r="AD1154" t="s">
        <v>89</v>
      </c>
      <c r="AE1154">
        <v>2003</v>
      </c>
      <c r="AF1154">
        <v>20</v>
      </c>
      <c r="AG1154" t="s">
        <v>91</v>
      </c>
      <c r="AH1154">
        <v>2009</v>
      </c>
      <c r="AI1154">
        <v>26</v>
      </c>
      <c r="AJ1154">
        <v>0</v>
      </c>
      <c r="AK1154">
        <v>20</v>
      </c>
      <c r="AL1154">
        <v>15</v>
      </c>
      <c r="AM1154">
        <v>449</v>
      </c>
      <c r="AN1154">
        <v>89</v>
      </c>
      <c r="AO1154">
        <v>8</v>
      </c>
      <c r="AP1154" t="s">
        <v>93</v>
      </c>
      <c r="AQ1154" t="s">
        <v>89</v>
      </c>
      <c r="AR1154" t="s">
        <v>89</v>
      </c>
      <c r="AS1154" t="s">
        <v>111</v>
      </c>
      <c r="AT1154">
        <v>44203</v>
      </c>
      <c r="AU1154">
        <v>2021</v>
      </c>
      <c r="AV1154">
        <v>18</v>
      </c>
      <c r="AW1154">
        <v>18</v>
      </c>
      <c r="AX1154" t="s">
        <v>89</v>
      </c>
      <c r="AY1154" t="s">
        <v>111</v>
      </c>
      <c r="AZ1154">
        <v>1</v>
      </c>
      <c r="BA1154">
        <v>1</v>
      </c>
      <c r="BB1154">
        <v>90</v>
      </c>
      <c r="BC1154">
        <v>0</v>
      </c>
      <c r="BD1154">
        <v>412</v>
      </c>
      <c r="BE1154">
        <v>28715</v>
      </c>
      <c r="BF1154">
        <v>90</v>
      </c>
      <c r="BG1154">
        <v>38</v>
      </c>
      <c r="BH1154">
        <v>413</v>
      </c>
      <c r="BI1154">
        <v>28805</v>
      </c>
      <c r="BJ1154">
        <v>90</v>
      </c>
      <c r="BK1154">
        <f t="shared" si="155"/>
        <v>413</v>
      </c>
      <c r="BL1154">
        <f t="shared" si="156"/>
        <v>28805</v>
      </c>
      <c r="BM1154">
        <f t="shared" si="157"/>
        <v>90</v>
      </c>
      <c r="BN1154">
        <f t="shared" si="158"/>
        <v>0</v>
      </c>
      <c r="BO1154">
        <f t="shared" si="159"/>
        <v>0</v>
      </c>
      <c r="BP1154">
        <f t="shared" si="160"/>
        <v>0</v>
      </c>
      <c r="BQ1154" t="s">
        <v>123</v>
      </c>
      <c r="BR1154" t="s">
        <v>112</v>
      </c>
      <c r="BS1154" t="s">
        <v>89</v>
      </c>
      <c r="BT1154">
        <v>43</v>
      </c>
      <c r="BU1154">
        <v>44203</v>
      </c>
      <c r="BV1154" t="s">
        <v>89</v>
      </c>
      <c r="BW1154">
        <v>18</v>
      </c>
      <c r="BX1154">
        <v>1983</v>
      </c>
      <c r="BY1154">
        <v>18</v>
      </c>
      <c r="BZ1154">
        <f t="shared" si="161"/>
        <v>0</v>
      </c>
      <c r="CA1154">
        <f t="shared" si="162"/>
        <v>0</v>
      </c>
      <c r="CB1154" t="b">
        <f t="shared" si="163"/>
        <v>1</v>
      </c>
    </row>
    <row r="1155" spans="1:80" x14ac:dyDescent="0.3">
      <c r="A1155" t="s">
        <v>9105</v>
      </c>
      <c r="B1155" t="s">
        <v>71</v>
      </c>
      <c r="C1155" t="s">
        <v>9106</v>
      </c>
      <c r="D1155">
        <v>45</v>
      </c>
      <c r="E1155" s="1">
        <v>29380</v>
      </c>
      <c r="F1155" t="s">
        <v>89</v>
      </c>
      <c r="G1155" t="s">
        <v>160</v>
      </c>
      <c r="H1155" t="s">
        <v>89</v>
      </c>
      <c r="I1155" t="s">
        <v>253</v>
      </c>
      <c r="J1155" t="s">
        <v>78</v>
      </c>
      <c r="K1155" t="s">
        <v>89</v>
      </c>
      <c r="L1155" t="s">
        <v>99</v>
      </c>
      <c r="M1155">
        <v>21</v>
      </c>
      <c r="N1155" t="s">
        <v>2776</v>
      </c>
      <c r="O1155">
        <v>2001</v>
      </c>
      <c r="P1155" t="s">
        <v>9107</v>
      </c>
      <c r="Q1155" t="s">
        <v>9108</v>
      </c>
      <c r="R1155">
        <v>70890</v>
      </c>
      <c r="S1155" t="s">
        <v>9105</v>
      </c>
      <c r="T1155">
        <v>29439</v>
      </c>
      <c r="U1155">
        <v>1980</v>
      </c>
      <c r="V1155" t="s">
        <v>122</v>
      </c>
      <c r="W1155">
        <v>1.74</v>
      </c>
      <c r="X1155" t="s">
        <v>76</v>
      </c>
      <c r="Y1155" t="s">
        <v>86</v>
      </c>
      <c r="Z1155" t="s">
        <v>87</v>
      </c>
      <c r="AA1155" t="s">
        <v>9109</v>
      </c>
      <c r="AB1155" s="1">
        <v>42742</v>
      </c>
      <c r="AC1155" t="s">
        <v>108</v>
      </c>
      <c r="AD1155" t="s">
        <v>89</v>
      </c>
      <c r="AE1155" t="s">
        <v>125</v>
      </c>
      <c r="AF1155">
        <v>33</v>
      </c>
      <c r="AG1155" t="s">
        <v>91</v>
      </c>
      <c r="AH1155">
        <v>37073</v>
      </c>
      <c r="AI1155">
        <v>20</v>
      </c>
      <c r="AJ1155" t="s">
        <v>110</v>
      </c>
      <c r="AK1155">
        <v>20</v>
      </c>
      <c r="AL1155">
        <v>5</v>
      </c>
      <c r="AM1155">
        <v>101</v>
      </c>
      <c r="AN1155">
        <v>15</v>
      </c>
      <c r="AO1155">
        <v>3</v>
      </c>
      <c r="AP1155" t="s">
        <v>93</v>
      </c>
      <c r="AQ1155" t="s">
        <v>89</v>
      </c>
      <c r="AR1155" t="s">
        <v>89</v>
      </c>
      <c r="AS1155" t="s">
        <v>111</v>
      </c>
      <c r="AT1155" s="1">
        <v>42742</v>
      </c>
      <c r="AU1155">
        <v>2017</v>
      </c>
      <c r="AV1155">
        <v>16</v>
      </c>
      <c r="AW1155">
        <v>16</v>
      </c>
      <c r="AX1155" t="s">
        <v>89</v>
      </c>
      <c r="AY1155" t="s">
        <v>93</v>
      </c>
      <c r="AZ1155">
        <v>0</v>
      </c>
      <c r="BA1155">
        <v>0</v>
      </c>
      <c r="BB1155">
        <v>0</v>
      </c>
      <c r="BC1155">
        <v>0</v>
      </c>
      <c r="BD1155">
        <v>283</v>
      </c>
      <c r="BE1155">
        <v>19859</v>
      </c>
      <c r="BF1155">
        <v>9</v>
      </c>
      <c r="BG1155">
        <v>37</v>
      </c>
      <c r="BH1155">
        <v>283</v>
      </c>
      <c r="BI1155">
        <v>19859</v>
      </c>
      <c r="BJ1155">
        <v>9</v>
      </c>
      <c r="BK1155">
        <f t="shared" ref="BK1155:BK1218" si="164">+BA1155+BD1155</f>
        <v>283</v>
      </c>
      <c r="BL1155">
        <f t="shared" ref="BL1155:BL1218" si="165">+BB1155+BE1155</f>
        <v>19859</v>
      </c>
      <c r="BM1155">
        <f t="shared" ref="BM1155:BM1218" si="166">+BC1155+BF1155</f>
        <v>9</v>
      </c>
      <c r="BN1155">
        <f t="shared" ref="BN1155:BN1218" si="167">+BK1155-BH1155</f>
        <v>0</v>
      </c>
      <c r="BO1155">
        <f t="shared" ref="BO1155:BO1218" si="168">+BL1155-BI1155</f>
        <v>0</v>
      </c>
      <c r="BP1155">
        <f t="shared" ref="BP1155:BP1218" si="169">+BM1155-BJ1155</f>
        <v>0</v>
      </c>
      <c r="BQ1155" t="s">
        <v>86</v>
      </c>
      <c r="BR1155" t="s">
        <v>94</v>
      </c>
      <c r="BS1155" t="s">
        <v>89</v>
      </c>
      <c r="BT1155">
        <v>46</v>
      </c>
      <c r="BU1155" s="1">
        <v>42742</v>
      </c>
      <c r="BV1155" s="1">
        <v>42917</v>
      </c>
      <c r="BW1155">
        <v>17</v>
      </c>
      <c r="BX1155">
        <v>1980</v>
      </c>
      <c r="BY1155">
        <v>17</v>
      </c>
      <c r="BZ1155">
        <f t="shared" ref="BZ1155:BZ1218" si="170">+AW1155-BW1155</f>
        <v>-1</v>
      </c>
      <c r="CA1155">
        <f t="shared" ref="CA1155:CA1218" si="171">+BW1155-BY1155</f>
        <v>0</v>
      </c>
      <c r="CB1155" t="b">
        <f t="shared" ref="CB1155:CB1218" si="172">+BW1155=AW1155</f>
        <v>0</v>
      </c>
    </row>
    <row r="1156" spans="1:80" x14ac:dyDescent="0.3">
      <c r="A1156" t="s">
        <v>9110</v>
      </c>
      <c r="B1156" t="s">
        <v>71</v>
      </c>
      <c r="C1156" t="s">
        <v>9111</v>
      </c>
      <c r="D1156">
        <v>33</v>
      </c>
      <c r="E1156">
        <v>33637</v>
      </c>
      <c r="F1156" t="s">
        <v>89</v>
      </c>
      <c r="G1156" t="s">
        <v>160</v>
      </c>
      <c r="H1156" t="s">
        <v>89</v>
      </c>
      <c r="I1156" t="s">
        <v>750</v>
      </c>
      <c r="J1156" t="s">
        <v>78</v>
      </c>
      <c r="K1156" t="s">
        <v>89</v>
      </c>
      <c r="L1156" t="s">
        <v>762</v>
      </c>
      <c r="M1156">
        <v>22</v>
      </c>
      <c r="N1156" t="s">
        <v>763</v>
      </c>
      <c r="O1156">
        <v>2014</v>
      </c>
      <c r="P1156" t="s">
        <v>9112</v>
      </c>
      <c r="Q1156" t="s">
        <v>9113</v>
      </c>
      <c r="R1156">
        <v>126875</v>
      </c>
      <c r="S1156" t="s">
        <v>9110</v>
      </c>
      <c r="T1156">
        <v>33665</v>
      </c>
      <c r="U1156">
        <v>1992</v>
      </c>
      <c r="V1156" t="s">
        <v>9114</v>
      </c>
      <c r="W1156">
        <v>1.76</v>
      </c>
      <c r="X1156" t="s">
        <v>76</v>
      </c>
      <c r="Y1156" t="s">
        <v>86</v>
      </c>
      <c r="Z1156" t="s">
        <v>152</v>
      </c>
      <c r="AA1156" t="s">
        <v>9115</v>
      </c>
      <c r="AB1156" s="1">
        <v>45542</v>
      </c>
      <c r="AC1156" t="s">
        <v>170</v>
      </c>
      <c r="AD1156" t="s">
        <v>89</v>
      </c>
      <c r="AE1156" t="s">
        <v>4102</v>
      </c>
      <c r="AF1156">
        <v>23</v>
      </c>
      <c r="AG1156" t="s">
        <v>91</v>
      </c>
      <c r="AH1156" t="s">
        <v>3953</v>
      </c>
      <c r="AI1156">
        <v>23</v>
      </c>
      <c r="AJ1156" t="s">
        <v>110</v>
      </c>
      <c r="AK1156">
        <v>23</v>
      </c>
      <c r="AL1156">
        <v>1</v>
      </c>
      <c r="AM1156">
        <v>20</v>
      </c>
      <c r="AN1156">
        <v>5</v>
      </c>
      <c r="AO1156">
        <v>1</v>
      </c>
      <c r="AP1156" t="s">
        <v>93</v>
      </c>
      <c r="AQ1156" t="s">
        <v>89</v>
      </c>
      <c r="AR1156" t="s">
        <v>89</v>
      </c>
      <c r="AS1156" t="s">
        <v>93</v>
      </c>
      <c r="AT1156" t="s">
        <v>89</v>
      </c>
      <c r="AU1156" t="s">
        <v>89</v>
      </c>
      <c r="AV1156" t="s">
        <v>89</v>
      </c>
      <c r="AW1156">
        <v>11</v>
      </c>
      <c r="AX1156">
        <v>8</v>
      </c>
      <c r="AY1156" t="s">
        <v>93</v>
      </c>
      <c r="AZ1156">
        <v>0</v>
      </c>
      <c r="BA1156">
        <v>0</v>
      </c>
      <c r="BB1156">
        <v>0</v>
      </c>
      <c r="BC1156">
        <v>0</v>
      </c>
      <c r="BD1156">
        <v>95</v>
      </c>
      <c r="BE1156">
        <v>4944</v>
      </c>
      <c r="BF1156">
        <v>3</v>
      </c>
      <c r="BG1156" t="s">
        <v>89</v>
      </c>
      <c r="BH1156">
        <v>95</v>
      </c>
      <c r="BI1156">
        <v>4944</v>
      </c>
      <c r="BJ1156">
        <v>3</v>
      </c>
      <c r="BK1156">
        <f t="shared" si="164"/>
        <v>95</v>
      </c>
      <c r="BL1156">
        <f t="shared" si="165"/>
        <v>4944</v>
      </c>
      <c r="BM1156">
        <f t="shared" si="166"/>
        <v>3</v>
      </c>
      <c r="BN1156">
        <f t="shared" si="167"/>
        <v>0</v>
      </c>
      <c r="BO1156">
        <f t="shared" si="168"/>
        <v>0</v>
      </c>
      <c r="BP1156">
        <f t="shared" si="169"/>
        <v>0</v>
      </c>
      <c r="BQ1156" t="s">
        <v>86</v>
      </c>
      <c r="BR1156" t="s">
        <v>94</v>
      </c>
      <c r="BS1156" t="s">
        <v>89</v>
      </c>
      <c r="BT1156">
        <v>34</v>
      </c>
      <c r="BU1156" t="s">
        <v>89</v>
      </c>
      <c r="BV1156" t="s">
        <v>89</v>
      </c>
      <c r="BW1156">
        <v>11</v>
      </c>
      <c r="BX1156">
        <v>1992</v>
      </c>
      <c r="BY1156">
        <v>10</v>
      </c>
      <c r="BZ1156">
        <f t="shared" si="170"/>
        <v>0</v>
      </c>
      <c r="CA1156">
        <f t="shared" si="171"/>
        <v>1</v>
      </c>
      <c r="CB1156" t="b">
        <f t="shared" si="172"/>
        <v>1</v>
      </c>
    </row>
    <row r="1157" spans="1:80" x14ac:dyDescent="0.3">
      <c r="A1157" t="s">
        <v>9116</v>
      </c>
      <c r="B1157" t="s">
        <v>71</v>
      </c>
      <c r="C1157" t="s">
        <v>9117</v>
      </c>
      <c r="D1157">
        <v>46</v>
      </c>
      <c r="E1157">
        <v>28898</v>
      </c>
      <c r="F1157" t="s">
        <v>89</v>
      </c>
      <c r="G1157" t="s">
        <v>226</v>
      </c>
      <c r="H1157" t="s">
        <v>89</v>
      </c>
      <c r="I1157" t="s">
        <v>253</v>
      </c>
      <c r="J1157" t="s">
        <v>89</v>
      </c>
      <c r="K1157" t="s">
        <v>89</v>
      </c>
      <c r="L1157" t="s">
        <v>845</v>
      </c>
      <c r="M1157">
        <v>23</v>
      </c>
      <c r="N1157" t="s">
        <v>416</v>
      </c>
      <c r="O1157">
        <v>2002</v>
      </c>
      <c r="P1157" t="s">
        <v>9118</v>
      </c>
      <c r="Q1157" t="s">
        <v>9119</v>
      </c>
      <c r="R1157">
        <v>7863</v>
      </c>
      <c r="S1157" t="s">
        <v>9116</v>
      </c>
      <c r="T1157">
        <v>29191</v>
      </c>
      <c r="U1157">
        <v>1979</v>
      </c>
      <c r="V1157" t="s">
        <v>2226</v>
      </c>
      <c r="W1157">
        <v>1.85</v>
      </c>
      <c r="X1157" t="s">
        <v>76</v>
      </c>
      <c r="Y1157" t="s">
        <v>259</v>
      </c>
      <c r="Z1157" t="s">
        <v>87</v>
      </c>
      <c r="AA1157" t="s">
        <v>107</v>
      </c>
      <c r="AB1157">
        <v>40915</v>
      </c>
      <c r="AC1157" t="s">
        <v>108</v>
      </c>
      <c r="AD1157" t="s">
        <v>89</v>
      </c>
      <c r="AE1157" t="s">
        <v>9120</v>
      </c>
      <c r="AF1157">
        <v>23</v>
      </c>
      <c r="AG1157" t="s">
        <v>91</v>
      </c>
      <c r="AH1157" t="s">
        <v>449</v>
      </c>
      <c r="AI1157">
        <v>28</v>
      </c>
      <c r="AJ1157" t="s">
        <v>110</v>
      </c>
      <c r="AK1157">
        <v>23</v>
      </c>
      <c r="AL1157">
        <v>1</v>
      </c>
      <c r="AM1157">
        <v>32</v>
      </c>
      <c r="AN1157">
        <v>2</v>
      </c>
      <c r="AO1157">
        <v>1</v>
      </c>
      <c r="AP1157" t="s">
        <v>93</v>
      </c>
      <c r="AQ1157" t="s">
        <v>89</v>
      </c>
      <c r="AR1157" t="s">
        <v>89</v>
      </c>
      <c r="AS1157" t="s">
        <v>111</v>
      </c>
      <c r="AT1157">
        <v>40915</v>
      </c>
      <c r="AU1157">
        <v>2012</v>
      </c>
      <c r="AV1157">
        <v>10</v>
      </c>
      <c r="AW1157">
        <v>10</v>
      </c>
      <c r="AX1157" t="s">
        <v>89</v>
      </c>
      <c r="AY1157" t="s">
        <v>93</v>
      </c>
      <c r="AZ1157">
        <v>0</v>
      </c>
      <c r="BA1157">
        <v>0</v>
      </c>
      <c r="BB1157">
        <v>0</v>
      </c>
      <c r="BC1157">
        <v>0</v>
      </c>
      <c r="BD1157">
        <v>169</v>
      </c>
      <c r="BE1157">
        <v>9845</v>
      </c>
      <c r="BF1157">
        <v>7</v>
      </c>
      <c r="BG1157">
        <v>33</v>
      </c>
      <c r="BH1157">
        <v>169</v>
      </c>
      <c r="BI1157">
        <v>9845</v>
      </c>
      <c r="BJ1157">
        <v>7</v>
      </c>
      <c r="BK1157">
        <f t="shared" si="164"/>
        <v>169</v>
      </c>
      <c r="BL1157">
        <f t="shared" si="165"/>
        <v>9845</v>
      </c>
      <c r="BM1157">
        <f t="shared" si="166"/>
        <v>7</v>
      </c>
      <c r="BN1157">
        <f t="shared" si="167"/>
        <v>0</v>
      </c>
      <c r="BO1157">
        <f t="shared" si="168"/>
        <v>0</v>
      </c>
      <c r="BP1157">
        <f t="shared" si="169"/>
        <v>0</v>
      </c>
      <c r="BQ1157" t="s">
        <v>259</v>
      </c>
      <c r="BR1157" t="s">
        <v>94</v>
      </c>
      <c r="BS1157" t="s">
        <v>89</v>
      </c>
      <c r="BT1157">
        <v>47</v>
      </c>
      <c r="BU1157">
        <v>40915</v>
      </c>
      <c r="BV1157" t="s">
        <v>89</v>
      </c>
      <c r="BW1157">
        <v>10</v>
      </c>
      <c r="BX1157">
        <v>1979</v>
      </c>
      <c r="BY1157">
        <v>10</v>
      </c>
      <c r="BZ1157">
        <f t="shared" si="170"/>
        <v>0</v>
      </c>
      <c r="CA1157">
        <f t="shared" si="171"/>
        <v>0</v>
      </c>
      <c r="CB1157" t="b">
        <f t="shared" si="172"/>
        <v>1</v>
      </c>
    </row>
    <row r="1158" spans="1:80" x14ac:dyDescent="0.3">
      <c r="A1158" t="s">
        <v>9121</v>
      </c>
      <c r="B1158" t="s">
        <v>71</v>
      </c>
      <c r="C1158" t="s">
        <v>9122</v>
      </c>
      <c r="D1158">
        <v>46</v>
      </c>
      <c r="E1158" s="1">
        <v>28963</v>
      </c>
      <c r="F1158" t="s">
        <v>89</v>
      </c>
      <c r="G1158" t="s">
        <v>176</v>
      </c>
      <c r="H1158" t="s">
        <v>76</v>
      </c>
      <c r="I1158" t="s">
        <v>227</v>
      </c>
      <c r="J1158" t="s">
        <v>300</v>
      </c>
      <c r="K1158" t="s">
        <v>89</v>
      </c>
      <c r="L1158" t="s">
        <v>180</v>
      </c>
      <c r="M1158">
        <v>28</v>
      </c>
      <c r="N1158" t="s">
        <v>105</v>
      </c>
      <c r="O1158">
        <v>2007</v>
      </c>
      <c r="P1158" t="s">
        <v>9123</v>
      </c>
      <c r="Q1158" t="s">
        <v>9124</v>
      </c>
      <c r="R1158">
        <v>57944</v>
      </c>
      <c r="S1158" t="s">
        <v>9121</v>
      </c>
      <c r="T1158" t="s">
        <v>9125</v>
      </c>
      <c r="U1158">
        <v>1979</v>
      </c>
      <c r="V1158" t="s">
        <v>644</v>
      </c>
      <c r="W1158">
        <v>1.85</v>
      </c>
      <c r="X1158" t="s">
        <v>76</v>
      </c>
      <c r="Y1158" t="s">
        <v>235</v>
      </c>
      <c r="Z1158" t="s">
        <v>152</v>
      </c>
      <c r="AA1158" t="s">
        <v>942</v>
      </c>
      <c r="AB1158" s="1">
        <v>42742</v>
      </c>
      <c r="AC1158" t="s">
        <v>108</v>
      </c>
      <c r="AD1158" t="s">
        <v>89</v>
      </c>
      <c r="AE1158">
        <v>41375</v>
      </c>
      <c r="AF1158">
        <v>34</v>
      </c>
      <c r="AG1158" t="s">
        <v>91</v>
      </c>
      <c r="AH1158" t="s">
        <v>449</v>
      </c>
      <c r="AI1158">
        <v>28</v>
      </c>
      <c r="AJ1158" t="s">
        <v>110</v>
      </c>
      <c r="AK1158">
        <v>28</v>
      </c>
      <c r="AL1158">
        <v>5</v>
      </c>
      <c r="AM1158">
        <v>186</v>
      </c>
      <c r="AN1158">
        <v>25</v>
      </c>
      <c r="AO1158">
        <v>5</v>
      </c>
      <c r="AP1158" t="s">
        <v>93</v>
      </c>
      <c r="AQ1158" t="s">
        <v>89</v>
      </c>
      <c r="AR1158" t="s">
        <v>89</v>
      </c>
      <c r="AS1158" t="s">
        <v>111</v>
      </c>
      <c r="AT1158" s="1">
        <v>42742</v>
      </c>
      <c r="AU1158">
        <v>2017</v>
      </c>
      <c r="AV1158">
        <v>10</v>
      </c>
      <c r="AW1158">
        <v>10</v>
      </c>
      <c r="AX1158" t="s">
        <v>89</v>
      </c>
      <c r="AY1158" t="s">
        <v>93</v>
      </c>
      <c r="AZ1158">
        <v>0</v>
      </c>
      <c r="BA1158">
        <v>0</v>
      </c>
      <c r="BB1158">
        <v>0</v>
      </c>
      <c r="BC1158">
        <v>0</v>
      </c>
      <c r="BD1158">
        <v>291</v>
      </c>
      <c r="BE1158">
        <v>24815</v>
      </c>
      <c r="BF1158">
        <v>15</v>
      </c>
      <c r="BG1158">
        <v>38</v>
      </c>
      <c r="BH1158">
        <v>291</v>
      </c>
      <c r="BI1158">
        <v>24815</v>
      </c>
      <c r="BJ1158">
        <v>15</v>
      </c>
      <c r="BK1158">
        <f t="shared" si="164"/>
        <v>291</v>
      </c>
      <c r="BL1158">
        <f t="shared" si="165"/>
        <v>24815</v>
      </c>
      <c r="BM1158">
        <f t="shared" si="166"/>
        <v>15</v>
      </c>
      <c r="BN1158">
        <f t="shared" si="167"/>
        <v>0</v>
      </c>
      <c r="BO1158">
        <f t="shared" si="168"/>
        <v>0</v>
      </c>
      <c r="BP1158">
        <f t="shared" si="169"/>
        <v>0</v>
      </c>
      <c r="BQ1158" t="s">
        <v>235</v>
      </c>
      <c r="BR1158" t="s">
        <v>140</v>
      </c>
      <c r="BS1158" s="1">
        <v>29081</v>
      </c>
      <c r="BT1158">
        <v>46</v>
      </c>
      <c r="BU1158" s="1">
        <v>42742</v>
      </c>
      <c r="BV1158" s="1">
        <v>42917</v>
      </c>
      <c r="BW1158">
        <v>10</v>
      </c>
      <c r="BX1158">
        <v>1979</v>
      </c>
      <c r="BY1158">
        <v>10</v>
      </c>
      <c r="BZ1158">
        <f t="shared" si="170"/>
        <v>0</v>
      </c>
      <c r="CA1158">
        <f t="shared" si="171"/>
        <v>0</v>
      </c>
      <c r="CB1158" t="b">
        <f t="shared" si="172"/>
        <v>1</v>
      </c>
    </row>
    <row r="1159" spans="1:80" x14ac:dyDescent="0.3">
      <c r="A1159" t="s">
        <v>9126</v>
      </c>
      <c r="B1159" t="s">
        <v>71</v>
      </c>
      <c r="C1159" t="s">
        <v>9127</v>
      </c>
      <c r="D1159">
        <v>39</v>
      </c>
      <c r="E1159" t="s">
        <v>9128</v>
      </c>
      <c r="F1159" t="s">
        <v>9129</v>
      </c>
      <c r="G1159" t="s">
        <v>413</v>
      </c>
      <c r="H1159" t="s">
        <v>76</v>
      </c>
      <c r="I1159" t="s">
        <v>357</v>
      </c>
      <c r="J1159" t="s">
        <v>78</v>
      </c>
      <c r="K1159" t="s">
        <v>79</v>
      </c>
      <c r="L1159" t="s">
        <v>657</v>
      </c>
      <c r="M1159">
        <v>17</v>
      </c>
      <c r="N1159" t="s">
        <v>304</v>
      </c>
      <c r="O1159">
        <v>2003</v>
      </c>
      <c r="P1159" t="s">
        <v>9130</v>
      </c>
      <c r="Q1159" t="s">
        <v>9131</v>
      </c>
      <c r="R1159">
        <v>25557</v>
      </c>
      <c r="S1159" t="s">
        <v>9126</v>
      </c>
      <c r="T1159" t="s">
        <v>9132</v>
      </c>
      <c r="U1159">
        <v>1986</v>
      </c>
      <c r="V1159" t="s">
        <v>9133</v>
      </c>
      <c r="W1159">
        <v>1.84</v>
      </c>
      <c r="X1159" t="s">
        <v>76</v>
      </c>
      <c r="Y1159" t="s">
        <v>235</v>
      </c>
      <c r="Z1159" t="s">
        <v>87</v>
      </c>
      <c r="AA1159" t="s">
        <v>79</v>
      </c>
      <c r="AB1159">
        <v>45810</v>
      </c>
      <c r="AC1159" t="s">
        <v>222</v>
      </c>
      <c r="AD1159" t="s">
        <v>3735</v>
      </c>
      <c r="AE1159">
        <v>37988</v>
      </c>
      <c r="AF1159">
        <v>17</v>
      </c>
      <c r="AG1159" t="s">
        <v>91</v>
      </c>
      <c r="AH1159" t="s">
        <v>92</v>
      </c>
      <c r="AI1159" t="s">
        <v>89</v>
      </c>
      <c r="AJ1159" t="s">
        <v>92</v>
      </c>
      <c r="AK1159">
        <v>17</v>
      </c>
      <c r="AL1159">
        <v>36</v>
      </c>
      <c r="AM1159">
        <v>870</v>
      </c>
      <c r="AN1159">
        <v>164</v>
      </c>
      <c r="AO1159">
        <v>14</v>
      </c>
      <c r="AP1159" t="s">
        <v>93</v>
      </c>
      <c r="AQ1159" t="s">
        <v>89</v>
      </c>
      <c r="AR1159" t="s">
        <v>89</v>
      </c>
      <c r="AS1159" t="s">
        <v>93</v>
      </c>
      <c r="AT1159" t="s">
        <v>89</v>
      </c>
      <c r="AU1159" t="s">
        <v>89</v>
      </c>
      <c r="AV1159" t="s">
        <v>89</v>
      </c>
      <c r="AW1159">
        <v>22</v>
      </c>
      <c r="AX1159">
        <v>93</v>
      </c>
      <c r="AY1159" t="s">
        <v>111</v>
      </c>
      <c r="AZ1159">
        <v>26</v>
      </c>
      <c r="BA1159">
        <v>133</v>
      </c>
      <c r="BB1159">
        <v>10528</v>
      </c>
      <c r="BC1159">
        <v>21</v>
      </c>
      <c r="BD1159">
        <v>789</v>
      </c>
      <c r="BE1159">
        <v>68094</v>
      </c>
      <c r="BF1159">
        <v>117</v>
      </c>
      <c r="BG1159" t="s">
        <v>89</v>
      </c>
      <c r="BH1159">
        <v>922</v>
      </c>
      <c r="BI1159">
        <v>78622</v>
      </c>
      <c r="BJ1159">
        <v>138</v>
      </c>
      <c r="BK1159">
        <f t="shared" si="164"/>
        <v>922</v>
      </c>
      <c r="BL1159">
        <f t="shared" si="165"/>
        <v>78622</v>
      </c>
      <c r="BM1159">
        <f t="shared" si="166"/>
        <v>138</v>
      </c>
      <c r="BN1159">
        <f t="shared" si="167"/>
        <v>0</v>
      </c>
      <c r="BO1159">
        <f t="shared" si="168"/>
        <v>0</v>
      </c>
      <c r="BP1159">
        <f t="shared" si="169"/>
        <v>0</v>
      </c>
      <c r="BQ1159" t="s">
        <v>235</v>
      </c>
      <c r="BR1159" t="s">
        <v>140</v>
      </c>
      <c r="BS1159" s="1">
        <v>31501</v>
      </c>
      <c r="BT1159">
        <v>39</v>
      </c>
      <c r="BU1159" t="s">
        <v>89</v>
      </c>
      <c r="BV1159" t="s">
        <v>89</v>
      </c>
      <c r="BW1159">
        <v>22</v>
      </c>
      <c r="BX1159">
        <v>1986</v>
      </c>
      <c r="BY1159">
        <v>22</v>
      </c>
      <c r="BZ1159">
        <f t="shared" si="170"/>
        <v>0</v>
      </c>
      <c r="CA1159">
        <f t="shared" si="171"/>
        <v>0</v>
      </c>
      <c r="CB1159" t="b">
        <f t="shared" si="172"/>
        <v>1</v>
      </c>
    </row>
    <row r="1160" spans="1:80" x14ac:dyDescent="0.3">
      <c r="A1160" t="s">
        <v>9134</v>
      </c>
      <c r="B1160" t="s">
        <v>71</v>
      </c>
      <c r="C1160" t="s">
        <v>9135</v>
      </c>
      <c r="D1160">
        <v>31</v>
      </c>
      <c r="E1160" t="s">
        <v>9136</v>
      </c>
      <c r="F1160" t="s">
        <v>705</v>
      </c>
      <c r="G1160" t="s">
        <v>5492</v>
      </c>
      <c r="H1160" t="s">
        <v>76</v>
      </c>
      <c r="I1160" t="s">
        <v>178</v>
      </c>
      <c r="J1160" t="s">
        <v>78</v>
      </c>
      <c r="K1160" t="s">
        <v>5889</v>
      </c>
      <c r="L1160" t="s">
        <v>762</v>
      </c>
      <c r="M1160">
        <v>20</v>
      </c>
      <c r="N1160" t="s">
        <v>304</v>
      </c>
      <c r="O1160">
        <v>2014</v>
      </c>
      <c r="P1160" t="s">
        <v>9137</v>
      </c>
      <c r="Q1160" t="s">
        <v>9138</v>
      </c>
      <c r="R1160">
        <v>207302</v>
      </c>
      <c r="S1160" t="s">
        <v>9134</v>
      </c>
      <c r="T1160">
        <v>33978</v>
      </c>
      <c r="U1160">
        <v>1993</v>
      </c>
      <c r="V1160" t="s">
        <v>304</v>
      </c>
      <c r="W1160">
        <v>1.96</v>
      </c>
      <c r="X1160" t="s">
        <v>76</v>
      </c>
      <c r="Y1160" t="s">
        <v>186</v>
      </c>
      <c r="Z1160" t="s">
        <v>87</v>
      </c>
      <c r="AA1160" t="s">
        <v>5895</v>
      </c>
      <c r="AB1160" t="s">
        <v>9139</v>
      </c>
      <c r="AC1160" t="s">
        <v>170</v>
      </c>
      <c r="AD1160" t="s">
        <v>89</v>
      </c>
      <c r="AE1160" t="s">
        <v>330</v>
      </c>
      <c r="AF1160">
        <v>21</v>
      </c>
      <c r="AG1160" t="s">
        <v>91</v>
      </c>
      <c r="AH1160" t="s">
        <v>92</v>
      </c>
      <c r="AI1160" t="s">
        <v>89</v>
      </c>
      <c r="AJ1160" t="s">
        <v>92</v>
      </c>
      <c r="AK1160">
        <v>21</v>
      </c>
      <c r="AL1160">
        <v>6</v>
      </c>
      <c r="AM1160">
        <v>435</v>
      </c>
      <c r="AN1160">
        <v>62</v>
      </c>
      <c r="AO1160">
        <v>3</v>
      </c>
      <c r="AP1160" t="s">
        <v>93</v>
      </c>
      <c r="AQ1160" t="s">
        <v>89</v>
      </c>
      <c r="AR1160" t="s">
        <v>89</v>
      </c>
      <c r="AS1160" t="s">
        <v>93</v>
      </c>
      <c r="AT1160" t="s">
        <v>89</v>
      </c>
      <c r="AU1160" t="s">
        <v>89</v>
      </c>
      <c r="AV1160" t="s">
        <v>89</v>
      </c>
      <c r="AW1160">
        <v>11</v>
      </c>
      <c r="AX1160">
        <v>15</v>
      </c>
      <c r="AY1160" t="s">
        <v>111</v>
      </c>
      <c r="AZ1160">
        <v>6</v>
      </c>
      <c r="BA1160">
        <v>1</v>
      </c>
      <c r="BB1160">
        <v>17</v>
      </c>
      <c r="BC1160">
        <v>0</v>
      </c>
      <c r="BD1160">
        <v>238</v>
      </c>
      <c r="BE1160">
        <v>21116</v>
      </c>
      <c r="BF1160">
        <v>0</v>
      </c>
      <c r="BG1160" t="s">
        <v>89</v>
      </c>
      <c r="BH1160">
        <v>239</v>
      </c>
      <c r="BI1160">
        <v>21133</v>
      </c>
      <c r="BJ1160">
        <v>0</v>
      </c>
      <c r="BK1160">
        <f t="shared" si="164"/>
        <v>239</v>
      </c>
      <c r="BL1160">
        <f t="shared" si="165"/>
        <v>21133</v>
      </c>
      <c r="BM1160">
        <f t="shared" si="166"/>
        <v>0</v>
      </c>
      <c r="BN1160">
        <f t="shared" si="167"/>
        <v>0</v>
      </c>
      <c r="BO1160">
        <f t="shared" si="168"/>
        <v>0</v>
      </c>
      <c r="BP1160">
        <f t="shared" si="169"/>
        <v>0</v>
      </c>
      <c r="BQ1160" t="s">
        <v>186</v>
      </c>
      <c r="BR1160" t="s">
        <v>186</v>
      </c>
      <c r="BS1160" t="s">
        <v>89</v>
      </c>
      <c r="BT1160">
        <v>33</v>
      </c>
      <c r="BU1160" t="s">
        <v>89</v>
      </c>
      <c r="BV1160" t="s">
        <v>89</v>
      </c>
      <c r="BW1160">
        <v>12</v>
      </c>
      <c r="BX1160">
        <v>1993</v>
      </c>
      <c r="BY1160">
        <v>10</v>
      </c>
      <c r="BZ1160">
        <f t="shared" si="170"/>
        <v>-1</v>
      </c>
      <c r="CA1160">
        <f t="shared" si="171"/>
        <v>2</v>
      </c>
      <c r="CB1160" t="b">
        <f t="shared" si="172"/>
        <v>0</v>
      </c>
    </row>
    <row r="1161" spans="1:80" x14ac:dyDescent="0.3">
      <c r="A1161" t="s">
        <v>9140</v>
      </c>
      <c r="B1161" t="s">
        <v>71</v>
      </c>
      <c r="C1161" t="s">
        <v>9141</v>
      </c>
      <c r="D1161">
        <v>39</v>
      </c>
      <c r="E1161" s="1">
        <v>31505</v>
      </c>
      <c r="F1161" t="s">
        <v>89</v>
      </c>
      <c r="G1161" t="s">
        <v>226</v>
      </c>
      <c r="H1161" t="s">
        <v>76</v>
      </c>
      <c r="I1161" t="s">
        <v>227</v>
      </c>
      <c r="J1161" t="s">
        <v>78</v>
      </c>
      <c r="K1161" t="s">
        <v>89</v>
      </c>
      <c r="L1161" t="s">
        <v>145</v>
      </c>
      <c r="M1161">
        <v>18</v>
      </c>
      <c r="N1161" t="s">
        <v>146</v>
      </c>
      <c r="O1161">
        <v>2004</v>
      </c>
      <c r="P1161" t="s">
        <v>9142</v>
      </c>
      <c r="Q1161" t="s">
        <v>9143</v>
      </c>
      <c r="R1161">
        <v>38270</v>
      </c>
      <c r="S1161" t="s">
        <v>9140</v>
      </c>
      <c r="T1161" s="1">
        <v>31475</v>
      </c>
      <c r="U1161">
        <v>1986</v>
      </c>
      <c r="V1161" t="s">
        <v>1603</v>
      </c>
      <c r="W1161">
        <v>1.85</v>
      </c>
      <c r="X1161" t="s">
        <v>76</v>
      </c>
      <c r="Y1161" t="s">
        <v>235</v>
      </c>
      <c r="Z1161" t="s">
        <v>87</v>
      </c>
      <c r="AA1161" t="s">
        <v>273</v>
      </c>
      <c r="AB1161" s="1">
        <v>43837</v>
      </c>
      <c r="AC1161" t="s">
        <v>108</v>
      </c>
      <c r="AD1161" t="s">
        <v>89</v>
      </c>
      <c r="AE1161" t="s">
        <v>8213</v>
      </c>
      <c r="AF1161">
        <v>19</v>
      </c>
      <c r="AG1161" t="s">
        <v>91</v>
      </c>
      <c r="AH1161" t="s">
        <v>626</v>
      </c>
      <c r="AI1161">
        <v>20</v>
      </c>
      <c r="AJ1161" t="s">
        <v>110</v>
      </c>
      <c r="AK1161">
        <v>19</v>
      </c>
      <c r="AL1161">
        <v>14</v>
      </c>
      <c r="AM1161">
        <v>581</v>
      </c>
      <c r="AN1161">
        <v>101</v>
      </c>
      <c r="AO1161">
        <v>7</v>
      </c>
      <c r="AP1161" t="s">
        <v>93</v>
      </c>
      <c r="AQ1161" t="s">
        <v>89</v>
      </c>
      <c r="AR1161" t="s">
        <v>89</v>
      </c>
      <c r="AS1161" t="s">
        <v>111</v>
      </c>
      <c r="AT1161" s="1">
        <v>43837</v>
      </c>
      <c r="AU1161">
        <v>2020</v>
      </c>
      <c r="AV1161">
        <v>16</v>
      </c>
      <c r="AW1161">
        <v>16</v>
      </c>
      <c r="AX1161" t="s">
        <v>89</v>
      </c>
      <c r="AY1161" t="s">
        <v>93</v>
      </c>
      <c r="AZ1161">
        <v>0</v>
      </c>
      <c r="BA1161">
        <v>0</v>
      </c>
      <c r="BB1161">
        <v>0</v>
      </c>
      <c r="BC1161">
        <v>0</v>
      </c>
      <c r="BD1161">
        <v>258</v>
      </c>
      <c r="BE1161">
        <v>20840</v>
      </c>
      <c r="BF1161">
        <v>5</v>
      </c>
      <c r="BG1161">
        <v>34</v>
      </c>
      <c r="BH1161">
        <v>258</v>
      </c>
      <c r="BI1161">
        <v>20840</v>
      </c>
      <c r="BJ1161">
        <v>5</v>
      </c>
      <c r="BK1161">
        <f t="shared" si="164"/>
        <v>258</v>
      </c>
      <c r="BL1161">
        <f t="shared" si="165"/>
        <v>20840</v>
      </c>
      <c r="BM1161">
        <f t="shared" si="166"/>
        <v>5</v>
      </c>
      <c r="BN1161">
        <f t="shared" si="167"/>
        <v>0</v>
      </c>
      <c r="BO1161">
        <f t="shared" si="168"/>
        <v>0</v>
      </c>
      <c r="BP1161">
        <f t="shared" si="169"/>
        <v>0</v>
      </c>
      <c r="BQ1161" t="s">
        <v>235</v>
      </c>
      <c r="BR1161" t="s">
        <v>140</v>
      </c>
      <c r="BS1161" s="1">
        <v>31505</v>
      </c>
      <c r="BT1161">
        <v>39</v>
      </c>
      <c r="BU1161" s="1">
        <v>43837</v>
      </c>
      <c r="BV1161" s="1">
        <v>44013</v>
      </c>
      <c r="BW1161">
        <v>15</v>
      </c>
      <c r="BX1161">
        <v>1986</v>
      </c>
      <c r="BY1161">
        <v>15</v>
      </c>
      <c r="BZ1161">
        <f t="shared" si="170"/>
        <v>1</v>
      </c>
      <c r="CA1161">
        <f t="shared" si="171"/>
        <v>0</v>
      </c>
      <c r="CB1161" t="b">
        <f t="shared" si="172"/>
        <v>0</v>
      </c>
    </row>
    <row r="1162" spans="1:80" x14ac:dyDescent="0.3">
      <c r="A1162" t="s">
        <v>9144</v>
      </c>
      <c r="B1162" t="s">
        <v>71</v>
      </c>
      <c r="C1162" t="s">
        <v>9145</v>
      </c>
      <c r="D1162">
        <v>35</v>
      </c>
      <c r="E1162" t="s">
        <v>9146</v>
      </c>
      <c r="F1162" t="s">
        <v>2802</v>
      </c>
      <c r="G1162" t="s">
        <v>97</v>
      </c>
      <c r="H1162" t="s">
        <v>76</v>
      </c>
      <c r="I1162" t="s">
        <v>5342</v>
      </c>
      <c r="J1162" t="s">
        <v>300</v>
      </c>
      <c r="K1162" t="s">
        <v>9147</v>
      </c>
      <c r="L1162" t="s">
        <v>228</v>
      </c>
      <c r="M1162">
        <v>20</v>
      </c>
      <c r="N1162" t="s">
        <v>164</v>
      </c>
      <c r="O1162">
        <v>2010</v>
      </c>
      <c r="P1162" t="s">
        <v>9148</v>
      </c>
      <c r="Q1162" t="s">
        <v>9149</v>
      </c>
      <c r="R1162">
        <v>38817</v>
      </c>
      <c r="S1162" t="s">
        <v>9144</v>
      </c>
      <c r="T1162" t="s">
        <v>9150</v>
      </c>
      <c r="U1162">
        <v>1990</v>
      </c>
      <c r="V1162" t="s">
        <v>644</v>
      </c>
      <c r="W1162">
        <v>1.8</v>
      </c>
      <c r="X1162" t="s">
        <v>76</v>
      </c>
      <c r="Y1162" t="s">
        <v>86</v>
      </c>
      <c r="Z1162" t="s">
        <v>152</v>
      </c>
      <c r="AA1162" t="s">
        <v>293</v>
      </c>
      <c r="AB1162" s="1">
        <v>45725</v>
      </c>
      <c r="AC1162" t="s">
        <v>170</v>
      </c>
      <c r="AD1162" t="s">
        <v>89</v>
      </c>
      <c r="AE1162" s="1">
        <v>40370</v>
      </c>
      <c r="AF1162">
        <v>20</v>
      </c>
      <c r="AG1162" t="s">
        <v>91</v>
      </c>
      <c r="AH1162" t="s">
        <v>2080</v>
      </c>
      <c r="AI1162">
        <v>23</v>
      </c>
      <c r="AJ1162" t="s">
        <v>110</v>
      </c>
      <c r="AK1162">
        <v>20</v>
      </c>
      <c r="AL1162">
        <v>8</v>
      </c>
      <c r="AM1162">
        <v>161</v>
      </c>
      <c r="AN1162">
        <v>24</v>
      </c>
      <c r="AO1162">
        <v>5</v>
      </c>
      <c r="AP1162" t="s">
        <v>93</v>
      </c>
      <c r="AQ1162" t="s">
        <v>89</v>
      </c>
      <c r="AR1162" t="s">
        <v>89</v>
      </c>
      <c r="AS1162" t="s">
        <v>93</v>
      </c>
      <c r="AT1162" t="s">
        <v>89</v>
      </c>
      <c r="AU1162" t="s">
        <v>89</v>
      </c>
      <c r="AV1162" t="s">
        <v>89</v>
      </c>
      <c r="AW1162">
        <v>15</v>
      </c>
      <c r="AX1162">
        <v>14</v>
      </c>
      <c r="AY1162" t="s">
        <v>93</v>
      </c>
      <c r="AZ1162">
        <v>0</v>
      </c>
      <c r="BA1162">
        <v>0</v>
      </c>
      <c r="BB1162">
        <v>0</v>
      </c>
      <c r="BC1162">
        <v>0</v>
      </c>
      <c r="BD1162">
        <v>323</v>
      </c>
      <c r="BE1162">
        <v>22483</v>
      </c>
      <c r="BF1162">
        <v>19</v>
      </c>
      <c r="BG1162" t="s">
        <v>89</v>
      </c>
      <c r="BH1162">
        <v>323</v>
      </c>
      <c r="BI1162">
        <v>22483</v>
      </c>
      <c r="BJ1162">
        <v>19</v>
      </c>
      <c r="BK1162">
        <f t="shared" si="164"/>
        <v>323</v>
      </c>
      <c r="BL1162">
        <f t="shared" si="165"/>
        <v>22483</v>
      </c>
      <c r="BM1162">
        <f t="shared" si="166"/>
        <v>19</v>
      </c>
      <c r="BN1162">
        <f t="shared" si="167"/>
        <v>0</v>
      </c>
      <c r="BO1162">
        <f t="shared" si="168"/>
        <v>0</v>
      </c>
      <c r="BP1162">
        <f t="shared" si="169"/>
        <v>0</v>
      </c>
      <c r="BQ1162" t="s">
        <v>86</v>
      </c>
      <c r="BR1162" t="s">
        <v>94</v>
      </c>
      <c r="BS1162" s="1">
        <v>33021</v>
      </c>
      <c r="BT1162">
        <v>35</v>
      </c>
      <c r="BU1162" t="s">
        <v>89</v>
      </c>
      <c r="BV1162" t="s">
        <v>89</v>
      </c>
      <c r="BW1162">
        <v>15</v>
      </c>
      <c r="BX1162">
        <v>1990</v>
      </c>
      <c r="BY1162">
        <v>15</v>
      </c>
      <c r="BZ1162">
        <f t="shared" si="170"/>
        <v>0</v>
      </c>
      <c r="CA1162">
        <f t="shared" si="171"/>
        <v>0</v>
      </c>
      <c r="CB1162" t="b">
        <f t="shared" si="172"/>
        <v>1</v>
      </c>
    </row>
    <row r="1163" spans="1:80" x14ac:dyDescent="0.3">
      <c r="A1163" t="s">
        <v>9151</v>
      </c>
      <c r="B1163" t="s">
        <v>3811</v>
      </c>
      <c r="C1163" t="s">
        <v>9152</v>
      </c>
      <c r="D1163">
        <v>45</v>
      </c>
      <c r="E1163" s="1">
        <v>29236</v>
      </c>
      <c r="F1163" t="s">
        <v>89</v>
      </c>
      <c r="G1163" t="s">
        <v>413</v>
      </c>
      <c r="H1163" t="s">
        <v>6687</v>
      </c>
      <c r="I1163" t="s">
        <v>750</v>
      </c>
      <c r="J1163" t="s">
        <v>300</v>
      </c>
      <c r="K1163" t="s">
        <v>89</v>
      </c>
      <c r="L1163" t="s">
        <v>2014</v>
      </c>
      <c r="M1163">
        <v>19</v>
      </c>
      <c r="N1163" t="s">
        <v>599</v>
      </c>
      <c r="O1163">
        <v>1999</v>
      </c>
      <c r="P1163" t="s">
        <v>9153</v>
      </c>
      <c r="Q1163" t="s">
        <v>9154</v>
      </c>
      <c r="R1163">
        <v>5486</v>
      </c>
      <c r="S1163" t="s">
        <v>9151</v>
      </c>
      <c r="T1163" t="s">
        <v>9155</v>
      </c>
      <c r="U1163">
        <v>1980</v>
      </c>
      <c r="V1163" t="s">
        <v>6692</v>
      </c>
      <c r="W1163">
        <v>1.83</v>
      </c>
      <c r="X1163" t="s">
        <v>593</v>
      </c>
      <c r="Y1163" t="s">
        <v>86</v>
      </c>
      <c r="Z1163" t="s">
        <v>152</v>
      </c>
      <c r="AA1163" t="s">
        <v>9156</v>
      </c>
      <c r="AB1163" s="1">
        <v>42742</v>
      </c>
      <c r="AC1163" t="s">
        <v>108</v>
      </c>
      <c r="AD1163" t="s">
        <v>442</v>
      </c>
      <c r="AE1163">
        <v>1999</v>
      </c>
      <c r="AF1163">
        <v>19</v>
      </c>
      <c r="AG1163" t="s">
        <v>206</v>
      </c>
      <c r="AH1163">
        <v>2000</v>
      </c>
      <c r="AI1163">
        <v>20</v>
      </c>
      <c r="AJ1163">
        <v>0</v>
      </c>
      <c r="AK1163">
        <v>19</v>
      </c>
      <c r="AL1163">
        <v>10</v>
      </c>
      <c r="AM1163">
        <v>204</v>
      </c>
      <c r="AN1163">
        <v>44</v>
      </c>
      <c r="AO1163">
        <v>5</v>
      </c>
      <c r="AP1163" t="s">
        <v>93</v>
      </c>
      <c r="AQ1163" t="s">
        <v>89</v>
      </c>
      <c r="AR1163" t="s">
        <v>89</v>
      </c>
      <c r="AS1163" t="s">
        <v>111</v>
      </c>
      <c r="AT1163">
        <v>42742</v>
      </c>
      <c r="AU1163">
        <v>2017</v>
      </c>
      <c r="AV1163">
        <v>18</v>
      </c>
      <c r="AW1163">
        <v>18</v>
      </c>
      <c r="AX1163" t="s">
        <v>89</v>
      </c>
      <c r="AY1163" t="s">
        <v>111</v>
      </c>
      <c r="AZ1163">
        <v>7</v>
      </c>
      <c r="BA1163">
        <v>26</v>
      </c>
      <c r="BB1163">
        <v>2302</v>
      </c>
      <c r="BC1163">
        <v>7</v>
      </c>
      <c r="BD1163">
        <v>484</v>
      </c>
      <c r="BE1163">
        <v>34241</v>
      </c>
      <c r="BF1163">
        <v>49</v>
      </c>
      <c r="BG1163">
        <v>37</v>
      </c>
      <c r="BH1163">
        <v>510</v>
      </c>
      <c r="BI1163">
        <v>36543</v>
      </c>
      <c r="BJ1163">
        <v>56</v>
      </c>
      <c r="BK1163">
        <f t="shared" si="164"/>
        <v>510</v>
      </c>
      <c r="BL1163">
        <f t="shared" si="165"/>
        <v>36543</v>
      </c>
      <c r="BM1163">
        <f t="shared" si="166"/>
        <v>56</v>
      </c>
      <c r="BN1163">
        <f t="shared" si="167"/>
        <v>0</v>
      </c>
      <c r="BO1163">
        <f t="shared" si="168"/>
        <v>0</v>
      </c>
      <c r="BP1163">
        <f t="shared" si="169"/>
        <v>0</v>
      </c>
      <c r="BQ1163" t="s">
        <v>86</v>
      </c>
      <c r="BR1163" t="s">
        <v>94</v>
      </c>
      <c r="BS1163" s="1">
        <v>29236</v>
      </c>
      <c r="BT1163">
        <v>46</v>
      </c>
      <c r="BU1163">
        <v>42742</v>
      </c>
      <c r="BV1163" t="s">
        <v>89</v>
      </c>
      <c r="BW1163">
        <v>18</v>
      </c>
      <c r="BX1163">
        <v>1980</v>
      </c>
      <c r="BY1163">
        <v>18</v>
      </c>
      <c r="BZ1163">
        <f t="shared" si="170"/>
        <v>0</v>
      </c>
      <c r="CA1163">
        <f t="shared" si="171"/>
        <v>0</v>
      </c>
      <c r="CB1163" t="b">
        <f t="shared" si="172"/>
        <v>1</v>
      </c>
    </row>
    <row r="1164" spans="1:80" x14ac:dyDescent="0.3">
      <c r="A1164" t="s">
        <v>9157</v>
      </c>
      <c r="B1164" t="s">
        <v>2262</v>
      </c>
      <c r="C1164" t="s">
        <v>9158</v>
      </c>
      <c r="D1164">
        <v>33</v>
      </c>
      <c r="E1164">
        <v>33711</v>
      </c>
      <c r="F1164" t="s">
        <v>89</v>
      </c>
      <c r="G1164" t="s">
        <v>176</v>
      </c>
      <c r="H1164" t="s">
        <v>2264</v>
      </c>
      <c r="I1164" t="s">
        <v>414</v>
      </c>
      <c r="J1164" t="s">
        <v>78</v>
      </c>
      <c r="K1164" t="s">
        <v>89</v>
      </c>
      <c r="L1164" t="s">
        <v>278</v>
      </c>
      <c r="M1164">
        <v>19</v>
      </c>
      <c r="N1164" t="s">
        <v>9159</v>
      </c>
      <c r="O1164">
        <v>2011</v>
      </c>
      <c r="P1164" t="s">
        <v>9160</v>
      </c>
      <c r="Q1164" t="s">
        <v>9161</v>
      </c>
      <c r="R1164">
        <v>88590</v>
      </c>
      <c r="S1164" t="s">
        <v>9157</v>
      </c>
      <c r="T1164" t="s">
        <v>9162</v>
      </c>
      <c r="U1164">
        <v>1992</v>
      </c>
      <c r="V1164" t="s">
        <v>9163</v>
      </c>
      <c r="W1164">
        <v>1.84</v>
      </c>
      <c r="X1164" t="s">
        <v>9164</v>
      </c>
      <c r="Y1164" t="s">
        <v>235</v>
      </c>
      <c r="Z1164" t="s">
        <v>87</v>
      </c>
      <c r="AA1164" t="s">
        <v>751</v>
      </c>
      <c r="AB1164" t="s">
        <v>9165</v>
      </c>
      <c r="AC1164" t="s">
        <v>108</v>
      </c>
      <c r="AD1164" t="s">
        <v>223</v>
      </c>
      <c r="AE1164">
        <v>42652</v>
      </c>
      <c r="AF1164">
        <v>24</v>
      </c>
      <c r="AG1164" t="s">
        <v>1653</v>
      </c>
      <c r="AH1164" t="s">
        <v>6125</v>
      </c>
      <c r="AI1164">
        <v>20</v>
      </c>
      <c r="AJ1164" t="s">
        <v>575</v>
      </c>
      <c r="AK1164">
        <v>20</v>
      </c>
      <c r="AL1164">
        <v>21</v>
      </c>
      <c r="AM1164">
        <v>801</v>
      </c>
      <c r="AN1164">
        <v>121</v>
      </c>
      <c r="AO1164">
        <v>9</v>
      </c>
      <c r="AP1164" t="s">
        <v>93</v>
      </c>
      <c r="AQ1164" t="s">
        <v>89</v>
      </c>
      <c r="AR1164" t="s">
        <v>89</v>
      </c>
      <c r="AS1164" t="s">
        <v>111</v>
      </c>
      <c r="AT1164" t="s">
        <v>9165</v>
      </c>
      <c r="AU1164">
        <v>2024</v>
      </c>
      <c r="AV1164">
        <v>13</v>
      </c>
      <c r="AW1164">
        <v>13</v>
      </c>
      <c r="AX1164" t="s">
        <v>89</v>
      </c>
      <c r="AY1164" t="s">
        <v>111</v>
      </c>
      <c r="AZ1164">
        <v>9</v>
      </c>
      <c r="BA1164">
        <v>20</v>
      </c>
      <c r="BB1164">
        <v>1434</v>
      </c>
      <c r="BC1164">
        <v>2</v>
      </c>
      <c r="BD1164">
        <v>310</v>
      </c>
      <c r="BE1164">
        <v>25427</v>
      </c>
      <c r="BF1164">
        <v>19</v>
      </c>
      <c r="BG1164">
        <v>32</v>
      </c>
      <c r="BH1164">
        <v>330</v>
      </c>
      <c r="BI1164">
        <v>26861</v>
      </c>
      <c r="BJ1164">
        <v>21</v>
      </c>
      <c r="BK1164">
        <f t="shared" si="164"/>
        <v>330</v>
      </c>
      <c r="BL1164">
        <f t="shared" si="165"/>
        <v>26861</v>
      </c>
      <c r="BM1164">
        <f t="shared" si="166"/>
        <v>21</v>
      </c>
      <c r="BN1164">
        <f t="shared" si="167"/>
        <v>0</v>
      </c>
      <c r="BO1164">
        <f t="shared" si="168"/>
        <v>0</v>
      </c>
      <c r="BP1164">
        <f t="shared" si="169"/>
        <v>0</v>
      </c>
      <c r="BQ1164" t="s">
        <v>235</v>
      </c>
      <c r="BR1164" t="s">
        <v>140</v>
      </c>
      <c r="BS1164" s="1">
        <v>33711</v>
      </c>
      <c r="BT1164">
        <v>33</v>
      </c>
      <c r="BU1164" t="s">
        <v>9165</v>
      </c>
      <c r="BV1164" s="1">
        <v>45468</v>
      </c>
      <c r="BW1164">
        <v>12</v>
      </c>
      <c r="BX1164">
        <v>1992</v>
      </c>
      <c r="BY1164">
        <v>12</v>
      </c>
      <c r="BZ1164">
        <f t="shared" si="170"/>
        <v>1</v>
      </c>
      <c r="CA1164">
        <f t="shared" si="171"/>
        <v>0</v>
      </c>
      <c r="CB1164" t="b">
        <f t="shared" si="172"/>
        <v>0</v>
      </c>
    </row>
    <row r="1165" spans="1:80" x14ac:dyDescent="0.3">
      <c r="A1165" t="s">
        <v>9166</v>
      </c>
      <c r="B1165" t="s">
        <v>776</v>
      </c>
      <c r="C1165" t="s">
        <v>9167</v>
      </c>
      <c r="D1165">
        <v>35</v>
      </c>
      <c r="E1165" t="s">
        <v>9168</v>
      </c>
      <c r="F1165" t="s">
        <v>9169</v>
      </c>
      <c r="G1165" t="s">
        <v>226</v>
      </c>
      <c r="H1165" t="s">
        <v>778</v>
      </c>
      <c r="I1165" t="s">
        <v>1331</v>
      </c>
      <c r="J1165" t="s">
        <v>78</v>
      </c>
      <c r="K1165" t="s">
        <v>89</v>
      </c>
      <c r="L1165" t="s">
        <v>130</v>
      </c>
      <c r="M1165">
        <v>18</v>
      </c>
      <c r="N1165" t="s">
        <v>490</v>
      </c>
      <c r="O1165">
        <v>2008</v>
      </c>
      <c r="P1165" t="s">
        <v>9170</v>
      </c>
      <c r="Q1165" t="s">
        <v>9171</v>
      </c>
      <c r="R1165">
        <v>27374</v>
      </c>
      <c r="S1165" t="s">
        <v>9166</v>
      </c>
      <c r="T1165" t="s">
        <v>9172</v>
      </c>
      <c r="U1165">
        <v>1989</v>
      </c>
      <c r="V1165" t="s">
        <v>9173</v>
      </c>
      <c r="W1165">
        <v>1.84</v>
      </c>
      <c r="X1165" t="s">
        <v>783</v>
      </c>
      <c r="Y1165" t="s">
        <v>235</v>
      </c>
      <c r="Z1165" t="s">
        <v>87</v>
      </c>
      <c r="AA1165" t="s">
        <v>9174</v>
      </c>
      <c r="AB1165" s="1">
        <v>45658</v>
      </c>
      <c r="AC1165" t="s">
        <v>9175</v>
      </c>
      <c r="AD1165" t="s">
        <v>89</v>
      </c>
      <c r="AE1165">
        <v>2007</v>
      </c>
      <c r="AF1165">
        <v>17</v>
      </c>
      <c r="AG1165" t="s">
        <v>786</v>
      </c>
      <c r="AH1165">
        <v>2012</v>
      </c>
      <c r="AI1165">
        <v>23</v>
      </c>
      <c r="AJ1165">
        <v>0</v>
      </c>
      <c r="AK1165">
        <v>17</v>
      </c>
      <c r="AL1165">
        <v>18</v>
      </c>
      <c r="AM1165">
        <v>410</v>
      </c>
      <c r="AN1165">
        <v>51</v>
      </c>
      <c r="AO1165">
        <v>7</v>
      </c>
      <c r="AP1165" t="s">
        <v>93</v>
      </c>
      <c r="AQ1165" t="s">
        <v>89</v>
      </c>
      <c r="AR1165" t="s">
        <v>89</v>
      </c>
      <c r="AS1165" t="s">
        <v>93</v>
      </c>
      <c r="AT1165" t="s">
        <v>89</v>
      </c>
      <c r="AU1165" t="s">
        <v>89</v>
      </c>
      <c r="AV1165" t="s">
        <v>89</v>
      </c>
      <c r="AW1165">
        <v>17</v>
      </c>
      <c r="AX1165" t="s">
        <v>89</v>
      </c>
      <c r="AY1165" t="s">
        <v>93</v>
      </c>
      <c r="AZ1165">
        <v>0</v>
      </c>
      <c r="BA1165">
        <v>0</v>
      </c>
      <c r="BB1165">
        <v>0</v>
      </c>
      <c r="BC1165">
        <v>0</v>
      </c>
      <c r="BD1165">
        <v>289</v>
      </c>
      <c r="BE1165">
        <v>23226</v>
      </c>
      <c r="BF1165">
        <v>14</v>
      </c>
      <c r="BG1165" t="s">
        <v>89</v>
      </c>
      <c r="BH1165">
        <v>289</v>
      </c>
      <c r="BI1165">
        <v>23226</v>
      </c>
      <c r="BJ1165">
        <v>14</v>
      </c>
      <c r="BK1165">
        <f t="shared" si="164"/>
        <v>289</v>
      </c>
      <c r="BL1165">
        <f t="shared" si="165"/>
        <v>23226</v>
      </c>
      <c r="BM1165">
        <f t="shared" si="166"/>
        <v>14</v>
      </c>
      <c r="BN1165">
        <f t="shared" si="167"/>
        <v>0</v>
      </c>
      <c r="BO1165">
        <f t="shared" si="168"/>
        <v>0</v>
      </c>
      <c r="BP1165">
        <f t="shared" si="169"/>
        <v>0</v>
      </c>
      <c r="BQ1165" t="s">
        <v>235</v>
      </c>
      <c r="BR1165" t="s">
        <v>140</v>
      </c>
      <c r="BS1165" s="1">
        <v>32743</v>
      </c>
      <c r="BT1165">
        <v>36</v>
      </c>
      <c r="BU1165" t="s">
        <v>89</v>
      </c>
      <c r="BV1165" t="s">
        <v>89</v>
      </c>
      <c r="BW1165">
        <v>19</v>
      </c>
      <c r="BX1165">
        <v>1989</v>
      </c>
      <c r="BY1165">
        <v>18</v>
      </c>
      <c r="BZ1165">
        <f t="shared" si="170"/>
        <v>-2</v>
      </c>
      <c r="CA1165">
        <f t="shared" si="171"/>
        <v>1</v>
      </c>
      <c r="CB1165" t="b">
        <f t="shared" si="172"/>
        <v>0</v>
      </c>
    </row>
    <row r="1166" spans="1:80" x14ac:dyDescent="0.3">
      <c r="A1166" t="s">
        <v>9176</v>
      </c>
      <c r="B1166" t="s">
        <v>9177</v>
      </c>
      <c r="C1166" t="s">
        <v>9178</v>
      </c>
      <c r="D1166">
        <v>37</v>
      </c>
      <c r="E1166" s="1">
        <v>32317</v>
      </c>
      <c r="F1166" t="s">
        <v>89</v>
      </c>
      <c r="G1166" t="s">
        <v>75</v>
      </c>
      <c r="H1166" t="s">
        <v>9179</v>
      </c>
      <c r="I1166" t="s">
        <v>2719</v>
      </c>
      <c r="J1166" t="s">
        <v>78</v>
      </c>
      <c r="K1166" t="s">
        <v>89</v>
      </c>
      <c r="L1166" t="s">
        <v>180</v>
      </c>
      <c r="M1166">
        <v>19</v>
      </c>
      <c r="N1166" t="s">
        <v>6762</v>
      </c>
      <c r="O1166">
        <v>2007</v>
      </c>
      <c r="P1166" t="s">
        <v>9180</v>
      </c>
      <c r="Q1166" t="s">
        <v>9181</v>
      </c>
      <c r="R1166">
        <v>58281</v>
      </c>
      <c r="S1166" t="s">
        <v>9182</v>
      </c>
      <c r="T1166" t="s">
        <v>5054</v>
      </c>
      <c r="U1166">
        <v>1988</v>
      </c>
      <c r="V1166" t="s">
        <v>9183</v>
      </c>
      <c r="W1166">
        <v>1.8</v>
      </c>
      <c r="X1166" t="s">
        <v>9179</v>
      </c>
      <c r="Y1166" t="s">
        <v>259</v>
      </c>
      <c r="Z1166" t="s">
        <v>87</v>
      </c>
      <c r="AA1166" t="s">
        <v>4716</v>
      </c>
      <c r="AB1166" s="1">
        <v>44933</v>
      </c>
      <c r="AC1166" t="s">
        <v>108</v>
      </c>
      <c r="AD1166" t="s">
        <v>89</v>
      </c>
      <c r="AE1166">
        <v>39337</v>
      </c>
      <c r="AF1166">
        <v>19</v>
      </c>
      <c r="AG1166" t="s">
        <v>962</v>
      </c>
      <c r="AH1166" t="s">
        <v>92</v>
      </c>
      <c r="AI1166" t="s">
        <v>89</v>
      </c>
      <c r="AJ1166" t="s">
        <v>92</v>
      </c>
      <c r="AK1166">
        <v>19</v>
      </c>
      <c r="AL1166">
        <v>2</v>
      </c>
      <c r="AM1166">
        <v>86</v>
      </c>
      <c r="AN1166">
        <v>12</v>
      </c>
      <c r="AO1166">
        <v>2</v>
      </c>
      <c r="AP1166" t="s">
        <v>93</v>
      </c>
      <c r="AQ1166" t="s">
        <v>89</v>
      </c>
      <c r="AR1166" t="s">
        <v>89</v>
      </c>
      <c r="AS1166" t="s">
        <v>111</v>
      </c>
      <c r="AT1166">
        <v>44933</v>
      </c>
      <c r="AU1166">
        <v>2023</v>
      </c>
      <c r="AV1166">
        <v>16</v>
      </c>
      <c r="AW1166">
        <v>16</v>
      </c>
      <c r="AX1166" t="s">
        <v>89</v>
      </c>
      <c r="AY1166" t="s">
        <v>111</v>
      </c>
      <c r="AZ1166">
        <v>4</v>
      </c>
      <c r="BA1166">
        <v>8</v>
      </c>
      <c r="BB1166">
        <v>675</v>
      </c>
      <c r="BC1166">
        <v>0</v>
      </c>
      <c r="BD1166">
        <v>272</v>
      </c>
      <c r="BE1166">
        <v>19715</v>
      </c>
      <c r="BF1166">
        <v>8</v>
      </c>
      <c r="BG1166">
        <v>35</v>
      </c>
      <c r="BH1166">
        <v>280</v>
      </c>
      <c r="BI1166">
        <v>20390</v>
      </c>
      <c r="BJ1166">
        <v>8</v>
      </c>
      <c r="BK1166">
        <f t="shared" si="164"/>
        <v>280</v>
      </c>
      <c r="BL1166">
        <f t="shared" si="165"/>
        <v>20390</v>
      </c>
      <c r="BM1166">
        <f t="shared" si="166"/>
        <v>8</v>
      </c>
      <c r="BN1166">
        <f t="shared" si="167"/>
        <v>0</v>
      </c>
      <c r="BO1166">
        <f t="shared" si="168"/>
        <v>0</v>
      </c>
      <c r="BP1166">
        <f t="shared" si="169"/>
        <v>0</v>
      </c>
      <c r="BQ1166" t="s">
        <v>259</v>
      </c>
      <c r="BR1166" t="s">
        <v>94</v>
      </c>
      <c r="BS1166" t="s">
        <v>89</v>
      </c>
      <c r="BT1166">
        <v>38</v>
      </c>
      <c r="BU1166">
        <v>44933</v>
      </c>
      <c r="BV1166" t="s">
        <v>89</v>
      </c>
      <c r="BW1166">
        <v>16</v>
      </c>
      <c r="BX1166">
        <v>1988</v>
      </c>
      <c r="BY1166">
        <v>16</v>
      </c>
      <c r="BZ1166">
        <f t="shared" si="170"/>
        <v>0</v>
      </c>
      <c r="CA1166">
        <f t="shared" si="171"/>
        <v>0</v>
      </c>
      <c r="CB1166" t="b">
        <f t="shared" si="172"/>
        <v>1</v>
      </c>
    </row>
    <row r="1167" spans="1:80" x14ac:dyDescent="0.3">
      <c r="A1167" t="s">
        <v>9184</v>
      </c>
      <c r="B1167" t="s">
        <v>1231</v>
      </c>
      <c r="C1167" t="s">
        <v>9185</v>
      </c>
      <c r="D1167">
        <v>45</v>
      </c>
      <c r="E1167" s="1">
        <v>29159</v>
      </c>
      <c r="F1167" t="s">
        <v>89</v>
      </c>
      <c r="G1167" t="s">
        <v>535</v>
      </c>
      <c r="H1167" t="s">
        <v>1234</v>
      </c>
      <c r="I1167" t="s">
        <v>98</v>
      </c>
      <c r="J1167" t="s">
        <v>639</v>
      </c>
      <c r="K1167" t="s">
        <v>89</v>
      </c>
      <c r="L1167" t="s">
        <v>2014</v>
      </c>
      <c r="M1167">
        <v>19</v>
      </c>
      <c r="N1167" t="s">
        <v>644</v>
      </c>
      <c r="O1167">
        <v>1999</v>
      </c>
      <c r="P1167" t="s">
        <v>9186</v>
      </c>
      <c r="Q1167" t="s">
        <v>9181</v>
      </c>
      <c r="R1167">
        <v>8019</v>
      </c>
      <c r="S1167" t="s">
        <v>9182</v>
      </c>
      <c r="T1167" t="s">
        <v>9187</v>
      </c>
      <c r="U1167">
        <v>1979</v>
      </c>
      <c r="V1167" t="s">
        <v>6637</v>
      </c>
      <c r="W1167">
        <v>1.74</v>
      </c>
      <c r="X1167" t="s">
        <v>1234</v>
      </c>
      <c r="Y1167" t="s">
        <v>391</v>
      </c>
      <c r="Z1167" t="s">
        <v>87</v>
      </c>
      <c r="AA1167" t="s">
        <v>4923</v>
      </c>
      <c r="AB1167" s="1">
        <v>42370</v>
      </c>
      <c r="AC1167" t="s">
        <v>108</v>
      </c>
      <c r="AD1167" t="s">
        <v>89</v>
      </c>
      <c r="AE1167" t="s">
        <v>9188</v>
      </c>
      <c r="AF1167">
        <v>17</v>
      </c>
      <c r="AG1167" t="s">
        <v>613</v>
      </c>
      <c r="AH1167" t="s">
        <v>92</v>
      </c>
      <c r="AI1167" t="s">
        <v>89</v>
      </c>
      <c r="AJ1167" t="s">
        <v>92</v>
      </c>
      <c r="AK1167">
        <v>17</v>
      </c>
      <c r="AL1167">
        <v>4</v>
      </c>
      <c r="AM1167">
        <v>45</v>
      </c>
      <c r="AN1167">
        <v>12</v>
      </c>
      <c r="AO1167">
        <v>3</v>
      </c>
      <c r="AP1167" t="s">
        <v>93</v>
      </c>
      <c r="AQ1167" t="s">
        <v>89</v>
      </c>
      <c r="AR1167" t="s">
        <v>89</v>
      </c>
      <c r="AS1167" t="s">
        <v>111</v>
      </c>
      <c r="AT1167" s="1">
        <v>42370</v>
      </c>
      <c r="AU1167">
        <v>2016</v>
      </c>
      <c r="AV1167">
        <v>17</v>
      </c>
      <c r="AW1167">
        <v>17</v>
      </c>
      <c r="AX1167" t="s">
        <v>89</v>
      </c>
      <c r="AY1167" t="s">
        <v>111</v>
      </c>
      <c r="AZ1167">
        <v>7</v>
      </c>
      <c r="BA1167">
        <v>43</v>
      </c>
      <c r="BB1167">
        <v>2938</v>
      </c>
      <c r="BC1167">
        <v>12</v>
      </c>
      <c r="BD1167">
        <v>538</v>
      </c>
      <c r="BE1167">
        <v>41522</v>
      </c>
      <c r="BF1167">
        <v>134</v>
      </c>
      <c r="BG1167">
        <v>37</v>
      </c>
      <c r="BH1167">
        <v>581</v>
      </c>
      <c r="BI1167">
        <v>44460</v>
      </c>
      <c r="BJ1167">
        <v>146</v>
      </c>
      <c r="BK1167">
        <f t="shared" si="164"/>
        <v>581</v>
      </c>
      <c r="BL1167">
        <f t="shared" si="165"/>
        <v>44460</v>
      </c>
      <c r="BM1167">
        <f t="shared" si="166"/>
        <v>146</v>
      </c>
      <c r="BN1167">
        <f t="shared" si="167"/>
        <v>0</v>
      </c>
      <c r="BO1167">
        <f t="shared" si="168"/>
        <v>0</v>
      </c>
      <c r="BP1167">
        <f t="shared" si="169"/>
        <v>0</v>
      </c>
      <c r="BQ1167" t="s">
        <v>391</v>
      </c>
      <c r="BR1167" t="s">
        <v>112</v>
      </c>
      <c r="BS1167" s="1">
        <v>29159</v>
      </c>
      <c r="BT1167">
        <v>46</v>
      </c>
      <c r="BU1167" s="1">
        <v>42370</v>
      </c>
      <c r="BV1167" s="1">
        <v>42370</v>
      </c>
      <c r="BW1167">
        <v>20</v>
      </c>
      <c r="BX1167">
        <v>1979</v>
      </c>
      <c r="BY1167">
        <v>20</v>
      </c>
      <c r="BZ1167">
        <f t="shared" si="170"/>
        <v>-3</v>
      </c>
      <c r="CA1167">
        <f t="shared" si="171"/>
        <v>0</v>
      </c>
      <c r="CB1167" t="b">
        <f t="shared" si="172"/>
        <v>0</v>
      </c>
    </row>
    <row r="1168" spans="1:80" x14ac:dyDescent="0.3">
      <c r="A1168" t="s">
        <v>9189</v>
      </c>
      <c r="B1168" t="s">
        <v>71</v>
      </c>
      <c r="C1168" t="s">
        <v>9190</v>
      </c>
      <c r="D1168">
        <v>39</v>
      </c>
      <c r="E1168">
        <v>31524</v>
      </c>
      <c r="F1168" t="s">
        <v>89</v>
      </c>
      <c r="G1168" t="s">
        <v>385</v>
      </c>
      <c r="H1168" t="s">
        <v>76</v>
      </c>
      <c r="I1168" t="s">
        <v>2237</v>
      </c>
      <c r="J1168" t="s">
        <v>78</v>
      </c>
      <c r="K1168" t="s">
        <v>89</v>
      </c>
      <c r="L1168" t="s">
        <v>117</v>
      </c>
      <c r="M1168">
        <v>19</v>
      </c>
      <c r="N1168" t="s">
        <v>3221</v>
      </c>
      <c r="O1168">
        <v>2005</v>
      </c>
      <c r="P1168" t="s">
        <v>9191</v>
      </c>
      <c r="Q1168" t="s">
        <v>9192</v>
      </c>
      <c r="R1168">
        <v>51713</v>
      </c>
      <c r="S1168" t="s">
        <v>9193</v>
      </c>
      <c r="T1168" t="s">
        <v>9194</v>
      </c>
      <c r="U1168">
        <v>1986</v>
      </c>
      <c r="V1168" t="s">
        <v>361</v>
      </c>
      <c r="W1168">
        <v>1.68</v>
      </c>
      <c r="X1168" t="s">
        <v>76</v>
      </c>
      <c r="Y1168" t="s">
        <v>106</v>
      </c>
      <c r="Z1168" t="s">
        <v>87</v>
      </c>
      <c r="AA1168" t="s">
        <v>9195</v>
      </c>
      <c r="AB1168">
        <v>44198</v>
      </c>
      <c r="AC1168" t="s">
        <v>108</v>
      </c>
      <c r="AD1168" t="s">
        <v>89</v>
      </c>
      <c r="AE1168" t="s">
        <v>449</v>
      </c>
      <c r="AF1168">
        <v>21</v>
      </c>
      <c r="AG1168" t="s">
        <v>91</v>
      </c>
      <c r="AH1168">
        <v>38451</v>
      </c>
      <c r="AI1168">
        <v>19</v>
      </c>
      <c r="AJ1168" t="s">
        <v>110</v>
      </c>
      <c r="AK1168">
        <v>19</v>
      </c>
      <c r="AL1168">
        <v>8</v>
      </c>
      <c r="AM1168">
        <v>999</v>
      </c>
      <c r="AN1168">
        <v>142</v>
      </c>
      <c r="AO1168">
        <v>7</v>
      </c>
      <c r="AP1168" t="s">
        <v>93</v>
      </c>
      <c r="AQ1168" t="s">
        <v>89</v>
      </c>
      <c r="AR1168" t="s">
        <v>89</v>
      </c>
      <c r="AS1168" t="s">
        <v>111</v>
      </c>
      <c r="AT1168">
        <v>44198</v>
      </c>
      <c r="AU1168">
        <v>2021</v>
      </c>
      <c r="AV1168">
        <v>16</v>
      </c>
      <c r="AW1168">
        <v>16</v>
      </c>
      <c r="AX1168" t="s">
        <v>89</v>
      </c>
      <c r="AY1168" t="s">
        <v>93</v>
      </c>
      <c r="AZ1168">
        <v>0</v>
      </c>
      <c r="BA1168">
        <v>0</v>
      </c>
      <c r="BB1168">
        <v>0</v>
      </c>
      <c r="BC1168">
        <v>0</v>
      </c>
      <c r="BD1168">
        <v>366</v>
      </c>
      <c r="BE1168">
        <v>26988</v>
      </c>
      <c r="BF1168">
        <v>18</v>
      </c>
      <c r="BG1168">
        <v>35</v>
      </c>
      <c r="BH1168">
        <v>366</v>
      </c>
      <c r="BI1168">
        <v>26988</v>
      </c>
      <c r="BJ1168">
        <v>18</v>
      </c>
      <c r="BK1168">
        <f t="shared" si="164"/>
        <v>366</v>
      </c>
      <c r="BL1168">
        <f t="shared" si="165"/>
        <v>26988</v>
      </c>
      <c r="BM1168">
        <f t="shared" si="166"/>
        <v>18</v>
      </c>
      <c r="BN1168">
        <f t="shared" si="167"/>
        <v>0</v>
      </c>
      <c r="BO1168">
        <f t="shared" si="168"/>
        <v>0</v>
      </c>
      <c r="BP1168">
        <f t="shared" si="169"/>
        <v>0</v>
      </c>
      <c r="BQ1168" t="s">
        <v>106</v>
      </c>
      <c r="BR1168" t="s">
        <v>112</v>
      </c>
      <c r="BS1168" s="1">
        <v>31524</v>
      </c>
      <c r="BT1168">
        <v>39</v>
      </c>
      <c r="BU1168">
        <v>44198</v>
      </c>
      <c r="BV1168" t="s">
        <v>89</v>
      </c>
      <c r="BW1168">
        <v>16</v>
      </c>
      <c r="BX1168">
        <v>1986</v>
      </c>
      <c r="BY1168">
        <v>16</v>
      </c>
      <c r="BZ1168">
        <f t="shared" si="170"/>
        <v>0</v>
      </c>
      <c r="CA1168">
        <f t="shared" si="171"/>
        <v>0</v>
      </c>
      <c r="CB1168" t="b">
        <f t="shared" si="172"/>
        <v>1</v>
      </c>
    </row>
    <row r="1169" spans="1:80" x14ac:dyDescent="0.3">
      <c r="A1169" t="s">
        <v>9196</v>
      </c>
      <c r="B1169" t="s">
        <v>565</v>
      </c>
      <c r="C1169" t="s">
        <v>9197</v>
      </c>
      <c r="D1169">
        <v>35</v>
      </c>
      <c r="E1169">
        <v>32868</v>
      </c>
      <c r="F1169" t="s">
        <v>89</v>
      </c>
      <c r="G1169" t="s">
        <v>75</v>
      </c>
      <c r="H1169" t="s">
        <v>567</v>
      </c>
      <c r="I1169" t="s">
        <v>668</v>
      </c>
      <c r="J1169" t="s">
        <v>78</v>
      </c>
      <c r="K1169" t="s">
        <v>89</v>
      </c>
      <c r="L1169" t="s">
        <v>130</v>
      </c>
      <c r="M1169">
        <v>18</v>
      </c>
      <c r="N1169" t="s">
        <v>9198</v>
      </c>
      <c r="O1169">
        <v>2008</v>
      </c>
      <c r="P1169" t="s">
        <v>9199</v>
      </c>
      <c r="Q1169" t="s">
        <v>9200</v>
      </c>
      <c r="R1169">
        <v>57162</v>
      </c>
      <c r="S1169" t="s">
        <v>9196</v>
      </c>
      <c r="T1169" t="s">
        <v>9201</v>
      </c>
      <c r="U1169">
        <v>1989</v>
      </c>
      <c r="V1169" t="s">
        <v>9202</v>
      </c>
      <c r="W1169">
        <v>1.77</v>
      </c>
      <c r="X1169" t="s">
        <v>572</v>
      </c>
      <c r="Y1169" t="s">
        <v>106</v>
      </c>
      <c r="Z1169" t="s">
        <v>87</v>
      </c>
      <c r="AA1169" t="s">
        <v>9203</v>
      </c>
      <c r="AB1169" s="1">
        <v>45785</v>
      </c>
      <c r="AC1169" t="s">
        <v>108</v>
      </c>
      <c r="AD1169" t="s">
        <v>89</v>
      </c>
      <c r="AE1169">
        <v>39699</v>
      </c>
      <c r="AF1169">
        <v>18</v>
      </c>
      <c r="AG1169" t="s">
        <v>206</v>
      </c>
      <c r="AH1169" t="s">
        <v>9204</v>
      </c>
      <c r="AI1169">
        <v>17</v>
      </c>
      <c r="AJ1169" t="s">
        <v>1044</v>
      </c>
      <c r="AK1169">
        <v>17</v>
      </c>
      <c r="AL1169">
        <v>29</v>
      </c>
      <c r="AM1169">
        <v>769</v>
      </c>
      <c r="AN1169">
        <v>152</v>
      </c>
      <c r="AO1169">
        <v>13</v>
      </c>
      <c r="AP1169" t="s">
        <v>93</v>
      </c>
      <c r="AQ1169" t="s">
        <v>89</v>
      </c>
      <c r="AR1169" t="s">
        <v>89</v>
      </c>
      <c r="AS1169" t="s">
        <v>93</v>
      </c>
      <c r="AT1169" t="s">
        <v>89</v>
      </c>
      <c r="AU1169" t="s">
        <v>89</v>
      </c>
      <c r="AV1169" t="s">
        <v>89</v>
      </c>
      <c r="AW1169">
        <v>17</v>
      </c>
      <c r="AX1169">
        <v>89</v>
      </c>
      <c r="AY1169" t="s">
        <v>111</v>
      </c>
      <c r="AZ1169">
        <v>20</v>
      </c>
      <c r="BA1169">
        <v>64</v>
      </c>
      <c r="BB1169">
        <v>4635</v>
      </c>
      <c r="BC1169">
        <v>17</v>
      </c>
      <c r="BD1169">
        <v>428</v>
      </c>
      <c r="BE1169">
        <v>27087</v>
      </c>
      <c r="BF1169">
        <v>63</v>
      </c>
      <c r="BG1169" t="s">
        <v>89</v>
      </c>
      <c r="BH1169">
        <v>492</v>
      </c>
      <c r="BI1169">
        <v>31722</v>
      </c>
      <c r="BJ1169">
        <v>80</v>
      </c>
      <c r="BK1169">
        <f t="shared" si="164"/>
        <v>492</v>
      </c>
      <c r="BL1169">
        <f t="shared" si="165"/>
        <v>31722</v>
      </c>
      <c r="BM1169">
        <f t="shared" si="166"/>
        <v>80</v>
      </c>
      <c r="BN1169">
        <f t="shared" si="167"/>
        <v>0</v>
      </c>
      <c r="BO1169">
        <f t="shared" si="168"/>
        <v>0</v>
      </c>
      <c r="BP1169">
        <f t="shared" si="169"/>
        <v>0</v>
      </c>
      <c r="BQ1169" t="s">
        <v>106</v>
      </c>
      <c r="BR1169" t="s">
        <v>112</v>
      </c>
      <c r="BS1169" s="1">
        <v>32868</v>
      </c>
      <c r="BT1169">
        <v>36</v>
      </c>
      <c r="BU1169" t="s">
        <v>89</v>
      </c>
      <c r="BV1169" t="s">
        <v>89</v>
      </c>
      <c r="BW1169">
        <v>19</v>
      </c>
      <c r="BX1169">
        <v>1989</v>
      </c>
      <c r="BY1169">
        <v>18</v>
      </c>
      <c r="BZ1169">
        <f t="shared" si="170"/>
        <v>-2</v>
      </c>
      <c r="CA1169">
        <f t="shared" si="171"/>
        <v>1</v>
      </c>
      <c r="CB1169" t="b">
        <f t="shared" si="172"/>
        <v>0</v>
      </c>
    </row>
    <row r="1170" spans="1:80" x14ac:dyDescent="0.3">
      <c r="A1170" t="s">
        <v>9205</v>
      </c>
      <c r="B1170" t="s">
        <v>1056</v>
      </c>
      <c r="C1170" t="s">
        <v>9206</v>
      </c>
      <c r="D1170">
        <v>39</v>
      </c>
      <c r="E1170">
        <v>31552</v>
      </c>
      <c r="F1170" t="s">
        <v>89</v>
      </c>
      <c r="G1170" t="s">
        <v>241</v>
      </c>
      <c r="H1170" t="s">
        <v>1058</v>
      </c>
      <c r="I1170" t="s">
        <v>243</v>
      </c>
      <c r="J1170" t="s">
        <v>78</v>
      </c>
      <c r="K1170" t="s">
        <v>89</v>
      </c>
      <c r="L1170" t="s">
        <v>145</v>
      </c>
      <c r="M1170">
        <v>18</v>
      </c>
      <c r="N1170" t="s">
        <v>3083</v>
      </c>
      <c r="O1170">
        <v>2004</v>
      </c>
      <c r="P1170" t="s">
        <v>9207</v>
      </c>
      <c r="Q1170" t="s">
        <v>9208</v>
      </c>
      <c r="R1170">
        <v>27470</v>
      </c>
      <c r="S1170" t="s">
        <v>9205</v>
      </c>
      <c r="T1170" t="s">
        <v>9209</v>
      </c>
      <c r="U1170">
        <v>1986</v>
      </c>
      <c r="V1170" t="s">
        <v>4437</v>
      </c>
      <c r="W1170">
        <v>1.89</v>
      </c>
      <c r="X1170" t="s">
        <v>1065</v>
      </c>
      <c r="Y1170" t="s">
        <v>259</v>
      </c>
      <c r="Z1170" t="s">
        <v>87</v>
      </c>
      <c r="AA1170" t="s">
        <v>476</v>
      </c>
      <c r="AB1170" s="1">
        <v>45298</v>
      </c>
      <c r="AC1170" t="s">
        <v>108</v>
      </c>
      <c r="AD1170" t="s">
        <v>442</v>
      </c>
      <c r="AE1170" t="s">
        <v>4431</v>
      </c>
      <c r="AF1170">
        <v>18</v>
      </c>
      <c r="AG1170" t="s">
        <v>206</v>
      </c>
      <c r="AH1170">
        <v>44479</v>
      </c>
      <c r="AI1170">
        <v>35</v>
      </c>
      <c r="AJ1170" t="s">
        <v>110</v>
      </c>
      <c r="AK1170">
        <v>18</v>
      </c>
      <c r="AL1170">
        <v>11</v>
      </c>
      <c r="AM1170">
        <v>662</v>
      </c>
      <c r="AN1170">
        <v>97</v>
      </c>
      <c r="AO1170">
        <v>6</v>
      </c>
      <c r="AP1170" t="s">
        <v>93</v>
      </c>
      <c r="AQ1170" t="s">
        <v>89</v>
      </c>
      <c r="AR1170" t="s">
        <v>89</v>
      </c>
      <c r="AS1170" t="s">
        <v>93</v>
      </c>
      <c r="AT1170" t="s">
        <v>89</v>
      </c>
      <c r="AU1170" t="s">
        <v>89</v>
      </c>
      <c r="AV1170" t="s">
        <v>89</v>
      </c>
      <c r="AW1170">
        <v>21</v>
      </c>
      <c r="AX1170" t="s">
        <v>89</v>
      </c>
      <c r="AY1170" t="s">
        <v>111</v>
      </c>
      <c r="AZ1170">
        <v>9</v>
      </c>
      <c r="BA1170">
        <v>25</v>
      </c>
      <c r="BB1170">
        <v>1844</v>
      </c>
      <c r="BC1170">
        <v>1</v>
      </c>
      <c r="BD1170">
        <v>404</v>
      </c>
      <c r="BE1170">
        <v>31990</v>
      </c>
      <c r="BF1170">
        <v>35</v>
      </c>
      <c r="BG1170" t="s">
        <v>89</v>
      </c>
      <c r="BH1170">
        <v>429</v>
      </c>
      <c r="BI1170">
        <v>33834</v>
      </c>
      <c r="BJ1170">
        <v>36</v>
      </c>
      <c r="BK1170">
        <f t="shared" si="164"/>
        <v>429</v>
      </c>
      <c r="BL1170">
        <f t="shared" si="165"/>
        <v>33834</v>
      </c>
      <c r="BM1170">
        <f t="shared" si="166"/>
        <v>36</v>
      </c>
      <c r="BN1170">
        <f t="shared" si="167"/>
        <v>0</v>
      </c>
      <c r="BO1170">
        <f t="shared" si="168"/>
        <v>0</v>
      </c>
      <c r="BP1170">
        <f t="shared" si="169"/>
        <v>0</v>
      </c>
      <c r="BQ1170" t="s">
        <v>259</v>
      </c>
      <c r="BR1170" t="s">
        <v>94</v>
      </c>
      <c r="BS1170" s="1">
        <v>31552</v>
      </c>
      <c r="BT1170">
        <v>39</v>
      </c>
      <c r="BU1170" t="s">
        <v>89</v>
      </c>
      <c r="BV1170" t="s">
        <v>89</v>
      </c>
      <c r="BW1170">
        <v>21</v>
      </c>
      <c r="BX1170">
        <v>1986</v>
      </c>
      <c r="BY1170">
        <v>21</v>
      </c>
      <c r="BZ1170">
        <f t="shared" si="170"/>
        <v>0</v>
      </c>
      <c r="CA1170">
        <f t="shared" si="171"/>
        <v>0</v>
      </c>
      <c r="CB1170" t="b">
        <f t="shared" si="172"/>
        <v>1</v>
      </c>
    </row>
    <row r="1171" spans="1:80" x14ac:dyDescent="0.3">
      <c r="A1171" t="s">
        <v>9210</v>
      </c>
      <c r="B1171" t="s">
        <v>997</v>
      </c>
      <c r="C1171" t="s">
        <v>9211</v>
      </c>
      <c r="D1171">
        <v>38</v>
      </c>
      <c r="E1171" s="1">
        <v>31784</v>
      </c>
      <c r="F1171" t="s">
        <v>89</v>
      </c>
      <c r="G1171" t="s">
        <v>75</v>
      </c>
      <c r="H1171" t="s">
        <v>9212</v>
      </c>
      <c r="I1171" t="s">
        <v>98</v>
      </c>
      <c r="J1171" t="s">
        <v>300</v>
      </c>
      <c r="K1171" t="s">
        <v>89</v>
      </c>
      <c r="L1171" t="s">
        <v>130</v>
      </c>
      <c r="M1171">
        <v>21</v>
      </c>
      <c r="N1171" t="s">
        <v>4759</v>
      </c>
      <c r="O1171">
        <v>2008</v>
      </c>
      <c r="P1171" t="s">
        <v>9213</v>
      </c>
      <c r="Q1171" t="s">
        <v>9214</v>
      </c>
      <c r="R1171">
        <v>29237</v>
      </c>
      <c r="S1171" t="s">
        <v>9215</v>
      </c>
      <c r="T1171">
        <v>31959</v>
      </c>
      <c r="U1171">
        <v>1987</v>
      </c>
      <c r="V1171" t="s">
        <v>9216</v>
      </c>
      <c r="W1171">
        <v>1.8</v>
      </c>
      <c r="X1171" t="s">
        <v>999</v>
      </c>
      <c r="Y1171" t="s">
        <v>106</v>
      </c>
      <c r="Z1171" t="s">
        <v>152</v>
      </c>
      <c r="AA1171" t="s">
        <v>4831</v>
      </c>
      <c r="AB1171" t="s">
        <v>9217</v>
      </c>
      <c r="AC1171" t="s">
        <v>108</v>
      </c>
      <c r="AD1171" t="s">
        <v>89</v>
      </c>
      <c r="AE1171" s="1">
        <v>38207</v>
      </c>
      <c r="AF1171">
        <v>17</v>
      </c>
      <c r="AG1171" t="s">
        <v>1006</v>
      </c>
      <c r="AH1171" s="1">
        <v>39753</v>
      </c>
      <c r="AI1171">
        <v>21</v>
      </c>
      <c r="AJ1171" t="s">
        <v>1044</v>
      </c>
      <c r="AK1171">
        <v>17</v>
      </c>
      <c r="AL1171">
        <v>1</v>
      </c>
      <c r="AM1171">
        <v>14</v>
      </c>
      <c r="AN1171">
        <v>4</v>
      </c>
      <c r="AO1171">
        <v>1</v>
      </c>
      <c r="AP1171" t="s">
        <v>93</v>
      </c>
      <c r="AQ1171" t="s">
        <v>89</v>
      </c>
      <c r="AR1171" t="s">
        <v>89</v>
      </c>
      <c r="AS1171" t="s">
        <v>111</v>
      </c>
      <c r="AT1171" t="s">
        <v>9217</v>
      </c>
      <c r="AU1171">
        <v>2016</v>
      </c>
      <c r="AV1171">
        <v>8</v>
      </c>
      <c r="AW1171">
        <v>8</v>
      </c>
      <c r="AX1171" t="s">
        <v>89</v>
      </c>
      <c r="AY1171" t="s">
        <v>111</v>
      </c>
      <c r="AZ1171">
        <v>2</v>
      </c>
      <c r="BA1171">
        <v>1</v>
      </c>
      <c r="BB1171">
        <v>28</v>
      </c>
      <c r="BC1171">
        <v>0</v>
      </c>
      <c r="BD1171">
        <v>156</v>
      </c>
      <c r="BE1171">
        <v>10732</v>
      </c>
      <c r="BF1171">
        <v>25</v>
      </c>
      <c r="BG1171">
        <v>29</v>
      </c>
      <c r="BH1171">
        <v>157</v>
      </c>
      <c r="BI1171">
        <v>10760</v>
      </c>
      <c r="BJ1171">
        <v>25</v>
      </c>
      <c r="BK1171">
        <f t="shared" si="164"/>
        <v>157</v>
      </c>
      <c r="BL1171">
        <f t="shared" si="165"/>
        <v>10760</v>
      </c>
      <c r="BM1171">
        <f t="shared" si="166"/>
        <v>25</v>
      </c>
      <c r="BN1171">
        <f t="shared" si="167"/>
        <v>0</v>
      </c>
      <c r="BO1171">
        <f t="shared" si="168"/>
        <v>0</v>
      </c>
      <c r="BP1171">
        <f t="shared" si="169"/>
        <v>0</v>
      </c>
      <c r="BQ1171" t="s">
        <v>106</v>
      </c>
      <c r="BR1171" t="s">
        <v>112</v>
      </c>
      <c r="BS1171" t="s">
        <v>89</v>
      </c>
      <c r="BT1171">
        <v>39</v>
      </c>
      <c r="BU1171" t="s">
        <v>9217</v>
      </c>
      <c r="BV1171" s="1">
        <v>42383</v>
      </c>
      <c r="BW1171">
        <v>12</v>
      </c>
      <c r="BX1171">
        <v>1987</v>
      </c>
      <c r="BY1171">
        <v>12</v>
      </c>
      <c r="BZ1171">
        <f t="shared" si="170"/>
        <v>-4</v>
      </c>
      <c r="CA1171">
        <f t="shared" si="171"/>
        <v>0</v>
      </c>
      <c r="CB1171" t="b">
        <f t="shared" si="172"/>
        <v>0</v>
      </c>
    </row>
    <row r="1172" spans="1:80" x14ac:dyDescent="0.3">
      <c r="A1172" t="s">
        <v>9218</v>
      </c>
      <c r="B1172" t="s">
        <v>6322</v>
      </c>
      <c r="C1172" t="s">
        <v>9219</v>
      </c>
      <c r="D1172">
        <v>43</v>
      </c>
      <c r="E1172">
        <v>29916</v>
      </c>
      <c r="F1172" t="s">
        <v>89</v>
      </c>
      <c r="G1172" t="s">
        <v>277</v>
      </c>
      <c r="H1172" t="s">
        <v>6324</v>
      </c>
      <c r="I1172" t="s">
        <v>178</v>
      </c>
      <c r="J1172" t="s">
        <v>78</v>
      </c>
      <c r="K1172" t="s">
        <v>89</v>
      </c>
      <c r="L1172" t="s">
        <v>657</v>
      </c>
      <c r="M1172">
        <v>21</v>
      </c>
      <c r="N1172" t="s">
        <v>9220</v>
      </c>
      <c r="O1172">
        <v>2003</v>
      </c>
      <c r="P1172" t="s">
        <v>9221</v>
      </c>
      <c r="Q1172" t="s">
        <v>9222</v>
      </c>
      <c r="R1172">
        <v>17880</v>
      </c>
      <c r="S1172" t="s">
        <v>9218</v>
      </c>
      <c r="T1172" t="s">
        <v>9223</v>
      </c>
      <c r="U1172">
        <v>1981</v>
      </c>
      <c r="V1172" t="s">
        <v>6329</v>
      </c>
      <c r="W1172">
        <v>1.88</v>
      </c>
      <c r="X1172" t="s">
        <v>6324</v>
      </c>
      <c r="Y1172" t="s">
        <v>186</v>
      </c>
      <c r="Z1172" t="s">
        <v>87</v>
      </c>
      <c r="AA1172" t="s">
        <v>7651</v>
      </c>
      <c r="AB1172">
        <v>44933</v>
      </c>
      <c r="AC1172" t="s">
        <v>108</v>
      </c>
      <c r="AD1172" t="s">
        <v>89</v>
      </c>
      <c r="AE1172" t="s">
        <v>6782</v>
      </c>
      <c r="AF1172">
        <v>21</v>
      </c>
      <c r="AG1172" t="s">
        <v>5682</v>
      </c>
      <c r="AH1172" t="s">
        <v>92</v>
      </c>
      <c r="AI1172" t="s">
        <v>89</v>
      </c>
      <c r="AJ1172" t="s">
        <v>92</v>
      </c>
      <c r="AK1172">
        <v>21</v>
      </c>
      <c r="AL1172">
        <v>6</v>
      </c>
      <c r="AM1172">
        <v>545</v>
      </c>
      <c r="AN1172">
        <v>78</v>
      </c>
      <c r="AO1172">
        <v>5</v>
      </c>
      <c r="AP1172" t="s">
        <v>93</v>
      </c>
      <c r="AQ1172" t="s">
        <v>89</v>
      </c>
      <c r="AR1172" t="s">
        <v>89</v>
      </c>
      <c r="AS1172" t="s">
        <v>111</v>
      </c>
      <c r="AT1172">
        <v>44933</v>
      </c>
      <c r="AU1172">
        <v>2023</v>
      </c>
      <c r="AV1172">
        <v>20</v>
      </c>
      <c r="AW1172">
        <v>20</v>
      </c>
      <c r="AX1172" t="s">
        <v>89</v>
      </c>
      <c r="AY1172" t="s">
        <v>111</v>
      </c>
      <c r="AZ1172">
        <v>11</v>
      </c>
      <c r="BA1172">
        <v>17</v>
      </c>
      <c r="BB1172">
        <v>1530</v>
      </c>
      <c r="BC1172">
        <v>0</v>
      </c>
      <c r="BD1172">
        <v>336</v>
      </c>
      <c r="BE1172">
        <v>29957</v>
      </c>
      <c r="BF1172">
        <v>0</v>
      </c>
      <c r="BG1172">
        <v>42</v>
      </c>
      <c r="BH1172">
        <v>353</v>
      </c>
      <c r="BI1172">
        <v>31487</v>
      </c>
      <c r="BJ1172">
        <v>0</v>
      </c>
      <c r="BK1172">
        <f t="shared" si="164"/>
        <v>353</v>
      </c>
      <c r="BL1172">
        <f t="shared" si="165"/>
        <v>31487</v>
      </c>
      <c r="BM1172">
        <f t="shared" si="166"/>
        <v>0</v>
      </c>
      <c r="BN1172">
        <f t="shared" si="167"/>
        <v>0</v>
      </c>
      <c r="BO1172">
        <f t="shared" si="168"/>
        <v>0</v>
      </c>
      <c r="BP1172">
        <f t="shared" si="169"/>
        <v>0</v>
      </c>
      <c r="BQ1172" t="s">
        <v>186</v>
      </c>
      <c r="BR1172" t="s">
        <v>186</v>
      </c>
      <c r="BS1172" s="1">
        <v>29916</v>
      </c>
      <c r="BT1172">
        <v>44</v>
      </c>
      <c r="BU1172">
        <v>44933</v>
      </c>
      <c r="BV1172" t="s">
        <v>89</v>
      </c>
      <c r="BW1172">
        <v>21</v>
      </c>
      <c r="BX1172">
        <v>1981</v>
      </c>
      <c r="BY1172">
        <v>21</v>
      </c>
      <c r="BZ1172">
        <f t="shared" si="170"/>
        <v>-1</v>
      </c>
      <c r="CA1172">
        <f t="shared" si="171"/>
        <v>0</v>
      </c>
      <c r="CB1172" t="b">
        <f t="shared" si="172"/>
        <v>0</v>
      </c>
    </row>
    <row r="1173" spans="1:80" x14ac:dyDescent="0.3">
      <c r="A1173" t="s">
        <v>9224</v>
      </c>
      <c r="B1173" t="s">
        <v>9225</v>
      </c>
      <c r="C1173" t="s">
        <v>9226</v>
      </c>
      <c r="D1173">
        <v>31</v>
      </c>
      <c r="E1173" t="s">
        <v>9227</v>
      </c>
      <c r="F1173" t="s">
        <v>9228</v>
      </c>
      <c r="G1173" t="s">
        <v>277</v>
      </c>
      <c r="H1173" t="s">
        <v>9229</v>
      </c>
      <c r="I1173" t="s">
        <v>178</v>
      </c>
      <c r="J1173" t="s">
        <v>78</v>
      </c>
      <c r="K1173" t="s">
        <v>214</v>
      </c>
      <c r="L1173" t="s">
        <v>762</v>
      </c>
      <c r="M1173">
        <v>20</v>
      </c>
      <c r="N1173" t="s">
        <v>229</v>
      </c>
      <c r="O1173">
        <v>2014</v>
      </c>
      <c r="P1173" t="s">
        <v>9230</v>
      </c>
      <c r="Q1173" t="s">
        <v>9231</v>
      </c>
      <c r="R1173">
        <v>165467</v>
      </c>
      <c r="S1173" t="s">
        <v>9224</v>
      </c>
      <c r="T1173" t="s">
        <v>9232</v>
      </c>
      <c r="U1173">
        <v>1993</v>
      </c>
      <c r="V1173" t="s">
        <v>9233</v>
      </c>
      <c r="W1173">
        <v>1.88</v>
      </c>
      <c r="X1173" t="s">
        <v>9234</v>
      </c>
      <c r="Y1173" t="s">
        <v>186</v>
      </c>
      <c r="Z1173" t="s">
        <v>87</v>
      </c>
      <c r="AA1173" t="s">
        <v>214</v>
      </c>
      <c r="AB1173" s="1">
        <v>45298</v>
      </c>
      <c r="AC1173" t="s">
        <v>170</v>
      </c>
      <c r="AD1173" t="s">
        <v>89</v>
      </c>
      <c r="AE1173">
        <v>2010</v>
      </c>
      <c r="AF1173">
        <v>16</v>
      </c>
      <c r="AG1173" t="s">
        <v>9235</v>
      </c>
      <c r="AH1173">
        <v>2016</v>
      </c>
      <c r="AI1173">
        <v>22</v>
      </c>
      <c r="AJ1173">
        <v>0</v>
      </c>
      <c r="AK1173">
        <v>16</v>
      </c>
      <c r="AL1173">
        <v>1</v>
      </c>
      <c r="AM1173">
        <v>13</v>
      </c>
      <c r="AN1173">
        <v>2</v>
      </c>
      <c r="AO1173">
        <v>1</v>
      </c>
      <c r="AP1173" t="s">
        <v>93</v>
      </c>
      <c r="AQ1173" t="s">
        <v>89</v>
      </c>
      <c r="AR1173" t="s">
        <v>89</v>
      </c>
      <c r="AS1173" t="s">
        <v>93</v>
      </c>
      <c r="AT1173" t="s">
        <v>89</v>
      </c>
      <c r="AU1173" t="s">
        <v>89</v>
      </c>
      <c r="AV1173" t="s">
        <v>89</v>
      </c>
      <c r="AW1173">
        <v>11</v>
      </c>
      <c r="AX1173">
        <v>1</v>
      </c>
      <c r="AY1173" t="s">
        <v>111</v>
      </c>
      <c r="AZ1173">
        <v>20</v>
      </c>
      <c r="BA1173">
        <v>84</v>
      </c>
      <c r="BB1173">
        <v>7536</v>
      </c>
      <c r="BC1173">
        <v>0</v>
      </c>
      <c r="BD1173">
        <v>251</v>
      </c>
      <c r="BE1173">
        <v>22598</v>
      </c>
      <c r="BF1173">
        <v>0</v>
      </c>
      <c r="BG1173" t="s">
        <v>89</v>
      </c>
      <c r="BH1173">
        <v>335</v>
      </c>
      <c r="BI1173">
        <v>30134</v>
      </c>
      <c r="BJ1173">
        <v>0</v>
      </c>
      <c r="BK1173">
        <f t="shared" si="164"/>
        <v>335</v>
      </c>
      <c r="BL1173">
        <f t="shared" si="165"/>
        <v>30134</v>
      </c>
      <c r="BM1173">
        <f t="shared" si="166"/>
        <v>0</v>
      </c>
      <c r="BN1173">
        <f t="shared" si="167"/>
        <v>0</v>
      </c>
      <c r="BO1173">
        <f t="shared" si="168"/>
        <v>0</v>
      </c>
      <c r="BP1173">
        <f t="shared" si="169"/>
        <v>0</v>
      </c>
      <c r="BQ1173" t="s">
        <v>186</v>
      </c>
      <c r="BR1173" t="s">
        <v>186</v>
      </c>
      <c r="BS1173" s="1">
        <v>34328</v>
      </c>
      <c r="BT1173">
        <v>32</v>
      </c>
      <c r="BU1173" t="s">
        <v>89</v>
      </c>
      <c r="BV1173" t="s">
        <v>89</v>
      </c>
      <c r="BW1173">
        <v>16</v>
      </c>
      <c r="BX1173">
        <v>1993</v>
      </c>
      <c r="BY1173">
        <v>15</v>
      </c>
      <c r="BZ1173">
        <f t="shared" si="170"/>
        <v>-5</v>
      </c>
      <c r="CA1173">
        <f t="shared" si="171"/>
        <v>1</v>
      </c>
      <c r="CB1173" t="b">
        <f t="shared" si="172"/>
        <v>0</v>
      </c>
    </row>
    <row r="1174" spans="1:80" x14ac:dyDescent="0.3">
      <c r="A1174" t="s">
        <v>9236</v>
      </c>
      <c r="B1174" t="s">
        <v>1597</v>
      </c>
      <c r="C1174" t="s">
        <v>9237</v>
      </c>
      <c r="D1174">
        <v>29</v>
      </c>
      <c r="E1174" s="1">
        <v>35079</v>
      </c>
      <c r="F1174" t="s">
        <v>89</v>
      </c>
      <c r="G1174" t="s">
        <v>176</v>
      </c>
      <c r="H1174" t="s">
        <v>9238</v>
      </c>
      <c r="I1174" t="s">
        <v>243</v>
      </c>
      <c r="J1174" t="s">
        <v>78</v>
      </c>
      <c r="K1174" t="s">
        <v>89</v>
      </c>
      <c r="L1174" t="s">
        <v>762</v>
      </c>
      <c r="M1174">
        <v>18</v>
      </c>
      <c r="N1174" t="s">
        <v>229</v>
      </c>
      <c r="O1174">
        <v>2014</v>
      </c>
      <c r="P1174" t="s">
        <v>9239</v>
      </c>
      <c r="Q1174" t="s">
        <v>9240</v>
      </c>
      <c r="R1174">
        <v>264046</v>
      </c>
      <c r="S1174" t="s">
        <v>9236</v>
      </c>
      <c r="T1174" t="s">
        <v>9241</v>
      </c>
      <c r="U1174">
        <v>1996</v>
      </c>
      <c r="V1174" t="s">
        <v>9242</v>
      </c>
      <c r="W1174">
        <v>1.84</v>
      </c>
      <c r="X1174" t="s">
        <v>9243</v>
      </c>
      <c r="Y1174" t="s">
        <v>259</v>
      </c>
      <c r="Z1174" t="s">
        <v>87</v>
      </c>
      <c r="AA1174" t="s">
        <v>476</v>
      </c>
      <c r="AB1174" s="1">
        <v>45298</v>
      </c>
      <c r="AC1174" t="s">
        <v>108</v>
      </c>
      <c r="AD1174" t="s">
        <v>89</v>
      </c>
      <c r="AE1174" t="s">
        <v>9244</v>
      </c>
      <c r="AF1174">
        <v>18</v>
      </c>
      <c r="AG1174" t="s">
        <v>91</v>
      </c>
      <c r="AH1174">
        <v>43375</v>
      </c>
      <c r="AI1174">
        <v>22</v>
      </c>
      <c r="AJ1174" t="s">
        <v>110</v>
      </c>
      <c r="AK1174">
        <v>18</v>
      </c>
      <c r="AL1174">
        <v>7</v>
      </c>
      <c r="AM1174">
        <v>126</v>
      </c>
      <c r="AN1174">
        <v>20</v>
      </c>
      <c r="AO1174">
        <v>5</v>
      </c>
      <c r="AP1174" t="s">
        <v>93</v>
      </c>
      <c r="AQ1174" t="s">
        <v>89</v>
      </c>
      <c r="AR1174" t="s">
        <v>89</v>
      </c>
      <c r="AS1174" t="s">
        <v>93</v>
      </c>
      <c r="AT1174" t="s">
        <v>89</v>
      </c>
      <c r="AU1174" t="s">
        <v>89</v>
      </c>
      <c r="AV1174" t="s">
        <v>89</v>
      </c>
      <c r="AW1174">
        <v>11</v>
      </c>
      <c r="AX1174" t="s">
        <v>89</v>
      </c>
      <c r="AY1174" t="s">
        <v>111</v>
      </c>
      <c r="AZ1174">
        <v>14</v>
      </c>
      <c r="BA1174">
        <v>30</v>
      </c>
      <c r="BB1174">
        <v>2458</v>
      </c>
      <c r="BC1174">
        <v>1</v>
      </c>
      <c r="BD1174">
        <v>86</v>
      </c>
      <c r="BE1174">
        <v>5456</v>
      </c>
      <c r="BF1174">
        <v>2</v>
      </c>
      <c r="BG1174" t="s">
        <v>89</v>
      </c>
      <c r="BH1174">
        <v>116</v>
      </c>
      <c r="BI1174">
        <v>7914</v>
      </c>
      <c r="BJ1174">
        <v>3</v>
      </c>
      <c r="BK1174">
        <f t="shared" si="164"/>
        <v>116</v>
      </c>
      <c r="BL1174">
        <f t="shared" si="165"/>
        <v>7914</v>
      </c>
      <c r="BM1174">
        <f t="shared" si="166"/>
        <v>3</v>
      </c>
      <c r="BN1174">
        <f t="shared" si="167"/>
        <v>0</v>
      </c>
      <c r="BO1174">
        <f t="shared" si="168"/>
        <v>0</v>
      </c>
      <c r="BP1174">
        <f t="shared" si="169"/>
        <v>0</v>
      </c>
      <c r="BQ1174" t="s">
        <v>259</v>
      </c>
      <c r="BR1174" t="s">
        <v>94</v>
      </c>
      <c r="BS1174" s="1">
        <v>35079</v>
      </c>
      <c r="BT1174">
        <v>30</v>
      </c>
      <c r="BU1174" t="s">
        <v>89</v>
      </c>
      <c r="BV1174" t="s">
        <v>89</v>
      </c>
      <c r="BW1174">
        <v>12</v>
      </c>
      <c r="BX1174">
        <v>1996</v>
      </c>
      <c r="BY1174">
        <v>11</v>
      </c>
      <c r="BZ1174">
        <f t="shared" si="170"/>
        <v>-1</v>
      </c>
      <c r="CA1174">
        <f t="shared" si="171"/>
        <v>1</v>
      </c>
      <c r="CB1174" t="b">
        <f t="shared" si="172"/>
        <v>0</v>
      </c>
    </row>
    <row r="1175" spans="1:80" x14ac:dyDescent="0.3">
      <c r="A1175" t="s">
        <v>9245</v>
      </c>
      <c r="B1175" t="s">
        <v>71</v>
      </c>
      <c r="C1175" t="s">
        <v>9246</v>
      </c>
      <c r="D1175">
        <v>31</v>
      </c>
      <c r="E1175" t="s">
        <v>9247</v>
      </c>
      <c r="F1175" t="s">
        <v>9248</v>
      </c>
      <c r="G1175" t="s">
        <v>298</v>
      </c>
      <c r="H1175" t="s">
        <v>76</v>
      </c>
      <c r="I1175" t="s">
        <v>5831</v>
      </c>
      <c r="J1175" t="s">
        <v>300</v>
      </c>
      <c r="K1175" t="s">
        <v>267</v>
      </c>
      <c r="L1175" t="s">
        <v>80</v>
      </c>
      <c r="M1175">
        <v>18</v>
      </c>
      <c r="N1175" t="s">
        <v>2647</v>
      </c>
      <c r="O1175">
        <v>2012</v>
      </c>
      <c r="P1175" t="s">
        <v>9249</v>
      </c>
      <c r="Q1175" t="s">
        <v>9250</v>
      </c>
      <c r="R1175">
        <v>111961</v>
      </c>
      <c r="S1175" t="s">
        <v>9245</v>
      </c>
      <c r="T1175" t="s">
        <v>9251</v>
      </c>
      <c r="U1175">
        <v>1993</v>
      </c>
      <c r="V1175" t="s">
        <v>267</v>
      </c>
      <c r="W1175">
        <v>1.77</v>
      </c>
      <c r="X1175" t="s">
        <v>76</v>
      </c>
      <c r="Y1175" t="s">
        <v>494</v>
      </c>
      <c r="Z1175" t="s">
        <v>152</v>
      </c>
      <c r="AA1175" t="s">
        <v>273</v>
      </c>
      <c r="AB1175" s="1">
        <v>45664</v>
      </c>
      <c r="AC1175" t="s">
        <v>9252</v>
      </c>
      <c r="AD1175" t="s">
        <v>89</v>
      </c>
      <c r="AE1175" t="s">
        <v>9253</v>
      </c>
      <c r="AF1175">
        <v>18</v>
      </c>
      <c r="AG1175" t="s">
        <v>1653</v>
      </c>
      <c r="AH1175" t="s">
        <v>9254</v>
      </c>
      <c r="AI1175">
        <v>31</v>
      </c>
      <c r="AJ1175" t="s">
        <v>459</v>
      </c>
      <c r="AK1175">
        <v>18</v>
      </c>
      <c r="AL1175">
        <v>14</v>
      </c>
      <c r="AM1175">
        <v>421</v>
      </c>
      <c r="AN1175">
        <v>82</v>
      </c>
      <c r="AO1175">
        <v>10</v>
      </c>
      <c r="AP1175" t="s">
        <v>93</v>
      </c>
      <c r="AQ1175" t="s">
        <v>89</v>
      </c>
      <c r="AR1175" t="s">
        <v>89</v>
      </c>
      <c r="AS1175" t="s">
        <v>93</v>
      </c>
      <c r="AT1175" t="s">
        <v>89</v>
      </c>
      <c r="AU1175" t="s">
        <v>89</v>
      </c>
      <c r="AV1175" t="s">
        <v>89</v>
      </c>
      <c r="AW1175">
        <v>13</v>
      </c>
      <c r="AX1175">
        <v>11</v>
      </c>
      <c r="AY1175" t="s">
        <v>111</v>
      </c>
      <c r="AZ1175">
        <v>5</v>
      </c>
      <c r="BA1175">
        <v>5</v>
      </c>
      <c r="BB1175">
        <v>267</v>
      </c>
      <c r="BC1175">
        <v>0</v>
      </c>
      <c r="BD1175">
        <v>404</v>
      </c>
      <c r="BE1175">
        <v>26008</v>
      </c>
      <c r="BF1175">
        <v>45</v>
      </c>
      <c r="BG1175" t="s">
        <v>89</v>
      </c>
      <c r="BH1175">
        <v>409</v>
      </c>
      <c r="BI1175">
        <v>26275</v>
      </c>
      <c r="BJ1175">
        <v>45</v>
      </c>
      <c r="BK1175">
        <f t="shared" si="164"/>
        <v>409</v>
      </c>
      <c r="BL1175">
        <f t="shared" si="165"/>
        <v>26275</v>
      </c>
      <c r="BM1175">
        <f t="shared" si="166"/>
        <v>45</v>
      </c>
      <c r="BN1175">
        <f t="shared" si="167"/>
        <v>0</v>
      </c>
      <c r="BO1175">
        <f t="shared" si="168"/>
        <v>0</v>
      </c>
      <c r="BP1175">
        <f t="shared" si="169"/>
        <v>0</v>
      </c>
      <c r="BQ1175" t="s">
        <v>494</v>
      </c>
      <c r="BR1175" t="s">
        <v>112</v>
      </c>
      <c r="BS1175" s="1">
        <v>34292</v>
      </c>
      <c r="BT1175">
        <v>32</v>
      </c>
      <c r="BU1175" t="s">
        <v>89</v>
      </c>
      <c r="BV1175" t="s">
        <v>89</v>
      </c>
      <c r="BW1175">
        <v>14</v>
      </c>
      <c r="BX1175">
        <v>1993</v>
      </c>
      <c r="BY1175">
        <v>13</v>
      </c>
      <c r="BZ1175">
        <f t="shared" si="170"/>
        <v>-1</v>
      </c>
      <c r="CA1175">
        <f t="shared" si="171"/>
        <v>1</v>
      </c>
      <c r="CB1175" t="b">
        <f t="shared" si="172"/>
        <v>0</v>
      </c>
    </row>
    <row r="1176" spans="1:80" x14ac:dyDescent="0.3">
      <c r="A1176" t="s">
        <v>9255</v>
      </c>
      <c r="B1176" t="s">
        <v>71</v>
      </c>
      <c r="C1176" t="s">
        <v>9256</v>
      </c>
      <c r="D1176">
        <v>30</v>
      </c>
      <c r="E1176">
        <v>34623</v>
      </c>
      <c r="F1176" t="s">
        <v>89</v>
      </c>
      <c r="G1176" t="s">
        <v>321</v>
      </c>
      <c r="H1176" t="s">
        <v>89</v>
      </c>
      <c r="I1176" t="s">
        <v>750</v>
      </c>
      <c r="J1176" t="s">
        <v>89</v>
      </c>
      <c r="K1176" t="s">
        <v>89</v>
      </c>
      <c r="L1176" t="s">
        <v>80</v>
      </c>
      <c r="M1176">
        <v>17</v>
      </c>
      <c r="N1176" t="s">
        <v>508</v>
      </c>
      <c r="O1176">
        <v>2012</v>
      </c>
      <c r="P1176" t="s">
        <v>9257</v>
      </c>
      <c r="Q1176" t="s">
        <v>9258</v>
      </c>
      <c r="R1176">
        <v>249459</v>
      </c>
      <c r="S1176" t="s">
        <v>9259</v>
      </c>
      <c r="T1176" t="s">
        <v>9260</v>
      </c>
      <c r="U1176">
        <v>1994</v>
      </c>
      <c r="V1176" t="s">
        <v>5170</v>
      </c>
      <c r="W1176">
        <v>1.79</v>
      </c>
      <c r="X1176" t="s">
        <v>76</v>
      </c>
      <c r="Y1176" t="s">
        <v>86</v>
      </c>
      <c r="Z1176" t="s">
        <v>87</v>
      </c>
      <c r="AA1176" t="s">
        <v>1950</v>
      </c>
      <c r="AB1176">
        <v>45968</v>
      </c>
      <c r="AC1176" t="s">
        <v>170</v>
      </c>
      <c r="AD1176" t="s">
        <v>89</v>
      </c>
      <c r="AE1176" t="s">
        <v>5790</v>
      </c>
      <c r="AF1176">
        <v>18</v>
      </c>
      <c r="AG1176" t="s">
        <v>91</v>
      </c>
      <c r="AH1176" t="s">
        <v>1777</v>
      </c>
      <c r="AI1176">
        <v>19</v>
      </c>
      <c r="AJ1176" t="s">
        <v>110</v>
      </c>
      <c r="AK1176">
        <v>18</v>
      </c>
      <c r="AL1176" t="s">
        <v>89</v>
      </c>
      <c r="AM1176" t="s">
        <v>89</v>
      </c>
      <c r="AN1176" t="s">
        <v>89</v>
      </c>
      <c r="AO1176">
        <v>0</v>
      </c>
      <c r="AP1176" t="s">
        <v>93</v>
      </c>
      <c r="AQ1176" t="s">
        <v>89</v>
      </c>
      <c r="AR1176" t="s">
        <v>89</v>
      </c>
      <c r="AS1176" t="s">
        <v>93</v>
      </c>
      <c r="AT1176" t="s">
        <v>89</v>
      </c>
      <c r="AU1176" t="s">
        <v>89</v>
      </c>
      <c r="AV1176" t="s">
        <v>89</v>
      </c>
      <c r="AW1176">
        <v>13</v>
      </c>
      <c r="AX1176">
        <v>18</v>
      </c>
      <c r="AY1176" t="s">
        <v>93</v>
      </c>
      <c r="AZ1176">
        <v>0</v>
      </c>
      <c r="BA1176">
        <v>0</v>
      </c>
      <c r="BB1176">
        <v>0</v>
      </c>
      <c r="BC1176">
        <v>0</v>
      </c>
      <c r="BD1176">
        <v>18</v>
      </c>
      <c r="BE1176">
        <v>972</v>
      </c>
      <c r="BF1176">
        <v>0</v>
      </c>
      <c r="BG1176" t="s">
        <v>89</v>
      </c>
      <c r="BH1176">
        <v>18</v>
      </c>
      <c r="BI1176">
        <v>972</v>
      </c>
      <c r="BJ1176">
        <v>0</v>
      </c>
      <c r="BK1176">
        <f t="shared" si="164"/>
        <v>18</v>
      </c>
      <c r="BL1176">
        <f t="shared" si="165"/>
        <v>972</v>
      </c>
      <c r="BM1176">
        <f t="shared" si="166"/>
        <v>0</v>
      </c>
      <c r="BN1176">
        <f t="shared" si="167"/>
        <v>0</v>
      </c>
      <c r="BO1176">
        <f t="shared" si="168"/>
        <v>0</v>
      </c>
      <c r="BP1176">
        <f t="shared" si="169"/>
        <v>0</v>
      </c>
      <c r="BQ1176" t="s">
        <v>86</v>
      </c>
      <c r="BR1176" t="s">
        <v>94</v>
      </c>
      <c r="BS1176" s="1">
        <v>34623</v>
      </c>
      <c r="BT1176">
        <v>31</v>
      </c>
      <c r="BU1176" t="s">
        <v>89</v>
      </c>
      <c r="BV1176" t="s">
        <v>89</v>
      </c>
      <c r="BW1176">
        <v>13</v>
      </c>
      <c r="BX1176">
        <v>1994</v>
      </c>
      <c r="BY1176">
        <v>12</v>
      </c>
      <c r="BZ1176">
        <f t="shared" si="170"/>
        <v>0</v>
      </c>
      <c r="CA1176">
        <f t="shared" si="171"/>
        <v>1</v>
      </c>
      <c r="CB1176" t="b">
        <f t="shared" si="172"/>
        <v>1</v>
      </c>
    </row>
    <row r="1177" spans="1:80" x14ac:dyDescent="0.3">
      <c r="A1177" t="s">
        <v>9261</v>
      </c>
      <c r="B1177" t="s">
        <v>71</v>
      </c>
      <c r="C1177" t="s">
        <v>9262</v>
      </c>
      <c r="D1177">
        <v>33</v>
      </c>
      <c r="E1177" s="1">
        <v>33794</v>
      </c>
      <c r="F1177" t="s">
        <v>89</v>
      </c>
      <c r="G1177" t="s">
        <v>75</v>
      </c>
      <c r="H1177" t="s">
        <v>89</v>
      </c>
      <c r="I1177" t="s">
        <v>750</v>
      </c>
      <c r="J1177" t="s">
        <v>300</v>
      </c>
      <c r="K1177" t="s">
        <v>89</v>
      </c>
      <c r="L1177" t="s">
        <v>228</v>
      </c>
      <c r="M1177">
        <v>18</v>
      </c>
      <c r="N1177" t="s">
        <v>416</v>
      </c>
      <c r="O1177">
        <v>2010</v>
      </c>
      <c r="P1177" t="s">
        <v>9263</v>
      </c>
      <c r="Q1177" t="s">
        <v>9264</v>
      </c>
      <c r="R1177">
        <v>180825</v>
      </c>
      <c r="S1177" t="s">
        <v>9261</v>
      </c>
      <c r="T1177" t="s">
        <v>9265</v>
      </c>
      <c r="U1177">
        <v>1992</v>
      </c>
      <c r="V1177" t="s">
        <v>9266</v>
      </c>
      <c r="W1177">
        <v>1.78</v>
      </c>
      <c r="X1177" t="s">
        <v>76</v>
      </c>
      <c r="Y1177" t="s">
        <v>259</v>
      </c>
      <c r="Z1177" t="s">
        <v>152</v>
      </c>
      <c r="AA1177" t="s">
        <v>9267</v>
      </c>
      <c r="AB1177" t="s">
        <v>9268</v>
      </c>
      <c r="AC1177" t="s">
        <v>222</v>
      </c>
      <c r="AD1177" t="s">
        <v>89</v>
      </c>
      <c r="AE1177" t="s">
        <v>5628</v>
      </c>
      <c r="AF1177">
        <v>18</v>
      </c>
      <c r="AG1177" t="s">
        <v>91</v>
      </c>
      <c r="AH1177" t="s">
        <v>92</v>
      </c>
      <c r="AI1177" t="s">
        <v>89</v>
      </c>
      <c r="AJ1177" t="s">
        <v>92</v>
      </c>
      <c r="AK1177">
        <v>18</v>
      </c>
      <c r="AL1177" t="s">
        <v>89</v>
      </c>
      <c r="AM1177" t="s">
        <v>89</v>
      </c>
      <c r="AN1177" t="s">
        <v>89</v>
      </c>
      <c r="AO1177">
        <v>0</v>
      </c>
      <c r="AP1177" t="s">
        <v>93</v>
      </c>
      <c r="AQ1177" t="s">
        <v>89</v>
      </c>
      <c r="AR1177" t="s">
        <v>89</v>
      </c>
      <c r="AS1177" t="s">
        <v>93</v>
      </c>
      <c r="AT1177" t="s">
        <v>89</v>
      </c>
      <c r="AU1177" t="s">
        <v>89</v>
      </c>
      <c r="AV1177" t="s">
        <v>89</v>
      </c>
      <c r="AW1177">
        <v>15</v>
      </c>
      <c r="AX1177">
        <v>21</v>
      </c>
      <c r="AY1177" t="s">
        <v>93</v>
      </c>
      <c r="AZ1177">
        <v>0</v>
      </c>
      <c r="BA1177">
        <v>0</v>
      </c>
      <c r="BB1177">
        <v>0</v>
      </c>
      <c r="BC1177">
        <v>0</v>
      </c>
      <c r="BD1177">
        <v>4</v>
      </c>
      <c r="BE1177">
        <v>105</v>
      </c>
      <c r="BF1177">
        <v>0</v>
      </c>
      <c r="BG1177" t="s">
        <v>89</v>
      </c>
      <c r="BH1177">
        <v>4</v>
      </c>
      <c r="BI1177">
        <v>105</v>
      </c>
      <c r="BJ1177">
        <v>0</v>
      </c>
      <c r="BK1177">
        <f t="shared" si="164"/>
        <v>4</v>
      </c>
      <c r="BL1177">
        <f t="shared" si="165"/>
        <v>105</v>
      </c>
      <c r="BM1177">
        <f t="shared" si="166"/>
        <v>0</v>
      </c>
      <c r="BN1177">
        <f t="shared" si="167"/>
        <v>0</v>
      </c>
      <c r="BO1177">
        <f t="shared" si="168"/>
        <v>0</v>
      </c>
      <c r="BP1177">
        <f t="shared" si="169"/>
        <v>0</v>
      </c>
      <c r="BQ1177" t="s">
        <v>259</v>
      </c>
      <c r="BR1177" t="s">
        <v>94</v>
      </c>
      <c r="BS1177" t="s">
        <v>89</v>
      </c>
      <c r="BT1177">
        <v>34</v>
      </c>
      <c r="BU1177" t="s">
        <v>89</v>
      </c>
      <c r="BV1177" t="s">
        <v>89</v>
      </c>
      <c r="BW1177">
        <v>16</v>
      </c>
      <c r="BX1177">
        <v>1992</v>
      </c>
      <c r="BY1177">
        <v>15</v>
      </c>
      <c r="BZ1177">
        <f t="shared" si="170"/>
        <v>-1</v>
      </c>
      <c r="CA1177">
        <f t="shared" si="171"/>
        <v>1</v>
      </c>
      <c r="CB1177" t="b">
        <f t="shared" si="172"/>
        <v>0</v>
      </c>
    </row>
    <row r="1178" spans="1:80" x14ac:dyDescent="0.3">
      <c r="A1178" t="s">
        <v>9269</v>
      </c>
      <c r="B1178" t="s">
        <v>9270</v>
      </c>
      <c r="C1178" t="s">
        <v>9271</v>
      </c>
      <c r="D1178">
        <v>37</v>
      </c>
      <c r="E1178" t="s">
        <v>9272</v>
      </c>
      <c r="F1178" t="s">
        <v>9273</v>
      </c>
      <c r="G1178" t="s">
        <v>97</v>
      </c>
      <c r="H1178" t="s">
        <v>9273</v>
      </c>
      <c r="I1178" t="s">
        <v>437</v>
      </c>
      <c r="J1178" t="s">
        <v>78</v>
      </c>
      <c r="K1178" t="s">
        <v>9274</v>
      </c>
      <c r="L1178" t="s">
        <v>762</v>
      </c>
      <c r="M1178">
        <v>26</v>
      </c>
      <c r="N1178" t="s">
        <v>527</v>
      </c>
      <c r="O1178">
        <v>2014</v>
      </c>
      <c r="P1178" t="s">
        <v>9275</v>
      </c>
      <c r="Q1178" t="s">
        <v>9276</v>
      </c>
      <c r="R1178">
        <v>65233</v>
      </c>
      <c r="S1178" t="s">
        <v>9269</v>
      </c>
      <c r="T1178" s="1">
        <v>32300</v>
      </c>
      <c r="U1178">
        <v>1988</v>
      </c>
      <c r="V1178" t="s">
        <v>9277</v>
      </c>
      <c r="W1178">
        <v>1.81</v>
      </c>
      <c r="X1178" t="s">
        <v>9273</v>
      </c>
      <c r="Y1178" t="s">
        <v>123</v>
      </c>
      <c r="Z1178" t="s">
        <v>87</v>
      </c>
      <c r="AA1178" t="s">
        <v>9278</v>
      </c>
      <c r="AB1178" s="1">
        <v>45664</v>
      </c>
      <c r="AC1178" t="s">
        <v>170</v>
      </c>
      <c r="AD1178" t="s">
        <v>799</v>
      </c>
      <c r="AE1178">
        <v>41308</v>
      </c>
      <c r="AF1178">
        <v>24</v>
      </c>
      <c r="AG1178" t="s">
        <v>9279</v>
      </c>
      <c r="AH1178" t="s">
        <v>92</v>
      </c>
      <c r="AI1178" t="s">
        <v>89</v>
      </c>
      <c r="AJ1178" t="s">
        <v>92</v>
      </c>
      <c r="AK1178">
        <v>24</v>
      </c>
      <c r="AL1178">
        <v>10</v>
      </c>
      <c r="AM1178">
        <v>457</v>
      </c>
      <c r="AN1178">
        <v>69</v>
      </c>
      <c r="AO1178">
        <v>7</v>
      </c>
      <c r="AP1178" t="s">
        <v>93</v>
      </c>
      <c r="AQ1178" t="s">
        <v>89</v>
      </c>
      <c r="AR1178" t="s">
        <v>89</v>
      </c>
      <c r="AS1178" t="s">
        <v>93</v>
      </c>
      <c r="AT1178" t="s">
        <v>89</v>
      </c>
      <c r="AU1178" t="s">
        <v>89</v>
      </c>
      <c r="AV1178" t="s">
        <v>89</v>
      </c>
      <c r="AW1178">
        <v>11</v>
      </c>
      <c r="AX1178">
        <v>10</v>
      </c>
      <c r="AY1178" t="s">
        <v>111</v>
      </c>
      <c r="AZ1178">
        <v>17</v>
      </c>
      <c r="BA1178">
        <v>69</v>
      </c>
      <c r="BB1178">
        <v>5517</v>
      </c>
      <c r="BC1178">
        <v>21</v>
      </c>
      <c r="BD1178">
        <v>66</v>
      </c>
      <c r="BE1178">
        <v>2687</v>
      </c>
      <c r="BF1178">
        <v>10</v>
      </c>
      <c r="BG1178" t="s">
        <v>89</v>
      </c>
      <c r="BH1178">
        <v>135</v>
      </c>
      <c r="BI1178">
        <v>8204</v>
      </c>
      <c r="BJ1178">
        <v>31</v>
      </c>
      <c r="BK1178">
        <f t="shared" si="164"/>
        <v>135</v>
      </c>
      <c r="BL1178">
        <f t="shared" si="165"/>
        <v>8204</v>
      </c>
      <c r="BM1178">
        <f t="shared" si="166"/>
        <v>31</v>
      </c>
      <c r="BN1178">
        <f t="shared" si="167"/>
        <v>0</v>
      </c>
      <c r="BO1178">
        <f t="shared" si="168"/>
        <v>0</v>
      </c>
      <c r="BP1178">
        <f t="shared" si="169"/>
        <v>0</v>
      </c>
      <c r="BQ1178" t="s">
        <v>123</v>
      </c>
      <c r="BR1178" t="s">
        <v>112</v>
      </c>
      <c r="BS1178" s="1">
        <v>32300</v>
      </c>
      <c r="BT1178">
        <v>37</v>
      </c>
      <c r="BU1178" t="s">
        <v>89</v>
      </c>
      <c r="BV1178" t="s">
        <v>89</v>
      </c>
      <c r="BW1178">
        <v>13</v>
      </c>
      <c r="BX1178">
        <v>1988</v>
      </c>
      <c r="BY1178">
        <v>13</v>
      </c>
      <c r="BZ1178">
        <f t="shared" si="170"/>
        <v>-2</v>
      </c>
      <c r="CA1178">
        <f t="shared" si="171"/>
        <v>0</v>
      </c>
      <c r="CB1178" t="b">
        <f t="shared" si="172"/>
        <v>0</v>
      </c>
    </row>
    <row r="1179" spans="1:80" x14ac:dyDescent="0.3">
      <c r="A1179" t="s">
        <v>9280</v>
      </c>
      <c r="B1179" t="s">
        <v>2121</v>
      </c>
      <c r="C1179" t="s">
        <v>9281</v>
      </c>
      <c r="D1179">
        <v>29</v>
      </c>
      <c r="E1179" t="s">
        <v>9282</v>
      </c>
      <c r="F1179" t="s">
        <v>9283</v>
      </c>
      <c r="G1179" t="s">
        <v>160</v>
      </c>
      <c r="H1179" t="s">
        <v>9284</v>
      </c>
      <c r="I1179" t="s">
        <v>161</v>
      </c>
      <c r="J1179" t="s">
        <v>300</v>
      </c>
      <c r="K1179" t="s">
        <v>3688</v>
      </c>
      <c r="L1179" t="s">
        <v>324</v>
      </c>
      <c r="M1179">
        <v>17</v>
      </c>
      <c r="N1179" t="s">
        <v>9285</v>
      </c>
      <c r="O1179">
        <v>2013</v>
      </c>
      <c r="P1179" t="s">
        <v>9286</v>
      </c>
      <c r="Q1179" t="s">
        <v>9287</v>
      </c>
      <c r="R1179">
        <v>280701</v>
      </c>
      <c r="S1179" t="s">
        <v>9288</v>
      </c>
      <c r="T1179" t="s">
        <v>9289</v>
      </c>
      <c r="U1179">
        <v>1995</v>
      </c>
      <c r="V1179" t="s">
        <v>4877</v>
      </c>
      <c r="W1179">
        <v>1.75</v>
      </c>
      <c r="X1179" t="s">
        <v>9290</v>
      </c>
      <c r="Y1179" t="s">
        <v>494</v>
      </c>
      <c r="Z1179" t="s">
        <v>152</v>
      </c>
      <c r="AA1179" t="s">
        <v>3688</v>
      </c>
      <c r="AB1179" s="1">
        <v>45267</v>
      </c>
      <c r="AC1179" t="s">
        <v>88</v>
      </c>
      <c r="AD1179" t="s">
        <v>89</v>
      </c>
      <c r="AE1179" t="s">
        <v>9291</v>
      </c>
      <c r="AF1179">
        <v>18</v>
      </c>
      <c r="AG1179" t="s">
        <v>1161</v>
      </c>
      <c r="AH1179" t="s">
        <v>92</v>
      </c>
      <c r="AI1179" t="s">
        <v>89</v>
      </c>
      <c r="AJ1179" t="s">
        <v>92</v>
      </c>
      <c r="AK1179">
        <v>18</v>
      </c>
      <c r="AL1179">
        <v>6</v>
      </c>
      <c r="AM1179">
        <v>162</v>
      </c>
      <c r="AN1179">
        <v>24</v>
      </c>
      <c r="AO1179">
        <v>5</v>
      </c>
      <c r="AP1179" t="s">
        <v>93</v>
      </c>
      <c r="AQ1179" t="s">
        <v>89</v>
      </c>
      <c r="AR1179" t="s">
        <v>89</v>
      </c>
      <c r="AS1179" t="s">
        <v>93</v>
      </c>
      <c r="AT1179" t="s">
        <v>89</v>
      </c>
      <c r="AU1179" t="s">
        <v>89</v>
      </c>
      <c r="AV1179" t="s">
        <v>89</v>
      </c>
      <c r="AW1179">
        <v>12</v>
      </c>
      <c r="AX1179">
        <v>77</v>
      </c>
      <c r="AY1179" t="s">
        <v>111</v>
      </c>
      <c r="AZ1179">
        <v>6</v>
      </c>
      <c r="BA1179">
        <v>24</v>
      </c>
      <c r="BB1179">
        <v>1471</v>
      </c>
      <c r="BC1179">
        <v>5</v>
      </c>
      <c r="BD1179">
        <v>329</v>
      </c>
      <c r="BE1179">
        <v>20770</v>
      </c>
      <c r="BF1179">
        <v>64</v>
      </c>
      <c r="BG1179" t="s">
        <v>89</v>
      </c>
      <c r="BH1179">
        <v>353</v>
      </c>
      <c r="BI1179">
        <v>22241</v>
      </c>
      <c r="BJ1179">
        <v>69</v>
      </c>
      <c r="BK1179">
        <f t="shared" si="164"/>
        <v>353</v>
      </c>
      <c r="BL1179">
        <f t="shared" si="165"/>
        <v>22241</v>
      </c>
      <c r="BM1179">
        <f t="shared" si="166"/>
        <v>69</v>
      </c>
      <c r="BN1179">
        <f t="shared" si="167"/>
        <v>0</v>
      </c>
      <c r="BO1179">
        <f t="shared" si="168"/>
        <v>0</v>
      </c>
      <c r="BP1179">
        <f t="shared" si="169"/>
        <v>0</v>
      </c>
      <c r="BQ1179" t="s">
        <v>494</v>
      </c>
      <c r="BR1179" t="s">
        <v>112</v>
      </c>
      <c r="BS1179" s="1">
        <v>35023</v>
      </c>
      <c r="BT1179">
        <v>30</v>
      </c>
      <c r="BU1179" t="s">
        <v>89</v>
      </c>
      <c r="BV1179" t="s">
        <v>89</v>
      </c>
      <c r="BW1179">
        <v>12</v>
      </c>
      <c r="BX1179">
        <v>1995</v>
      </c>
      <c r="BY1179">
        <v>11</v>
      </c>
      <c r="BZ1179">
        <f t="shared" si="170"/>
        <v>0</v>
      </c>
      <c r="CA1179">
        <f t="shared" si="171"/>
        <v>1</v>
      </c>
      <c r="CB1179" t="b">
        <f t="shared" si="172"/>
        <v>1</v>
      </c>
    </row>
    <row r="1180" spans="1:80" x14ac:dyDescent="0.3">
      <c r="A1180" t="s">
        <v>9292</v>
      </c>
      <c r="B1180" t="s">
        <v>1069</v>
      </c>
      <c r="C1180" t="s">
        <v>9293</v>
      </c>
      <c r="D1180">
        <v>45</v>
      </c>
      <c r="E1180" s="1">
        <v>29364</v>
      </c>
      <c r="F1180" t="s">
        <v>89</v>
      </c>
      <c r="G1180" t="s">
        <v>321</v>
      </c>
      <c r="H1180" t="s">
        <v>1071</v>
      </c>
      <c r="I1180" t="s">
        <v>437</v>
      </c>
      <c r="J1180" t="s">
        <v>78</v>
      </c>
      <c r="K1180" t="s">
        <v>89</v>
      </c>
      <c r="L1180" t="s">
        <v>845</v>
      </c>
      <c r="M1180">
        <v>22</v>
      </c>
      <c r="N1180" t="s">
        <v>3307</v>
      </c>
      <c r="O1180">
        <v>2002</v>
      </c>
      <c r="P1180" t="s">
        <v>9294</v>
      </c>
      <c r="Q1180" t="s">
        <v>9295</v>
      </c>
      <c r="R1180">
        <v>16402</v>
      </c>
      <c r="S1180" t="s">
        <v>9292</v>
      </c>
      <c r="T1180" t="s">
        <v>9296</v>
      </c>
      <c r="U1180">
        <v>1980</v>
      </c>
      <c r="V1180" t="s">
        <v>9297</v>
      </c>
      <c r="W1180" t="s">
        <v>89</v>
      </c>
      <c r="X1180" t="s">
        <v>1071</v>
      </c>
      <c r="Y1180" t="s">
        <v>123</v>
      </c>
      <c r="Z1180" t="s">
        <v>89</v>
      </c>
      <c r="AA1180" t="s">
        <v>9298</v>
      </c>
      <c r="AB1180" s="1">
        <v>42742</v>
      </c>
      <c r="AC1180" t="s">
        <v>108</v>
      </c>
      <c r="AD1180" t="s">
        <v>89</v>
      </c>
      <c r="AE1180" t="s">
        <v>7519</v>
      </c>
      <c r="AF1180">
        <v>22</v>
      </c>
      <c r="AG1180" t="s">
        <v>1078</v>
      </c>
      <c r="AH1180" t="s">
        <v>2917</v>
      </c>
      <c r="AI1180">
        <v>19</v>
      </c>
      <c r="AJ1180" t="s">
        <v>6500</v>
      </c>
      <c r="AK1180">
        <v>19</v>
      </c>
      <c r="AL1180">
        <v>6</v>
      </c>
      <c r="AM1180">
        <v>123</v>
      </c>
      <c r="AN1180">
        <v>18</v>
      </c>
      <c r="AO1180">
        <v>5</v>
      </c>
      <c r="AP1180" t="s">
        <v>93</v>
      </c>
      <c r="AQ1180" t="s">
        <v>89</v>
      </c>
      <c r="AR1180" t="s">
        <v>89</v>
      </c>
      <c r="AS1180" t="s">
        <v>111</v>
      </c>
      <c r="AT1180" s="1">
        <v>42742</v>
      </c>
      <c r="AU1180">
        <v>2017</v>
      </c>
      <c r="AV1180">
        <v>15</v>
      </c>
      <c r="AW1180">
        <v>15</v>
      </c>
      <c r="AX1180" t="s">
        <v>89</v>
      </c>
      <c r="AY1180" t="s">
        <v>111</v>
      </c>
      <c r="AZ1180">
        <v>12</v>
      </c>
      <c r="BA1180">
        <v>52</v>
      </c>
      <c r="BB1180">
        <v>3015</v>
      </c>
      <c r="BC1180">
        <v>19</v>
      </c>
      <c r="BD1180">
        <v>401</v>
      </c>
      <c r="BE1180">
        <v>28778</v>
      </c>
      <c r="BF1180">
        <v>184</v>
      </c>
      <c r="BG1180">
        <v>37</v>
      </c>
      <c r="BH1180">
        <v>453</v>
      </c>
      <c r="BI1180">
        <v>31793</v>
      </c>
      <c r="BJ1180">
        <v>203</v>
      </c>
      <c r="BK1180">
        <f t="shared" si="164"/>
        <v>453</v>
      </c>
      <c r="BL1180">
        <f t="shared" si="165"/>
        <v>31793</v>
      </c>
      <c r="BM1180">
        <f t="shared" si="166"/>
        <v>203</v>
      </c>
      <c r="BN1180">
        <f t="shared" si="167"/>
        <v>0</v>
      </c>
      <c r="BO1180">
        <f t="shared" si="168"/>
        <v>0</v>
      </c>
      <c r="BP1180">
        <f t="shared" si="169"/>
        <v>0</v>
      </c>
      <c r="BQ1180" t="s">
        <v>123</v>
      </c>
      <c r="BR1180" t="s">
        <v>112</v>
      </c>
      <c r="BS1180" s="1">
        <v>29364</v>
      </c>
      <c r="BT1180">
        <v>45</v>
      </c>
      <c r="BU1180" s="1">
        <v>42742</v>
      </c>
      <c r="BV1180" s="1">
        <v>42917</v>
      </c>
      <c r="BW1180">
        <v>18</v>
      </c>
      <c r="BX1180">
        <v>1980</v>
      </c>
      <c r="BY1180">
        <v>18</v>
      </c>
      <c r="BZ1180">
        <f t="shared" si="170"/>
        <v>-3</v>
      </c>
      <c r="CA1180">
        <f t="shared" si="171"/>
        <v>0</v>
      </c>
      <c r="CB1180" t="b">
        <f t="shared" si="172"/>
        <v>0</v>
      </c>
    </row>
    <row r="1181" spans="1:80" x14ac:dyDescent="0.3">
      <c r="A1181" t="s">
        <v>9299</v>
      </c>
      <c r="B1181" t="s">
        <v>71</v>
      </c>
      <c r="C1181" t="s">
        <v>9300</v>
      </c>
      <c r="D1181">
        <v>34</v>
      </c>
      <c r="E1181">
        <v>33339</v>
      </c>
      <c r="F1181" t="s">
        <v>89</v>
      </c>
      <c r="G1181" t="s">
        <v>518</v>
      </c>
      <c r="H1181" t="s">
        <v>9301</v>
      </c>
      <c r="I1181" t="s">
        <v>5342</v>
      </c>
      <c r="J1181" t="s">
        <v>78</v>
      </c>
      <c r="K1181" t="s">
        <v>89</v>
      </c>
      <c r="L1181" t="s">
        <v>130</v>
      </c>
      <c r="M1181">
        <v>17</v>
      </c>
      <c r="N1181" t="s">
        <v>644</v>
      </c>
      <c r="O1181">
        <v>2008</v>
      </c>
      <c r="P1181" t="s">
        <v>9302</v>
      </c>
      <c r="Q1181" t="s">
        <v>9303</v>
      </c>
      <c r="R1181">
        <v>60444</v>
      </c>
      <c r="S1181" t="s">
        <v>9299</v>
      </c>
      <c r="T1181">
        <v>33546</v>
      </c>
      <c r="U1181">
        <v>1991</v>
      </c>
      <c r="V1181" t="s">
        <v>9304</v>
      </c>
      <c r="W1181">
        <v>1.74</v>
      </c>
      <c r="X1181" t="s">
        <v>2994</v>
      </c>
      <c r="Y1181" t="s">
        <v>86</v>
      </c>
      <c r="Z1181" t="s">
        <v>87</v>
      </c>
      <c r="AA1181" t="s">
        <v>2647</v>
      </c>
      <c r="AB1181" s="1">
        <v>45511</v>
      </c>
      <c r="AC1181" t="s">
        <v>108</v>
      </c>
      <c r="AD1181" t="s">
        <v>442</v>
      </c>
      <c r="AE1181" t="s">
        <v>3291</v>
      </c>
      <c r="AF1181">
        <v>18</v>
      </c>
      <c r="AG1181" t="s">
        <v>91</v>
      </c>
      <c r="AH1181" t="s">
        <v>614</v>
      </c>
      <c r="AI1181">
        <v>19</v>
      </c>
      <c r="AJ1181" t="s">
        <v>110</v>
      </c>
      <c r="AK1181">
        <v>18</v>
      </c>
      <c r="AL1181">
        <v>40</v>
      </c>
      <c r="AM1181">
        <v>1600</v>
      </c>
      <c r="AN1181">
        <v>354</v>
      </c>
      <c r="AO1181">
        <v>13</v>
      </c>
      <c r="AP1181" t="s">
        <v>93</v>
      </c>
      <c r="AQ1181" t="s">
        <v>89</v>
      </c>
      <c r="AR1181" t="s">
        <v>89</v>
      </c>
      <c r="AS1181" t="s">
        <v>111</v>
      </c>
      <c r="AT1181">
        <v>45511</v>
      </c>
      <c r="AU1181">
        <v>2024</v>
      </c>
      <c r="AV1181">
        <v>16</v>
      </c>
      <c r="AW1181">
        <v>16</v>
      </c>
      <c r="AX1181" t="s">
        <v>89</v>
      </c>
      <c r="AY1181" t="s">
        <v>111</v>
      </c>
      <c r="AZ1181">
        <v>16</v>
      </c>
      <c r="BA1181">
        <v>44</v>
      </c>
      <c r="BB1181">
        <v>2534</v>
      </c>
      <c r="BC1181">
        <v>2</v>
      </c>
      <c r="BD1181">
        <v>417</v>
      </c>
      <c r="BE1181">
        <v>28921</v>
      </c>
      <c r="BF1181">
        <v>40</v>
      </c>
      <c r="BG1181">
        <v>33</v>
      </c>
      <c r="BH1181">
        <v>461</v>
      </c>
      <c r="BI1181">
        <v>31455</v>
      </c>
      <c r="BJ1181">
        <v>42</v>
      </c>
      <c r="BK1181">
        <f t="shared" si="164"/>
        <v>461</v>
      </c>
      <c r="BL1181">
        <f t="shared" si="165"/>
        <v>31455</v>
      </c>
      <c r="BM1181">
        <f t="shared" si="166"/>
        <v>42</v>
      </c>
      <c r="BN1181">
        <f t="shared" si="167"/>
        <v>0</v>
      </c>
      <c r="BO1181">
        <f t="shared" si="168"/>
        <v>0</v>
      </c>
      <c r="BP1181">
        <f t="shared" si="169"/>
        <v>0</v>
      </c>
      <c r="BQ1181" t="s">
        <v>86</v>
      </c>
      <c r="BR1181" t="s">
        <v>94</v>
      </c>
      <c r="BS1181" t="s">
        <v>89</v>
      </c>
      <c r="BT1181">
        <v>35</v>
      </c>
      <c r="BU1181">
        <v>45511</v>
      </c>
      <c r="BV1181" t="s">
        <v>89</v>
      </c>
      <c r="BW1181">
        <v>15</v>
      </c>
      <c r="BX1181">
        <v>1991</v>
      </c>
      <c r="BY1181">
        <v>15</v>
      </c>
      <c r="BZ1181">
        <f t="shared" si="170"/>
        <v>1</v>
      </c>
      <c r="CA1181">
        <f t="shared" si="171"/>
        <v>0</v>
      </c>
      <c r="CB1181" t="b">
        <f t="shared" si="172"/>
        <v>0</v>
      </c>
    </row>
    <row r="1182" spans="1:80" x14ac:dyDescent="0.3">
      <c r="A1182" t="s">
        <v>9305</v>
      </c>
      <c r="B1182" t="s">
        <v>7098</v>
      </c>
      <c r="C1182" t="s">
        <v>9306</v>
      </c>
      <c r="D1182">
        <v>33</v>
      </c>
      <c r="E1182" t="s">
        <v>7960</v>
      </c>
      <c r="F1182" t="s">
        <v>9307</v>
      </c>
      <c r="G1182" t="s">
        <v>9308</v>
      </c>
      <c r="H1182" t="s">
        <v>7100</v>
      </c>
      <c r="I1182" t="s">
        <v>178</v>
      </c>
      <c r="J1182" t="s">
        <v>300</v>
      </c>
      <c r="K1182" t="s">
        <v>268</v>
      </c>
      <c r="L1182" t="s">
        <v>130</v>
      </c>
      <c r="M1182">
        <v>16</v>
      </c>
      <c r="N1182" t="s">
        <v>2921</v>
      </c>
      <c r="O1182">
        <v>2008</v>
      </c>
      <c r="P1182" t="s">
        <v>9309</v>
      </c>
      <c r="Q1182" t="s">
        <v>9310</v>
      </c>
      <c r="R1182">
        <v>108390</v>
      </c>
      <c r="S1182" t="s">
        <v>9305</v>
      </c>
      <c r="T1182">
        <v>33913</v>
      </c>
      <c r="U1182">
        <v>1992</v>
      </c>
      <c r="V1182" t="s">
        <v>9311</v>
      </c>
      <c r="W1182">
        <v>2</v>
      </c>
      <c r="X1182" t="s">
        <v>7100</v>
      </c>
      <c r="Y1182" t="s">
        <v>186</v>
      </c>
      <c r="Z1182" t="s">
        <v>152</v>
      </c>
      <c r="AA1182" t="s">
        <v>268</v>
      </c>
      <c r="AB1182">
        <v>43351</v>
      </c>
      <c r="AC1182" t="s">
        <v>88</v>
      </c>
      <c r="AD1182" t="s">
        <v>223</v>
      </c>
      <c r="AE1182" t="s">
        <v>9312</v>
      </c>
      <c r="AF1182">
        <v>16</v>
      </c>
      <c r="AG1182" t="s">
        <v>1161</v>
      </c>
      <c r="AH1182" t="s">
        <v>92</v>
      </c>
      <c r="AI1182" t="s">
        <v>89</v>
      </c>
      <c r="AJ1182" t="s">
        <v>92</v>
      </c>
      <c r="AK1182">
        <v>16</v>
      </c>
      <c r="AL1182">
        <v>24</v>
      </c>
      <c r="AM1182">
        <v>648</v>
      </c>
      <c r="AN1182">
        <v>128</v>
      </c>
      <c r="AO1182">
        <v>12</v>
      </c>
      <c r="AP1182" t="s">
        <v>93</v>
      </c>
      <c r="AQ1182" t="s">
        <v>89</v>
      </c>
      <c r="AR1182" t="s">
        <v>89</v>
      </c>
      <c r="AS1182" t="s">
        <v>93</v>
      </c>
      <c r="AT1182" t="s">
        <v>89</v>
      </c>
      <c r="AU1182" t="s">
        <v>89</v>
      </c>
      <c r="AV1182" t="s">
        <v>89</v>
      </c>
      <c r="AW1182">
        <v>17</v>
      </c>
      <c r="AX1182">
        <v>1</v>
      </c>
      <c r="AY1182" t="s">
        <v>111</v>
      </c>
      <c r="AZ1182">
        <v>23</v>
      </c>
      <c r="BA1182">
        <v>102</v>
      </c>
      <c r="BB1182">
        <v>9210</v>
      </c>
      <c r="BC1182">
        <v>0</v>
      </c>
      <c r="BD1182">
        <v>630</v>
      </c>
      <c r="BE1182">
        <v>56801</v>
      </c>
      <c r="BF1182">
        <v>0</v>
      </c>
      <c r="BG1182" t="s">
        <v>89</v>
      </c>
      <c r="BH1182">
        <v>732</v>
      </c>
      <c r="BI1182">
        <v>66011</v>
      </c>
      <c r="BJ1182">
        <v>0</v>
      </c>
      <c r="BK1182">
        <f t="shared" si="164"/>
        <v>732</v>
      </c>
      <c r="BL1182">
        <f t="shared" si="165"/>
        <v>66011</v>
      </c>
      <c r="BM1182">
        <f t="shared" si="166"/>
        <v>0</v>
      </c>
      <c r="BN1182">
        <f t="shared" si="167"/>
        <v>0</v>
      </c>
      <c r="BO1182">
        <f t="shared" si="168"/>
        <v>0</v>
      </c>
      <c r="BP1182">
        <f t="shared" si="169"/>
        <v>0</v>
      </c>
      <c r="BQ1182" t="s">
        <v>186</v>
      </c>
      <c r="BR1182" t="s">
        <v>186</v>
      </c>
      <c r="BS1182" t="s">
        <v>89</v>
      </c>
      <c r="BT1182">
        <v>34</v>
      </c>
      <c r="BU1182" t="s">
        <v>89</v>
      </c>
      <c r="BV1182" t="s">
        <v>89</v>
      </c>
      <c r="BW1182">
        <v>18</v>
      </c>
      <c r="BX1182">
        <v>1992</v>
      </c>
      <c r="BY1182">
        <v>17</v>
      </c>
      <c r="BZ1182">
        <f t="shared" si="170"/>
        <v>-1</v>
      </c>
      <c r="CA1182">
        <f t="shared" si="171"/>
        <v>1</v>
      </c>
      <c r="CB1182" t="b">
        <f t="shared" si="172"/>
        <v>0</v>
      </c>
    </row>
    <row r="1183" spans="1:80" x14ac:dyDescent="0.3">
      <c r="A1183" t="s">
        <v>9313</v>
      </c>
      <c r="B1183" t="s">
        <v>9314</v>
      </c>
      <c r="C1183" t="s">
        <v>9315</v>
      </c>
      <c r="D1183">
        <v>33</v>
      </c>
      <c r="E1183" t="s">
        <v>9316</v>
      </c>
      <c r="F1183" t="s">
        <v>9317</v>
      </c>
      <c r="G1183" t="s">
        <v>115</v>
      </c>
      <c r="H1183" t="s">
        <v>9318</v>
      </c>
      <c r="I1183" t="s">
        <v>161</v>
      </c>
      <c r="J1183" t="s">
        <v>78</v>
      </c>
      <c r="K1183" t="s">
        <v>9319</v>
      </c>
      <c r="L1183" t="s">
        <v>228</v>
      </c>
      <c r="M1183">
        <v>18</v>
      </c>
      <c r="N1183" t="s">
        <v>146</v>
      </c>
      <c r="O1183">
        <v>2010</v>
      </c>
      <c r="P1183" t="s">
        <v>9320</v>
      </c>
      <c r="Q1183" t="s">
        <v>9321</v>
      </c>
      <c r="R1183">
        <v>181477</v>
      </c>
      <c r="S1183" t="s">
        <v>9313</v>
      </c>
      <c r="T1183" t="s">
        <v>9322</v>
      </c>
      <c r="U1183">
        <v>1992</v>
      </c>
      <c r="V1183" t="s">
        <v>9323</v>
      </c>
      <c r="W1183">
        <v>1.8</v>
      </c>
      <c r="X1183" t="s">
        <v>9324</v>
      </c>
      <c r="Y1183" t="s">
        <v>391</v>
      </c>
      <c r="Z1183" t="s">
        <v>87</v>
      </c>
      <c r="AA1183" t="s">
        <v>9325</v>
      </c>
      <c r="AB1183" s="1">
        <v>45664</v>
      </c>
      <c r="AC1183" t="s">
        <v>88</v>
      </c>
      <c r="AD1183" t="s">
        <v>89</v>
      </c>
      <c r="AE1183" t="s">
        <v>9326</v>
      </c>
      <c r="AF1183">
        <v>18</v>
      </c>
      <c r="AG1183" t="s">
        <v>91</v>
      </c>
      <c r="AH1183" s="1">
        <v>41130</v>
      </c>
      <c r="AI1183">
        <v>20</v>
      </c>
      <c r="AJ1183" t="s">
        <v>110</v>
      </c>
      <c r="AK1183">
        <v>18</v>
      </c>
      <c r="AL1183">
        <v>11</v>
      </c>
      <c r="AM1183">
        <v>157</v>
      </c>
      <c r="AN1183">
        <v>25</v>
      </c>
      <c r="AO1183">
        <v>6</v>
      </c>
      <c r="AP1183" t="s">
        <v>93</v>
      </c>
      <c r="AQ1183" t="s">
        <v>89</v>
      </c>
      <c r="AR1183" t="s">
        <v>89</v>
      </c>
      <c r="AS1183" t="s">
        <v>93</v>
      </c>
      <c r="AT1183" t="s">
        <v>89</v>
      </c>
      <c r="AU1183" t="s">
        <v>89</v>
      </c>
      <c r="AV1183" t="s">
        <v>89</v>
      </c>
      <c r="AW1183">
        <v>15</v>
      </c>
      <c r="AX1183">
        <v>23</v>
      </c>
      <c r="AY1183" t="s">
        <v>111</v>
      </c>
      <c r="AZ1183">
        <v>11</v>
      </c>
      <c r="BA1183">
        <v>33</v>
      </c>
      <c r="BB1183">
        <v>2567</v>
      </c>
      <c r="BC1183">
        <v>13</v>
      </c>
      <c r="BD1183">
        <v>311</v>
      </c>
      <c r="BE1183">
        <v>19983</v>
      </c>
      <c r="BF1183">
        <v>49</v>
      </c>
      <c r="BG1183" t="s">
        <v>89</v>
      </c>
      <c r="BH1183">
        <v>344</v>
      </c>
      <c r="BI1183">
        <v>22550</v>
      </c>
      <c r="BJ1183">
        <v>62</v>
      </c>
      <c r="BK1183">
        <f t="shared" si="164"/>
        <v>344</v>
      </c>
      <c r="BL1183">
        <f t="shared" si="165"/>
        <v>22550</v>
      </c>
      <c r="BM1183">
        <f t="shared" si="166"/>
        <v>62</v>
      </c>
      <c r="BN1183">
        <f t="shared" si="167"/>
        <v>0</v>
      </c>
      <c r="BO1183">
        <f t="shared" si="168"/>
        <v>0</v>
      </c>
      <c r="BP1183">
        <f t="shared" si="169"/>
        <v>0</v>
      </c>
      <c r="BQ1183" t="s">
        <v>391</v>
      </c>
      <c r="BR1183" t="s">
        <v>112</v>
      </c>
      <c r="BS1183" s="1">
        <v>33737</v>
      </c>
      <c r="BT1183">
        <v>33</v>
      </c>
      <c r="BU1183" t="s">
        <v>89</v>
      </c>
      <c r="BV1183" t="s">
        <v>89</v>
      </c>
      <c r="BW1183">
        <v>15</v>
      </c>
      <c r="BX1183">
        <v>1992</v>
      </c>
      <c r="BY1183">
        <v>15</v>
      </c>
      <c r="BZ1183">
        <f t="shared" si="170"/>
        <v>0</v>
      </c>
      <c r="CA1183">
        <f t="shared" si="171"/>
        <v>0</v>
      </c>
      <c r="CB1183" t="b">
        <f t="shared" si="172"/>
        <v>1</v>
      </c>
    </row>
    <row r="1184" spans="1:80" x14ac:dyDescent="0.3">
      <c r="A1184" t="s">
        <v>9327</v>
      </c>
      <c r="B1184" t="s">
        <v>1351</v>
      </c>
      <c r="C1184" t="s">
        <v>9328</v>
      </c>
      <c r="D1184">
        <v>32</v>
      </c>
      <c r="E1184" t="s">
        <v>9329</v>
      </c>
      <c r="F1184" t="s">
        <v>9330</v>
      </c>
      <c r="G1184" t="s">
        <v>226</v>
      </c>
      <c r="H1184" t="s">
        <v>1353</v>
      </c>
      <c r="I1184" t="s">
        <v>453</v>
      </c>
      <c r="J1184" t="s">
        <v>78</v>
      </c>
      <c r="K1184" t="s">
        <v>763</v>
      </c>
      <c r="L1184" t="s">
        <v>324</v>
      </c>
      <c r="M1184">
        <v>20</v>
      </c>
      <c r="N1184" t="s">
        <v>164</v>
      </c>
      <c r="O1184">
        <v>2013</v>
      </c>
      <c r="P1184" t="s">
        <v>9331</v>
      </c>
      <c r="Q1184" t="s">
        <v>9332</v>
      </c>
      <c r="R1184">
        <v>230784</v>
      </c>
      <c r="S1184" t="s">
        <v>9327</v>
      </c>
      <c r="T1184" t="s">
        <v>9333</v>
      </c>
      <c r="U1184">
        <v>1993</v>
      </c>
      <c r="V1184" t="s">
        <v>9334</v>
      </c>
      <c r="W1184">
        <v>1.85</v>
      </c>
      <c r="X1184" t="s">
        <v>1353</v>
      </c>
      <c r="Y1184" t="s">
        <v>259</v>
      </c>
      <c r="Z1184" t="s">
        <v>87</v>
      </c>
      <c r="AA1184" t="s">
        <v>763</v>
      </c>
      <c r="AB1184">
        <v>45846</v>
      </c>
      <c r="AC1184" t="s">
        <v>170</v>
      </c>
      <c r="AD1184" t="s">
        <v>442</v>
      </c>
      <c r="AE1184" t="s">
        <v>561</v>
      </c>
      <c r="AF1184">
        <v>21</v>
      </c>
      <c r="AG1184" t="s">
        <v>91</v>
      </c>
      <c r="AH1184" t="s">
        <v>331</v>
      </c>
      <c r="AI1184">
        <v>20</v>
      </c>
      <c r="AJ1184" t="s">
        <v>110</v>
      </c>
      <c r="AK1184">
        <v>20</v>
      </c>
      <c r="AL1184">
        <v>13</v>
      </c>
      <c r="AM1184">
        <v>458</v>
      </c>
      <c r="AN1184">
        <v>88</v>
      </c>
      <c r="AO1184">
        <v>7</v>
      </c>
      <c r="AP1184" t="s">
        <v>93</v>
      </c>
      <c r="AQ1184" t="s">
        <v>89</v>
      </c>
      <c r="AR1184" t="s">
        <v>89</v>
      </c>
      <c r="AS1184" t="s">
        <v>93</v>
      </c>
      <c r="AT1184" t="s">
        <v>89</v>
      </c>
      <c r="AU1184" t="s">
        <v>89</v>
      </c>
      <c r="AV1184" t="s">
        <v>89</v>
      </c>
      <c r="AW1184">
        <v>12</v>
      </c>
      <c r="AX1184">
        <v>16</v>
      </c>
      <c r="AY1184" t="s">
        <v>111</v>
      </c>
      <c r="AZ1184">
        <v>19</v>
      </c>
      <c r="BA1184">
        <v>54</v>
      </c>
      <c r="BB1184">
        <v>4527</v>
      </c>
      <c r="BC1184">
        <v>15</v>
      </c>
      <c r="BD1184">
        <v>435</v>
      </c>
      <c r="BE1184">
        <v>29432</v>
      </c>
      <c r="BF1184">
        <v>34</v>
      </c>
      <c r="BG1184" t="s">
        <v>89</v>
      </c>
      <c r="BH1184">
        <v>489</v>
      </c>
      <c r="BI1184">
        <v>33959</v>
      </c>
      <c r="BJ1184">
        <v>49</v>
      </c>
      <c r="BK1184">
        <f t="shared" si="164"/>
        <v>489</v>
      </c>
      <c r="BL1184">
        <f t="shared" si="165"/>
        <v>33959</v>
      </c>
      <c r="BM1184">
        <f t="shared" si="166"/>
        <v>49</v>
      </c>
      <c r="BN1184">
        <f t="shared" si="167"/>
        <v>0</v>
      </c>
      <c r="BO1184">
        <f t="shared" si="168"/>
        <v>0</v>
      </c>
      <c r="BP1184">
        <f t="shared" si="169"/>
        <v>0</v>
      </c>
      <c r="BQ1184" t="s">
        <v>259</v>
      </c>
      <c r="BR1184" t="s">
        <v>94</v>
      </c>
      <c r="BS1184" s="1">
        <v>34133</v>
      </c>
      <c r="BT1184">
        <v>32</v>
      </c>
      <c r="BU1184" t="s">
        <v>89</v>
      </c>
      <c r="BV1184" t="s">
        <v>89</v>
      </c>
      <c r="BW1184">
        <v>12</v>
      </c>
      <c r="BX1184">
        <v>1993</v>
      </c>
      <c r="BY1184">
        <v>12</v>
      </c>
      <c r="BZ1184">
        <f t="shared" si="170"/>
        <v>0</v>
      </c>
      <c r="CA1184">
        <f t="shared" si="171"/>
        <v>0</v>
      </c>
      <c r="CB1184" t="b">
        <f t="shared" si="172"/>
        <v>1</v>
      </c>
    </row>
    <row r="1185" spans="1:80" x14ac:dyDescent="0.3">
      <c r="A1185" t="s">
        <v>9335</v>
      </c>
      <c r="B1185" t="s">
        <v>7098</v>
      </c>
      <c r="C1185" t="s">
        <v>9336</v>
      </c>
      <c r="D1185">
        <v>39</v>
      </c>
      <c r="E1185" s="1">
        <v>31365</v>
      </c>
      <c r="F1185" t="s">
        <v>89</v>
      </c>
      <c r="G1185" t="s">
        <v>413</v>
      </c>
      <c r="H1185" t="s">
        <v>7100</v>
      </c>
      <c r="I1185" t="s">
        <v>1331</v>
      </c>
      <c r="J1185" t="s">
        <v>300</v>
      </c>
      <c r="K1185" t="s">
        <v>89</v>
      </c>
      <c r="L1185" t="s">
        <v>657</v>
      </c>
      <c r="M1185">
        <v>17</v>
      </c>
      <c r="N1185" t="s">
        <v>4403</v>
      </c>
      <c r="O1185">
        <v>2003</v>
      </c>
      <c r="P1185" t="s">
        <v>9337</v>
      </c>
      <c r="Q1185" t="s">
        <v>9338</v>
      </c>
      <c r="R1185">
        <v>15904</v>
      </c>
      <c r="S1185" t="s">
        <v>9335</v>
      </c>
      <c r="T1185" t="s">
        <v>9339</v>
      </c>
      <c r="U1185">
        <v>1985</v>
      </c>
      <c r="V1185" t="s">
        <v>9340</v>
      </c>
      <c r="W1185">
        <v>1.83</v>
      </c>
      <c r="X1185" t="s">
        <v>7100</v>
      </c>
      <c r="Y1185" t="s">
        <v>235</v>
      </c>
      <c r="Z1185" t="s">
        <v>152</v>
      </c>
      <c r="AA1185" t="s">
        <v>1712</v>
      </c>
      <c r="AB1185" t="s">
        <v>9341</v>
      </c>
      <c r="AC1185" t="s">
        <v>108</v>
      </c>
      <c r="AD1185" t="s">
        <v>223</v>
      </c>
      <c r="AE1185" t="s">
        <v>1087</v>
      </c>
      <c r="AF1185">
        <v>18</v>
      </c>
      <c r="AG1185" t="s">
        <v>4114</v>
      </c>
      <c r="AH1185" t="s">
        <v>92</v>
      </c>
      <c r="AI1185" t="s">
        <v>89</v>
      </c>
      <c r="AJ1185" t="s">
        <v>92</v>
      </c>
      <c r="AK1185">
        <v>18</v>
      </c>
      <c r="AL1185">
        <v>35</v>
      </c>
      <c r="AM1185">
        <v>1401</v>
      </c>
      <c r="AN1185">
        <v>285</v>
      </c>
      <c r="AO1185">
        <v>14</v>
      </c>
      <c r="AP1185" t="s">
        <v>93</v>
      </c>
      <c r="AQ1185" t="s">
        <v>89</v>
      </c>
      <c r="AR1185" t="s">
        <v>89</v>
      </c>
      <c r="AS1185" t="s">
        <v>111</v>
      </c>
      <c r="AT1185" t="s">
        <v>9341</v>
      </c>
      <c r="AU1185">
        <v>2022</v>
      </c>
      <c r="AV1185">
        <v>19</v>
      </c>
      <c r="AW1185">
        <v>19</v>
      </c>
      <c r="AX1185" t="s">
        <v>89</v>
      </c>
      <c r="AY1185" t="s">
        <v>111</v>
      </c>
      <c r="AZ1185">
        <v>19</v>
      </c>
      <c r="BA1185">
        <v>65</v>
      </c>
      <c r="BB1185">
        <v>4962</v>
      </c>
      <c r="BC1185">
        <v>1</v>
      </c>
      <c r="BD1185">
        <v>372</v>
      </c>
      <c r="BE1185">
        <v>29379</v>
      </c>
      <c r="BF1185">
        <v>27</v>
      </c>
      <c r="BG1185">
        <v>37</v>
      </c>
      <c r="BH1185">
        <v>437</v>
      </c>
      <c r="BI1185">
        <v>34341</v>
      </c>
      <c r="BJ1185">
        <v>28</v>
      </c>
      <c r="BK1185">
        <f t="shared" si="164"/>
        <v>437</v>
      </c>
      <c r="BL1185">
        <f t="shared" si="165"/>
        <v>34341</v>
      </c>
      <c r="BM1185">
        <f t="shared" si="166"/>
        <v>28</v>
      </c>
      <c r="BN1185">
        <f t="shared" si="167"/>
        <v>0</v>
      </c>
      <c r="BO1185">
        <f t="shared" si="168"/>
        <v>0</v>
      </c>
      <c r="BP1185">
        <f t="shared" si="169"/>
        <v>0</v>
      </c>
      <c r="BQ1185" t="s">
        <v>235</v>
      </c>
      <c r="BR1185" t="s">
        <v>140</v>
      </c>
      <c r="BS1185" s="1">
        <v>31365</v>
      </c>
      <c r="BT1185">
        <v>40</v>
      </c>
      <c r="BU1185" t="s">
        <v>9341</v>
      </c>
      <c r="BV1185" s="1">
        <v>44582</v>
      </c>
      <c r="BW1185">
        <v>19</v>
      </c>
      <c r="BX1185">
        <v>1985</v>
      </c>
      <c r="BY1185">
        <v>19</v>
      </c>
      <c r="BZ1185">
        <f t="shared" si="170"/>
        <v>0</v>
      </c>
      <c r="CA1185">
        <f t="shared" si="171"/>
        <v>0</v>
      </c>
      <c r="CB1185" t="b">
        <f t="shared" si="172"/>
        <v>1</v>
      </c>
    </row>
    <row r="1186" spans="1:80" x14ac:dyDescent="0.3">
      <c r="A1186" t="s">
        <v>9342</v>
      </c>
      <c r="B1186" t="s">
        <v>1231</v>
      </c>
      <c r="C1186" t="s">
        <v>9343</v>
      </c>
      <c r="D1186">
        <v>39</v>
      </c>
      <c r="E1186" s="1">
        <v>31277</v>
      </c>
      <c r="F1186" t="s">
        <v>89</v>
      </c>
      <c r="G1186" t="s">
        <v>75</v>
      </c>
      <c r="H1186" t="s">
        <v>1234</v>
      </c>
      <c r="I1186" t="s">
        <v>555</v>
      </c>
      <c r="J1186" t="s">
        <v>89</v>
      </c>
      <c r="K1186" t="s">
        <v>89</v>
      </c>
      <c r="L1186" t="s">
        <v>163</v>
      </c>
      <c r="M1186">
        <v>20</v>
      </c>
      <c r="N1186" t="s">
        <v>9344</v>
      </c>
      <c r="O1186">
        <v>2006</v>
      </c>
      <c r="P1186" t="s">
        <v>9345</v>
      </c>
      <c r="Q1186" t="s">
        <v>9346</v>
      </c>
      <c r="R1186">
        <v>42968</v>
      </c>
      <c r="S1186" t="s">
        <v>9342</v>
      </c>
      <c r="T1186" t="s">
        <v>7336</v>
      </c>
      <c r="U1186">
        <v>1985</v>
      </c>
      <c r="V1186" t="s">
        <v>4827</v>
      </c>
      <c r="W1186">
        <v>1.81</v>
      </c>
      <c r="X1186" t="s">
        <v>1234</v>
      </c>
      <c r="Y1186" t="s">
        <v>86</v>
      </c>
      <c r="Z1186" t="s">
        <v>87</v>
      </c>
      <c r="AA1186" t="s">
        <v>9347</v>
      </c>
      <c r="AB1186">
        <v>43466</v>
      </c>
      <c r="AC1186" t="s">
        <v>108</v>
      </c>
      <c r="AD1186" t="s">
        <v>89</v>
      </c>
      <c r="AE1186" t="s">
        <v>727</v>
      </c>
      <c r="AF1186">
        <v>21</v>
      </c>
      <c r="AG1186" t="s">
        <v>613</v>
      </c>
      <c r="AH1186" t="s">
        <v>138</v>
      </c>
      <c r="AI1186">
        <v>24</v>
      </c>
      <c r="AJ1186" t="s">
        <v>110</v>
      </c>
      <c r="AK1186">
        <v>21</v>
      </c>
      <c r="AL1186">
        <v>1</v>
      </c>
      <c r="AM1186">
        <v>32</v>
      </c>
      <c r="AN1186">
        <v>4</v>
      </c>
      <c r="AO1186">
        <v>1</v>
      </c>
      <c r="AP1186" t="s">
        <v>93</v>
      </c>
      <c r="AQ1186" t="s">
        <v>89</v>
      </c>
      <c r="AR1186" t="s">
        <v>89</v>
      </c>
      <c r="AS1186" t="s">
        <v>111</v>
      </c>
      <c r="AT1186">
        <v>43466</v>
      </c>
      <c r="AU1186">
        <v>2019</v>
      </c>
      <c r="AV1186">
        <v>13</v>
      </c>
      <c r="AW1186">
        <v>13</v>
      </c>
      <c r="AX1186" t="s">
        <v>89</v>
      </c>
      <c r="AY1186" t="s">
        <v>93</v>
      </c>
      <c r="AZ1186">
        <v>0</v>
      </c>
      <c r="BA1186">
        <v>0</v>
      </c>
      <c r="BB1186">
        <v>0</v>
      </c>
      <c r="BC1186">
        <v>0</v>
      </c>
      <c r="BD1186">
        <v>208</v>
      </c>
      <c r="BE1186">
        <v>15685</v>
      </c>
      <c r="BF1186">
        <v>11</v>
      </c>
      <c r="BG1186">
        <v>34</v>
      </c>
      <c r="BH1186">
        <v>208</v>
      </c>
      <c r="BI1186">
        <v>15685</v>
      </c>
      <c r="BJ1186">
        <v>11</v>
      </c>
      <c r="BK1186">
        <f t="shared" si="164"/>
        <v>208</v>
      </c>
      <c r="BL1186">
        <f t="shared" si="165"/>
        <v>15685</v>
      </c>
      <c r="BM1186">
        <f t="shared" si="166"/>
        <v>11</v>
      </c>
      <c r="BN1186">
        <f t="shared" si="167"/>
        <v>0</v>
      </c>
      <c r="BO1186">
        <f t="shared" si="168"/>
        <v>0</v>
      </c>
      <c r="BP1186">
        <f t="shared" si="169"/>
        <v>0</v>
      </c>
      <c r="BQ1186" t="s">
        <v>86</v>
      </c>
      <c r="BR1186" t="s">
        <v>94</v>
      </c>
      <c r="BS1186" s="1">
        <v>31278</v>
      </c>
      <c r="BT1186">
        <v>40</v>
      </c>
      <c r="BU1186">
        <v>43466</v>
      </c>
      <c r="BV1186" t="s">
        <v>89</v>
      </c>
      <c r="BW1186">
        <v>13</v>
      </c>
      <c r="BX1186">
        <v>1985</v>
      </c>
      <c r="BY1186">
        <v>13</v>
      </c>
      <c r="BZ1186">
        <f t="shared" si="170"/>
        <v>0</v>
      </c>
      <c r="CA1186">
        <f t="shared" si="171"/>
        <v>0</v>
      </c>
      <c r="CB1186" t="b">
        <f t="shared" si="172"/>
        <v>1</v>
      </c>
    </row>
    <row r="1187" spans="1:80" x14ac:dyDescent="0.3">
      <c r="A1187" t="s">
        <v>9348</v>
      </c>
      <c r="B1187" t="s">
        <v>1231</v>
      </c>
      <c r="C1187" t="s">
        <v>9349</v>
      </c>
      <c r="D1187">
        <v>32</v>
      </c>
      <c r="E1187" t="s">
        <v>5230</v>
      </c>
      <c r="F1187" t="s">
        <v>9350</v>
      </c>
      <c r="G1187" t="s">
        <v>241</v>
      </c>
      <c r="H1187" t="s">
        <v>9351</v>
      </c>
      <c r="I1187" t="s">
        <v>227</v>
      </c>
      <c r="J1187" t="s">
        <v>78</v>
      </c>
      <c r="K1187" t="s">
        <v>9352</v>
      </c>
      <c r="L1187" t="s">
        <v>278</v>
      </c>
      <c r="M1187">
        <v>18</v>
      </c>
      <c r="N1187" t="s">
        <v>2031</v>
      </c>
      <c r="O1187">
        <v>2011</v>
      </c>
      <c r="P1187" t="s">
        <v>9353</v>
      </c>
      <c r="Q1187" t="s">
        <v>9354</v>
      </c>
      <c r="R1187">
        <v>177859</v>
      </c>
      <c r="S1187" t="s">
        <v>9348</v>
      </c>
      <c r="T1187" t="s">
        <v>9355</v>
      </c>
      <c r="U1187">
        <v>1993</v>
      </c>
      <c r="V1187" t="s">
        <v>9356</v>
      </c>
      <c r="W1187">
        <v>1.9</v>
      </c>
      <c r="X1187" t="s">
        <v>9357</v>
      </c>
      <c r="Y1187" t="s">
        <v>235</v>
      </c>
      <c r="Z1187" t="s">
        <v>87</v>
      </c>
      <c r="AA1187" t="s">
        <v>9358</v>
      </c>
      <c r="AB1187" t="s">
        <v>9359</v>
      </c>
      <c r="AC1187" t="s">
        <v>108</v>
      </c>
      <c r="AD1187" t="s">
        <v>89</v>
      </c>
      <c r="AE1187" s="1">
        <v>40705</v>
      </c>
      <c r="AF1187">
        <v>18</v>
      </c>
      <c r="AG1187" t="s">
        <v>613</v>
      </c>
      <c r="AH1187" t="s">
        <v>6160</v>
      </c>
      <c r="AI1187">
        <v>19</v>
      </c>
      <c r="AJ1187" t="s">
        <v>615</v>
      </c>
      <c r="AK1187">
        <v>18</v>
      </c>
      <c r="AL1187">
        <v>17</v>
      </c>
      <c r="AM1187">
        <v>396</v>
      </c>
      <c r="AN1187">
        <v>57</v>
      </c>
      <c r="AO1187">
        <v>8</v>
      </c>
      <c r="AP1187" t="s">
        <v>93</v>
      </c>
      <c r="AQ1187" t="s">
        <v>89</v>
      </c>
      <c r="AR1187" t="s">
        <v>89</v>
      </c>
      <c r="AS1187" t="s">
        <v>93</v>
      </c>
      <c r="AT1187" t="s">
        <v>89</v>
      </c>
      <c r="AU1187" t="s">
        <v>89</v>
      </c>
      <c r="AV1187" t="s">
        <v>89</v>
      </c>
      <c r="AW1187">
        <v>14</v>
      </c>
      <c r="AX1187">
        <v>34</v>
      </c>
      <c r="AY1187" t="s">
        <v>93</v>
      </c>
      <c r="AZ1187">
        <v>0</v>
      </c>
      <c r="BA1187">
        <v>0</v>
      </c>
      <c r="BB1187">
        <v>0</v>
      </c>
      <c r="BC1187">
        <v>0</v>
      </c>
      <c r="BD1187">
        <v>142</v>
      </c>
      <c r="BE1187">
        <v>11270</v>
      </c>
      <c r="BF1187">
        <v>4</v>
      </c>
      <c r="BG1187" t="s">
        <v>89</v>
      </c>
      <c r="BH1187">
        <v>142</v>
      </c>
      <c r="BI1187">
        <v>11270</v>
      </c>
      <c r="BJ1187">
        <v>4</v>
      </c>
      <c r="BK1187">
        <f t="shared" si="164"/>
        <v>142</v>
      </c>
      <c r="BL1187">
        <f t="shared" si="165"/>
        <v>11270</v>
      </c>
      <c r="BM1187">
        <f t="shared" si="166"/>
        <v>4</v>
      </c>
      <c r="BN1187">
        <f t="shared" si="167"/>
        <v>0</v>
      </c>
      <c r="BO1187">
        <f t="shared" si="168"/>
        <v>0</v>
      </c>
      <c r="BP1187">
        <f t="shared" si="169"/>
        <v>0</v>
      </c>
      <c r="BQ1187" t="s">
        <v>235</v>
      </c>
      <c r="BR1187" t="s">
        <v>140</v>
      </c>
      <c r="BS1187" s="1">
        <v>34026</v>
      </c>
      <c r="BT1187">
        <v>32</v>
      </c>
      <c r="BU1187" t="s">
        <v>89</v>
      </c>
      <c r="BV1187" t="s">
        <v>89</v>
      </c>
      <c r="BW1187">
        <v>14</v>
      </c>
      <c r="BX1187">
        <v>1993</v>
      </c>
      <c r="BY1187">
        <v>14</v>
      </c>
      <c r="BZ1187">
        <f t="shared" si="170"/>
        <v>0</v>
      </c>
      <c r="CA1187">
        <f t="shared" si="171"/>
        <v>0</v>
      </c>
      <c r="CB1187" t="b">
        <f t="shared" si="172"/>
        <v>1</v>
      </c>
    </row>
    <row r="1188" spans="1:80" x14ac:dyDescent="0.3">
      <c r="A1188" t="s">
        <v>9360</v>
      </c>
      <c r="B1188" t="s">
        <v>1231</v>
      </c>
      <c r="C1188" t="s">
        <v>9361</v>
      </c>
      <c r="D1188">
        <v>44</v>
      </c>
      <c r="E1188" s="1">
        <v>29708</v>
      </c>
      <c r="F1188" t="s">
        <v>89</v>
      </c>
      <c r="G1188" t="s">
        <v>413</v>
      </c>
      <c r="H1188" t="s">
        <v>1234</v>
      </c>
      <c r="I1188" t="s">
        <v>555</v>
      </c>
      <c r="J1188" t="s">
        <v>639</v>
      </c>
      <c r="K1188" t="s">
        <v>89</v>
      </c>
      <c r="L1188" t="s">
        <v>196</v>
      </c>
      <c r="M1188">
        <v>19</v>
      </c>
      <c r="N1188" t="s">
        <v>1842</v>
      </c>
      <c r="O1188">
        <v>2000</v>
      </c>
      <c r="P1188" t="s">
        <v>9362</v>
      </c>
      <c r="Q1188" t="s">
        <v>9363</v>
      </c>
      <c r="R1188">
        <v>8538</v>
      </c>
      <c r="S1188" t="s">
        <v>9360</v>
      </c>
      <c r="T1188" s="1">
        <v>29622</v>
      </c>
      <c r="U1188">
        <v>1981</v>
      </c>
      <c r="V1188" t="s">
        <v>9364</v>
      </c>
      <c r="W1188" t="s">
        <v>89</v>
      </c>
      <c r="X1188" t="s">
        <v>1234</v>
      </c>
      <c r="Y1188" t="s">
        <v>86</v>
      </c>
      <c r="Z1188" t="s">
        <v>89</v>
      </c>
      <c r="AA1188" t="s">
        <v>1370</v>
      </c>
      <c r="AB1188" t="s">
        <v>2540</v>
      </c>
      <c r="AC1188" t="s">
        <v>108</v>
      </c>
      <c r="AD1188" t="s">
        <v>89</v>
      </c>
      <c r="AE1188" t="s">
        <v>2021</v>
      </c>
      <c r="AF1188">
        <v>18</v>
      </c>
      <c r="AG1188" t="s">
        <v>613</v>
      </c>
      <c r="AH1188" t="s">
        <v>92</v>
      </c>
      <c r="AI1188" t="s">
        <v>89</v>
      </c>
      <c r="AJ1188" t="s">
        <v>92</v>
      </c>
      <c r="AK1188">
        <v>18</v>
      </c>
      <c r="AL1188">
        <v>7</v>
      </c>
      <c r="AM1188">
        <v>324</v>
      </c>
      <c r="AN1188">
        <v>72</v>
      </c>
      <c r="AO1188">
        <v>5</v>
      </c>
      <c r="AP1188" t="s">
        <v>93</v>
      </c>
      <c r="AQ1188" t="s">
        <v>89</v>
      </c>
      <c r="AR1188" t="s">
        <v>89</v>
      </c>
      <c r="AS1188" t="s">
        <v>111</v>
      </c>
      <c r="AT1188" t="s">
        <v>2540</v>
      </c>
      <c r="AU1188">
        <v>2017</v>
      </c>
      <c r="AV1188">
        <v>17</v>
      </c>
      <c r="AW1188">
        <v>17</v>
      </c>
      <c r="AX1188" t="s">
        <v>89</v>
      </c>
      <c r="AY1188" t="s">
        <v>111</v>
      </c>
      <c r="AZ1188">
        <v>10</v>
      </c>
      <c r="BA1188">
        <v>40</v>
      </c>
      <c r="BB1188">
        <v>2356</v>
      </c>
      <c r="BC1188">
        <v>3</v>
      </c>
      <c r="BD1188">
        <v>503</v>
      </c>
      <c r="BE1188">
        <v>35966</v>
      </c>
      <c r="BF1188">
        <v>59</v>
      </c>
      <c r="BG1188">
        <v>36</v>
      </c>
      <c r="BH1188">
        <v>543</v>
      </c>
      <c r="BI1188">
        <v>38322</v>
      </c>
      <c r="BJ1188">
        <v>62</v>
      </c>
      <c r="BK1188">
        <f t="shared" si="164"/>
        <v>543</v>
      </c>
      <c r="BL1188">
        <f t="shared" si="165"/>
        <v>38322</v>
      </c>
      <c r="BM1188">
        <f t="shared" si="166"/>
        <v>62</v>
      </c>
      <c r="BN1188">
        <f t="shared" si="167"/>
        <v>0</v>
      </c>
      <c r="BO1188">
        <f t="shared" si="168"/>
        <v>0</v>
      </c>
      <c r="BP1188">
        <f t="shared" si="169"/>
        <v>0</v>
      </c>
      <c r="BQ1188" t="s">
        <v>86</v>
      </c>
      <c r="BR1188" t="s">
        <v>94</v>
      </c>
      <c r="BS1188" s="1">
        <v>29708</v>
      </c>
      <c r="BT1188">
        <v>44</v>
      </c>
      <c r="BU1188" t="s">
        <v>2540</v>
      </c>
      <c r="BV1188" s="1">
        <v>42930</v>
      </c>
      <c r="BW1188">
        <v>18</v>
      </c>
      <c r="BX1188">
        <v>1981</v>
      </c>
      <c r="BY1188">
        <v>18</v>
      </c>
      <c r="BZ1188">
        <f t="shared" si="170"/>
        <v>-1</v>
      </c>
      <c r="CA1188">
        <f t="shared" si="171"/>
        <v>0</v>
      </c>
      <c r="CB1188" t="b">
        <f t="shared" si="172"/>
        <v>0</v>
      </c>
    </row>
    <row r="1189" spans="1:80" x14ac:dyDescent="0.3">
      <c r="A1189" t="s">
        <v>9365</v>
      </c>
      <c r="B1189" t="s">
        <v>1231</v>
      </c>
      <c r="C1189" t="s">
        <v>9366</v>
      </c>
      <c r="D1189">
        <v>37</v>
      </c>
      <c r="E1189" s="1">
        <v>32174</v>
      </c>
      <c r="F1189" t="s">
        <v>89</v>
      </c>
      <c r="G1189" t="s">
        <v>160</v>
      </c>
      <c r="H1189" t="s">
        <v>1234</v>
      </c>
      <c r="I1189" t="s">
        <v>195</v>
      </c>
      <c r="J1189" t="s">
        <v>300</v>
      </c>
      <c r="K1189" t="s">
        <v>89</v>
      </c>
      <c r="L1189" t="s">
        <v>130</v>
      </c>
      <c r="M1189">
        <v>20</v>
      </c>
      <c r="N1189" t="s">
        <v>9367</v>
      </c>
      <c r="O1189">
        <v>2008</v>
      </c>
      <c r="P1189" t="s">
        <v>9368</v>
      </c>
      <c r="Q1189" t="s">
        <v>9369</v>
      </c>
      <c r="R1189">
        <v>63293</v>
      </c>
      <c r="S1189" t="s">
        <v>9365</v>
      </c>
      <c r="T1189">
        <v>32144</v>
      </c>
      <c r="U1189">
        <v>1988</v>
      </c>
      <c r="V1189" t="s">
        <v>1236</v>
      </c>
      <c r="W1189">
        <v>1.77</v>
      </c>
      <c r="X1189" t="s">
        <v>1234</v>
      </c>
      <c r="Y1189" t="s">
        <v>203</v>
      </c>
      <c r="Z1189" t="s">
        <v>152</v>
      </c>
      <c r="AA1189" t="s">
        <v>9370</v>
      </c>
      <c r="AB1189">
        <v>44568</v>
      </c>
      <c r="AC1189" t="s">
        <v>108</v>
      </c>
      <c r="AD1189" t="s">
        <v>89</v>
      </c>
      <c r="AE1189" t="s">
        <v>9371</v>
      </c>
      <c r="AF1189">
        <v>20</v>
      </c>
      <c r="AG1189" t="s">
        <v>613</v>
      </c>
      <c r="AH1189" t="s">
        <v>6100</v>
      </c>
      <c r="AI1189">
        <v>24</v>
      </c>
      <c r="AJ1189" t="s">
        <v>110</v>
      </c>
      <c r="AK1189">
        <v>20</v>
      </c>
      <c r="AL1189">
        <v>19</v>
      </c>
      <c r="AM1189">
        <v>243</v>
      </c>
      <c r="AN1189">
        <v>47</v>
      </c>
      <c r="AO1189">
        <v>7</v>
      </c>
      <c r="AP1189" t="s">
        <v>93</v>
      </c>
      <c r="AQ1189" t="s">
        <v>89</v>
      </c>
      <c r="AR1189" t="s">
        <v>89</v>
      </c>
      <c r="AS1189" t="s">
        <v>111</v>
      </c>
      <c r="AT1189">
        <v>44568</v>
      </c>
      <c r="AU1189">
        <v>2022</v>
      </c>
      <c r="AV1189">
        <v>14</v>
      </c>
      <c r="AW1189">
        <v>14</v>
      </c>
      <c r="AX1189" t="s">
        <v>89</v>
      </c>
      <c r="AY1189" t="s">
        <v>93</v>
      </c>
      <c r="AZ1189">
        <v>0</v>
      </c>
      <c r="BA1189">
        <v>0</v>
      </c>
      <c r="BB1189">
        <v>0</v>
      </c>
      <c r="BC1189">
        <v>0</v>
      </c>
      <c r="BD1189">
        <v>297</v>
      </c>
      <c r="BE1189">
        <v>24847</v>
      </c>
      <c r="BF1189">
        <v>6</v>
      </c>
      <c r="BG1189">
        <v>34</v>
      </c>
      <c r="BH1189">
        <v>297</v>
      </c>
      <c r="BI1189">
        <v>24847</v>
      </c>
      <c r="BJ1189">
        <v>6</v>
      </c>
      <c r="BK1189">
        <f t="shared" si="164"/>
        <v>297</v>
      </c>
      <c r="BL1189">
        <f t="shared" si="165"/>
        <v>24847</v>
      </c>
      <c r="BM1189">
        <f t="shared" si="166"/>
        <v>6</v>
      </c>
      <c r="BN1189">
        <f t="shared" si="167"/>
        <v>0</v>
      </c>
      <c r="BO1189">
        <f t="shared" si="168"/>
        <v>0</v>
      </c>
      <c r="BP1189">
        <f t="shared" si="169"/>
        <v>0</v>
      </c>
      <c r="BQ1189" t="s">
        <v>203</v>
      </c>
      <c r="BR1189" t="s">
        <v>140</v>
      </c>
      <c r="BS1189" t="s">
        <v>89</v>
      </c>
      <c r="BT1189">
        <v>38</v>
      </c>
      <c r="BU1189">
        <v>44568</v>
      </c>
      <c r="BV1189" t="s">
        <v>89</v>
      </c>
      <c r="BW1189">
        <v>14</v>
      </c>
      <c r="BX1189">
        <v>1988</v>
      </c>
      <c r="BY1189">
        <v>14</v>
      </c>
      <c r="BZ1189">
        <f t="shared" si="170"/>
        <v>0</v>
      </c>
      <c r="CA1189">
        <f t="shared" si="171"/>
        <v>0</v>
      </c>
      <c r="CB1189" t="b">
        <f t="shared" si="172"/>
        <v>1</v>
      </c>
    </row>
    <row r="1190" spans="1:80" x14ac:dyDescent="0.3">
      <c r="A1190" t="s">
        <v>9372</v>
      </c>
      <c r="B1190" t="s">
        <v>1008</v>
      </c>
      <c r="C1190" t="s">
        <v>9373</v>
      </c>
      <c r="D1190">
        <v>39</v>
      </c>
      <c r="E1190" s="1">
        <v>31352</v>
      </c>
      <c r="F1190" t="s">
        <v>89</v>
      </c>
      <c r="G1190" t="s">
        <v>400</v>
      </c>
      <c r="H1190" t="s">
        <v>1010</v>
      </c>
      <c r="I1190" t="s">
        <v>555</v>
      </c>
      <c r="J1190" t="s">
        <v>300</v>
      </c>
      <c r="K1190" t="s">
        <v>89</v>
      </c>
      <c r="L1190" t="s">
        <v>145</v>
      </c>
      <c r="M1190">
        <v>18</v>
      </c>
      <c r="N1190" t="s">
        <v>3443</v>
      </c>
      <c r="O1190">
        <v>2004</v>
      </c>
      <c r="P1190" t="s">
        <v>9374</v>
      </c>
      <c r="Q1190" t="s">
        <v>9375</v>
      </c>
      <c r="R1190">
        <v>28868</v>
      </c>
      <c r="S1190" t="s">
        <v>9372</v>
      </c>
      <c r="T1190" s="1">
        <v>31058</v>
      </c>
      <c r="U1190">
        <v>1985</v>
      </c>
      <c r="V1190" t="s">
        <v>8277</v>
      </c>
      <c r="W1190">
        <v>1.82</v>
      </c>
      <c r="X1190" t="s">
        <v>1010</v>
      </c>
      <c r="Y1190" t="s">
        <v>86</v>
      </c>
      <c r="Z1190" t="s">
        <v>152</v>
      </c>
      <c r="AA1190" t="s">
        <v>9376</v>
      </c>
      <c r="AB1190" s="1">
        <v>42011</v>
      </c>
      <c r="AC1190" t="s">
        <v>108</v>
      </c>
      <c r="AD1190" t="s">
        <v>89</v>
      </c>
      <c r="AE1190" t="s">
        <v>1272</v>
      </c>
      <c r="AF1190">
        <v>21</v>
      </c>
      <c r="AG1190" t="s">
        <v>573</v>
      </c>
      <c r="AH1190">
        <v>38269</v>
      </c>
      <c r="AI1190">
        <v>18</v>
      </c>
      <c r="AJ1190" t="s">
        <v>575</v>
      </c>
      <c r="AK1190">
        <v>18</v>
      </c>
      <c r="AL1190">
        <v>3</v>
      </c>
      <c r="AM1190">
        <v>450</v>
      </c>
      <c r="AN1190">
        <v>110</v>
      </c>
      <c r="AO1190">
        <v>2</v>
      </c>
      <c r="AP1190" t="s">
        <v>93</v>
      </c>
      <c r="AQ1190" t="s">
        <v>89</v>
      </c>
      <c r="AR1190" t="s">
        <v>89</v>
      </c>
      <c r="AS1190" t="s">
        <v>111</v>
      </c>
      <c r="AT1190" s="1">
        <v>42011</v>
      </c>
      <c r="AU1190">
        <v>2015</v>
      </c>
      <c r="AV1190">
        <v>11</v>
      </c>
      <c r="AW1190">
        <v>11</v>
      </c>
      <c r="AX1190" t="s">
        <v>89</v>
      </c>
      <c r="AY1190" t="s">
        <v>93</v>
      </c>
      <c r="AZ1190">
        <v>0</v>
      </c>
      <c r="BA1190">
        <v>0</v>
      </c>
      <c r="BB1190">
        <v>0</v>
      </c>
      <c r="BC1190">
        <v>0</v>
      </c>
      <c r="BD1190">
        <v>203</v>
      </c>
      <c r="BE1190">
        <v>14215</v>
      </c>
      <c r="BF1190">
        <v>6</v>
      </c>
      <c r="BG1190">
        <v>30</v>
      </c>
      <c r="BH1190">
        <v>203</v>
      </c>
      <c r="BI1190">
        <v>14215</v>
      </c>
      <c r="BJ1190">
        <v>6</v>
      </c>
      <c r="BK1190">
        <f t="shared" si="164"/>
        <v>203</v>
      </c>
      <c r="BL1190">
        <f t="shared" si="165"/>
        <v>14215</v>
      </c>
      <c r="BM1190">
        <f t="shared" si="166"/>
        <v>6</v>
      </c>
      <c r="BN1190">
        <f t="shared" si="167"/>
        <v>0</v>
      </c>
      <c r="BO1190">
        <f t="shared" si="168"/>
        <v>0</v>
      </c>
      <c r="BP1190">
        <f t="shared" si="169"/>
        <v>0</v>
      </c>
      <c r="BQ1190" t="s">
        <v>86</v>
      </c>
      <c r="BR1190" t="s">
        <v>94</v>
      </c>
      <c r="BS1190" s="1">
        <v>31352</v>
      </c>
      <c r="BT1190">
        <v>40</v>
      </c>
      <c r="BU1190" s="1">
        <v>42011</v>
      </c>
      <c r="BV1190" s="1">
        <v>42186</v>
      </c>
      <c r="BW1190">
        <v>12</v>
      </c>
      <c r="BX1190">
        <v>1985</v>
      </c>
      <c r="BY1190">
        <v>12</v>
      </c>
      <c r="BZ1190">
        <f t="shared" si="170"/>
        <v>-1</v>
      </c>
      <c r="CA1190">
        <f t="shared" si="171"/>
        <v>0</v>
      </c>
      <c r="CB1190" t="b">
        <f t="shared" si="172"/>
        <v>0</v>
      </c>
    </row>
    <row r="1191" spans="1:80" x14ac:dyDescent="0.3">
      <c r="A1191" t="s">
        <v>9377</v>
      </c>
      <c r="B1191" t="s">
        <v>191</v>
      </c>
      <c r="C1191" t="s">
        <v>9378</v>
      </c>
      <c r="D1191">
        <v>33</v>
      </c>
      <c r="E1191" t="s">
        <v>9379</v>
      </c>
      <c r="F1191" t="s">
        <v>9380</v>
      </c>
      <c r="G1191" t="s">
        <v>226</v>
      </c>
      <c r="H1191" t="s">
        <v>194</v>
      </c>
      <c r="I1191" t="s">
        <v>375</v>
      </c>
      <c r="J1191" t="s">
        <v>300</v>
      </c>
      <c r="K1191" t="s">
        <v>9381</v>
      </c>
      <c r="L1191" t="s">
        <v>130</v>
      </c>
      <c r="M1191">
        <v>16</v>
      </c>
      <c r="N1191" t="s">
        <v>201</v>
      </c>
      <c r="O1191">
        <v>2008</v>
      </c>
      <c r="P1191" t="s">
        <v>9382</v>
      </c>
      <c r="Q1191" t="s">
        <v>9383</v>
      </c>
      <c r="R1191">
        <v>84085</v>
      </c>
      <c r="S1191" t="s">
        <v>9377</v>
      </c>
      <c r="T1191" s="1">
        <v>33248</v>
      </c>
      <c r="U1191">
        <v>1991</v>
      </c>
      <c r="V1191" t="s">
        <v>9384</v>
      </c>
      <c r="W1191">
        <v>1.83</v>
      </c>
      <c r="X1191" t="s">
        <v>9385</v>
      </c>
      <c r="Y1191" t="s">
        <v>235</v>
      </c>
      <c r="Z1191" t="s">
        <v>152</v>
      </c>
      <c r="AA1191" t="s">
        <v>9381</v>
      </c>
      <c r="AB1191">
        <v>45086</v>
      </c>
      <c r="AC1191" t="s">
        <v>170</v>
      </c>
      <c r="AD1191" t="s">
        <v>89</v>
      </c>
      <c r="AE1191" t="s">
        <v>889</v>
      </c>
      <c r="AF1191">
        <v>17</v>
      </c>
      <c r="AG1191" t="s">
        <v>206</v>
      </c>
      <c r="AH1191" t="s">
        <v>9386</v>
      </c>
      <c r="AI1191">
        <v>31</v>
      </c>
      <c r="AJ1191" t="s">
        <v>1044</v>
      </c>
      <c r="AK1191">
        <v>17</v>
      </c>
      <c r="AL1191">
        <v>6</v>
      </c>
      <c r="AM1191">
        <v>198</v>
      </c>
      <c r="AN1191">
        <v>23</v>
      </c>
      <c r="AO1191">
        <v>4</v>
      </c>
      <c r="AP1191" t="s">
        <v>93</v>
      </c>
      <c r="AQ1191" t="s">
        <v>89</v>
      </c>
      <c r="AR1191" t="s">
        <v>89</v>
      </c>
      <c r="AS1191" t="s">
        <v>93</v>
      </c>
      <c r="AT1191" t="s">
        <v>89</v>
      </c>
      <c r="AU1191" t="s">
        <v>89</v>
      </c>
      <c r="AV1191" t="s">
        <v>89</v>
      </c>
      <c r="AW1191">
        <v>17</v>
      </c>
      <c r="AX1191">
        <v>15</v>
      </c>
      <c r="AY1191" t="s">
        <v>93</v>
      </c>
      <c r="AZ1191">
        <v>0</v>
      </c>
      <c r="BA1191">
        <v>0</v>
      </c>
      <c r="BB1191">
        <v>0</v>
      </c>
      <c r="BC1191">
        <v>0</v>
      </c>
      <c r="BD1191">
        <v>352</v>
      </c>
      <c r="BE1191">
        <v>29555</v>
      </c>
      <c r="BF1191">
        <v>15</v>
      </c>
      <c r="BG1191" t="s">
        <v>89</v>
      </c>
      <c r="BH1191">
        <v>352</v>
      </c>
      <c r="BI1191">
        <v>29555</v>
      </c>
      <c r="BJ1191">
        <v>15</v>
      </c>
      <c r="BK1191">
        <f t="shared" si="164"/>
        <v>352</v>
      </c>
      <c r="BL1191">
        <f t="shared" si="165"/>
        <v>29555</v>
      </c>
      <c r="BM1191">
        <f t="shared" si="166"/>
        <v>15</v>
      </c>
      <c r="BN1191">
        <f t="shared" si="167"/>
        <v>0</v>
      </c>
      <c r="BO1191">
        <f t="shared" si="168"/>
        <v>0</v>
      </c>
      <c r="BP1191">
        <f t="shared" si="169"/>
        <v>0</v>
      </c>
      <c r="BQ1191" t="s">
        <v>235</v>
      </c>
      <c r="BR1191" t="s">
        <v>140</v>
      </c>
      <c r="BS1191" s="1">
        <v>33512</v>
      </c>
      <c r="BT1191">
        <v>34</v>
      </c>
      <c r="BU1191" t="s">
        <v>89</v>
      </c>
      <c r="BV1191" t="s">
        <v>89</v>
      </c>
      <c r="BW1191">
        <v>17</v>
      </c>
      <c r="BX1191">
        <v>1991</v>
      </c>
      <c r="BY1191">
        <v>16</v>
      </c>
      <c r="BZ1191">
        <f t="shared" si="170"/>
        <v>0</v>
      </c>
      <c r="CA1191">
        <f t="shared" si="171"/>
        <v>1</v>
      </c>
      <c r="CB1191" t="b">
        <f t="shared" si="172"/>
        <v>1</v>
      </c>
    </row>
    <row r="1192" spans="1:80" x14ac:dyDescent="0.3">
      <c r="A1192" t="s">
        <v>9387</v>
      </c>
      <c r="B1192" t="s">
        <v>156</v>
      </c>
      <c r="C1192" t="s">
        <v>9388</v>
      </c>
      <c r="D1192">
        <v>40</v>
      </c>
      <c r="E1192" s="1">
        <v>31056</v>
      </c>
      <c r="F1192" t="s">
        <v>89</v>
      </c>
      <c r="G1192" t="s">
        <v>298</v>
      </c>
      <c r="H1192" t="s">
        <v>177</v>
      </c>
      <c r="I1192" t="s">
        <v>791</v>
      </c>
      <c r="J1192" t="s">
        <v>300</v>
      </c>
      <c r="K1192" t="s">
        <v>89</v>
      </c>
      <c r="L1192" t="s">
        <v>254</v>
      </c>
      <c r="M1192">
        <v>24</v>
      </c>
      <c r="N1192" t="s">
        <v>9389</v>
      </c>
      <c r="O1192">
        <v>2009</v>
      </c>
      <c r="P1192" t="s">
        <v>9390</v>
      </c>
      <c r="Q1192" t="s">
        <v>9391</v>
      </c>
      <c r="R1192">
        <v>77003</v>
      </c>
      <c r="S1192" t="s">
        <v>9387</v>
      </c>
      <c r="T1192" s="1">
        <v>31291</v>
      </c>
      <c r="U1192">
        <v>1985</v>
      </c>
      <c r="V1192" t="s">
        <v>982</v>
      </c>
      <c r="W1192">
        <v>1.76</v>
      </c>
      <c r="X1192" t="s">
        <v>4165</v>
      </c>
      <c r="Y1192" t="s">
        <v>86</v>
      </c>
      <c r="Z1192" t="s">
        <v>152</v>
      </c>
      <c r="AA1192" t="s">
        <v>9392</v>
      </c>
      <c r="AB1192">
        <v>45298</v>
      </c>
      <c r="AC1192" t="s">
        <v>108</v>
      </c>
      <c r="AD1192" t="s">
        <v>89</v>
      </c>
      <c r="AE1192">
        <v>2009</v>
      </c>
      <c r="AF1192">
        <v>24</v>
      </c>
      <c r="AG1192" t="s">
        <v>206</v>
      </c>
      <c r="AH1192" s="1">
        <v>2008</v>
      </c>
      <c r="AI1192">
        <v>23</v>
      </c>
      <c r="AJ1192">
        <v>0</v>
      </c>
      <c r="AK1192">
        <v>23</v>
      </c>
      <c r="AL1192">
        <v>12</v>
      </c>
      <c r="AM1192">
        <v>465</v>
      </c>
      <c r="AN1192">
        <v>70</v>
      </c>
      <c r="AO1192">
        <v>6</v>
      </c>
      <c r="AP1192" t="s">
        <v>93</v>
      </c>
      <c r="AQ1192" t="s">
        <v>89</v>
      </c>
      <c r="AR1192" t="s">
        <v>89</v>
      </c>
      <c r="AS1192" t="s">
        <v>111</v>
      </c>
      <c r="AT1192">
        <v>45298</v>
      </c>
      <c r="AU1192">
        <v>2024</v>
      </c>
      <c r="AV1192">
        <v>15</v>
      </c>
      <c r="AW1192">
        <v>15</v>
      </c>
      <c r="AX1192" t="s">
        <v>89</v>
      </c>
      <c r="AY1192" t="s">
        <v>93</v>
      </c>
      <c r="AZ1192">
        <v>0</v>
      </c>
      <c r="BA1192">
        <v>0</v>
      </c>
      <c r="BB1192">
        <v>0</v>
      </c>
      <c r="BC1192">
        <v>0</v>
      </c>
      <c r="BD1192">
        <v>246</v>
      </c>
      <c r="BE1192">
        <v>16831</v>
      </c>
      <c r="BF1192">
        <v>31</v>
      </c>
      <c r="BG1192">
        <v>39</v>
      </c>
      <c r="BH1192">
        <v>246</v>
      </c>
      <c r="BI1192">
        <v>16831</v>
      </c>
      <c r="BJ1192">
        <v>31</v>
      </c>
      <c r="BK1192">
        <f t="shared" si="164"/>
        <v>246</v>
      </c>
      <c r="BL1192">
        <f t="shared" si="165"/>
        <v>16831</v>
      </c>
      <c r="BM1192">
        <f t="shared" si="166"/>
        <v>31</v>
      </c>
      <c r="BN1192">
        <f t="shared" si="167"/>
        <v>0</v>
      </c>
      <c r="BO1192">
        <f t="shared" si="168"/>
        <v>0</v>
      </c>
      <c r="BP1192">
        <f t="shared" si="169"/>
        <v>0</v>
      </c>
      <c r="BQ1192" t="s">
        <v>86</v>
      </c>
      <c r="BR1192" t="s">
        <v>94</v>
      </c>
      <c r="BS1192" s="1">
        <v>31056</v>
      </c>
      <c r="BT1192">
        <v>41</v>
      </c>
      <c r="BU1192">
        <v>45298</v>
      </c>
      <c r="BV1192" t="s">
        <v>89</v>
      </c>
      <c r="BW1192">
        <v>16</v>
      </c>
      <c r="BX1192">
        <v>1985</v>
      </c>
      <c r="BY1192">
        <v>16</v>
      </c>
      <c r="BZ1192">
        <f t="shared" si="170"/>
        <v>-1</v>
      </c>
      <c r="CA1192">
        <f t="shared" si="171"/>
        <v>0</v>
      </c>
      <c r="CB1192" t="b">
        <f t="shared" si="172"/>
        <v>0</v>
      </c>
    </row>
    <row r="1193" spans="1:80" x14ac:dyDescent="0.3">
      <c r="A1193" t="s">
        <v>9393</v>
      </c>
      <c r="B1193" t="s">
        <v>71</v>
      </c>
      <c r="C1193" t="s">
        <v>9394</v>
      </c>
      <c r="D1193">
        <v>40</v>
      </c>
      <c r="E1193" s="1">
        <v>31239</v>
      </c>
      <c r="F1193" t="s">
        <v>89</v>
      </c>
      <c r="G1193" t="s">
        <v>211</v>
      </c>
      <c r="H1193" t="s">
        <v>89</v>
      </c>
      <c r="I1193" t="s">
        <v>348</v>
      </c>
      <c r="J1193" t="s">
        <v>78</v>
      </c>
      <c r="K1193" t="s">
        <v>89</v>
      </c>
      <c r="L1193" t="s">
        <v>254</v>
      </c>
      <c r="M1193">
        <v>24</v>
      </c>
      <c r="N1193" t="s">
        <v>162</v>
      </c>
      <c r="O1193">
        <v>2009</v>
      </c>
      <c r="P1193" t="s">
        <v>9395</v>
      </c>
      <c r="Q1193" t="s">
        <v>9396</v>
      </c>
      <c r="R1193">
        <v>128295</v>
      </c>
      <c r="S1193" t="s">
        <v>9393</v>
      </c>
      <c r="T1193" t="s">
        <v>9397</v>
      </c>
      <c r="U1193">
        <v>1985</v>
      </c>
      <c r="V1193" t="s">
        <v>122</v>
      </c>
      <c r="W1193">
        <v>1.74</v>
      </c>
      <c r="X1193" t="s">
        <v>76</v>
      </c>
      <c r="Y1193" t="s">
        <v>136</v>
      </c>
      <c r="Z1193" t="s">
        <v>87</v>
      </c>
      <c r="AA1193" t="s">
        <v>9115</v>
      </c>
      <c r="AB1193" s="1">
        <v>45298</v>
      </c>
      <c r="AC1193" t="s">
        <v>108</v>
      </c>
      <c r="AD1193" t="s">
        <v>89</v>
      </c>
      <c r="AE1193" t="s">
        <v>654</v>
      </c>
      <c r="AF1193">
        <v>26</v>
      </c>
      <c r="AG1193" t="s">
        <v>91</v>
      </c>
      <c r="AH1193" t="s">
        <v>1579</v>
      </c>
      <c r="AI1193">
        <v>24</v>
      </c>
      <c r="AJ1193" t="s">
        <v>110</v>
      </c>
      <c r="AK1193">
        <v>24</v>
      </c>
      <c r="AL1193">
        <v>9</v>
      </c>
      <c r="AM1193">
        <v>234</v>
      </c>
      <c r="AN1193">
        <v>34</v>
      </c>
      <c r="AO1193">
        <v>8</v>
      </c>
      <c r="AP1193" t="s">
        <v>93</v>
      </c>
      <c r="AQ1193" t="s">
        <v>89</v>
      </c>
      <c r="AR1193" t="s">
        <v>89</v>
      </c>
      <c r="AS1193" t="s">
        <v>111</v>
      </c>
      <c r="AT1193" s="1">
        <v>45298</v>
      </c>
      <c r="AU1193">
        <v>2024</v>
      </c>
      <c r="AV1193">
        <v>15</v>
      </c>
      <c r="AW1193">
        <v>15</v>
      </c>
      <c r="AX1193" t="s">
        <v>89</v>
      </c>
      <c r="AY1193" t="s">
        <v>93</v>
      </c>
      <c r="AZ1193">
        <v>0</v>
      </c>
      <c r="BA1193">
        <v>0</v>
      </c>
      <c r="BB1193">
        <v>0</v>
      </c>
      <c r="BC1193">
        <v>0</v>
      </c>
      <c r="BD1193">
        <v>269</v>
      </c>
      <c r="BE1193">
        <v>21846</v>
      </c>
      <c r="BF1193">
        <v>6</v>
      </c>
      <c r="BG1193">
        <v>39</v>
      </c>
      <c r="BH1193">
        <v>269</v>
      </c>
      <c r="BI1193">
        <v>21846</v>
      </c>
      <c r="BJ1193">
        <v>6</v>
      </c>
      <c r="BK1193">
        <f t="shared" si="164"/>
        <v>269</v>
      </c>
      <c r="BL1193">
        <f t="shared" si="165"/>
        <v>21846</v>
      </c>
      <c r="BM1193">
        <f t="shared" si="166"/>
        <v>6</v>
      </c>
      <c r="BN1193">
        <f t="shared" si="167"/>
        <v>0</v>
      </c>
      <c r="BO1193">
        <f t="shared" si="168"/>
        <v>0</v>
      </c>
      <c r="BP1193">
        <f t="shared" si="169"/>
        <v>0</v>
      </c>
      <c r="BQ1193" t="s">
        <v>136</v>
      </c>
      <c r="BR1193" t="s">
        <v>140</v>
      </c>
      <c r="BS1193" t="s">
        <v>89</v>
      </c>
      <c r="BT1193">
        <v>41</v>
      </c>
      <c r="BU1193" s="1">
        <v>45298</v>
      </c>
      <c r="BV1193" s="1">
        <v>45474</v>
      </c>
      <c r="BW1193">
        <v>15</v>
      </c>
      <c r="BX1193">
        <v>1985</v>
      </c>
      <c r="BY1193">
        <v>15</v>
      </c>
      <c r="BZ1193">
        <f t="shared" si="170"/>
        <v>0</v>
      </c>
      <c r="CA1193">
        <f t="shared" si="171"/>
        <v>0</v>
      </c>
      <c r="CB1193" t="b">
        <f t="shared" si="172"/>
        <v>1</v>
      </c>
    </row>
    <row r="1194" spans="1:80" x14ac:dyDescent="0.3">
      <c r="A1194" t="s">
        <v>9398</v>
      </c>
      <c r="B1194" t="s">
        <v>71</v>
      </c>
      <c r="C1194" t="s">
        <v>9399</v>
      </c>
      <c r="D1194">
        <v>45</v>
      </c>
      <c r="E1194" s="1">
        <v>29206</v>
      </c>
      <c r="F1194" t="s">
        <v>89</v>
      </c>
      <c r="G1194" t="s">
        <v>400</v>
      </c>
      <c r="H1194" t="s">
        <v>89</v>
      </c>
      <c r="I1194" t="s">
        <v>178</v>
      </c>
      <c r="J1194" t="s">
        <v>78</v>
      </c>
      <c r="K1194" t="s">
        <v>89</v>
      </c>
      <c r="L1194" t="s">
        <v>657</v>
      </c>
      <c r="M1194">
        <v>23</v>
      </c>
      <c r="N1194" t="s">
        <v>2278</v>
      </c>
      <c r="O1194">
        <v>2003</v>
      </c>
      <c r="P1194" t="s">
        <v>9400</v>
      </c>
      <c r="Q1194" t="s">
        <v>9401</v>
      </c>
      <c r="R1194">
        <v>35536</v>
      </c>
      <c r="S1194" t="s">
        <v>9398</v>
      </c>
      <c r="T1194" t="s">
        <v>9402</v>
      </c>
      <c r="U1194">
        <v>1981</v>
      </c>
      <c r="V1194" t="s">
        <v>2389</v>
      </c>
      <c r="W1194">
        <v>1.82</v>
      </c>
      <c r="X1194" t="s">
        <v>76</v>
      </c>
      <c r="Y1194" t="s">
        <v>186</v>
      </c>
      <c r="Z1194" t="s">
        <v>87</v>
      </c>
      <c r="AA1194" t="s">
        <v>162</v>
      </c>
      <c r="AB1194" s="1">
        <v>42743</v>
      </c>
      <c r="AC1194" t="s">
        <v>108</v>
      </c>
      <c r="AD1194" t="s">
        <v>89</v>
      </c>
      <c r="AE1194" t="s">
        <v>9403</v>
      </c>
      <c r="AF1194">
        <v>25</v>
      </c>
      <c r="AG1194" t="s">
        <v>91</v>
      </c>
      <c r="AH1194" t="s">
        <v>8957</v>
      </c>
      <c r="AI1194">
        <v>23</v>
      </c>
      <c r="AJ1194" t="s">
        <v>110</v>
      </c>
      <c r="AK1194">
        <v>23</v>
      </c>
      <c r="AL1194">
        <v>8</v>
      </c>
      <c r="AM1194">
        <v>580</v>
      </c>
      <c r="AN1194">
        <v>77</v>
      </c>
      <c r="AO1194">
        <v>5</v>
      </c>
      <c r="AP1194" t="s">
        <v>93</v>
      </c>
      <c r="AQ1194" t="s">
        <v>89</v>
      </c>
      <c r="AR1194" t="s">
        <v>89</v>
      </c>
      <c r="AS1194" t="s">
        <v>111</v>
      </c>
      <c r="AT1194" s="1">
        <v>42743</v>
      </c>
      <c r="AU1194">
        <v>2017</v>
      </c>
      <c r="AV1194">
        <v>14</v>
      </c>
      <c r="AW1194">
        <v>14</v>
      </c>
      <c r="AX1194" t="s">
        <v>89</v>
      </c>
      <c r="AY1194" t="s">
        <v>93</v>
      </c>
      <c r="AZ1194">
        <v>0</v>
      </c>
      <c r="BA1194">
        <v>0</v>
      </c>
      <c r="BB1194">
        <v>0</v>
      </c>
      <c r="BC1194">
        <v>0</v>
      </c>
      <c r="BD1194">
        <v>319</v>
      </c>
      <c r="BE1194">
        <v>28144</v>
      </c>
      <c r="BF1194">
        <v>0</v>
      </c>
      <c r="BG1194">
        <v>36</v>
      </c>
      <c r="BH1194">
        <v>319</v>
      </c>
      <c r="BI1194">
        <v>28144</v>
      </c>
      <c r="BJ1194">
        <v>0</v>
      </c>
      <c r="BK1194">
        <f t="shared" si="164"/>
        <v>319</v>
      </c>
      <c r="BL1194">
        <f t="shared" si="165"/>
        <v>28144</v>
      </c>
      <c r="BM1194">
        <f t="shared" si="166"/>
        <v>0</v>
      </c>
      <c r="BN1194">
        <f t="shared" si="167"/>
        <v>0</v>
      </c>
      <c r="BO1194">
        <f t="shared" si="168"/>
        <v>0</v>
      </c>
      <c r="BP1194">
        <f t="shared" si="169"/>
        <v>0</v>
      </c>
      <c r="BQ1194" t="s">
        <v>186</v>
      </c>
      <c r="BR1194" t="s">
        <v>186</v>
      </c>
      <c r="BS1194" t="s">
        <v>89</v>
      </c>
      <c r="BT1194">
        <v>45</v>
      </c>
      <c r="BU1194" s="1">
        <v>42743</v>
      </c>
      <c r="BV1194" s="1">
        <v>42948</v>
      </c>
      <c r="BW1194">
        <v>13</v>
      </c>
      <c r="BX1194">
        <v>1981</v>
      </c>
      <c r="BY1194">
        <v>13</v>
      </c>
      <c r="BZ1194">
        <f t="shared" si="170"/>
        <v>1</v>
      </c>
      <c r="CA1194">
        <f t="shared" si="171"/>
        <v>0</v>
      </c>
      <c r="CB1194" t="b">
        <f t="shared" si="172"/>
        <v>0</v>
      </c>
    </row>
    <row r="1195" spans="1:80" x14ac:dyDescent="0.3">
      <c r="A1195" t="s">
        <v>9404</v>
      </c>
      <c r="B1195" t="s">
        <v>7098</v>
      </c>
      <c r="C1195" t="s">
        <v>9405</v>
      </c>
      <c r="D1195">
        <v>36</v>
      </c>
      <c r="E1195">
        <v>32569</v>
      </c>
      <c r="F1195" t="s">
        <v>89</v>
      </c>
      <c r="G1195" t="s">
        <v>819</v>
      </c>
      <c r="H1195" t="s">
        <v>7100</v>
      </c>
      <c r="I1195" t="s">
        <v>357</v>
      </c>
      <c r="J1195" t="s">
        <v>78</v>
      </c>
      <c r="K1195" t="s">
        <v>89</v>
      </c>
      <c r="L1195" t="s">
        <v>130</v>
      </c>
      <c r="M1195">
        <v>19</v>
      </c>
      <c r="N1195" t="s">
        <v>4403</v>
      </c>
      <c r="O1195">
        <v>2008</v>
      </c>
      <c r="P1195" t="s">
        <v>9406</v>
      </c>
      <c r="Q1195" t="s">
        <v>9407</v>
      </c>
      <c r="R1195">
        <v>42710</v>
      </c>
      <c r="S1195" t="s">
        <v>9404</v>
      </c>
      <c r="T1195">
        <v>32542</v>
      </c>
      <c r="U1195">
        <v>1989</v>
      </c>
      <c r="V1195" t="s">
        <v>9408</v>
      </c>
      <c r="W1195">
        <v>1.87</v>
      </c>
      <c r="X1195" t="s">
        <v>7100</v>
      </c>
      <c r="Y1195" t="s">
        <v>235</v>
      </c>
      <c r="Z1195" t="s">
        <v>87</v>
      </c>
      <c r="AA1195" t="s">
        <v>9409</v>
      </c>
      <c r="AB1195">
        <v>45664</v>
      </c>
      <c r="AC1195" t="s">
        <v>108</v>
      </c>
      <c r="AD1195" t="s">
        <v>223</v>
      </c>
      <c r="AE1195" t="s">
        <v>9410</v>
      </c>
      <c r="AF1195">
        <v>19</v>
      </c>
      <c r="AG1195" t="s">
        <v>5212</v>
      </c>
      <c r="AH1195" t="s">
        <v>92</v>
      </c>
      <c r="AI1195" t="s">
        <v>89</v>
      </c>
      <c r="AJ1195" t="s">
        <v>92</v>
      </c>
      <c r="AK1195">
        <v>19</v>
      </c>
      <c r="AL1195">
        <v>15</v>
      </c>
      <c r="AM1195">
        <v>446</v>
      </c>
      <c r="AN1195">
        <v>84</v>
      </c>
      <c r="AO1195">
        <v>9</v>
      </c>
      <c r="AP1195" t="s">
        <v>93</v>
      </c>
      <c r="AQ1195" t="s">
        <v>89</v>
      </c>
      <c r="AR1195" t="s">
        <v>89</v>
      </c>
      <c r="AS1195" t="s">
        <v>111</v>
      </c>
      <c r="AT1195">
        <v>45664</v>
      </c>
      <c r="AU1195">
        <v>2025</v>
      </c>
      <c r="AV1195">
        <v>17</v>
      </c>
      <c r="AW1195">
        <v>17</v>
      </c>
      <c r="AX1195" t="s">
        <v>89</v>
      </c>
      <c r="AY1195" t="s">
        <v>111</v>
      </c>
      <c r="AZ1195">
        <v>22</v>
      </c>
      <c r="BA1195">
        <v>111</v>
      </c>
      <c r="BB1195">
        <v>9764</v>
      </c>
      <c r="BC1195">
        <v>4</v>
      </c>
      <c r="BD1195">
        <v>531</v>
      </c>
      <c r="BE1195">
        <v>46210</v>
      </c>
      <c r="BF1195">
        <v>34</v>
      </c>
      <c r="BG1195">
        <v>36</v>
      </c>
      <c r="BH1195">
        <v>642</v>
      </c>
      <c r="BI1195">
        <v>55974</v>
      </c>
      <c r="BJ1195">
        <v>38</v>
      </c>
      <c r="BK1195">
        <f t="shared" si="164"/>
        <v>642</v>
      </c>
      <c r="BL1195">
        <f t="shared" si="165"/>
        <v>55974</v>
      </c>
      <c r="BM1195">
        <f t="shared" si="166"/>
        <v>38</v>
      </c>
      <c r="BN1195">
        <f t="shared" si="167"/>
        <v>0</v>
      </c>
      <c r="BO1195">
        <f t="shared" si="168"/>
        <v>0</v>
      </c>
      <c r="BP1195">
        <f t="shared" si="169"/>
        <v>0</v>
      </c>
      <c r="BQ1195" t="s">
        <v>235</v>
      </c>
      <c r="BR1195" t="s">
        <v>140</v>
      </c>
      <c r="BS1195" t="s">
        <v>89</v>
      </c>
      <c r="BT1195">
        <v>37</v>
      </c>
      <c r="BU1195">
        <v>45664</v>
      </c>
      <c r="BV1195" t="s">
        <v>89</v>
      </c>
      <c r="BW1195">
        <v>17</v>
      </c>
      <c r="BX1195">
        <v>1989</v>
      </c>
      <c r="BY1195">
        <v>17</v>
      </c>
      <c r="BZ1195">
        <f t="shared" si="170"/>
        <v>0</v>
      </c>
      <c r="CA1195">
        <f t="shared" si="171"/>
        <v>0</v>
      </c>
      <c r="CB1195" t="b">
        <f t="shared" si="172"/>
        <v>1</v>
      </c>
    </row>
    <row r="1196" spans="1:80" x14ac:dyDescent="0.3">
      <c r="A1196" t="s">
        <v>9411</v>
      </c>
      <c r="B1196" t="s">
        <v>71</v>
      </c>
      <c r="C1196" t="s">
        <v>9412</v>
      </c>
      <c r="D1196">
        <v>42</v>
      </c>
      <c r="E1196">
        <v>30317</v>
      </c>
      <c r="F1196" t="s">
        <v>89</v>
      </c>
      <c r="G1196" t="s">
        <v>176</v>
      </c>
      <c r="H1196" t="s">
        <v>76</v>
      </c>
      <c r="I1196" t="s">
        <v>437</v>
      </c>
      <c r="J1196" t="s">
        <v>78</v>
      </c>
      <c r="K1196" t="s">
        <v>89</v>
      </c>
      <c r="L1196" t="s">
        <v>657</v>
      </c>
      <c r="M1196">
        <v>20</v>
      </c>
      <c r="N1196" t="s">
        <v>81</v>
      </c>
      <c r="O1196">
        <v>2003</v>
      </c>
      <c r="P1196" t="s">
        <v>9413</v>
      </c>
      <c r="Q1196" t="s">
        <v>9414</v>
      </c>
      <c r="R1196">
        <v>22586</v>
      </c>
      <c r="S1196" t="s">
        <v>9411</v>
      </c>
      <c r="T1196" t="s">
        <v>483</v>
      </c>
      <c r="U1196">
        <v>1983</v>
      </c>
      <c r="V1196" t="s">
        <v>9415</v>
      </c>
      <c r="W1196">
        <v>1.85</v>
      </c>
      <c r="X1196" t="s">
        <v>76</v>
      </c>
      <c r="Y1196" t="s">
        <v>123</v>
      </c>
      <c r="Z1196" t="s">
        <v>87</v>
      </c>
      <c r="AA1196" t="s">
        <v>2282</v>
      </c>
      <c r="AB1196">
        <v>44203</v>
      </c>
      <c r="AC1196" t="s">
        <v>108</v>
      </c>
      <c r="AD1196" t="s">
        <v>395</v>
      </c>
      <c r="AE1196" t="s">
        <v>9416</v>
      </c>
      <c r="AF1196">
        <v>21</v>
      </c>
      <c r="AG1196" t="s">
        <v>91</v>
      </c>
      <c r="AH1196">
        <v>38634</v>
      </c>
      <c r="AI1196">
        <v>22</v>
      </c>
      <c r="AJ1196" t="s">
        <v>110</v>
      </c>
      <c r="AK1196">
        <v>21</v>
      </c>
      <c r="AL1196">
        <v>5</v>
      </c>
      <c r="AM1196">
        <v>158</v>
      </c>
      <c r="AN1196">
        <v>25</v>
      </c>
      <c r="AO1196">
        <v>5</v>
      </c>
      <c r="AP1196" t="s">
        <v>93</v>
      </c>
      <c r="AQ1196" t="s">
        <v>89</v>
      </c>
      <c r="AR1196" t="s">
        <v>89</v>
      </c>
      <c r="AS1196" t="s">
        <v>111</v>
      </c>
      <c r="AT1196">
        <v>44203</v>
      </c>
      <c r="AU1196">
        <v>2021</v>
      </c>
      <c r="AV1196">
        <v>18</v>
      </c>
      <c r="AW1196">
        <v>18</v>
      </c>
      <c r="AX1196" t="s">
        <v>89</v>
      </c>
      <c r="AY1196" t="s">
        <v>93</v>
      </c>
      <c r="AZ1196">
        <v>0</v>
      </c>
      <c r="BA1196">
        <v>0</v>
      </c>
      <c r="BB1196">
        <v>0</v>
      </c>
      <c r="BC1196">
        <v>0</v>
      </c>
      <c r="BD1196">
        <v>378</v>
      </c>
      <c r="BE1196">
        <v>22971</v>
      </c>
      <c r="BF1196">
        <v>121</v>
      </c>
      <c r="BG1196">
        <v>38</v>
      </c>
      <c r="BH1196">
        <v>378</v>
      </c>
      <c r="BI1196">
        <v>22971</v>
      </c>
      <c r="BJ1196">
        <v>121</v>
      </c>
      <c r="BK1196">
        <f t="shared" si="164"/>
        <v>378</v>
      </c>
      <c r="BL1196">
        <f t="shared" si="165"/>
        <v>22971</v>
      </c>
      <c r="BM1196">
        <f t="shared" si="166"/>
        <v>121</v>
      </c>
      <c r="BN1196">
        <f t="shared" si="167"/>
        <v>0</v>
      </c>
      <c r="BO1196">
        <f t="shared" si="168"/>
        <v>0</v>
      </c>
      <c r="BP1196">
        <f t="shared" si="169"/>
        <v>0</v>
      </c>
      <c r="BQ1196" t="s">
        <v>123</v>
      </c>
      <c r="BR1196" t="s">
        <v>112</v>
      </c>
      <c r="BS1196" t="s">
        <v>89</v>
      </c>
      <c r="BT1196">
        <v>43</v>
      </c>
      <c r="BU1196">
        <v>44203</v>
      </c>
      <c r="BV1196" t="s">
        <v>89</v>
      </c>
      <c r="BW1196">
        <v>17</v>
      </c>
      <c r="BX1196">
        <v>1983</v>
      </c>
      <c r="BY1196">
        <v>17</v>
      </c>
      <c r="BZ1196">
        <f t="shared" si="170"/>
        <v>1</v>
      </c>
      <c r="CA1196">
        <f t="shared" si="171"/>
        <v>0</v>
      </c>
      <c r="CB1196" t="b">
        <f t="shared" si="172"/>
        <v>0</v>
      </c>
    </row>
    <row r="1197" spans="1:80" x14ac:dyDescent="0.3">
      <c r="A1197" t="s">
        <v>9417</v>
      </c>
      <c r="B1197" t="s">
        <v>5290</v>
      </c>
      <c r="C1197" t="s">
        <v>9418</v>
      </c>
      <c r="D1197">
        <v>47</v>
      </c>
      <c r="E1197">
        <v>28573</v>
      </c>
      <c r="F1197" t="s">
        <v>89</v>
      </c>
      <c r="G1197" t="s">
        <v>413</v>
      </c>
      <c r="H1197" t="s">
        <v>5292</v>
      </c>
      <c r="I1197" t="s">
        <v>227</v>
      </c>
      <c r="J1197" t="s">
        <v>89</v>
      </c>
      <c r="K1197" t="s">
        <v>89</v>
      </c>
      <c r="L1197" t="s">
        <v>196</v>
      </c>
      <c r="M1197">
        <v>22</v>
      </c>
      <c r="N1197" t="s">
        <v>9419</v>
      </c>
      <c r="O1197">
        <v>2000</v>
      </c>
      <c r="P1197" t="s">
        <v>9420</v>
      </c>
      <c r="Q1197" t="s">
        <v>9421</v>
      </c>
      <c r="R1197">
        <v>325</v>
      </c>
      <c r="S1197" t="s">
        <v>9422</v>
      </c>
      <c r="T1197" t="s">
        <v>9423</v>
      </c>
      <c r="U1197">
        <v>1978</v>
      </c>
      <c r="V1197" t="s">
        <v>9424</v>
      </c>
      <c r="W1197" t="s">
        <v>89</v>
      </c>
      <c r="X1197" t="s">
        <v>5292</v>
      </c>
      <c r="Y1197" t="s">
        <v>235</v>
      </c>
      <c r="Z1197" t="s">
        <v>89</v>
      </c>
      <c r="AA1197" t="s">
        <v>9425</v>
      </c>
      <c r="AB1197">
        <v>41317</v>
      </c>
      <c r="AC1197" t="s">
        <v>108</v>
      </c>
      <c r="AD1197" t="s">
        <v>89</v>
      </c>
      <c r="AE1197">
        <v>35377</v>
      </c>
      <c r="AF1197">
        <v>18</v>
      </c>
      <c r="AG1197">
        <v>0</v>
      </c>
      <c r="AH1197" t="s">
        <v>92</v>
      </c>
      <c r="AI1197" t="s">
        <v>89</v>
      </c>
      <c r="AJ1197" t="s">
        <v>92</v>
      </c>
      <c r="AK1197">
        <v>18</v>
      </c>
      <c r="AL1197">
        <v>4</v>
      </c>
      <c r="AM1197">
        <v>295</v>
      </c>
      <c r="AN1197">
        <v>60</v>
      </c>
      <c r="AO1197">
        <v>2</v>
      </c>
      <c r="AP1197" t="s">
        <v>93</v>
      </c>
      <c r="AQ1197" t="s">
        <v>89</v>
      </c>
      <c r="AR1197" t="s">
        <v>89</v>
      </c>
      <c r="AS1197" t="s">
        <v>111</v>
      </c>
      <c r="AT1197">
        <v>41317</v>
      </c>
      <c r="AU1197">
        <v>2013</v>
      </c>
      <c r="AV1197">
        <v>13</v>
      </c>
      <c r="AW1197">
        <v>13</v>
      </c>
      <c r="AX1197" t="s">
        <v>89</v>
      </c>
      <c r="AY1197" t="s">
        <v>111</v>
      </c>
      <c r="AZ1197">
        <v>6</v>
      </c>
      <c r="BA1197">
        <v>38</v>
      </c>
      <c r="BB1197">
        <v>3417</v>
      </c>
      <c r="BC1197">
        <v>0</v>
      </c>
      <c r="BD1197">
        <v>394</v>
      </c>
      <c r="BE1197">
        <v>35026</v>
      </c>
      <c r="BF1197">
        <v>5</v>
      </c>
      <c r="BG1197">
        <v>35</v>
      </c>
      <c r="BH1197">
        <v>432</v>
      </c>
      <c r="BI1197">
        <v>38443</v>
      </c>
      <c r="BJ1197">
        <v>5</v>
      </c>
      <c r="BK1197">
        <f t="shared" si="164"/>
        <v>432</v>
      </c>
      <c r="BL1197">
        <f t="shared" si="165"/>
        <v>38443</v>
      </c>
      <c r="BM1197">
        <f t="shared" si="166"/>
        <v>5</v>
      </c>
      <c r="BN1197">
        <f t="shared" si="167"/>
        <v>0</v>
      </c>
      <c r="BO1197">
        <f t="shared" si="168"/>
        <v>0</v>
      </c>
      <c r="BP1197">
        <f t="shared" si="169"/>
        <v>0</v>
      </c>
      <c r="BQ1197" t="s">
        <v>235</v>
      </c>
      <c r="BR1197" t="s">
        <v>140</v>
      </c>
      <c r="BS1197" s="1">
        <v>28573</v>
      </c>
      <c r="BT1197">
        <v>47</v>
      </c>
      <c r="BU1197">
        <v>41317</v>
      </c>
      <c r="BV1197" t="s">
        <v>89</v>
      </c>
      <c r="BW1197">
        <v>17</v>
      </c>
      <c r="BX1197">
        <v>1978</v>
      </c>
      <c r="BY1197">
        <v>17</v>
      </c>
      <c r="BZ1197">
        <f t="shared" si="170"/>
        <v>-4</v>
      </c>
      <c r="CA1197">
        <f t="shared" si="171"/>
        <v>0</v>
      </c>
      <c r="CB1197" t="b">
        <f t="shared" si="172"/>
        <v>0</v>
      </c>
    </row>
    <row r="1198" spans="1:80" x14ac:dyDescent="0.3">
      <c r="A1198" t="s">
        <v>9426</v>
      </c>
      <c r="B1198" t="s">
        <v>71</v>
      </c>
      <c r="C1198" t="s">
        <v>9427</v>
      </c>
      <c r="D1198">
        <v>36</v>
      </c>
      <c r="E1198" s="1">
        <v>32538</v>
      </c>
      <c r="F1198" t="s">
        <v>89</v>
      </c>
      <c r="G1198" t="s">
        <v>3627</v>
      </c>
      <c r="H1198" t="s">
        <v>76</v>
      </c>
      <c r="I1198" t="s">
        <v>178</v>
      </c>
      <c r="J1198" t="s">
        <v>78</v>
      </c>
      <c r="K1198" t="s">
        <v>89</v>
      </c>
      <c r="L1198" t="s">
        <v>228</v>
      </c>
      <c r="M1198">
        <v>21</v>
      </c>
      <c r="N1198" t="s">
        <v>268</v>
      </c>
      <c r="O1198">
        <v>2010</v>
      </c>
      <c r="P1198" t="s">
        <v>9428</v>
      </c>
      <c r="Q1198" t="s">
        <v>9429</v>
      </c>
      <c r="R1198">
        <v>62947</v>
      </c>
      <c r="S1198" t="s">
        <v>9426</v>
      </c>
      <c r="T1198" t="s">
        <v>9430</v>
      </c>
      <c r="U1198">
        <v>1989</v>
      </c>
      <c r="V1198" t="s">
        <v>122</v>
      </c>
      <c r="W1198">
        <v>1.95</v>
      </c>
      <c r="X1198" t="s">
        <v>76</v>
      </c>
      <c r="Y1198" t="s">
        <v>186</v>
      </c>
      <c r="Z1198" t="s">
        <v>87</v>
      </c>
      <c r="AA1198" t="s">
        <v>476</v>
      </c>
      <c r="AB1198" s="1">
        <v>45298</v>
      </c>
      <c r="AC1198" t="s">
        <v>108</v>
      </c>
      <c r="AD1198" t="s">
        <v>89</v>
      </c>
      <c r="AE1198" s="1">
        <v>40821</v>
      </c>
      <c r="AF1198">
        <v>22</v>
      </c>
      <c r="AG1198" t="s">
        <v>91</v>
      </c>
      <c r="AH1198" t="s">
        <v>274</v>
      </c>
      <c r="AI1198">
        <v>23</v>
      </c>
      <c r="AJ1198" t="s">
        <v>110</v>
      </c>
      <c r="AK1198">
        <v>22</v>
      </c>
      <c r="AL1198" t="s">
        <v>89</v>
      </c>
      <c r="AM1198" t="s">
        <v>89</v>
      </c>
      <c r="AN1198" t="s">
        <v>89</v>
      </c>
      <c r="AO1198">
        <v>0</v>
      </c>
      <c r="AP1198" t="s">
        <v>93</v>
      </c>
      <c r="AQ1198" t="s">
        <v>89</v>
      </c>
      <c r="AR1198" t="s">
        <v>89</v>
      </c>
      <c r="AS1198" t="s">
        <v>93</v>
      </c>
      <c r="AT1198" t="s">
        <v>89</v>
      </c>
      <c r="AU1198" t="s">
        <v>89</v>
      </c>
      <c r="AV1198" t="s">
        <v>89</v>
      </c>
      <c r="AW1198">
        <v>15</v>
      </c>
      <c r="AX1198" t="s">
        <v>89</v>
      </c>
      <c r="AY1198" t="s">
        <v>93</v>
      </c>
      <c r="AZ1198">
        <v>0</v>
      </c>
      <c r="BA1198">
        <v>0</v>
      </c>
      <c r="BB1198">
        <v>0</v>
      </c>
      <c r="BC1198">
        <v>0</v>
      </c>
      <c r="BD1198">
        <v>73</v>
      </c>
      <c r="BE1198">
        <v>6391</v>
      </c>
      <c r="BF1198">
        <v>0</v>
      </c>
      <c r="BG1198" t="s">
        <v>89</v>
      </c>
      <c r="BH1198">
        <v>73</v>
      </c>
      <c r="BI1198">
        <v>6391</v>
      </c>
      <c r="BJ1198">
        <v>0</v>
      </c>
      <c r="BK1198">
        <f t="shared" si="164"/>
        <v>73</v>
      </c>
      <c r="BL1198">
        <f t="shared" si="165"/>
        <v>6391</v>
      </c>
      <c r="BM1198">
        <f t="shared" si="166"/>
        <v>0</v>
      </c>
      <c r="BN1198">
        <f t="shared" si="167"/>
        <v>0</v>
      </c>
      <c r="BO1198">
        <f t="shared" si="168"/>
        <v>0</v>
      </c>
      <c r="BP1198">
        <f t="shared" si="169"/>
        <v>0</v>
      </c>
      <c r="BQ1198" t="s">
        <v>186</v>
      </c>
      <c r="BR1198" t="s">
        <v>186</v>
      </c>
      <c r="BS1198" s="1">
        <v>32538</v>
      </c>
      <c r="BT1198">
        <v>37</v>
      </c>
      <c r="BU1198" t="s">
        <v>89</v>
      </c>
      <c r="BV1198" t="s">
        <v>89</v>
      </c>
      <c r="BW1198">
        <v>15</v>
      </c>
      <c r="BX1198">
        <v>1989</v>
      </c>
      <c r="BY1198">
        <v>14</v>
      </c>
      <c r="BZ1198">
        <f t="shared" si="170"/>
        <v>0</v>
      </c>
      <c r="CA1198">
        <f t="shared" si="171"/>
        <v>1</v>
      </c>
      <c r="CB1198" t="b">
        <f t="shared" si="172"/>
        <v>1</v>
      </c>
    </row>
    <row r="1199" spans="1:80" x14ac:dyDescent="0.3">
      <c r="A1199" t="s">
        <v>9431</v>
      </c>
      <c r="B1199" t="s">
        <v>71</v>
      </c>
      <c r="C1199" t="s">
        <v>9432</v>
      </c>
      <c r="D1199">
        <v>37</v>
      </c>
      <c r="E1199" s="1">
        <v>32064</v>
      </c>
      <c r="F1199" t="s">
        <v>89</v>
      </c>
      <c r="G1199" t="s">
        <v>176</v>
      </c>
      <c r="H1199" t="s">
        <v>89</v>
      </c>
      <c r="I1199" t="s">
        <v>288</v>
      </c>
      <c r="J1199" t="s">
        <v>639</v>
      </c>
      <c r="K1199" t="s">
        <v>89</v>
      </c>
      <c r="L1199" t="s">
        <v>254</v>
      </c>
      <c r="M1199">
        <v>21</v>
      </c>
      <c r="N1199" t="s">
        <v>164</v>
      </c>
      <c r="O1199">
        <v>2009</v>
      </c>
      <c r="P1199" t="s">
        <v>9433</v>
      </c>
      <c r="Q1199" t="s">
        <v>9434</v>
      </c>
      <c r="R1199">
        <v>139895</v>
      </c>
      <c r="S1199" t="s">
        <v>9435</v>
      </c>
      <c r="T1199" t="s">
        <v>9436</v>
      </c>
      <c r="U1199">
        <v>1987</v>
      </c>
      <c r="V1199" t="s">
        <v>3063</v>
      </c>
      <c r="W1199">
        <v>1.85</v>
      </c>
      <c r="X1199" t="s">
        <v>76</v>
      </c>
      <c r="Y1199" t="s">
        <v>86</v>
      </c>
      <c r="Z1199" t="s">
        <v>87</v>
      </c>
      <c r="AA1199" t="s">
        <v>2514</v>
      </c>
      <c r="AB1199" s="1">
        <v>45298</v>
      </c>
      <c r="AC1199" t="s">
        <v>108</v>
      </c>
      <c r="AD1199" t="s">
        <v>89</v>
      </c>
      <c r="AE1199" t="s">
        <v>9437</v>
      </c>
      <c r="AF1199">
        <v>22</v>
      </c>
      <c r="AG1199" t="s">
        <v>91</v>
      </c>
      <c r="AH1199" t="s">
        <v>92</v>
      </c>
      <c r="AI1199" t="s">
        <v>89</v>
      </c>
      <c r="AJ1199" t="s">
        <v>92</v>
      </c>
      <c r="AK1199">
        <v>22</v>
      </c>
      <c r="AL1199">
        <v>10</v>
      </c>
      <c r="AM1199">
        <v>327</v>
      </c>
      <c r="AN1199">
        <v>43</v>
      </c>
      <c r="AO1199">
        <v>8</v>
      </c>
      <c r="AP1199" t="s">
        <v>93</v>
      </c>
      <c r="AQ1199" t="s">
        <v>89</v>
      </c>
      <c r="AR1199" t="s">
        <v>89</v>
      </c>
      <c r="AS1199" t="s">
        <v>111</v>
      </c>
      <c r="AT1199" s="1">
        <v>45298</v>
      </c>
      <c r="AU1199">
        <v>2024</v>
      </c>
      <c r="AV1199">
        <v>15</v>
      </c>
      <c r="AW1199">
        <v>15</v>
      </c>
      <c r="AX1199" t="s">
        <v>89</v>
      </c>
      <c r="AY1199" t="s">
        <v>93</v>
      </c>
      <c r="AZ1199">
        <v>0</v>
      </c>
      <c r="BA1199">
        <v>0</v>
      </c>
      <c r="BB1199">
        <v>0</v>
      </c>
      <c r="BC1199">
        <v>0</v>
      </c>
      <c r="BD1199">
        <v>375</v>
      </c>
      <c r="BE1199">
        <v>26051</v>
      </c>
      <c r="BF1199">
        <v>14</v>
      </c>
      <c r="BG1199">
        <v>37</v>
      </c>
      <c r="BH1199">
        <v>375</v>
      </c>
      <c r="BI1199">
        <v>26051</v>
      </c>
      <c r="BJ1199">
        <v>14</v>
      </c>
      <c r="BK1199">
        <f t="shared" si="164"/>
        <v>375</v>
      </c>
      <c r="BL1199">
        <f t="shared" si="165"/>
        <v>26051</v>
      </c>
      <c r="BM1199">
        <f t="shared" si="166"/>
        <v>14</v>
      </c>
      <c r="BN1199">
        <f t="shared" si="167"/>
        <v>0</v>
      </c>
      <c r="BO1199">
        <f t="shared" si="168"/>
        <v>0</v>
      </c>
      <c r="BP1199">
        <f t="shared" si="169"/>
        <v>0</v>
      </c>
      <c r="BQ1199" t="s">
        <v>86</v>
      </c>
      <c r="BR1199" t="s">
        <v>94</v>
      </c>
      <c r="BS1199" s="1">
        <v>32064</v>
      </c>
      <c r="BT1199">
        <v>38</v>
      </c>
      <c r="BU1199" s="1">
        <v>45298</v>
      </c>
      <c r="BV1199" s="1">
        <v>45474</v>
      </c>
      <c r="BW1199">
        <v>15</v>
      </c>
      <c r="BX1199">
        <v>1987</v>
      </c>
      <c r="BY1199">
        <v>15</v>
      </c>
      <c r="BZ1199">
        <f t="shared" si="170"/>
        <v>0</v>
      </c>
      <c r="CA1199">
        <f t="shared" si="171"/>
        <v>0</v>
      </c>
      <c r="CB1199" t="b">
        <f t="shared" si="172"/>
        <v>1</v>
      </c>
    </row>
    <row r="1200" spans="1:80" x14ac:dyDescent="0.3">
      <c r="A1200" t="s">
        <v>9438</v>
      </c>
      <c r="B1200" t="s">
        <v>3154</v>
      </c>
      <c r="C1200" t="s">
        <v>9439</v>
      </c>
      <c r="D1200">
        <v>38</v>
      </c>
      <c r="E1200" s="1">
        <v>31899</v>
      </c>
      <c r="F1200" t="s">
        <v>89</v>
      </c>
      <c r="G1200" t="s">
        <v>400</v>
      </c>
      <c r="H1200" t="s">
        <v>3156</v>
      </c>
      <c r="I1200" t="s">
        <v>437</v>
      </c>
      <c r="J1200" t="s">
        <v>78</v>
      </c>
      <c r="K1200" t="s">
        <v>89</v>
      </c>
      <c r="L1200" t="s">
        <v>278</v>
      </c>
      <c r="M1200">
        <v>24</v>
      </c>
      <c r="N1200" t="s">
        <v>164</v>
      </c>
      <c r="O1200">
        <v>2011</v>
      </c>
      <c r="P1200" t="s">
        <v>9440</v>
      </c>
      <c r="Q1200" t="s">
        <v>9441</v>
      </c>
      <c r="R1200">
        <v>112668</v>
      </c>
      <c r="S1200" t="s">
        <v>9438</v>
      </c>
      <c r="T1200" s="1">
        <v>31813</v>
      </c>
      <c r="U1200">
        <v>1987</v>
      </c>
      <c r="V1200" t="s">
        <v>9442</v>
      </c>
      <c r="W1200">
        <v>1.82</v>
      </c>
      <c r="X1200" t="s">
        <v>9443</v>
      </c>
      <c r="Y1200" t="s">
        <v>123</v>
      </c>
      <c r="Z1200" t="s">
        <v>87</v>
      </c>
      <c r="AA1200" t="s">
        <v>7129</v>
      </c>
      <c r="AB1200" t="s">
        <v>7885</v>
      </c>
      <c r="AC1200" t="s">
        <v>108</v>
      </c>
      <c r="AD1200" t="s">
        <v>89</v>
      </c>
      <c r="AE1200" t="s">
        <v>9444</v>
      </c>
      <c r="AF1200">
        <v>18</v>
      </c>
      <c r="AG1200" t="s">
        <v>9445</v>
      </c>
      <c r="AH1200" t="s">
        <v>9291</v>
      </c>
      <c r="AI1200">
        <v>26</v>
      </c>
      <c r="AJ1200" t="s">
        <v>110</v>
      </c>
      <c r="AK1200">
        <v>18</v>
      </c>
      <c r="AL1200">
        <v>3</v>
      </c>
      <c r="AM1200">
        <v>201</v>
      </c>
      <c r="AN1200">
        <v>38</v>
      </c>
      <c r="AO1200">
        <v>3</v>
      </c>
      <c r="AP1200" t="s">
        <v>93</v>
      </c>
      <c r="AQ1200" t="s">
        <v>89</v>
      </c>
      <c r="AR1200" t="s">
        <v>89</v>
      </c>
      <c r="AS1200" t="s">
        <v>111</v>
      </c>
      <c r="AT1200" t="s">
        <v>7885</v>
      </c>
      <c r="AU1200">
        <v>2024</v>
      </c>
      <c r="AV1200">
        <v>13</v>
      </c>
      <c r="AW1200">
        <v>13</v>
      </c>
      <c r="AX1200" t="s">
        <v>89</v>
      </c>
      <c r="AY1200" t="s">
        <v>111</v>
      </c>
      <c r="AZ1200">
        <v>8</v>
      </c>
      <c r="BA1200">
        <v>31</v>
      </c>
      <c r="BB1200">
        <v>1795</v>
      </c>
      <c r="BC1200">
        <v>15</v>
      </c>
      <c r="BD1200">
        <v>327</v>
      </c>
      <c r="BE1200">
        <v>18901</v>
      </c>
      <c r="BF1200">
        <v>88</v>
      </c>
      <c r="BG1200">
        <v>37</v>
      </c>
      <c r="BH1200">
        <v>358</v>
      </c>
      <c r="BI1200">
        <v>20696</v>
      </c>
      <c r="BJ1200">
        <v>103</v>
      </c>
      <c r="BK1200">
        <f t="shared" si="164"/>
        <v>358</v>
      </c>
      <c r="BL1200">
        <f t="shared" si="165"/>
        <v>20696</v>
      </c>
      <c r="BM1200">
        <f t="shared" si="166"/>
        <v>103</v>
      </c>
      <c r="BN1200">
        <f t="shared" si="167"/>
        <v>0</v>
      </c>
      <c r="BO1200">
        <f t="shared" si="168"/>
        <v>0</v>
      </c>
      <c r="BP1200">
        <f t="shared" si="169"/>
        <v>0</v>
      </c>
      <c r="BQ1200" t="s">
        <v>123</v>
      </c>
      <c r="BR1200" t="s">
        <v>112</v>
      </c>
      <c r="BS1200" s="1">
        <v>31899</v>
      </c>
      <c r="BT1200">
        <v>38</v>
      </c>
      <c r="BU1200" t="s">
        <v>7885</v>
      </c>
      <c r="BV1200" s="1">
        <v>45503</v>
      </c>
      <c r="BW1200">
        <v>19</v>
      </c>
      <c r="BX1200">
        <v>1987</v>
      </c>
      <c r="BY1200">
        <v>19</v>
      </c>
      <c r="BZ1200">
        <f t="shared" si="170"/>
        <v>-6</v>
      </c>
      <c r="CA1200">
        <f t="shared" si="171"/>
        <v>0</v>
      </c>
      <c r="CB1200" t="b">
        <f t="shared" si="172"/>
        <v>0</v>
      </c>
    </row>
    <row r="1201" spans="1:80" x14ac:dyDescent="0.3">
      <c r="A1201" t="s">
        <v>9446</v>
      </c>
      <c r="B1201" t="s">
        <v>2677</v>
      </c>
      <c r="C1201" t="s">
        <v>9447</v>
      </c>
      <c r="D1201">
        <v>44</v>
      </c>
      <c r="E1201" s="1">
        <v>29643</v>
      </c>
      <c r="F1201" t="s">
        <v>89</v>
      </c>
      <c r="G1201" t="s">
        <v>277</v>
      </c>
      <c r="H1201" t="s">
        <v>2679</v>
      </c>
      <c r="I1201" t="s">
        <v>288</v>
      </c>
      <c r="J1201" t="s">
        <v>89</v>
      </c>
      <c r="K1201" t="s">
        <v>89</v>
      </c>
      <c r="L1201">
        <v>2006</v>
      </c>
      <c r="M1201">
        <v>24</v>
      </c>
      <c r="N1201" t="s">
        <v>9448</v>
      </c>
      <c r="O1201">
        <v>2006</v>
      </c>
      <c r="P1201" t="s">
        <v>9449</v>
      </c>
      <c r="Q1201" t="s">
        <v>9450</v>
      </c>
      <c r="R1201">
        <v>27986</v>
      </c>
      <c r="S1201" t="s">
        <v>9451</v>
      </c>
      <c r="T1201" t="s">
        <v>9452</v>
      </c>
      <c r="U1201">
        <v>1981</v>
      </c>
      <c r="V1201" t="s">
        <v>9453</v>
      </c>
      <c r="W1201">
        <v>1.88</v>
      </c>
      <c r="X1201" t="s">
        <v>2679</v>
      </c>
      <c r="Y1201" t="s">
        <v>86</v>
      </c>
      <c r="Z1201" t="s">
        <v>87</v>
      </c>
      <c r="AA1201" t="s">
        <v>7139</v>
      </c>
      <c r="AB1201" s="1">
        <v>42005</v>
      </c>
      <c r="AC1201" t="s">
        <v>108</v>
      </c>
      <c r="AD1201" t="s">
        <v>89</v>
      </c>
      <c r="AE1201" t="s">
        <v>7261</v>
      </c>
      <c r="AF1201">
        <v>23</v>
      </c>
      <c r="AG1201" t="s">
        <v>2688</v>
      </c>
      <c r="AH1201" t="s">
        <v>92</v>
      </c>
      <c r="AI1201" t="s">
        <v>89</v>
      </c>
      <c r="AJ1201" t="s">
        <v>92</v>
      </c>
      <c r="AK1201">
        <v>23</v>
      </c>
      <c r="AL1201">
        <v>1</v>
      </c>
      <c r="AM1201">
        <v>22</v>
      </c>
      <c r="AN1201">
        <v>2</v>
      </c>
      <c r="AO1201">
        <v>1</v>
      </c>
      <c r="AP1201" t="s">
        <v>93</v>
      </c>
      <c r="AQ1201" t="s">
        <v>89</v>
      </c>
      <c r="AR1201" t="s">
        <v>89</v>
      </c>
      <c r="AS1201" t="s">
        <v>111</v>
      </c>
      <c r="AT1201" s="1">
        <v>42005</v>
      </c>
      <c r="AU1201">
        <v>2015</v>
      </c>
      <c r="AV1201">
        <v>9</v>
      </c>
      <c r="AW1201">
        <v>19</v>
      </c>
      <c r="AX1201" t="s">
        <v>89</v>
      </c>
      <c r="AY1201" t="s">
        <v>111</v>
      </c>
      <c r="AZ1201">
        <v>2</v>
      </c>
      <c r="BA1201">
        <v>7</v>
      </c>
      <c r="BB1201">
        <v>359</v>
      </c>
      <c r="BC1201">
        <v>0</v>
      </c>
      <c r="BD1201">
        <v>207</v>
      </c>
      <c r="BE1201">
        <v>15697</v>
      </c>
      <c r="BF1201">
        <v>13</v>
      </c>
      <c r="BG1201">
        <v>34</v>
      </c>
      <c r="BH1201">
        <v>214</v>
      </c>
      <c r="BI1201">
        <v>16056</v>
      </c>
      <c r="BJ1201">
        <v>13</v>
      </c>
      <c r="BK1201">
        <f t="shared" si="164"/>
        <v>214</v>
      </c>
      <c r="BL1201">
        <f t="shared" si="165"/>
        <v>16056</v>
      </c>
      <c r="BM1201">
        <f t="shared" si="166"/>
        <v>13</v>
      </c>
      <c r="BN1201">
        <f t="shared" si="167"/>
        <v>0</v>
      </c>
      <c r="BO1201">
        <f t="shared" si="168"/>
        <v>0</v>
      </c>
      <c r="BP1201">
        <f t="shared" si="169"/>
        <v>0</v>
      </c>
      <c r="BQ1201" t="s">
        <v>86</v>
      </c>
      <c r="BR1201" t="s">
        <v>94</v>
      </c>
      <c r="BS1201" s="1">
        <v>29643</v>
      </c>
      <c r="BT1201">
        <v>44</v>
      </c>
      <c r="BU1201" s="1">
        <v>42005</v>
      </c>
      <c r="BV1201" s="1">
        <v>42005</v>
      </c>
      <c r="BW1201">
        <v>11</v>
      </c>
      <c r="BX1201">
        <v>1981</v>
      </c>
      <c r="BY1201">
        <v>11</v>
      </c>
      <c r="BZ1201">
        <f t="shared" si="170"/>
        <v>8</v>
      </c>
      <c r="CA1201">
        <f t="shared" si="171"/>
        <v>0</v>
      </c>
      <c r="CB1201" t="b">
        <f t="shared" si="172"/>
        <v>0</v>
      </c>
    </row>
    <row r="1202" spans="1:80" x14ac:dyDescent="0.3">
      <c r="A1202" t="s">
        <v>9454</v>
      </c>
      <c r="B1202" t="s">
        <v>71</v>
      </c>
      <c r="C1202" t="s">
        <v>9455</v>
      </c>
      <c r="D1202">
        <v>44</v>
      </c>
      <c r="E1202" s="1">
        <v>29438</v>
      </c>
      <c r="F1202" t="s">
        <v>89</v>
      </c>
      <c r="G1202" t="s">
        <v>176</v>
      </c>
      <c r="H1202" t="s">
        <v>89</v>
      </c>
      <c r="I1202" t="s">
        <v>178</v>
      </c>
      <c r="J1202" t="s">
        <v>78</v>
      </c>
      <c r="K1202" t="s">
        <v>89</v>
      </c>
      <c r="L1202" t="s">
        <v>657</v>
      </c>
      <c r="M1202">
        <v>22</v>
      </c>
      <c r="N1202" t="s">
        <v>255</v>
      </c>
      <c r="O1202">
        <v>2003</v>
      </c>
      <c r="P1202" t="s">
        <v>9456</v>
      </c>
      <c r="Q1202" t="s">
        <v>9457</v>
      </c>
      <c r="R1202">
        <v>7642</v>
      </c>
      <c r="S1202" t="s">
        <v>9454</v>
      </c>
      <c r="T1202">
        <v>29349</v>
      </c>
      <c r="U1202">
        <v>1980</v>
      </c>
      <c r="V1202" t="s">
        <v>304</v>
      </c>
      <c r="W1202">
        <v>1.84</v>
      </c>
      <c r="X1202" t="s">
        <v>76</v>
      </c>
      <c r="Y1202" t="s">
        <v>186</v>
      </c>
      <c r="Z1202" t="s">
        <v>87</v>
      </c>
      <c r="AA1202" t="s">
        <v>9458</v>
      </c>
      <c r="AB1202" s="1">
        <v>43466</v>
      </c>
      <c r="AC1202" t="s">
        <v>108</v>
      </c>
      <c r="AD1202" t="s">
        <v>89</v>
      </c>
      <c r="AE1202" t="s">
        <v>2972</v>
      </c>
      <c r="AF1202">
        <v>24</v>
      </c>
      <c r="AG1202" t="s">
        <v>91</v>
      </c>
      <c r="AH1202" t="s">
        <v>4273</v>
      </c>
      <c r="AI1202">
        <v>23</v>
      </c>
      <c r="AJ1202" t="s">
        <v>110</v>
      </c>
      <c r="AK1202">
        <v>23</v>
      </c>
      <c r="AL1202">
        <v>3</v>
      </c>
      <c r="AM1202">
        <v>227</v>
      </c>
      <c r="AN1202">
        <v>30</v>
      </c>
      <c r="AO1202">
        <v>3</v>
      </c>
      <c r="AP1202" t="s">
        <v>93</v>
      </c>
      <c r="AQ1202" t="s">
        <v>89</v>
      </c>
      <c r="AR1202" t="s">
        <v>89</v>
      </c>
      <c r="AS1202" t="s">
        <v>111</v>
      </c>
      <c r="AT1202" s="1">
        <v>43466</v>
      </c>
      <c r="AU1202">
        <v>2019</v>
      </c>
      <c r="AV1202">
        <v>16</v>
      </c>
      <c r="AW1202">
        <v>16</v>
      </c>
      <c r="AX1202" t="s">
        <v>89</v>
      </c>
      <c r="AY1202" t="s">
        <v>93</v>
      </c>
      <c r="AZ1202">
        <v>0</v>
      </c>
      <c r="BA1202">
        <v>0</v>
      </c>
      <c r="BB1202">
        <v>0</v>
      </c>
      <c r="BC1202">
        <v>0</v>
      </c>
      <c r="BD1202">
        <v>216</v>
      </c>
      <c r="BE1202">
        <v>18982</v>
      </c>
      <c r="BF1202">
        <v>0</v>
      </c>
      <c r="BG1202">
        <v>39</v>
      </c>
      <c r="BH1202">
        <v>216</v>
      </c>
      <c r="BI1202">
        <v>18982</v>
      </c>
      <c r="BJ1202">
        <v>0</v>
      </c>
      <c r="BK1202">
        <f t="shared" si="164"/>
        <v>216</v>
      </c>
      <c r="BL1202">
        <f t="shared" si="165"/>
        <v>18982</v>
      </c>
      <c r="BM1202">
        <f t="shared" si="166"/>
        <v>0</v>
      </c>
      <c r="BN1202">
        <f t="shared" si="167"/>
        <v>0</v>
      </c>
      <c r="BO1202">
        <f t="shared" si="168"/>
        <v>0</v>
      </c>
      <c r="BP1202">
        <f t="shared" si="169"/>
        <v>0</v>
      </c>
      <c r="BQ1202" t="s">
        <v>186</v>
      </c>
      <c r="BR1202" t="s">
        <v>186</v>
      </c>
      <c r="BS1202" t="s">
        <v>89</v>
      </c>
      <c r="BT1202">
        <v>46</v>
      </c>
      <c r="BU1202" s="1">
        <v>43466</v>
      </c>
      <c r="BV1202" s="1">
        <v>43466</v>
      </c>
      <c r="BW1202">
        <v>16</v>
      </c>
      <c r="BX1202">
        <v>1980</v>
      </c>
      <c r="BY1202">
        <v>16</v>
      </c>
      <c r="BZ1202">
        <f t="shared" si="170"/>
        <v>0</v>
      </c>
      <c r="CA1202">
        <f t="shared" si="171"/>
        <v>0</v>
      </c>
      <c r="CB1202" t="b">
        <f t="shared" si="172"/>
        <v>1</v>
      </c>
    </row>
    <row r="1203" spans="1:80" x14ac:dyDescent="0.3">
      <c r="A1203" t="s">
        <v>9459</v>
      </c>
      <c r="B1203" t="s">
        <v>71</v>
      </c>
      <c r="C1203" t="s">
        <v>9460</v>
      </c>
      <c r="D1203">
        <v>35</v>
      </c>
      <c r="E1203">
        <v>32967</v>
      </c>
      <c r="F1203" t="s">
        <v>89</v>
      </c>
      <c r="G1203" t="s">
        <v>160</v>
      </c>
      <c r="H1203" t="s">
        <v>89</v>
      </c>
      <c r="I1203" t="s">
        <v>9461</v>
      </c>
      <c r="J1203" t="s">
        <v>300</v>
      </c>
      <c r="K1203" t="s">
        <v>89</v>
      </c>
      <c r="L1203" t="s">
        <v>254</v>
      </c>
      <c r="M1203">
        <v>19</v>
      </c>
      <c r="N1203" t="s">
        <v>289</v>
      </c>
      <c r="O1203">
        <v>2009</v>
      </c>
      <c r="P1203" t="s">
        <v>9462</v>
      </c>
      <c r="Q1203" t="s">
        <v>9463</v>
      </c>
      <c r="R1203">
        <v>119878</v>
      </c>
      <c r="S1203" t="s">
        <v>9459</v>
      </c>
      <c r="T1203">
        <v>32967</v>
      </c>
      <c r="U1203">
        <v>1990</v>
      </c>
      <c r="V1203" t="s">
        <v>258</v>
      </c>
      <c r="W1203">
        <v>1.77</v>
      </c>
      <c r="X1203" t="s">
        <v>76</v>
      </c>
      <c r="Y1203" t="s">
        <v>494</v>
      </c>
      <c r="Z1203" t="s">
        <v>152</v>
      </c>
      <c r="AA1203" t="s">
        <v>5511</v>
      </c>
      <c r="AB1203" t="s">
        <v>3377</v>
      </c>
      <c r="AC1203" t="s">
        <v>108</v>
      </c>
      <c r="AD1203" t="s">
        <v>89</v>
      </c>
      <c r="AE1203" t="s">
        <v>294</v>
      </c>
      <c r="AF1203">
        <v>22</v>
      </c>
      <c r="AG1203" t="s">
        <v>91</v>
      </c>
      <c r="AH1203" t="s">
        <v>371</v>
      </c>
      <c r="AI1203">
        <v>19</v>
      </c>
      <c r="AJ1203" t="s">
        <v>110</v>
      </c>
      <c r="AK1203">
        <v>19</v>
      </c>
      <c r="AL1203">
        <v>2</v>
      </c>
      <c r="AM1203">
        <v>48</v>
      </c>
      <c r="AN1203">
        <v>5</v>
      </c>
      <c r="AO1203">
        <v>2</v>
      </c>
      <c r="AP1203" t="s">
        <v>93</v>
      </c>
      <c r="AQ1203" t="s">
        <v>89</v>
      </c>
      <c r="AR1203" t="s">
        <v>89</v>
      </c>
      <c r="AS1203" t="s">
        <v>111</v>
      </c>
      <c r="AT1203" t="s">
        <v>3377</v>
      </c>
      <c r="AU1203">
        <v>2023</v>
      </c>
      <c r="AV1203">
        <v>14</v>
      </c>
      <c r="AW1203">
        <v>14</v>
      </c>
      <c r="AX1203" t="s">
        <v>89</v>
      </c>
      <c r="AY1203" t="s">
        <v>93</v>
      </c>
      <c r="AZ1203">
        <v>0</v>
      </c>
      <c r="BA1203">
        <v>0</v>
      </c>
      <c r="BB1203">
        <v>0</v>
      </c>
      <c r="BC1203">
        <v>0</v>
      </c>
      <c r="BD1203">
        <v>168</v>
      </c>
      <c r="BE1203">
        <v>8554</v>
      </c>
      <c r="BF1203">
        <v>11</v>
      </c>
      <c r="BG1203">
        <v>33</v>
      </c>
      <c r="BH1203">
        <v>168</v>
      </c>
      <c r="BI1203">
        <v>8554</v>
      </c>
      <c r="BJ1203">
        <v>11</v>
      </c>
      <c r="BK1203">
        <f t="shared" si="164"/>
        <v>168</v>
      </c>
      <c r="BL1203">
        <f t="shared" si="165"/>
        <v>8554</v>
      </c>
      <c r="BM1203">
        <f t="shared" si="166"/>
        <v>11</v>
      </c>
      <c r="BN1203">
        <f t="shared" si="167"/>
        <v>0</v>
      </c>
      <c r="BO1203">
        <f t="shared" si="168"/>
        <v>0</v>
      </c>
      <c r="BP1203">
        <f t="shared" si="169"/>
        <v>0</v>
      </c>
      <c r="BQ1203" t="s">
        <v>494</v>
      </c>
      <c r="BR1203" t="s">
        <v>112</v>
      </c>
      <c r="BS1203" t="s">
        <v>89</v>
      </c>
      <c r="BT1203">
        <v>36</v>
      </c>
      <c r="BU1203" t="s">
        <v>3377</v>
      </c>
      <c r="BV1203" s="1">
        <v>45005</v>
      </c>
      <c r="BW1203">
        <v>14</v>
      </c>
      <c r="BX1203">
        <v>1990</v>
      </c>
      <c r="BY1203">
        <v>14</v>
      </c>
      <c r="BZ1203">
        <f t="shared" si="170"/>
        <v>0</v>
      </c>
      <c r="CA1203">
        <f t="shared" si="171"/>
        <v>0</v>
      </c>
      <c r="CB1203" t="b">
        <f t="shared" si="172"/>
        <v>1</v>
      </c>
    </row>
    <row r="1204" spans="1:80" x14ac:dyDescent="0.3">
      <c r="A1204" t="s">
        <v>9464</v>
      </c>
      <c r="B1204" t="s">
        <v>2262</v>
      </c>
      <c r="C1204" t="s">
        <v>9465</v>
      </c>
      <c r="D1204">
        <v>35</v>
      </c>
      <c r="E1204">
        <v>32877</v>
      </c>
      <c r="F1204" t="s">
        <v>89</v>
      </c>
      <c r="G1204" t="s">
        <v>400</v>
      </c>
      <c r="H1204" t="s">
        <v>2264</v>
      </c>
      <c r="I1204" t="s">
        <v>9466</v>
      </c>
      <c r="J1204" t="s">
        <v>78</v>
      </c>
      <c r="K1204" t="s">
        <v>89</v>
      </c>
      <c r="L1204" t="s">
        <v>180</v>
      </c>
      <c r="M1204">
        <v>17</v>
      </c>
      <c r="N1204" t="s">
        <v>2265</v>
      </c>
      <c r="O1204">
        <v>2007</v>
      </c>
      <c r="P1204" t="s">
        <v>9467</v>
      </c>
      <c r="Q1204" t="s">
        <v>9468</v>
      </c>
      <c r="R1204">
        <v>31909</v>
      </c>
      <c r="S1204" t="s">
        <v>9464</v>
      </c>
      <c r="T1204" s="1">
        <v>32964</v>
      </c>
      <c r="U1204">
        <v>1990</v>
      </c>
      <c r="V1204" t="s">
        <v>9469</v>
      </c>
      <c r="W1204">
        <v>1.83</v>
      </c>
      <c r="X1204" t="s">
        <v>2264</v>
      </c>
      <c r="Y1204" t="s">
        <v>86</v>
      </c>
      <c r="Z1204" t="s">
        <v>87</v>
      </c>
      <c r="AA1204" t="s">
        <v>268</v>
      </c>
      <c r="AB1204">
        <v>45450</v>
      </c>
      <c r="AC1204" t="s">
        <v>108</v>
      </c>
      <c r="AD1204" t="s">
        <v>442</v>
      </c>
      <c r="AE1204" t="s">
        <v>1586</v>
      </c>
      <c r="AF1204">
        <v>17</v>
      </c>
      <c r="AG1204" t="s">
        <v>2272</v>
      </c>
      <c r="AH1204" t="s">
        <v>92</v>
      </c>
      <c r="AI1204" t="s">
        <v>89</v>
      </c>
      <c r="AJ1204" t="s">
        <v>92</v>
      </c>
      <c r="AK1204">
        <v>17</v>
      </c>
      <c r="AL1204">
        <v>32</v>
      </c>
      <c r="AM1204">
        <v>527</v>
      </c>
      <c r="AN1204">
        <v>102</v>
      </c>
      <c r="AO1204">
        <v>13</v>
      </c>
      <c r="AP1204" t="s">
        <v>93</v>
      </c>
      <c r="AQ1204" t="s">
        <v>89</v>
      </c>
      <c r="AR1204" t="s">
        <v>89</v>
      </c>
      <c r="AS1204" t="s">
        <v>111</v>
      </c>
      <c r="AT1204">
        <v>45450</v>
      </c>
      <c r="AU1204">
        <v>2024</v>
      </c>
      <c r="AV1204">
        <v>17</v>
      </c>
      <c r="AW1204">
        <v>17</v>
      </c>
      <c r="AX1204" t="s">
        <v>89</v>
      </c>
      <c r="AY1204" t="s">
        <v>111</v>
      </c>
      <c r="AZ1204">
        <v>22</v>
      </c>
      <c r="BA1204">
        <v>95</v>
      </c>
      <c r="BB1204">
        <v>7886</v>
      </c>
      <c r="BC1204">
        <v>12</v>
      </c>
      <c r="BD1204">
        <v>676</v>
      </c>
      <c r="BE1204">
        <v>50797</v>
      </c>
      <c r="BF1204">
        <v>58</v>
      </c>
      <c r="BG1204">
        <v>34</v>
      </c>
      <c r="BH1204">
        <v>771</v>
      </c>
      <c r="BI1204">
        <v>58683</v>
      </c>
      <c r="BJ1204">
        <v>70</v>
      </c>
      <c r="BK1204">
        <f t="shared" si="164"/>
        <v>771</v>
      </c>
      <c r="BL1204">
        <f t="shared" si="165"/>
        <v>58683</v>
      </c>
      <c r="BM1204">
        <f t="shared" si="166"/>
        <v>70</v>
      </c>
      <c r="BN1204">
        <f t="shared" si="167"/>
        <v>0</v>
      </c>
      <c r="BO1204">
        <f t="shared" si="168"/>
        <v>0</v>
      </c>
      <c r="BP1204">
        <f t="shared" si="169"/>
        <v>0</v>
      </c>
      <c r="BQ1204" t="s">
        <v>86</v>
      </c>
      <c r="BR1204" t="s">
        <v>94</v>
      </c>
      <c r="BS1204" s="1">
        <v>32877</v>
      </c>
      <c r="BT1204">
        <v>36</v>
      </c>
      <c r="BU1204">
        <v>45450</v>
      </c>
      <c r="BV1204" t="s">
        <v>89</v>
      </c>
      <c r="BW1204">
        <v>17</v>
      </c>
      <c r="BX1204">
        <v>1990</v>
      </c>
      <c r="BY1204">
        <v>17</v>
      </c>
      <c r="BZ1204">
        <f t="shared" si="170"/>
        <v>0</v>
      </c>
      <c r="CA1204">
        <f t="shared" si="171"/>
        <v>0</v>
      </c>
      <c r="CB1204" t="b">
        <f t="shared" si="172"/>
        <v>1</v>
      </c>
    </row>
    <row r="1205" spans="1:80" x14ac:dyDescent="0.3">
      <c r="A1205" t="s">
        <v>9470</v>
      </c>
      <c r="B1205" t="s">
        <v>71</v>
      </c>
      <c r="C1205" t="s">
        <v>9471</v>
      </c>
      <c r="D1205">
        <v>46</v>
      </c>
      <c r="E1205" s="1">
        <v>28817</v>
      </c>
      <c r="F1205" t="s">
        <v>89</v>
      </c>
      <c r="G1205" t="s">
        <v>160</v>
      </c>
      <c r="H1205" t="s">
        <v>89</v>
      </c>
      <c r="I1205" t="s">
        <v>161</v>
      </c>
      <c r="J1205" t="s">
        <v>89</v>
      </c>
      <c r="K1205" t="s">
        <v>89</v>
      </c>
      <c r="L1205" t="s">
        <v>866</v>
      </c>
      <c r="M1205">
        <v>19</v>
      </c>
      <c r="N1205" t="s">
        <v>268</v>
      </c>
      <c r="O1205">
        <v>1998</v>
      </c>
      <c r="P1205" t="s">
        <v>9472</v>
      </c>
      <c r="Q1205" t="s">
        <v>9473</v>
      </c>
      <c r="R1205">
        <v>7535</v>
      </c>
      <c r="S1205" t="s">
        <v>9470</v>
      </c>
      <c r="T1205" t="s">
        <v>9474</v>
      </c>
      <c r="U1205">
        <v>1978</v>
      </c>
      <c r="V1205" t="s">
        <v>122</v>
      </c>
      <c r="W1205">
        <v>1.77</v>
      </c>
      <c r="X1205" t="s">
        <v>76</v>
      </c>
      <c r="Y1205" t="s">
        <v>106</v>
      </c>
      <c r="Z1205" t="s">
        <v>152</v>
      </c>
      <c r="AA1205" t="s">
        <v>3843</v>
      </c>
      <c r="AB1205" t="s">
        <v>9475</v>
      </c>
      <c r="AC1205" t="s">
        <v>108</v>
      </c>
      <c r="AD1205" t="s">
        <v>89</v>
      </c>
      <c r="AE1205">
        <v>36377</v>
      </c>
      <c r="AF1205">
        <v>20</v>
      </c>
      <c r="AG1205" t="s">
        <v>91</v>
      </c>
      <c r="AH1205" t="s">
        <v>513</v>
      </c>
      <c r="AI1205">
        <v>26</v>
      </c>
      <c r="AJ1205" t="s">
        <v>110</v>
      </c>
      <c r="AK1205">
        <v>20</v>
      </c>
      <c r="AL1205">
        <v>2</v>
      </c>
      <c r="AM1205">
        <v>253</v>
      </c>
      <c r="AN1205">
        <v>24</v>
      </c>
      <c r="AO1205">
        <v>2</v>
      </c>
      <c r="AP1205" t="s">
        <v>93</v>
      </c>
      <c r="AQ1205" t="s">
        <v>89</v>
      </c>
      <c r="AR1205" t="s">
        <v>89</v>
      </c>
      <c r="AS1205" t="s">
        <v>111</v>
      </c>
      <c r="AT1205" t="s">
        <v>9475</v>
      </c>
      <c r="AU1205">
        <v>2012</v>
      </c>
      <c r="AV1205">
        <v>14</v>
      </c>
      <c r="AW1205">
        <v>14</v>
      </c>
      <c r="AX1205" t="s">
        <v>89</v>
      </c>
      <c r="AY1205" t="s">
        <v>93</v>
      </c>
      <c r="AZ1205">
        <v>0</v>
      </c>
      <c r="BA1205">
        <v>0</v>
      </c>
      <c r="BB1205">
        <v>0</v>
      </c>
      <c r="BC1205">
        <v>0</v>
      </c>
      <c r="BD1205">
        <v>281</v>
      </c>
      <c r="BE1205">
        <v>17431</v>
      </c>
      <c r="BF1205">
        <v>41</v>
      </c>
      <c r="BG1205">
        <v>34</v>
      </c>
      <c r="BH1205">
        <v>281</v>
      </c>
      <c r="BI1205">
        <v>17431</v>
      </c>
      <c r="BJ1205">
        <v>41</v>
      </c>
      <c r="BK1205">
        <f t="shared" si="164"/>
        <v>281</v>
      </c>
      <c r="BL1205">
        <f t="shared" si="165"/>
        <v>17431</v>
      </c>
      <c r="BM1205">
        <f t="shared" si="166"/>
        <v>41</v>
      </c>
      <c r="BN1205">
        <f t="shared" si="167"/>
        <v>0</v>
      </c>
      <c r="BO1205">
        <f t="shared" si="168"/>
        <v>0</v>
      </c>
      <c r="BP1205">
        <f t="shared" si="169"/>
        <v>0</v>
      </c>
      <c r="BQ1205" t="s">
        <v>106</v>
      </c>
      <c r="BR1205" t="s">
        <v>112</v>
      </c>
      <c r="BS1205" t="s">
        <v>89</v>
      </c>
      <c r="BT1205">
        <v>48</v>
      </c>
      <c r="BU1205" t="s">
        <v>9475</v>
      </c>
      <c r="BV1205" s="1">
        <v>41121</v>
      </c>
      <c r="BW1205">
        <v>14</v>
      </c>
      <c r="BX1205">
        <v>1978</v>
      </c>
      <c r="BY1205">
        <v>14</v>
      </c>
      <c r="BZ1205">
        <f t="shared" si="170"/>
        <v>0</v>
      </c>
      <c r="CA1205">
        <f t="shared" si="171"/>
        <v>0</v>
      </c>
      <c r="CB1205" t="b">
        <f t="shared" si="172"/>
        <v>1</v>
      </c>
    </row>
    <row r="1206" spans="1:80" x14ac:dyDescent="0.3">
      <c r="A1206" t="s">
        <v>9476</v>
      </c>
      <c r="B1206" t="s">
        <v>71</v>
      </c>
      <c r="C1206" t="s">
        <v>9477</v>
      </c>
      <c r="D1206">
        <v>30</v>
      </c>
      <c r="E1206" t="s">
        <v>9478</v>
      </c>
      <c r="F1206" t="s">
        <v>1904</v>
      </c>
      <c r="G1206" t="s">
        <v>687</v>
      </c>
      <c r="H1206" t="s">
        <v>89</v>
      </c>
      <c r="I1206" t="s">
        <v>253</v>
      </c>
      <c r="J1206" t="s">
        <v>78</v>
      </c>
      <c r="K1206" t="s">
        <v>9479</v>
      </c>
      <c r="L1206" t="s">
        <v>762</v>
      </c>
      <c r="M1206">
        <v>19</v>
      </c>
      <c r="N1206" t="s">
        <v>214</v>
      </c>
      <c r="O1206">
        <v>2014</v>
      </c>
      <c r="P1206" t="s">
        <v>9480</v>
      </c>
      <c r="Q1206" t="s">
        <v>9481</v>
      </c>
      <c r="R1206">
        <v>320466</v>
      </c>
      <c r="S1206" t="s">
        <v>9476</v>
      </c>
      <c r="T1206" t="s">
        <v>9482</v>
      </c>
      <c r="U1206">
        <v>1995</v>
      </c>
      <c r="V1206" t="s">
        <v>214</v>
      </c>
      <c r="W1206">
        <v>1.77</v>
      </c>
      <c r="X1206" t="s">
        <v>76</v>
      </c>
      <c r="Y1206" t="s">
        <v>86</v>
      </c>
      <c r="Z1206" t="s">
        <v>87</v>
      </c>
      <c r="AA1206" t="s">
        <v>476</v>
      </c>
      <c r="AB1206" s="1">
        <v>45664</v>
      </c>
      <c r="AC1206" t="s">
        <v>108</v>
      </c>
      <c r="AD1206" t="s">
        <v>2571</v>
      </c>
      <c r="AE1206" s="1">
        <v>2015</v>
      </c>
      <c r="AF1206">
        <v>19</v>
      </c>
      <c r="AG1206" t="s">
        <v>91</v>
      </c>
      <c r="AH1206">
        <v>2016</v>
      </c>
      <c r="AI1206">
        <v>21</v>
      </c>
      <c r="AJ1206">
        <v>0</v>
      </c>
      <c r="AK1206">
        <v>19</v>
      </c>
      <c r="AL1206">
        <v>2</v>
      </c>
      <c r="AM1206">
        <v>196</v>
      </c>
      <c r="AN1206">
        <v>15</v>
      </c>
      <c r="AO1206">
        <v>1</v>
      </c>
      <c r="AP1206" t="s">
        <v>93</v>
      </c>
      <c r="AQ1206" t="s">
        <v>89</v>
      </c>
      <c r="AR1206" t="s">
        <v>89</v>
      </c>
      <c r="AS1206" t="s">
        <v>93</v>
      </c>
      <c r="AT1206" t="s">
        <v>89</v>
      </c>
      <c r="AU1206" t="s">
        <v>89</v>
      </c>
      <c r="AV1206" t="s">
        <v>89</v>
      </c>
      <c r="AW1206">
        <v>11</v>
      </c>
      <c r="AX1206" t="s">
        <v>89</v>
      </c>
      <c r="AY1206" t="s">
        <v>93</v>
      </c>
      <c r="AZ1206">
        <v>0</v>
      </c>
      <c r="BA1206">
        <v>0</v>
      </c>
      <c r="BB1206">
        <v>0</v>
      </c>
      <c r="BC1206">
        <v>0</v>
      </c>
      <c r="BD1206">
        <v>62</v>
      </c>
      <c r="BE1206">
        <v>3766</v>
      </c>
      <c r="BF1206">
        <v>1</v>
      </c>
      <c r="BG1206" t="s">
        <v>89</v>
      </c>
      <c r="BH1206">
        <v>62</v>
      </c>
      <c r="BI1206">
        <v>3766</v>
      </c>
      <c r="BJ1206">
        <v>1</v>
      </c>
      <c r="BK1206">
        <f t="shared" si="164"/>
        <v>62</v>
      </c>
      <c r="BL1206">
        <f t="shared" si="165"/>
        <v>3766</v>
      </c>
      <c r="BM1206">
        <f t="shared" si="166"/>
        <v>1</v>
      </c>
      <c r="BN1206">
        <f t="shared" si="167"/>
        <v>0</v>
      </c>
      <c r="BO1206">
        <f t="shared" si="168"/>
        <v>0</v>
      </c>
      <c r="BP1206">
        <f t="shared" si="169"/>
        <v>0</v>
      </c>
      <c r="BQ1206" t="s">
        <v>86</v>
      </c>
      <c r="BR1206" t="s">
        <v>94</v>
      </c>
      <c r="BS1206" t="s">
        <v>89</v>
      </c>
      <c r="BT1206">
        <v>31</v>
      </c>
      <c r="BU1206" t="s">
        <v>89</v>
      </c>
      <c r="BV1206" t="s">
        <v>89</v>
      </c>
      <c r="BW1206">
        <v>12</v>
      </c>
      <c r="BX1206">
        <v>1995</v>
      </c>
      <c r="BY1206">
        <v>11</v>
      </c>
      <c r="BZ1206">
        <f t="shared" si="170"/>
        <v>-1</v>
      </c>
      <c r="CA1206">
        <f t="shared" si="171"/>
        <v>1</v>
      </c>
      <c r="CB1206" t="b">
        <f t="shared" si="172"/>
        <v>0</v>
      </c>
    </row>
    <row r="1207" spans="1:80" x14ac:dyDescent="0.3">
      <c r="A1207" t="s">
        <v>9483</v>
      </c>
      <c r="B1207" t="s">
        <v>9484</v>
      </c>
      <c r="C1207" t="s">
        <v>9485</v>
      </c>
      <c r="D1207">
        <v>40</v>
      </c>
      <c r="E1207" s="1">
        <v>31172</v>
      </c>
      <c r="F1207" t="s">
        <v>89</v>
      </c>
      <c r="G1207" t="s">
        <v>143</v>
      </c>
      <c r="H1207" t="s">
        <v>9486</v>
      </c>
      <c r="I1207" t="s">
        <v>195</v>
      </c>
      <c r="J1207" t="s">
        <v>300</v>
      </c>
      <c r="K1207" t="s">
        <v>89</v>
      </c>
      <c r="L1207" t="s">
        <v>278</v>
      </c>
      <c r="M1207">
        <v>26</v>
      </c>
      <c r="N1207" t="s">
        <v>181</v>
      </c>
      <c r="O1207">
        <v>2011</v>
      </c>
      <c r="P1207" t="s">
        <v>9487</v>
      </c>
      <c r="Q1207" t="s">
        <v>9488</v>
      </c>
      <c r="R1207">
        <v>63287</v>
      </c>
      <c r="S1207" t="s">
        <v>9483</v>
      </c>
      <c r="T1207">
        <v>31172</v>
      </c>
      <c r="U1207">
        <v>1985</v>
      </c>
      <c r="V1207" t="s">
        <v>9489</v>
      </c>
      <c r="W1207">
        <v>1.74</v>
      </c>
      <c r="X1207" t="s">
        <v>9486</v>
      </c>
      <c r="Y1207" t="s">
        <v>203</v>
      </c>
      <c r="Z1207" t="s">
        <v>152</v>
      </c>
      <c r="AA1207" t="s">
        <v>9490</v>
      </c>
      <c r="AB1207" s="1">
        <v>44568</v>
      </c>
      <c r="AC1207" t="s">
        <v>108</v>
      </c>
      <c r="AD1207" t="s">
        <v>89</v>
      </c>
      <c r="AE1207" t="s">
        <v>727</v>
      </c>
      <c r="AF1207">
        <v>21</v>
      </c>
      <c r="AG1207" t="s">
        <v>9491</v>
      </c>
      <c r="AH1207" t="s">
        <v>92</v>
      </c>
      <c r="AI1207" t="s">
        <v>89</v>
      </c>
      <c r="AJ1207" t="s">
        <v>92</v>
      </c>
      <c r="AK1207">
        <v>21</v>
      </c>
      <c r="AL1207">
        <v>1</v>
      </c>
      <c r="AM1207">
        <v>234</v>
      </c>
      <c r="AN1207">
        <v>30</v>
      </c>
      <c r="AO1207">
        <v>1</v>
      </c>
      <c r="AP1207" t="s">
        <v>93</v>
      </c>
      <c r="AQ1207" t="s">
        <v>89</v>
      </c>
      <c r="AR1207" t="s">
        <v>89</v>
      </c>
      <c r="AS1207" t="s">
        <v>111</v>
      </c>
      <c r="AT1207" s="1">
        <v>44568</v>
      </c>
      <c r="AU1207">
        <v>2022</v>
      </c>
      <c r="AV1207">
        <v>11</v>
      </c>
      <c r="AW1207">
        <v>11</v>
      </c>
      <c r="AX1207" t="s">
        <v>89</v>
      </c>
      <c r="AY1207" t="s">
        <v>111</v>
      </c>
      <c r="AZ1207">
        <v>4</v>
      </c>
      <c r="BA1207">
        <v>12</v>
      </c>
      <c r="BB1207">
        <v>1037</v>
      </c>
      <c r="BC1207">
        <v>0</v>
      </c>
      <c r="BD1207">
        <v>91</v>
      </c>
      <c r="BE1207">
        <v>7082</v>
      </c>
      <c r="BF1207">
        <v>0</v>
      </c>
      <c r="BG1207">
        <v>37</v>
      </c>
      <c r="BH1207">
        <v>103</v>
      </c>
      <c r="BI1207">
        <v>8119</v>
      </c>
      <c r="BJ1207">
        <v>0</v>
      </c>
      <c r="BK1207">
        <f t="shared" si="164"/>
        <v>103</v>
      </c>
      <c r="BL1207">
        <f t="shared" si="165"/>
        <v>8119</v>
      </c>
      <c r="BM1207">
        <f t="shared" si="166"/>
        <v>0</v>
      </c>
      <c r="BN1207">
        <f t="shared" si="167"/>
        <v>0</v>
      </c>
      <c r="BO1207">
        <f t="shared" si="168"/>
        <v>0</v>
      </c>
      <c r="BP1207">
        <f t="shared" si="169"/>
        <v>0</v>
      </c>
      <c r="BQ1207" t="s">
        <v>203</v>
      </c>
      <c r="BR1207" t="s">
        <v>140</v>
      </c>
      <c r="BS1207" t="s">
        <v>89</v>
      </c>
      <c r="BT1207">
        <v>41</v>
      </c>
      <c r="BU1207" s="1">
        <v>44568</v>
      </c>
      <c r="BV1207" s="1">
        <v>44743</v>
      </c>
      <c r="BW1207">
        <v>16</v>
      </c>
      <c r="BX1207">
        <v>1985</v>
      </c>
      <c r="BY1207">
        <v>16</v>
      </c>
      <c r="BZ1207">
        <f t="shared" si="170"/>
        <v>-5</v>
      </c>
      <c r="CA1207">
        <f t="shared" si="171"/>
        <v>0</v>
      </c>
      <c r="CB1207" t="b">
        <f t="shared" si="172"/>
        <v>0</v>
      </c>
    </row>
    <row r="1208" spans="1:80" x14ac:dyDescent="0.3">
      <c r="A1208" t="s">
        <v>9492</v>
      </c>
      <c r="B1208" t="s">
        <v>71</v>
      </c>
      <c r="C1208" t="s">
        <v>9493</v>
      </c>
      <c r="D1208">
        <v>46</v>
      </c>
      <c r="E1208" s="1">
        <v>29062</v>
      </c>
      <c r="F1208" t="s">
        <v>89</v>
      </c>
      <c r="G1208" t="s">
        <v>277</v>
      </c>
      <c r="H1208" t="s">
        <v>89</v>
      </c>
      <c r="I1208" t="s">
        <v>2719</v>
      </c>
      <c r="J1208" t="s">
        <v>78</v>
      </c>
      <c r="K1208" t="s">
        <v>89</v>
      </c>
      <c r="L1208" t="s">
        <v>130</v>
      </c>
      <c r="M1208">
        <v>29</v>
      </c>
      <c r="N1208" t="s">
        <v>1181</v>
      </c>
      <c r="O1208">
        <v>2008</v>
      </c>
      <c r="P1208" t="s">
        <v>9494</v>
      </c>
      <c r="Q1208" t="s">
        <v>9495</v>
      </c>
      <c r="R1208">
        <v>71601</v>
      </c>
      <c r="S1208" t="s">
        <v>9492</v>
      </c>
      <c r="T1208" t="s">
        <v>9496</v>
      </c>
      <c r="U1208">
        <v>1979</v>
      </c>
      <c r="V1208" t="s">
        <v>9497</v>
      </c>
      <c r="W1208">
        <v>1.88</v>
      </c>
      <c r="X1208" t="s">
        <v>76</v>
      </c>
      <c r="Y1208" t="s">
        <v>235</v>
      </c>
      <c r="Z1208" t="s">
        <v>87</v>
      </c>
      <c r="AA1208" t="s">
        <v>1186</v>
      </c>
      <c r="AB1208">
        <v>42011</v>
      </c>
      <c r="AC1208" t="s">
        <v>108</v>
      </c>
      <c r="AD1208" t="s">
        <v>89</v>
      </c>
      <c r="AE1208" t="s">
        <v>9498</v>
      </c>
      <c r="AF1208">
        <v>35</v>
      </c>
      <c r="AG1208" t="s">
        <v>91</v>
      </c>
      <c r="AH1208" t="s">
        <v>9371</v>
      </c>
      <c r="AI1208">
        <v>29</v>
      </c>
      <c r="AJ1208" t="s">
        <v>110</v>
      </c>
      <c r="AK1208">
        <v>29</v>
      </c>
      <c r="AL1208">
        <v>1</v>
      </c>
      <c r="AM1208">
        <v>19</v>
      </c>
      <c r="AN1208">
        <v>3</v>
      </c>
      <c r="AO1208">
        <v>1</v>
      </c>
      <c r="AP1208" t="s">
        <v>93</v>
      </c>
      <c r="AQ1208" t="s">
        <v>89</v>
      </c>
      <c r="AR1208" t="s">
        <v>89</v>
      </c>
      <c r="AS1208" t="s">
        <v>111</v>
      </c>
      <c r="AT1208">
        <v>42011</v>
      </c>
      <c r="AU1208">
        <v>2015</v>
      </c>
      <c r="AV1208">
        <v>7</v>
      </c>
      <c r="AW1208">
        <v>7</v>
      </c>
      <c r="AX1208" t="s">
        <v>89</v>
      </c>
      <c r="AY1208" t="s">
        <v>93</v>
      </c>
      <c r="AZ1208">
        <v>0</v>
      </c>
      <c r="BA1208">
        <v>0</v>
      </c>
      <c r="BB1208">
        <v>0</v>
      </c>
      <c r="BC1208">
        <v>0</v>
      </c>
      <c r="BD1208">
        <v>56</v>
      </c>
      <c r="BE1208">
        <v>4267</v>
      </c>
      <c r="BF1208">
        <v>1</v>
      </c>
      <c r="BG1208">
        <v>36</v>
      </c>
      <c r="BH1208">
        <v>56</v>
      </c>
      <c r="BI1208">
        <v>4267</v>
      </c>
      <c r="BJ1208">
        <v>1</v>
      </c>
      <c r="BK1208">
        <f t="shared" si="164"/>
        <v>56</v>
      </c>
      <c r="BL1208">
        <f t="shared" si="165"/>
        <v>4267</v>
      </c>
      <c r="BM1208">
        <f t="shared" si="166"/>
        <v>1</v>
      </c>
      <c r="BN1208">
        <f t="shared" si="167"/>
        <v>0</v>
      </c>
      <c r="BO1208">
        <f t="shared" si="168"/>
        <v>0</v>
      </c>
      <c r="BP1208">
        <f t="shared" si="169"/>
        <v>0</v>
      </c>
      <c r="BQ1208" t="s">
        <v>235</v>
      </c>
      <c r="BR1208" t="s">
        <v>140</v>
      </c>
      <c r="BS1208" s="1">
        <v>29062</v>
      </c>
      <c r="BT1208">
        <v>46</v>
      </c>
      <c r="BU1208">
        <v>42011</v>
      </c>
      <c r="BV1208" t="s">
        <v>89</v>
      </c>
      <c r="BW1208">
        <v>7</v>
      </c>
      <c r="BX1208">
        <v>1979</v>
      </c>
      <c r="BY1208">
        <v>7</v>
      </c>
      <c r="BZ1208">
        <f t="shared" si="170"/>
        <v>0</v>
      </c>
      <c r="CA1208">
        <f t="shared" si="171"/>
        <v>0</v>
      </c>
      <c r="CB1208" t="b">
        <f t="shared" si="172"/>
        <v>1</v>
      </c>
    </row>
    <row r="1209" spans="1:80" x14ac:dyDescent="0.3">
      <c r="A1209" t="s">
        <v>9499</v>
      </c>
      <c r="B1209" t="s">
        <v>4646</v>
      </c>
      <c r="C1209" t="s">
        <v>9500</v>
      </c>
      <c r="D1209">
        <v>29</v>
      </c>
      <c r="E1209" t="s">
        <v>9501</v>
      </c>
      <c r="F1209" t="s">
        <v>9502</v>
      </c>
      <c r="G1209" t="s">
        <v>226</v>
      </c>
      <c r="H1209" t="s">
        <v>4648</v>
      </c>
      <c r="I1209" t="s">
        <v>5866</v>
      </c>
      <c r="J1209" t="s">
        <v>78</v>
      </c>
      <c r="K1209" t="s">
        <v>9503</v>
      </c>
      <c r="L1209" t="s">
        <v>762</v>
      </c>
      <c r="M1209">
        <v>18</v>
      </c>
      <c r="N1209" t="s">
        <v>229</v>
      </c>
      <c r="O1209">
        <v>2014</v>
      </c>
      <c r="P1209" t="s">
        <v>9504</v>
      </c>
      <c r="Q1209" t="s">
        <v>9505</v>
      </c>
      <c r="R1209">
        <v>262689</v>
      </c>
      <c r="S1209" t="s">
        <v>9506</v>
      </c>
      <c r="T1209">
        <v>34801</v>
      </c>
      <c r="U1209">
        <v>1995</v>
      </c>
      <c r="V1209" t="s">
        <v>9507</v>
      </c>
      <c r="W1209">
        <v>1.86</v>
      </c>
      <c r="X1209" t="s">
        <v>4648</v>
      </c>
      <c r="Y1209" t="s">
        <v>259</v>
      </c>
      <c r="Z1209" t="s">
        <v>87</v>
      </c>
      <c r="AA1209" t="s">
        <v>9508</v>
      </c>
      <c r="AB1209" s="1">
        <v>45567</v>
      </c>
      <c r="AC1209" t="s">
        <v>222</v>
      </c>
      <c r="AD1209" t="s">
        <v>89</v>
      </c>
      <c r="AE1209" t="s">
        <v>933</v>
      </c>
      <c r="AF1209">
        <v>16</v>
      </c>
      <c r="AG1209" t="s">
        <v>9509</v>
      </c>
      <c r="AH1209" t="s">
        <v>9510</v>
      </c>
      <c r="AI1209">
        <v>24</v>
      </c>
      <c r="AJ1209" t="s">
        <v>110</v>
      </c>
      <c r="AK1209">
        <v>16</v>
      </c>
      <c r="AL1209">
        <v>2</v>
      </c>
      <c r="AM1209">
        <v>54</v>
      </c>
      <c r="AN1209">
        <v>7</v>
      </c>
      <c r="AO1209">
        <v>2</v>
      </c>
      <c r="AP1209" t="s">
        <v>93</v>
      </c>
      <c r="AQ1209" t="s">
        <v>89</v>
      </c>
      <c r="AR1209" t="s">
        <v>89</v>
      </c>
      <c r="AS1209" t="s">
        <v>93</v>
      </c>
      <c r="AT1209" t="s">
        <v>89</v>
      </c>
      <c r="AU1209" t="s">
        <v>89</v>
      </c>
      <c r="AV1209" t="s">
        <v>89</v>
      </c>
      <c r="AW1209">
        <v>11</v>
      </c>
      <c r="AX1209">
        <v>4</v>
      </c>
      <c r="AY1209" t="s">
        <v>111</v>
      </c>
      <c r="AZ1209">
        <v>3</v>
      </c>
      <c r="BA1209">
        <v>1</v>
      </c>
      <c r="BB1209">
        <v>33</v>
      </c>
      <c r="BC1209">
        <v>0</v>
      </c>
      <c r="BD1209">
        <v>122</v>
      </c>
      <c r="BE1209">
        <v>8291</v>
      </c>
      <c r="BF1209">
        <v>1</v>
      </c>
      <c r="BG1209" t="s">
        <v>89</v>
      </c>
      <c r="BH1209">
        <v>123</v>
      </c>
      <c r="BI1209">
        <v>8324</v>
      </c>
      <c r="BJ1209">
        <v>1</v>
      </c>
      <c r="BK1209">
        <f t="shared" si="164"/>
        <v>123</v>
      </c>
      <c r="BL1209">
        <f t="shared" si="165"/>
        <v>8324</v>
      </c>
      <c r="BM1209">
        <f t="shared" si="166"/>
        <v>1</v>
      </c>
      <c r="BN1209">
        <f t="shared" si="167"/>
        <v>0</v>
      </c>
      <c r="BO1209">
        <f t="shared" si="168"/>
        <v>0</v>
      </c>
      <c r="BP1209">
        <f t="shared" si="169"/>
        <v>0</v>
      </c>
      <c r="BQ1209" t="s">
        <v>259</v>
      </c>
      <c r="BR1209" t="s">
        <v>94</v>
      </c>
      <c r="BS1209" t="s">
        <v>89</v>
      </c>
      <c r="BT1209">
        <v>31</v>
      </c>
      <c r="BU1209" t="s">
        <v>89</v>
      </c>
      <c r="BV1209" t="s">
        <v>89</v>
      </c>
      <c r="BW1209">
        <v>15</v>
      </c>
      <c r="BX1209">
        <v>1995</v>
      </c>
      <c r="BY1209">
        <v>13</v>
      </c>
      <c r="BZ1209">
        <f t="shared" si="170"/>
        <v>-4</v>
      </c>
      <c r="CA1209">
        <f t="shared" si="171"/>
        <v>2</v>
      </c>
      <c r="CB1209" t="b">
        <f t="shared" si="172"/>
        <v>0</v>
      </c>
    </row>
    <row r="1210" spans="1:80" x14ac:dyDescent="0.3">
      <c r="A1210" t="s">
        <v>9511</v>
      </c>
      <c r="B1210" t="s">
        <v>71</v>
      </c>
      <c r="C1210" t="s">
        <v>9512</v>
      </c>
      <c r="D1210">
        <v>47</v>
      </c>
      <c r="E1210" s="1">
        <v>28540</v>
      </c>
      <c r="F1210" t="s">
        <v>89</v>
      </c>
      <c r="G1210" t="s">
        <v>241</v>
      </c>
      <c r="H1210" t="s">
        <v>89</v>
      </c>
      <c r="I1210" t="s">
        <v>178</v>
      </c>
      <c r="J1210" t="s">
        <v>89</v>
      </c>
      <c r="K1210" t="s">
        <v>89</v>
      </c>
      <c r="L1210" t="s">
        <v>180</v>
      </c>
      <c r="M1210">
        <v>29</v>
      </c>
      <c r="N1210" t="s">
        <v>3221</v>
      </c>
      <c r="O1210">
        <v>2007</v>
      </c>
      <c r="P1210" t="s">
        <v>9513</v>
      </c>
      <c r="Q1210" t="s">
        <v>9514</v>
      </c>
      <c r="R1210">
        <v>48289</v>
      </c>
      <c r="S1210" t="s">
        <v>9511</v>
      </c>
      <c r="T1210" t="s">
        <v>9515</v>
      </c>
      <c r="U1210">
        <v>1978</v>
      </c>
      <c r="V1210" t="s">
        <v>9516</v>
      </c>
      <c r="W1210">
        <v>1.9</v>
      </c>
      <c r="X1210" t="s">
        <v>76</v>
      </c>
      <c r="Y1210" t="s">
        <v>186</v>
      </c>
      <c r="Z1210" t="s">
        <v>89</v>
      </c>
      <c r="AA1210" t="s">
        <v>9517</v>
      </c>
      <c r="AB1210" s="1">
        <v>41646</v>
      </c>
      <c r="AC1210" t="s">
        <v>108</v>
      </c>
      <c r="AD1210" t="s">
        <v>89</v>
      </c>
      <c r="AE1210" t="s">
        <v>4057</v>
      </c>
      <c r="AF1210">
        <v>32</v>
      </c>
      <c r="AG1210" t="s">
        <v>91</v>
      </c>
      <c r="AH1210" t="s">
        <v>9518</v>
      </c>
      <c r="AI1210">
        <v>29</v>
      </c>
      <c r="AJ1210" t="s">
        <v>110</v>
      </c>
      <c r="AK1210">
        <v>29</v>
      </c>
      <c r="AL1210" t="s">
        <v>89</v>
      </c>
      <c r="AM1210" t="s">
        <v>89</v>
      </c>
      <c r="AN1210" t="s">
        <v>89</v>
      </c>
      <c r="AO1210">
        <v>0</v>
      </c>
      <c r="AP1210" t="s">
        <v>93</v>
      </c>
      <c r="AQ1210" t="s">
        <v>89</v>
      </c>
      <c r="AR1210" t="s">
        <v>89</v>
      </c>
      <c r="AS1210" t="s">
        <v>111</v>
      </c>
      <c r="AT1210" s="1">
        <v>41646</v>
      </c>
      <c r="AU1210">
        <v>2014</v>
      </c>
      <c r="AV1210">
        <v>7</v>
      </c>
      <c r="AW1210">
        <v>7</v>
      </c>
      <c r="AX1210" t="s">
        <v>89</v>
      </c>
      <c r="AY1210" t="s">
        <v>93</v>
      </c>
      <c r="AZ1210">
        <v>0</v>
      </c>
      <c r="BA1210">
        <v>0</v>
      </c>
      <c r="BB1210">
        <v>0</v>
      </c>
      <c r="BC1210">
        <v>0</v>
      </c>
      <c r="BD1210">
        <v>37</v>
      </c>
      <c r="BE1210">
        <v>3214</v>
      </c>
      <c r="BF1210">
        <v>0</v>
      </c>
      <c r="BG1210">
        <v>36</v>
      </c>
      <c r="BH1210">
        <v>37</v>
      </c>
      <c r="BI1210">
        <v>3214</v>
      </c>
      <c r="BJ1210">
        <v>0</v>
      </c>
      <c r="BK1210">
        <f t="shared" si="164"/>
        <v>37</v>
      </c>
      <c r="BL1210">
        <f t="shared" si="165"/>
        <v>3214</v>
      </c>
      <c r="BM1210">
        <f t="shared" si="166"/>
        <v>0</v>
      </c>
      <c r="BN1210">
        <f t="shared" si="167"/>
        <v>0</v>
      </c>
      <c r="BO1210">
        <f t="shared" si="168"/>
        <v>0</v>
      </c>
      <c r="BP1210">
        <f t="shared" si="169"/>
        <v>0</v>
      </c>
      <c r="BQ1210" t="s">
        <v>186</v>
      </c>
      <c r="BR1210" t="s">
        <v>186</v>
      </c>
      <c r="BS1210" s="1">
        <v>28540</v>
      </c>
      <c r="BT1210">
        <v>47</v>
      </c>
      <c r="BU1210" s="1">
        <v>41646</v>
      </c>
      <c r="BV1210" s="1">
        <v>41821</v>
      </c>
      <c r="BW1210">
        <v>7</v>
      </c>
      <c r="BX1210">
        <v>1978</v>
      </c>
      <c r="BY1210">
        <v>7</v>
      </c>
      <c r="BZ1210">
        <f t="shared" si="170"/>
        <v>0</v>
      </c>
      <c r="CA1210">
        <f t="shared" si="171"/>
        <v>0</v>
      </c>
      <c r="CB1210" t="b">
        <f t="shared" si="172"/>
        <v>1</v>
      </c>
    </row>
    <row r="1211" spans="1:80" x14ac:dyDescent="0.3">
      <c r="A1211" t="s">
        <v>9519</v>
      </c>
      <c r="B1211" t="s">
        <v>71</v>
      </c>
      <c r="C1211" t="s">
        <v>9520</v>
      </c>
      <c r="D1211">
        <v>36</v>
      </c>
      <c r="E1211" s="1">
        <v>32526</v>
      </c>
      <c r="F1211" t="s">
        <v>89</v>
      </c>
      <c r="G1211" t="s">
        <v>97</v>
      </c>
      <c r="H1211" t="s">
        <v>89</v>
      </c>
      <c r="I1211" t="s">
        <v>227</v>
      </c>
      <c r="J1211" t="s">
        <v>78</v>
      </c>
      <c r="K1211" t="s">
        <v>89</v>
      </c>
      <c r="L1211" t="s">
        <v>324</v>
      </c>
      <c r="M1211">
        <v>24</v>
      </c>
      <c r="N1211" t="s">
        <v>137</v>
      </c>
      <c r="O1211">
        <v>2013</v>
      </c>
      <c r="P1211" t="s">
        <v>9521</v>
      </c>
      <c r="Q1211" t="s">
        <v>9522</v>
      </c>
      <c r="R1211">
        <v>156799</v>
      </c>
      <c r="S1211" t="s">
        <v>9519</v>
      </c>
      <c r="T1211" t="s">
        <v>8763</v>
      </c>
      <c r="U1211">
        <v>1989</v>
      </c>
      <c r="V1211" t="s">
        <v>1504</v>
      </c>
      <c r="W1211">
        <v>1.81</v>
      </c>
      <c r="X1211" t="s">
        <v>76</v>
      </c>
      <c r="Y1211" t="s">
        <v>235</v>
      </c>
      <c r="Z1211" t="s">
        <v>87</v>
      </c>
      <c r="AA1211" t="s">
        <v>476</v>
      </c>
      <c r="AB1211" s="1">
        <v>45298</v>
      </c>
      <c r="AC1211" t="s">
        <v>108</v>
      </c>
      <c r="AD1211" t="s">
        <v>89</v>
      </c>
      <c r="AE1211">
        <v>41344</v>
      </c>
      <c r="AF1211">
        <v>24</v>
      </c>
      <c r="AG1211" t="s">
        <v>91</v>
      </c>
      <c r="AH1211" t="s">
        <v>1729</v>
      </c>
      <c r="AI1211">
        <v>25</v>
      </c>
      <c r="AJ1211" t="s">
        <v>110</v>
      </c>
      <c r="AK1211">
        <v>24</v>
      </c>
      <c r="AL1211">
        <v>5</v>
      </c>
      <c r="AM1211">
        <v>145</v>
      </c>
      <c r="AN1211">
        <v>18</v>
      </c>
      <c r="AO1211">
        <v>2</v>
      </c>
      <c r="AP1211" t="s">
        <v>93</v>
      </c>
      <c r="AQ1211" t="s">
        <v>89</v>
      </c>
      <c r="AR1211" t="s">
        <v>89</v>
      </c>
      <c r="AS1211" t="s">
        <v>93</v>
      </c>
      <c r="AT1211" t="s">
        <v>89</v>
      </c>
      <c r="AU1211" t="s">
        <v>89</v>
      </c>
      <c r="AV1211" t="s">
        <v>89</v>
      </c>
      <c r="AW1211">
        <v>12</v>
      </c>
      <c r="AX1211" t="s">
        <v>89</v>
      </c>
      <c r="AY1211" t="s">
        <v>93</v>
      </c>
      <c r="AZ1211">
        <v>0</v>
      </c>
      <c r="BA1211">
        <v>0</v>
      </c>
      <c r="BB1211">
        <v>0</v>
      </c>
      <c r="BC1211">
        <v>0</v>
      </c>
      <c r="BD1211">
        <v>119</v>
      </c>
      <c r="BE1211">
        <v>9664</v>
      </c>
      <c r="BF1211">
        <v>0</v>
      </c>
      <c r="BG1211" t="s">
        <v>89</v>
      </c>
      <c r="BH1211">
        <v>119</v>
      </c>
      <c r="BI1211">
        <v>9664</v>
      </c>
      <c r="BJ1211">
        <v>0</v>
      </c>
      <c r="BK1211">
        <f t="shared" si="164"/>
        <v>119</v>
      </c>
      <c r="BL1211">
        <f t="shared" si="165"/>
        <v>9664</v>
      </c>
      <c r="BM1211">
        <f t="shared" si="166"/>
        <v>0</v>
      </c>
      <c r="BN1211">
        <f t="shared" si="167"/>
        <v>0</v>
      </c>
      <c r="BO1211">
        <f t="shared" si="168"/>
        <v>0</v>
      </c>
      <c r="BP1211">
        <f t="shared" si="169"/>
        <v>0</v>
      </c>
      <c r="BQ1211" t="s">
        <v>235</v>
      </c>
      <c r="BR1211" t="s">
        <v>140</v>
      </c>
      <c r="BS1211" s="1">
        <v>32526</v>
      </c>
      <c r="BT1211">
        <v>37</v>
      </c>
      <c r="BU1211" t="s">
        <v>89</v>
      </c>
      <c r="BV1211" t="s">
        <v>89</v>
      </c>
      <c r="BW1211">
        <v>13</v>
      </c>
      <c r="BX1211">
        <v>1989</v>
      </c>
      <c r="BY1211">
        <v>12</v>
      </c>
      <c r="BZ1211">
        <f t="shared" si="170"/>
        <v>-1</v>
      </c>
      <c r="CA1211">
        <f t="shared" si="171"/>
        <v>1</v>
      </c>
      <c r="CB1211" t="b">
        <f t="shared" si="172"/>
        <v>0</v>
      </c>
    </row>
    <row r="1212" spans="1:80" x14ac:dyDescent="0.3">
      <c r="A1212" t="s">
        <v>9523</v>
      </c>
      <c r="B1212" t="s">
        <v>71</v>
      </c>
      <c r="C1212" t="s">
        <v>9524</v>
      </c>
      <c r="D1212">
        <v>33</v>
      </c>
      <c r="E1212" s="1">
        <v>33636</v>
      </c>
      <c r="F1212" t="s">
        <v>89</v>
      </c>
      <c r="G1212" t="s">
        <v>143</v>
      </c>
      <c r="H1212" t="s">
        <v>89</v>
      </c>
      <c r="I1212" t="s">
        <v>1438</v>
      </c>
      <c r="J1212" t="s">
        <v>78</v>
      </c>
      <c r="K1212" t="s">
        <v>89</v>
      </c>
      <c r="L1212" t="s">
        <v>762</v>
      </c>
      <c r="M1212">
        <v>22</v>
      </c>
      <c r="N1212" t="s">
        <v>137</v>
      </c>
      <c r="O1212">
        <v>2014</v>
      </c>
      <c r="P1212" t="s">
        <v>9525</v>
      </c>
      <c r="Q1212" t="s">
        <v>9526</v>
      </c>
      <c r="R1212">
        <v>156808</v>
      </c>
      <c r="S1212" t="s">
        <v>9523</v>
      </c>
      <c r="T1212">
        <v>33636</v>
      </c>
      <c r="U1212">
        <v>1992</v>
      </c>
      <c r="V1212" t="s">
        <v>795</v>
      </c>
      <c r="W1212">
        <v>1.74</v>
      </c>
      <c r="X1212" t="s">
        <v>76</v>
      </c>
      <c r="Y1212" t="s">
        <v>235</v>
      </c>
      <c r="Z1212" t="s">
        <v>87</v>
      </c>
      <c r="AA1212" t="s">
        <v>3595</v>
      </c>
      <c r="AB1212" s="1">
        <v>45298</v>
      </c>
      <c r="AC1212" t="s">
        <v>108</v>
      </c>
      <c r="AD1212" t="s">
        <v>89</v>
      </c>
      <c r="AE1212" t="s">
        <v>9527</v>
      </c>
      <c r="AF1212">
        <v>22</v>
      </c>
      <c r="AG1212" t="s">
        <v>91</v>
      </c>
      <c r="AH1212" t="s">
        <v>3953</v>
      </c>
      <c r="AI1212">
        <v>23</v>
      </c>
      <c r="AJ1212" t="s">
        <v>110</v>
      </c>
      <c r="AK1212">
        <v>22</v>
      </c>
      <c r="AL1212">
        <v>5</v>
      </c>
      <c r="AM1212">
        <v>167</v>
      </c>
      <c r="AN1212">
        <v>22</v>
      </c>
      <c r="AO1212">
        <v>3</v>
      </c>
      <c r="AP1212" t="s">
        <v>93</v>
      </c>
      <c r="AQ1212" t="s">
        <v>89</v>
      </c>
      <c r="AR1212" t="s">
        <v>89</v>
      </c>
      <c r="AS1212" t="s">
        <v>111</v>
      </c>
      <c r="AT1212" s="1">
        <v>45298</v>
      </c>
      <c r="AU1212">
        <v>2024</v>
      </c>
      <c r="AV1212">
        <v>10</v>
      </c>
      <c r="AW1212">
        <v>10</v>
      </c>
      <c r="AX1212" t="s">
        <v>89</v>
      </c>
      <c r="AY1212" t="s">
        <v>93</v>
      </c>
      <c r="AZ1212">
        <v>0</v>
      </c>
      <c r="BA1212">
        <v>0</v>
      </c>
      <c r="BB1212">
        <v>0</v>
      </c>
      <c r="BC1212">
        <v>0</v>
      </c>
      <c r="BD1212">
        <v>193</v>
      </c>
      <c r="BE1212">
        <v>14673</v>
      </c>
      <c r="BF1212">
        <v>3</v>
      </c>
      <c r="BG1212">
        <v>32</v>
      </c>
      <c r="BH1212">
        <v>193</v>
      </c>
      <c r="BI1212">
        <v>14673</v>
      </c>
      <c r="BJ1212">
        <v>3</v>
      </c>
      <c r="BK1212">
        <f t="shared" si="164"/>
        <v>193</v>
      </c>
      <c r="BL1212">
        <f t="shared" si="165"/>
        <v>14673</v>
      </c>
      <c r="BM1212">
        <f t="shared" si="166"/>
        <v>3</v>
      </c>
      <c r="BN1212">
        <f t="shared" si="167"/>
        <v>0</v>
      </c>
      <c r="BO1212">
        <f t="shared" si="168"/>
        <v>0</v>
      </c>
      <c r="BP1212">
        <f t="shared" si="169"/>
        <v>0</v>
      </c>
      <c r="BQ1212" t="s">
        <v>235</v>
      </c>
      <c r="BR1212" t="s">
        <v>140</v>
      </c>
      <c r="BS1212" t="s">
        <v>89</v>
      </c>
      <c r="BT1212">
        <v>34</v>
      </c>
      <c r="BU1212" s="1">
        <v>45298</v>
      </c>
      <c r="BV1212" s="1">
        <v>45474</v>
      </c>
      <c r="BW1212">
        <v>10</v>
      </c>
      <c r="BX1212">
        <v>1992</v>
      </c>
      <c r="BY1212">
        <v>10</v>
      </c>
      <c r="BZ1212">
        <f t="shared" si="170"/>
        <v>0</v>
      </c>
      <c r="CA1212">
        <f t="shared" si="171"/>
        <v>0</v>
      </c>
      <c r="CB1212" t="b">
        <f t="shared" si="172"/>
        <v>1</v>
      </c>
    </row>
    <row r="1213" spans="1:80" x14ac:dyDescent="0.3">
      <c r="A1213" t="s">
        <v>9528</v>
      </c>
      <c r="B1213" t="s">
        <v>71</v>
      </c>
      <c r="C1213" t="s">
        <v>9529</v>
      </c>
      <c r="D1213">
        <v>33</v>
      </c>
      <c r="E1213" t="s">
        <v>9530</v>
      </c>
      <c r="F1213" t="s">
        <v>9531</v>
      </c>
      <c r="G1213" t="s">
        <v>400</v>
      </c>
      <c r="H1213" t="s">
        <v>89</v>
      </c>
      <c r="I1213" t="s">
        <v>414</v>
      </c>
      <c r="J1213" t="s">
        <v>78</v>
      </c>
      <c r="K1213" t="s">
        <v>9532</v>
      </c>
      <c r="L1213" t="s">
        <v>80</v>
      </c>
      <c r="M1213">
        <v>20</v>
      </c>
      <c r="N1213" t="s">
        <v>820</v>
      </c>
      <c r="O1213">
        <v>2012</v>
      </c>
      <c r="P1213" t="s">
        <v>9533</v>
      </c>
      <c r="Q1213" t="s">
        <v>9534</v>
      </c>
      <c r="R1213">
        <v>197122</v>
      </c>
      <c r="S1213" t="s">
        <v>9528</v>
      </c>
      <c r="T1213">
        <v>33665</v>
      </c>
      <c r="U1213">
        <v>1992</v>
      </c>
      <c r="V1213" t="s">
        <v>9535</v>
      </c>
      <c r="W1213">
        <v>1.86</v>
      </c>
      <c r="X1213" t="s">
        <v>76</v>
      </c>
      <c r="Y1213" t="s">
        <v>235</v>
      </c>
      <c r="Z1213" t="s">
        <v>87</v>
      </c>
      <c r="AA1213" t="s">
        <v>9532</v>
      </c>
      <c r="AB1213" s="1">
        <v>45664</v>
      </c>
      <c r="AC1213" t="s">
        <v>170</v>
      </c>
      <c r="AD1213" t="s">
        <v>89</v>
      </c>
      <c r="AE1213" s="1">
        <v>41280</v>
      </c>
      <c r="AF1213">
        <v>21</v>
      </c>
      <c r="AG1213" t="s">
        <v>91</v>
      </c>
      <c r="AH1213">
        <v>41953</v>
      </c>
      <c r="AI1213">
        <v>22</v>
      </c>
      <c r="AJ1213" t="s">
        <v>110</v>
      </c>
      <c r="AK1213">
        <v>21</v>
      </c>
      <c r="AL1213">
        <v>10</v>
      </c>
      <c r="AM1213">
        <v>401</v>
      </c>
      <c r="AN1213">
        <v>46</v>
      </c>
      <c r="AO1213">
        <v>7</v>
      </c>
      <c r="AP1213" t="s">
        <v>93</v>
      </c>
      <c r="AQ1213" t="s">
        <v>89</v>
      </c>
      <c r="AR1213" t="s">
        <v>89</v>
      </c>
      <c r="AS1213" t="s">
        <v>93</v>
      </c>
      <c r="AT1213" t="s">
        <v>89</v>
      </c>
      <c r="AU1213" t="s">
        <v>89</v>
      </c>
      <c r="AV1213" t="s">
        <v>89</v>
      </c>
      <c r="AW1213">
        <v>13</v>
      </c>
      <c r="AX1213">
        <v>4</v>
      </c>
      <c r="AY1213" t="s">
        <v>93</v>
      </c>
      <c r="AZ1213">
        <v>0</v>
      </c>
      <c r="BA1213">
        <v>0</v>
      </c>
      <c r="BB1213">
        <v>0</v>
      </c>
      <c r="BC1213">
        <v>0</v>
      </c>
      <c r="BD1213">
        <v>215</v>
      </c>
      <c r="BE1213">
        <v>17053</v>
      </c>
      <c r="BF1213">
        <v>11</v>
      </c>
      <c r="BG1213" t="s">
        <v>89</v>
      </c>
      <c r="BH1213">
        <v>215</v>
      </c>
      <c r="BI1213">
        <v>17053</v>
      </c>
      <c r="BJ1213">
        <v>11</v>
      </c>
      <c r="BK1213">
        <f t="shared" si="164"/>
        <v>215</v>
      </c>
      <c r="BL1213">
        <f t="shared" si="165"/>
        <v>17053</v>
      </c>
      <c r="BM1213">
        <f t="shared" si="166"/>
        <v>11</v>
      </c>
      <c r="BN1213">
        <f t="shared" si="167"/>
        <v>0</v>
      </c>
      <c r="BO1213">
        <f t="shared" si="168"/>
        <v>0</v>
      </c>
      <c r="BP1213">
        <f t="shared" si="169"/>
        <v>0</v>
      </c>
      <c r="BQ1213" t="s">
        <v>235</v>
      </c>
      <c r="BR1213" t="s">
        <v>140</v>
      </c>
      <c r="BS1213" t="s">
        <v>89</v>
      </c>
      <c r="BT1213">
        <v>34</v>
      </c>
      <c r="BU1213" t="s">
        <v>89</v>
      </c>
      <c r="BV1213" t="s">
        <v>89</v>
      </c>
      <c r="BW1213">
        <v>13</v>
      </c>
      <c r="BX1213">
        <v>1992</v>
      </c>
      <c r="BY1213">
        <v>12</v>
      </c>
      <c r="BZ1213">
        <f t="shared" si="170"/>
        <v>0</v>
      </c>
      <c r="CA1213">
        <f t="shared" si="171"/>
        <v>1</v>
      </c>
      <c r="CB1213" t="b">
        <f t="shared" si="172"/>
        <v>1</v>
      </c>
    </row>
    <row r="1214" spans="1:80" x14ac:dyDescent="0.3">
      <c r="A1214" t="s">
        <v>9536</v>
      </c>
      <c r="B1214" t="s">
        <v>71</v>
      </c>
      <c r="C1214" t="s">
        <v>9537</v>
      </c>
      <c r="D1214">
        <v>29</v>
      </c>
      <c r="E1214" t="s">
        <v>9538</v>
      </c>
      <c r="F1214" t="s">
        <v>790</v>
      </c>
      <c r="G1214" t="s">
        <v>1946</v>
      </c>
      <c r="H1214" t="s">
        <v>76</v>
      </c>
      <c r="I1214" t="s">
        <v>288</v>
      </c>
      <c r="J1214" t="s">
        <v>78</v>
      </c>
      <c r="K1214" t="s">
        <v>162</v>
      </c>
      <c r="L1214" t="s">
        <v>762</v>
      </c>
      <c r="M1214">
        <v>18</v>
      </c>
      <c r="N1214" t="s">
        <v>137</v>
      </c>
      <c r="O1214">
        <v>2014</v>
      </c>
      <c r="P1214" t="s">
        <v>9539</v>
      </c>
      <c r="Q1214" t="s">
        <v>9540</v>
      </c>
      <c r="R1214">
        <v>192009</v>
      </c>
      <c r="S1214" t="s">
        <v>9536</v>
      </c>
      <c r="T1214" t="s">
        <v>9541</v>
      </c>
      <c r="U1214">
        <v>1995</v>
      </c>
      <c r="V1214" t="s">
        <v>1488</v>
      </c>
      <c r="W1214">
        <v>1.7</v>
      </c>
      <c r="X1214" t="s">
        <v>76</v>
      </c>
      <c r="Y1214" t="s">
        <v>86</v>
      </c>
      <c r="Z1214" t="s">
        <v>87</v>
      </c>
      <c r="AA1214" t="s">
        <v>162</v>
      </c>
      <c r="AB1214" s="1">
        <v>44568</v>
      </c>
      <c r="AC1214" t="s">
        <v>170</v>
      </c>
      <c r="AD1214" t="s">
        <v>89</v>
      </c>
      <c r="AE1214" t="s">
        <v>1758</v>
      </c>
      <c r="AF1214">
        <v>18</v>
      </c>
      <c r="AG1214" t="s">
        <v>91</v>
      </c>
      <c r="AH1214" t="s">
        <v>4917</v>
      </c>
      <c r="AI1214">
        <v>19</v>
      </c>
      <c r="AJ1214" t="s">
        <v>110</v>
      </c>
      <c r="AK1214">
        <v>18</v>
      </c>
      <c r="AL1214">
        <v>4</v>
      </c>
      <c r="AM1214">
        <v>37</v>
      </c>
      <c r="AN1214">
        <v>6</v>
      </c>
      <c r="AO1214">
        <v>2</v>
      </c>
      <c r="AP1214" t="s">
        <v>93</v>
      </c>
      <c r="AQ1214" t="s">
        <v>89</v>
      </c>
      <c r="AR1214" t="s">
        <v>89</v>
      </c>
      <c r="AS1214" t="s">
        <v>93</v>
      </c>
      <c r="AT1214" t="s">
        <v>89</v>
      </c>
      <c r="AU1214" t="s">
        <v>89</v>
      </c>
      <c r="AV1214" t="s">
        <v>89</v>
      </c>
      <c r="AW1214">
        <v>11</v>
      </c>
      <c r="AX1214">
        <v>17</v>
      </c>
      <c r="AY1214" t="s">
        <v>93</v>
      </c>
      <c r="AZ1214">
        <v>0</v>
      </c>
      <c r="BA1214">
        <v>0</v>
      </c>
      <c r="BB1214">
        <v>0</v>
      </c>
      <c r="BC1214">
        <v>0</v>
      </c>
      <c r="BD1214">
        <v>345</v>
      </c>
      <c r="BE1214">
        <v>20286</v>
      </c>
      <c r="BF1214">
        <v>17</v>
      </c>
      <c r="BG1214" t="s">
        <v>89</v>
      </c>
      <c r="BH1214">
        <v>345</v>
      </c>
      <c r="BI1214">
        <v>20286</v>
      </c>
      <c r="BJ1214">
        <v>17</v>
      </c>
      <c r="BK1214">
        <f t="shared" si="164"/>
        <v>345</v>
      </c>
      <c r="BL1214">
        <f t="shared" si="165"/>
        <v>20286</v>
      </c>
      <c r="BM1214">
        <f t="shared" si="166"/>
        <v>17</v>
      </c>
      <c r="BN1214">
        <f t="shared" si="167"/>
        <v>0</v>
      </c>
      <c r="BO1214">
        <f t="shared" si="168"/>
        <v>0</v>
      </c>
      <c r="BP1214">
        <f t="shared" si="169"/>
        <v>0</v>
      </c>
      <c r="BQ1214" t="s">
        <v>86</v>
      </c>
      <c r="BR1214" t="s">
        <v>94</v>
      </c>
      <c r="BS1214" s="1">
        <v>35002</v>
      </c>
      <c r="BT1214">
        <v>30</v>
      </c>
      <c r="BU1214" t="s">
        <v>89</v>
      </c>
      <c r="BV1214" t="s">
        <v>89</v>
      </c>
      <c r="BW1214">
        <v>12</v>
      </c>
      <c r="BX1214">
        <v>1995</v>
      </c>
      <c r="BY1214">
        <v>11</v>
      </c>
      <c r="BZ1214">
        <f t="shared" si="170"/>
        <v>-1</v>
      </c>
      <c r="CA1214">
        <f t="shared" si="171"/>
        <v>1</v>
      </c>
      <c r="CB1214" t="b">
        <f t="shared" si="172"/>
        <v>0</v>
      </c>
    </row>
    <row r="1215" spans="1:80" x14ac:dyDescent="0.3">
      <c r="A1215" t="s">
        <v>9542</v>
      </c>
      <c r="B1215" t="s">
        <v>71</v>
      </c>
      <c r="C1215" t="s">
        <v>9543</v>
      </c>
      <c r="D1215">
        <v>38</v>
      </c>
      <c r="E1215" s="1">
        <v>31911</v>
      </c>
      <c r="F1215" t="s">
        <v>89</v>
      </c>
      <c r="G1215" t="s">
        <v>241</v>
      </c>
      <c r="H1215" t="s">
        <v>89</v>
      </c>
      <c r="I1215" t="s">
        <v>437</v>
      </c>
      <c r="J1215" t="s">
        <v>78</v>
      </c>
      <c r="K1215" t="s">
        <v>89</v>
      </c>
      <c r="L1215" t="s">
        <v>228</v>
      </c>
      <c r="M1215">
        <v>23</v>
      </c>
      <c r="N1215" t="s">
        <v>137</v>
      </c>
      <c r="O1215">
        <v>2010</v>
      </c>
      <c r="P1215" t="s">
        <v>9544</v>
      </c>
      <c r="Q1215" t="s">
        <v>9545</v>
      </c>
      <c r="R1215">
        <v>92975</v>
      </c>
      <c r="S1215" t="s">
        <v>9542</v>
      </c>
      <c r="T1215" t="s">
        <v>9546</v>
      </c>
      <c r="U1215">
        <v>1987</v>
      </c>
      <c r="V1215" t="s">
        <v>1504</v>
      </c>
      <c r="W1215">
        <v>1.89</v>
      </c>
      <c r="X1215" t="s">
        <v>76</v>
      </c>
      <c r="Y1215" t="s">
        <v>123</v>
      </c>
      <c r="Z1215" t="s">
        <v>87</v>
      </c>
      <c r="AA1215" t="s">
        <v>4606</v>
      </c>
      <c r="AB1215">
        <v>45664</v>
      </c>
      <c r="AC1215" t="s">
        <v>108</v>
      </c>
      <c r="AD1215" t="s">
        <v>89</v>
      </c>
      <c r="AE1215" s="1">
        <v>40665</v>
      </c>
      <c r="AF1215">
        <v>23</v>
      </c>
      <c r="AG1215" t="s">
        <v>91</v>
      </c>
      <c r="AH1215" s="1">
        <v>40796</v>
      </c>
      <c r="AI1215">
        <v>24</v>
      </c>
      <c r="AJ1215" t="s">
        <v>110</v>
      </c>
      <c r="AK1215">
        <v>23</v>
      </c>
      <c r="AL1215" t="s">
        <v>89</v>
      </c>
      <c r="AM1215" t="s">
        <v>89</v>
      </c>
      <c r="AN1215" t="s">
        <v>89</v>
      </c>
      <c r="AO1215">
        <v>0</v>
      </c>
      <c r="AP1215" t="s">
        <v>93</v>
      </c>
      <c r="AQ1215" t="s">
        <v>89</v>
      </c>
      <c r="AR1215" t="s">
        <v>89</v>
      </c>
      <c r="AS1215" t="s">
        <v>111</v>
      </c>
      <c r="AT1215">
        <v>45664</v>
      </c>
      <c r="AU1215">
        <v>2025</v>
      </c>
      <c r="AV1215">
        <v>15</v>
      </c>
      <c r="AW1215">
        <v>15</v>
      </c>
      <c r="AX1215" t="s">
        <v>89</v>
      </c>
      <c r="AY1215" t="s">
        <v>93</v>
      </c>
      <c r="AZ1215">
        <v>0</v>
      </c>
      <c r="BA1215">
        <v>0</v>
      </c>
      <c r="BB1215">
        <v>0</v>
      </c>
      <c r="BC1215">
        <v>0</v>
      </c>
      <c r="BD1215">
        <v>223</v>
      </c>
      <c r="BE1215">
        <v>11231</v>
      </c>
      <c r="BF1215">
        <v>57</v>
      </c>
      <c r="BG1215">
        <v>38</v>
      </c>
      <c r="BH1215">
        <v>223</v>
      </c>
      <c r="BI1215">
        <v>11231</v>
      </c>
      <c r="BJ1215">
        <v>57</v>
      </c>
      <c r="BK1215">
        <f t="shared" si="164"/>
        <v>223</v>
      </c>
      <c r="BL1215">
        <f t="shared" si="165"/>
        <v>11231</v>
      </c>
      <c r="BM1215">
        <f t="shared" si="166"/>
        <v>57</v>
      </c>
      <c r="BN1215">
        <f t="shared" si="167"/>
        <v>0</v>
      </c>
      <c r="BO1215">
        <f t="shared" si="168"/>
        <v>0</v>
      </c>
      <c r="BP1215">
        <f t="shared" si="169"/>
        <v>0</v>
      </c>
      <c r="BQ1215" t="s">
        <v>123</v>
      </c>
      <c r="BR1215" t="s">
        <v>112</v>
      </c>
      <c r="BS1215" s="1">
        <v>31911</v>
      </c>
      <c r="BT1215">
        <v>38</v>
      </c>
      <c r="BU1215">
        <v>45664</v>
      </c>
      <c r="BV1215" t="s">
        <v>89</v>
      </c>
      <c r="BW1215">
        <v>15</v>
      </c>
      <c r="BX1215">
        <v>1987</v>
      </c>
      <c r="BY1215">
        <v>15</v>
      </c>
      <c r="BZ1215">
        <f t="shared" si="170"/>
        <v>0</v>
      </c>
      <c r="CA1215">
        <f t="shared" si="171"/>
        <v>0</v>
      </c>
      <c r="CB1215" t="b">
        <f t="shared" si="172"/>
        <v>1</v>
      </c>
    </row>
    <row r="1216" spans="1:80" x14ac:dyDescent="0.3">
      <c r="A1216" t="s">
        <v>9547</v>
      </c>
      <c r="B1216" t="s">
        <v>71</v>
      </c>
      <c r="C1216" t="s">
        <v>9548</v>
      </c>
      <c r="D1216">
        <v>42</v>
      </c>
      <c r="E1216" s="1">
        <v>30363</v>
      </c>
      <c r="F1216" t="s">
        <v>89</v>
      </c>
      <c r="G1216" t="s">
        <v>413</v>
      </c>
      <c r="H1216" t="s">
        <v>89</v>
      </c>
      <c r="I1216" t="s">
        <v>227</v>
      </c>
      <c r="J1216" t="s">
        <v>78</v>
      </c>
      <c r="K1216" t="s">
        <v>89</v>
      </c>
      <c r="L1216" t="s">
        <v>117</v>
      </c>
      <c r="M1216">
        <v>22</v>
      </c>
      <c r="N1216" t="s">
        <v>137</v>
      </c>
      <c r="O1216">
        <v>2005</v>
      </c>
      <c r="P1216" t="s">
        <v>9549</v>
      </c>
      <c r="Q1216" t="s">
        <v>9550</v>
      </c>
      <c r="R1216">
        <v>35554</v>
      </c>
      <c r="S1216" t="s">
        <v>9547</v>
      </c>
      <c r="T1216" t="s">
        <v>9551</v>
      </c>
      <c r="U1216">
        <v>1983</v>
      </c>
      <c r="V1216" t="s">
        <v>1208</v>
      </c>
      <c r="W1216">
        <v>1.83</v>
      </c>
      <c r="X1216" t="s">
        <v>76</v>
      </c>
      <c r="Y1216" t="s">
        <v>235</v>
      </c>
      <c r="Z1216" t="s">
        <v>87</v>
      </c>
      <c r="AA1216" t="s">
        <v>8810</v>
      </c>
      <c r="AB1216" s="1">
        <v>42011</v>
      </c>
      <c r="AC1216" t="s">
        <v>108</v>
      </c>
      <c r="AD1216" t="s">
        <v>89</v>
      </c>
      <c r="AE1216" t="s">
        <v>4298</v>
      </c>
      <c r="AF1216">
        <v>22</v>
      </c>
      <c r="AG1216" t="s">
        <v>91</v>
      </c>
      <c r="AH1216" t="s">
        <v>92</v>
      </c>
      <c r="AI1216" t="s">
        <v>89</v>
      </c>
      <c r="AJ1216" t="s">
        <v>92</v>
      </c>
      <c r="AK1216">
        <v>22</v>
      </c>
      <c r="AL1216">
        <v>5</v>
      </c>
      <c r="AM1216">
        <v>139</v>
      </c>
      <c r="AN1216">
        <v>17</v>
      </c>
      <c r="AO1216">
        <v>3</v>
      </c>
      <c r="AP1216" t="s">
        <v>93</v>
      </c>
      <c r="AQ1216" t="s">
        <v>89</v>
      </c>
      <c r="AR1216" t="s">
        <v>89</v>
      </c>
      <c r="AS1216" t="s">
        <v>111</v>
      </c>
      <c r="AT1216" s="1">
        <v>42011</v>
      </c>
      <c r="AU1216">
        <v>2015</v>
      </c>
      <c r="AV1216">
        <v>10</v>
      </c>
      <c r="AW1216">
        <v>10</v>
      </c>
      <c r="AX1216" t="s">
        <v>89</v>
      </c>
      <c r="AY1216" t="s">
        <v>93</v>
      </c>
      <c r="AZ1216">
        <v>0</v>
      </c>
      <c r="BA1216">
        <v>0</v>
      </c>
      <c r="BB1216">
        <v>0</v>
      </c>
      <c r="BC1216">
        <v>0</v>
      </c>
      <c r="BD1216">
        <v>105</v>
      </c>
      <c r="BE1216">
        <v>7958</v>
      </c>
      <c r="BF1216">
        <v>1</v>
      </c>
      <c r="BG1216">
        <v>32</v>
      </c>
      <c r="BH1216">
        <v>105</v>
      </c>
      <c r="BI1216">
        <v>7958</v>
      </c>
      <c r="BJ1216">
        <v>1</v>
      </c>
      <c r="BK1216">
        <f t="shared" si="164"/>
        <v>105</v>
      </c>
      <c r="BL1216">
        <f t="shared" si="165"/>
        <v>7958</v>
      </c>
      <c r="BM1216">
        <f t="shared" si="166"/>
        <v>1</v>
      </c>
      <c r="BN1216">
        <f t="shared" si="167"/>
        <v>0</v>
      </c>
      <c r="BO1216">
        <f t="shared" si="168"/>
        <v>0</v>
      </c>
      <c r="BP1216">
        <f t="shared" si="169"/>
        <v>0</v>
      </c>
      <c r="BQ1216" t="s">
        <v>235</v>
      </c>
      <c r="BR1216" t="s">
        <v>140</v>
      </c>
      <c r="BS1216" s="1">
        <v>30363</v>
      </c>
      <c r="BT1216">
        <v>43</v>
      </c>
      <c r="BU1216" s="1">
        <v>42011</v>
      </c>
      <c r="BV1216" s="1">
        <v>42186</v>
      </c>
      <c r="BW1216">
        <v>10</v>
      </c>
      <c r="BX1216">
        <v>1983</v>
      </c>
      <c r="BY1216">
        <v>10</v>
      </c>
      <c r="BZ1216">
        <f t="shared" si="170"/>
        <v>0</v>
      </c>
      <c r="CA1216">
        <f t="shared" si="171"/>
        <v>0</v>
      </c>
      <c r="CB1216" t="b">
        <f t="shared" si="172"/>
        <v>1</v>
      </c>
    </row>
    <row r="1217" spans="1:80" x14ac:dyDescent="0.3">
      <c r="A1217" t="s">
        <v>9552</v>
      </c>
      <c r="B1217" t="s">
        <v>71</v>
      </c>
      <c r="C1217" t="s">
        <v>9553</v>
      </c>
      <c r="D1217">
        <v>32</v>
      </c>
      <c r="E1217">
        <v>34042</v>
      </c>
      <c r="F1217" t="s">
        <v>89</v>
      </c>
      <c r="G1217" t="s">
        <v>75</v>
      </c>
      <c r="H1217" t="s">
        <v>76</v>
      </c>
      <c r="I1217" t="s">
        <v>299</v>
      </c>
      <c r="J1217" t="s">
        <v>300</v>
      </c>
      <c r="K1217" t="s">
        <v>89</v>
      </c>
      <c r="L1217" t="s">
        <v>228</v>
      </c>
      <c r="M1217">
        <v>17</v>
      </c>
      <c r="N1217" t="s">
        <v>146</v>
      </c>
      <c r="O1217">
        <v>2010</v>
      </c>
      <c r="P1217" t="s">
        <v>9554</v>
      </c>
      <c r="Q1217" t="s">
        <v>9555</v>
      </c>
      <c r="R1217">
        <v>99355</v>
      </c>
      <c r="S1217" t="s">
        <v>9552</v>
      </c>
      <c r="T1217" t="s">
        <v>9556</v>
      </c>
      <c r="U1217">
        <v>1993</v>
      </c>
      <c r="V1217" t="s">
        <v>644</v>
      </c>
      <c r="W1217">
        <v>1.8</v>
      </c>
      <c r="X1217" t="s">
        <v>76</v>
      </c>
      <c r="Y1217" t="s">
        <v>203</v>
      </c>
      <c r="Z1217" t="s">
        <v>152</v>
      </c>
      <c r="AA1217" t="s">
        <v>476</v>
      </c>
      <c r="AB1217" s="1">
        <v>45664</v>
      </c>
      <c r="AC1217" t="s">
        <v>108</v>
      </c>
      <c r="AD1217" t="s">
        <v>89</v>
      </c>
      <c r="AE1217" s="1">
        <v>40697</v>
      </c>
      <c r="AF1217">
        <v>17</v>
      </c>
      <c r="AG1217" t="s">
        <v>91</v>
      </c>
      <c r="AH1217" t="s">
        <v>9557</v>
      </c>
      <c r="AI1217">
        <v>30</v>
      </c>
      <c r="AJ1217" t="s">
        <v>1122</v>
      </c>
      <c r="AK1217">
        <v>17</v>
      </c>
      <c r="AL1217">
        <v>1</v>
      </c>
      <c r="AM1217">
        <v>22</v>
      </c>
      <c r="AN1217">
        <v>3</v>
      </c>
      <c r="AO1217">
        <v>1</v>
      </c>
      <c r="AP1217" t="s">
        <v>93</v>
      </c>
      <c r="AQ1217" t="s">
        <v>89</v>
      </c>
      <c r="AR1217" t="s">
        <v>89</v>
      </c>
      <c r="AS1217" t="s">
        <v>93</v>
      </c>
      <c r="AT1217" t="s">
        <v>89</v>
      </c>
      <c r="AU1217" t="s">
        <v>89</v>
      </c>
      <c r="AV1217" t="s">
        <v>89</v>
      </c>
      <c r="AW1217">
        <v>15</v>
      </c>
      <c r="AX1217" t="s">
        <v>89</v>
      </c>
      <c r="AY1217" t="s">
        <v>93</v>
      </c>
      <c r="AZ1217">
        <v>0</v>
      </c>
      <c r="BA1217">
        <v>0</v>
      </c>
      <c r="BB1217">
        <v>0</v>
      </c>
      <c r="BC1217">
        <v>0</v>
      </c>
      <c r="BD1217">
        <v>158</v>
      </c>
      <c r="BE1217">
        <v>11607</v>
      </c>
      <c r="BF1217">
        <v>2</v>
      </c>
      <c r="BG1217" t="s">
        <v>89</v>
      </c>
      <c r="BH1217">
        <v>158</v>
      </c>
      <c r="BI1217">
        <v>11607</v>
      </c>
      <c r="BJ1217">
        <v>2</v>
      </c>
      <c r="BK1217">
        <f t="shared" si="164"/>
        <v>158</v>
      </c>
      <c r="BL1217">
        <f t="shared" si="165"/>
        <v>11607</v>
      </c>
      <c r="BM1217">
        <f t="shared" si="166"/>
        <v>2</v>
      </c>
      <c r="BN1217">
        <f t="shared" si="167"/>
        <v>0</v>
      </c>
      <c r="BO1217">
        <f t="shared" si="168"/>
        <v>0</v>
      </c>
      <c r="BP1217">
        <f t="shared" si="169"/>
        <v>0</v>
      </c>
      <c r="BQ1217" t="s">
        <v>203</v>
      </c>
      <c r="BR1217" t="s">
        <v>140</v>
      </c>
      <c r="BS1217" s="1">
        <v>34042</v>
      </c>
      <c r="BT1217">
        <v>32</v>
      </c>
      <c r="BU1217" t="s">
        <v>89</v>
      </c>
      <c r="BV1217" t="s">
        <v>89</v>
      </c>
      <c r="BW1217">
        <v>15</v>
      </c>
      <c r="BX1217">
        <v>1993</v>
      </c>
      <c r="BY1217">
        <v>15</v>
      </c>
      <c r="BZ1217">
        <f t="shared" si="170"/>
        <v>0</v>
      </c>
      <c r="CA1217">
        <f t="shared" si="171"/>
        <v>0</v>
      </c>
      <c r="CB1217" t="b">
        <f t="shared" si="172"/>
        <v>1</v>
      </c>
    </row>
    <row r="1218" spans="1:80" x14ac:dyDescent="0.3">
      <c r="A1218" t="s">
        <v>9558</v>
      </c>
      <c r="B1218" t="s">
        <v>71</v>
      </c>
      <c r="C1218" t="s">
        <v>9559</v>
      </c>
      <c r="D1218">
        <v>31</v>
      </c>
      <c r="E1218" t="s">
        <v>9560</v>
      </c>
      <c r="F1218" t="s">
        <v>9561</v>
      </c>
      <c r="G1218" t="s">
        <v>413</v>
      </c>
      <c r="H1218" t="s">
        <v>76</v>
      </c>
      <c r="I1218" t="s">
        <v>555</v>
      </c>
      <c r="J1218" t="s">
        <v>78</v>
      </c>
      <c r="K1218" t="s">
        <v>9562</v>
      </c>
      <c r="L1218" t="s">
        <v>324</v>
      </c>
      <c r="M1218">
        <v>19</v>
      </c>
      <c r="N1218" t="s">
        <v>751</v>
      </c>
      <c r="O1218">
        <v>2013</v>
      </c>
      <c r="P1218" t="s">
        <v>9563</v>
      </c>
      <c r="Q1218" t="s">
        <v>9564</v>
      </c>
      <c r="R1218">
        <v>263856</v>
      </c>
      <c r="S1218" t="s">
        <v>9558</v>
      </c>
      <c r="T1218" t="s">
        <v>9565</v>
      </c>
      <c r="U1218">
        <v>1994</v>
      </c>
      <c r="V1218" t="s">
        <v>9566</v>
      </c>
      <c r="W1218">
        <v>1.83</v>
      </c>
      <c r="X1218" t="s">
        <v>76</v>
      </c>
      <c r="Y1218" t="s">
        <v>86</v>
      </c>
      <c r="Z1218" t="s">
        <v>87</v>
      </c>
      <c r="AA1218" t="s">
        <v>9562</v>
      </c>
      <c r="AB1218" s="1">
        <v>45939</v>
      </c>
      <c r="AC1218" t="s">
        <v>108</v>
      </c>
      <c r="AD1218" t="s">
        <v>89</v>
      </c>
      <c r="AE1218">
        <v>41730</v>
      </c>
      <c r="AF1218">
        <v>19</v>
      </c>
      <c r="AG1218" t="s">
        <v>91</v>
      </c>
      <c r="AH1218" t="s">
        <v>9567</v>
      </c>
      <c r="AI1218">
        <v>28</v>
      </c>
      <c r="AJ1218" t="s">
        <v>110</v>
      </c>
      <c r="AK1218">
        <v>19</v>
      </c>
      <c r="AL1218">
        <v>10</v>
      </c>
      <c r="AM1218">
        <v>416</v>
      </c>
      <c r="AN1218">
        <v>52</v>
      </c>
      <c r="AO1218">
        <v>6</v>
      </c>
      <c r="AP1218" t="s">
        <v>93</v>
      </c>
      <c r="AQ1218" t="s">
        <v>89</v>
      </c>
      <c r="AR1218" t="s">
        <v>89</v>
      </c>
      <c r="AS1218" t="s">
        <v>93</v>
      </c>
      <c r="AT1218" t="s">
        <v>89</v>
      </c>
      <c r="AU1218" t="s">
        <v>89</v>
      </c>
      <c r="AV1218" t="s">
        <v>89</v>
      </c>
      <c r="AW1218">
        <v>12</v>
      </c>
      <c r="AX1218" t="s">
        <v>89</v>
      </c>
      <c r="AY1218" t="s">
        <v>93</v>
      </c>
      <c r="AZ1218">
        <v>0</v>
      </c>
      <c r="BA1218">
        <v>0</v>
      </c>
      <c r="BB1218">
        <v>0</v>
      </c>
      <c r="BC1218">
        <v>0</v>
      </c>
      <c r="BD1218">
        <v>237</v>
      </c>
      <c r="BE1218">
        <v>14838</v>
      </c>
      <c r="BF1218">
        <v>15</v>
      </c>
      <c r="BG1218" t="s">
        <v>89</v>
      </c>
      <c r="BH1218">
        <v>237</v>
      </c>
      <c r="BI1218">
        <v>14838</v>
      </c>
      <c r="BJ1218">
        <v>15</v>
      </c>
      <c r="BK1218">
        <f t="shared" si="164"/>
        <v>237</v>
      </c>
      <c r="BL1218">
        <f t="shared" si="165"/>
        <v>14838</v>
      </c>
      <c r="BM1218">
        <f t="shared" si="166"/>
        <v>15</v>
      </c>
      <c r="BN1218">
        <f t="shared" si="167"/>
        <v>0</v>
      </c>
      <c r="BO1218">
        <f t="shared" si="168"/>
        <v>0</v>
      </c>
      <c r="BP1218">
        <f t="shared" si="169"/>
        <v>0</v>
      </c>
      <c r="BQ1218" t="s">
        <v>86</v>
      </c>
      <c r="BR1218" t="s">
        <v>94</v>
      </c>
      <c r="BS1218" s="1">
        <v>34482</v>
      </c>
      <c r="BT1218">
        <v>31</v>
      </c>
      <c r="BU1218" t="s">
        <v>89</v>
      </c>
      <c r="BV1218" t="s">
        <v>89</v>
      </c>
      <c r="BW1218">
        <v>12</v>
      </c>
      <c r="BX1218">
        <v>1994</v>
      </c>
      <c r="BY1218">
        <v>12</v>
      </c>
      <c r="BZ1218">
        <f t="shared" si="170"/>
        <v>0</v>
      </c>
      <c r="CA1218">
        <f t="shared" si="171"/>
        <v>0</v>
      </c>
      <c r="CB1218" t="b">
        <f t="shared" si="172"/>
        <v>1</v>
      </c>
    </row>
    <row r="1219" spans="1:80" x14ac:dyDescent="0.3">
      <c r="A1219" t="s">
        <v>9568</v>
      </c>
      <c r="B1219" t="s">
        <v>71</v>
      </c>
      <c r="C1219" t="s">
        <v>9569</v>
      </c>
      <c r="D1219">
        <v>40</v>
      </c>
      <c r="E1219">
        <v>31106</v>
      </c>
      <c r="F1219" t="s">
        <v>89</v>
      </c>
      <c r="G1219" t="s">
        <v>115</v>
      </c>
      <c r="H1219" t="s">
        <v>76</v>
      </c>
      <c r="I1219" t="s">
        <v>437</v>
      </c>
      <c r="J1219" t="s">
        <v>78</v>
      </c>
      <c r="K1219" t="s">
        <v>89</v>
      </c>
      <c r="L1219" t="s">
        <v>145</v>
      </c>
      <c r="M1219">
        <v>19</v>
      </c>
      <c r="N1219" t="s">
        <v>164</v>
      </c>
      <c r="O1219">
        <v>2004</v>
      </c>
      <c r="P1219" t="s">
        <v>9570</v>
      </c>
      <c r="Q1219" t="s">
        <v>9571</v>
      </c>
      <c r="R1219">
        <v>35540</v>
      </c>
      <c r="S1219" t="s">
        <v>9568</v>
      </c>
      <c r="T1219" t="s">
        <v>9572</v>
      </c>
      <c r="U1219">
        <v>1985</v>
      </c>
      <c r="V1219" t="s">
        <v>9573</v>
      </c>
      <c r="W1219">
        <v>1.8</v>
      </c>
      <c r="X1219" t="s">
        <v>76</v>
      </c>
      <c r="Y1219" t="s">
        <v>123</v>
      </c>
      <c r="Z1219" t="s">
        <v>87</v>
      </c>
      <c r="AA1219" t="s">
        <v>476</v>
      </c>
      <c r="AB1219" s="1">
        <v>44933</v>
      </c>
      <c r="AC1219" t="s">
        <v>108</v>
      </c>
      <c r="AD1219" t="s">
        <v>89</v>
      </c>
      <c r="AE1219" t="s">
        <v>6724</v>
      </c>
      <c r="AF1219">
        <v>20</v>
      </c>
      <c r="AG1219" t="s">
        <v>91</v>
      </c>
      <c r="AH1219">
        <v>39723</v>
      </c>
      <c r="AI1219">
        <v>22</v>
      </c>
      <c r="AJ1219" t="s">
        <v>110</v>
      </c>
      <c r="AK1219">
        <v>20</v>
      </c>
      <c r="AL1219">
        <v>3</v>
      </c>
      <c r="AM1219">
        <v>152</v>
      </c>
      <c r="AN1219">
        <v>22</v>
      </c>
      <c r="AO1219">
        <v>3</v>
      </c>
      <c r="AP1219" t="s">
        <v>93</v>
      </c>
      <c r="AQ1219" t="s">
        <v>89</v>
      </c>
      <c r="AR1219" t="s">
        <v>89</v>
      </c>
      <c r="AS1219" t="s">
        <v>93</v>
      </c>
      <c r="AT1219" t="s">
        <v>89</v>
      </c>
      <c r="AU1219" t="s">
        <v>89</v>
      </c>
      <c r="AV1219" t="s">
        <v>89</v>
      </c>
      <c r="AW1219">
        <v>21</v>
      </c>
      <c r="AX1219" t="s">
        <v>89</v>
      </c>
      <c r="AY1219" t="s">
        <v>93</v>
      </c>
      <c r="AZ1219">
        <v>0</v>
      </c>
      <c r="BA1219">
        <v>0</v>
      </c>
      <c r="BB1219">
        <v>0</v>
      </c>
      <c r="BC1219">
        <v>0</v>
      </c>
      <c r="BD1219">
        <v>433</v>
      </c>
      <c r="BE1219">
        <v>26400</v>
      </c>
      <c r="BF1219">
        <v>88</v>
      </c>
      <c r="BG1219" t="s">
        <v>89</v>
      </c>
      <c r="BH1219">
        <v>433</v>
      </c>
      <c r="BI1219">
        <v>26400</v>
      </c>
      <c r="BJ1219">
        <v>88</v>
      </c>
      <c r="BK1219">
        <f t="shared" ref="BK1219:BK1264" si="173">+BA1219+BD1219</f>
        <v>433</v>
      </c>
      <c r="BL1219">
        <f t="shared" ref="BL1219:BL1264" si="174">+BB1219+BE1219</f>
        <v>26400</v>
      </c>
      <c r="BM1219">
        <f t="shared" ref="BM1219:BM1264" si="175">+BC1219+BF1219</f>
        <v>88</v>
      </c>
      <c r="BN1219">
        <f t="shared" ref="BN1219:BN1264" si="176">+BK1219-BH1219</f>
        <v>0</v>
      </c>
      <c r="BO1219">
        <f t="shared" ref="BO1219:BO1264" si="177">+BL1219-BI1219</f>
        <v>0</v>
      </c>
      <c r="BP1219">
        <f t="shared" ref="BP1219:BP1264" si="178">+BM1219-BJ1219</f>
        <v>0</v>
      </c>
      <c r="BQ1219" t="s">
        <v>123</v>
      </c>
      <c r="BR1219" t="s">
        <v>112</v>
      </c>
      <c r="BS1219" s="1">
        <v>31106</v>
      </c>
      <c r="BT1219">
        <v>40</v>
      </c>
      <c r="BU1219" t="s">
        <v>89</v>
      </c>
      <c r="BV1219" t="s">
        <v>89</v>
      </c>
      <c r="BW1219">
        <v>20</v>
      </c>
      <c r="BX1219">
        <v>1985</v>
      </c>
      <c r="BY1219">
        <v>20</v>
      </c>
      <c r="BZ1219">
        <f t="shared" ref="BZ1219:BZ1264" si="179">+AW1219-BW1219</f>
        <v>1</v>
      </c>
      <c r="CA1219">
        <f t="shared" ref="CA1219:CA1264" si="180">+BW1219-BY1219</f>
        <v>0</v>
      </c>
      <c r="CB1219" t="b">
        <f t="shared" ref="CB1219:CB1264" si="181">+BW1219=AW1219</f>
        <v>0</v>
      </c>
    </row>
    <row r="1220" spans="1:80" x14ac:dyDescent="0.3">
      <c r="A1220" t="s">
        <v>9574</v>
      </c>
      <c r="B1220" t="s">
        <v>71</v>
      </c>
      <c r="C1220" t="s">
        <v>9575</v>
      </c>
      <c r="D1220">
        <v>37</v>
      </c>
      <c r="E1220" s="1">
        <v>32154</v>
      </c>
      <c r="F1220" t="s">
        <v>89</v>
      </c>
      <c r="G1220" t="s">
        <v>160</v>
      </c>
      <c r="H1220" t="s">
        <v>89</v>
      </c>
      <c r="I1220" t="s">
        <v>253</v>
      </c>
      <c r="J1220" t="s">
        <v>78</v>
      </c>
      <c r="K1220" t="s">
        <v>89</v>
      </c>
      <c r="L1220" t="s">
        <v>254</v>
      </c>
      <c r="M1220">
        <v>21</v>
      </c>
      <c r="N1220" t="s">
        <v>1609</v>
      </c>
      <c r="O1220">
        <v>2009</v>
      </c>
      <c r="P1220" t="s">
        <v>9576</v>
      </c>
      <c r="Q1220" t="s">
        <v>9577</v>
      </c>
      <c r="R1220">
        <v>92813</v>
      </c>
      <c r="S1220" t="s">
        <v>9574</v>
      </c>
      <c r="T1220">
        <v>32478</v>
      </c>
      <c r="U1220">
        <v>1988</v>
      </c>
      <c r="V1220" t="s">
        <v>361</v>
      </c>
      <c r="W1220">
        <v>1.77</v>
      </c>
      <c r="X1220" t="s">
        <v>76</v>
      </c>
      <c r="Y1220" t="s">
        <v>86</v>
      </c>
      <c r="Z1220" t="s">
        <v>87</v>
      </c>
      <c r="AA1220" t="s">
        <v>9578</v>
      </c>
      <c r="AB1220" s="1">
        <v>44933</v>
      </c>
      <c r="AC1220" t="s">
        <v>108</v>
      </c>
      <c r="AD1220" t="s">
        <v>89</v>
      </c>
      <c r="AE1220" t="s">
        <v>4897</v>
      </c>
      <c r="AF1220">
        <v>24</v>
      </c>
      <c r="AG1220" t="s">
        <v>91</v>
      </c>
      <c r="AH1220">
        <v>39942</v>
      </c>
      <c r="AI1220">
        <v>21</v>
      </c>
      <c r="AJ1220" t="s">
        <v>110</v>
      </c>
      <c r="AK1220">
        <v>21</v>
      </c>
      <c r="AL1220">
        <v>5</v>
      </c>
      <c r="AM1220">
        <v>221</v>
      </c>
      <c r="AN1220">
        <v>30</v>
      </c>
      <c r="AO1220">
        <v>5</v>
      </c>
      <c r="AP1220" t="s">
        <v>93</v>
      </c>
      <c r="AQ1220" t="s">
        <v>89</v>
      </c>
      <c r="AR1220" t="s">
        <v>89</v>
      </c>
      <c r="AS1220" t="s">
        <v>111</v>
      </c>
      <c r="AT1220">
        <v>44933</v>
      </c>
      <c r="AU1220">
        <v>2023</v>
      </c>
      <c r="AV1220">
        <v>14</v>
      </c>
      <c r="AW1220">
        <v>14</v>
      </c>
      <c r="AX1220" t="s">
        <v>89</v>
      </c>
      <c r="AY1220" t="s">
        <v>93</v>
      </c>
      <c r="AZ1220">
        <v>0</v>
      </c>
      <c r="BA1220">
        <v>0</v>
      </c>
      <c r="BB1220">
        <v>0</v>
      </c>
      <c r="BC1220">
        <v>0</v>
      </c>
      <c r="BD1220">
        <v>207</v>
      </c>
      <c r="BE1220">
        <v>13570</v>
      </c>
      <c r="BF1220">
        <v>18</v>
      </c>
      <c r="BG1220">
        <v>35</v>
      </c>
      <c r="BH1220">
        <v>207</v>
      </c>
      <c r="BI1220">
        <v>13570</v>
      </c>
      <c r="BJ1220">
        <v>18</v>
      </c>
      <c r="BK1220">
        <f t="shared" si="173"/>
        <v>207</v>
      </c>
      <c r="BL1220">
        <f t="shared" si="174"/>
        <v>13570</v>
      </c>
      <c r="BM1220">
        <f t="shared" si="175"/>
        <v>18</v>
      </c>
      <c r="BN1220">
        <f t="shared" si="176"/>
        <v>0</v>
      </c>
      <c r="BO1220">
        <f t="shared" si="177"/>
        <v>0</v>
      </c>
      <c r="BP1220">
        <f t="shared" si="178"/>
        <v>0</v>
      </c>
      <c r="BQ1220" t="s">
        <v>86</v>
      </c>
      <c r="BR1220" t="s">
        <v>94</v>
      </c>
      <c r="BS1220" t="s">
        <v>89</v>
      </c>
      <c r="BT1220">
        <v>38</v>
      </c>
      <c r="BU1220">
        <v>44933</v>
      </c>
      <c r="BV1220" t="s">
        <v>89</v>
      </c>
      <c r="BW1220">
        <v>14</v>
      </c>
      <c r="BX1220">
        <v>1988</v>
      </c>
      <c r="BY1220">
        <v>14</v>
      </c>
      <c r="BZ1220">
        <f t="shared" si="179"/>
        <v>0</v>
      </c>
      <c r="CA1220">
        <f t="shared" si="180"/>
        <v>0</v>
      </c>
      <c r="CB1220" t="b">
        <f t="shared" si="181"/>
        <v>1</v>
      </c>
    </row>
    <row r="1221" spans="1:80" x14ac:dyDescent="0.3">
      <c r="A1221" t="s">
        <v>9579</v>
      </c>
      <c r="B1221" t="s">
        <v>71</v>
      </c>
      <c r="C1221" t="s">
        <v>9580</v>
      </c>
      <c r="D1221">
        <v>36</v>
      </c>
      <c r="E1221" s="1">
        <v>32712</v>
      </c>
      <c r="F1221" t="s">
        <v>89</v>
      </c>
      <c r="G1221" t="s">
        <v>535</v>
      </c>
      <c r="H1221" t="s">
        <v>89</v>
      </c>
      <c r="I1221" t="s">
        <v>386</v>
      </c>
      <c r="J1221" t="s">
        <v>78</v>
      </c>
      <c r="K1221" t="s">
        <v>89</v>
      </c>
      <c r="L1221" t="s">
        <v>80</v>
      </c>
      <c r="M1221">
        <v>23</v>
      </c>
      <c r="N1221" t="s">
        <v>508</v>
      </c>
      <c r="O1221">
        <v>2012</v>
      </c>
      <c r="P1221" t="s">
        <v>9581</v>
      </c>
      <c r="Q1221" t="s">
        <v>9582</v>
      </c>
      <c r="R1221">
        <v>129753</v>
      </c>
      <c r="S1221" t="s">
        <v>9579</v>
      </c>
      <c r="T1221" t="s">
        <v>9583</v>
      </c>
      <c r="U1221">
        <v>1989</v>
      </c>
      <c r="V1221" t="s">
        <v>1958</v>
      </c>
      <c r="W1221">
        <v>1.7</v>
      </c>
      <c r="X1221" t="s">
        <v>76</v>
      </c>
      <c r="Y1221" t="s">
        <v>106</v>
      </c>
      <c r="Z1221" t="s">
        <v>87</v>
      </c>
      <c r="AA1221" t="s">
        <v>717</v>
      </c>
      <c r="AB1221" t="s">
        <v>5439</v>
      </c>
      <c r="AC1221" t="s">
        <v>108</v>
      </c>
      <c r="AD1221" t="s">
        <v>89</v>
      </c>
      <c r="AE1221" t="s">
        <v>927</v>
      </c>
      <c r="AF1221">
        <v>23</v>
      </c>
      <c r="AG1221" t="s">
        <v>91</v>
      </c>
      <c r="AH1221" t="s">
        <v>421</v>
      </c>
      <c r="AI1221">
        <v>24</v>
      </c>
      <c r="AJ1221" t="s">
        <v>110</v>
      </c>
      <c r="AK1221">
        <v>23</v>
      </c>
      <c r="AL1221">
        <v>9</v>
      </c>
      <c r="AM1221">
        <v>377</v>
      </c>
      <c r="AN1221">
        <v>48</v>
      </c>
      <c r="AO1221">
        <v>6</v>
      </c>
      <c r="AP1221" t="s">
        <v>93</v>
      </c>
      <c r="AQ1221" t="s">
        <v>89</v>
      </c>
      <c r="AR1221" t="s">
        <v>89</v>
      </c>
      <c r="AS1221" t="s">
        <v>111</v>
      </c>
      <c r="AT1221" t="s">
        <v>5439</v>
      </c>
      <c r="AU1221">
        <v>2024</v>
      </c>
      <c r="AV1221">
        <v>12</v>
      </c>
      <c r="AW1221">
        <v>12</v>
      </c>
      <c r="AX1221" t="s">
        <v>89</v>
      </c>
      <c r="AY1221" t="s">
        <v>93</v>
      </c>
      <c r="AZ1221">
        <v>0</v>
      </c>
      <c r="BA1221">
        <v>0</v>
      </c>
      <c r="BB1221">
        <v>0</v>
      </c>
      <c r="BC1221">
        <v>0</v>
      </c>
      <c r="BD1221">
        <v>262</v>
      </c>
      <c r="BE1221">
        <v>15854</v>
      </c>
      <c r="BF1221">
        <v>29</v>
      </c>
      <c r="BG1221">
        <v>35</v>
      </c>
      <c r="BH1221">
        <v>262</v>
      </c>
      <c r="BI1221">
        <v>15854</v>
      </c>
      <c r="BJ1221">
        <v>29</v>
      </c>
      <c r="BK1221">
        <f t="shared" si="173"/>
        <v>262</v>
      </c>
      <c r="BL1221">
        <f t="shared" si="174"/>
        <v>15854</v>
      </c>
      <c r="BM1221">
        <f t="shared" si="175"/>
        <v>29</v>
      </c>
      <c r="BN1221">
        <f t="shared" si="176"/>
        <v>0</v>
      </c>
      <c r="BO1221">
        <f t="shared" si="177"/>
        <v>0</v>
      </c>
      <c r="BP1221">
        <f t="shared" si="178"/>
        <v>0</v>
      </c>
      <c r="BQ1221" t="s">
        <v>106</v>
      </c>
      <c r="BR1221" t="s">
        <v>112</v>
      </c>
      <c r="BS1221" s="1">
        <v>32712</v>
      </c>
      <c r="BT1221">
        <v>36</v>
      </c>
      <c r="BU1221" t="s">
        <v>5439</v>
      </c>
      <c r="BV1221" s="1">
        <v>45526</v>
      </c>
      <c r="BW1221">
        <v>12</v>
      </c>
      <c r="BX1221">
        <v>1989</v>
      </c>
      <c r="BY1221">
        <v>12</v>
      </c>
      <c r="BZ1221">
        <f t="shared" si="179"/>
        <v>0</v>
      </c>
      <c r="CA1221">
        <f t="shared" si="180"/>
        <v>0</v>
      </c>
      <c r="CB1221" t="b">
        <f t="shared" si="181"/>
        <v>1</v>
      </c>
    </row>
    <row r="1222" spans="1:80" x14ac:dyDescent="0.3">
      <c r="A1222" t="s">
        <v>9584</v>
      </c>
      <c r="B1222" t="s">
        <v>71</v>
      </c>
      <c r="C1222" t="s">
        <v>9585</v>
      </c>
      <c r="D1222">
        <v>36</v>
      </c>
      <c r="E1222">
        <v>32533</v>
      </c>
      <c r="F1222" t="s">
        <v>89</v>
      </c>
      <c r="G1222" t="s">
        <v>176</v>
      </c>
      <c r="H1222" t="s">
        <v>76</v>
      </c>
      <c r="I1222" t="s">
        <v>9586</v>
      </c>
      <c r="J1222" t="s">
        <v>300</v>
      </c>
      <c r="K1222" t="s">
        <v>89</v>
      </c>
      <c r="L1222" t="s">
        <v>254</v>
      </c>
      <c r="M1222">
        <v>20</v>
      </c>
      <c r="N1222" t="s">
        <v>146</v>
      </c>
      <c r="O1222">
        <v>2009</v>
      </c>
      <c r="P1222" t="s">
        <v>9587</v>
      </c>
      <c r="Q1222" t="s">
        <v>9588</v>
      </c>
      <c r="R1222">
        <v>62920</v>
      </c>
      <c r="S1222" t="s">
        <v>9584</v>
      </c>
      <c r="T1222" t="s">
        <v>9589</v>
      </c>
      <c r="U1222">
        <v>1989</v>
      </c>
      <c r="V1222" t="s">
        <v>9590</v>
      </c>
      <c r="W1222">
        <v>1.84</v>
      </c>
      <c r="X1222" t="s">
        <v>76</v>
      </c>
      <c r="Y1222" t="s">
        <v>235</v>
      </c>
      <c r="Z1222" t="s">
        <v>152</v>
      </c>
      <c r="AA1222" t="s">
        <v>146</v>
      </c>
      <c r="AB1222" s="1">
        <v>45298</v>
      </c>
      <c r="AC1222" t="s">
        <v>108</v>
      </c>
      <c r="AD1222" t="s">
        <v>223</v>
      </c>
      <c r="AE1222" s="1">
        <v>39976</v>
      </c>
      <c r="AF1222">
        <v>20</v>
      </c>
      <c r="AG1222" t="s">
        <v>91</v>
      </c>
      <c r="AH1222" t="s">
        <v>7212</v>
      </c>
      <c r="AI1222">
        <v>34</v>
      </c>
      <c r="AJ1222" t="s">
        <v>110</v>
      </c>
      <c r="AK1222">
        <v>20</v>
      </c>
      <c r="AL1222">
        <v>16</v>
      </c>
      <c r="AM1222">
        <v>334</v>
      </c>
      <c r="AN1222">
        <v>64</v>
      </c>
      <c r="AO1222">
        <v>8</v>
      </c>
      <c r="AP1222" t="s">
        <v>93</v>
      </c>
      <c r="AQ1222" t="s">
        <v>89</v>
      </c>
      <c r="AR1222" t="s">
        <v>89</v>
      </c>
      <c r="AS1222" t="s">
        <v>111</v>
      </c>
      <c r="AT1222">
        <v>45298</v>
      </c>
      <c r="AU1222">
        <v>2024</v>
      </c>
      <c r="AV1222">
        <v>15</v>
      </c>
      <c r="AW1222">
        <v>15</v>
      </c>
      <c r="AX1222" t="s">
        <v>89</v>
      </c>
      <c r="AY1222" t="s">
        <v>93</v>
      </c>
      <c r="AZ1222">
        <v>0</v>
      </c>
      <c r="BA1222">
        <v>0</v>
      </c>
      <c r="BB1222">
        <v>0</v>
      </c>
      <c r="BC1222">
        <v>0</v>
      </c>
      <c r="BD1222">
        <v>414</v>
      </c>
      <c r="BE1222">
        <v>34245</v>
      </c>
      <c r="BF1222">
        <v>9</v>
      </c>
      <c r="BG1222">
        <v>35</v>
      </c>
      <c r="BH1222">
        <v>414</v>
      </c>
      <c r="BI1222">
        <v>34245</v>
      </c>
      <c r="BJ1222">
        <v>9</v>
      </c>
      <c r="BK1222">
        <f t="shared" si="173"/>
        <v>414</v>
      </c>
      <c r="BL1222">
        <f t="shared" si="174"/>
        <v>34245</v>
      </c>
      <c r="BM1222">
        <f t="shared" si="175"/>
        <v>9</v>
      </c>
      <c r="BN1222">
        <f t="shared" si="176"/>
        <v>0</v>
      </c>
      <c r="BO1222">
        <f t="shared" si="177"/>
        <v>0</v>
      </c>
      <c r="BP1222">
        <f t="shared" si="178"/>
        <v>0</v>
      </c>
      <c r="BQ1222" t="s">
        <v>235</v>
      </c>
      <c r="BR1222" t="s">
        <v>140</v>
      </c>
      <c r="BS1222" s="1">
        <v>32533</v>
      </c>
      <c r="BT1222">
        <v>37</v>
      </c>
      <c r="BU1222">
        <v>45298</v>
      </c>
      <c r="BV1222" t="s">
        <v>89</v>
      </c>
      <c r="BW1222">
        <v>15</v>
      </c>
      <c r="BX1222">
        <v>1989</v>
      </c>
      <c r="BY1222">
        <v>15</v>
      </c>
      <c r="BZ1222">
        <f t="shared" si="179"/>
        <v>0</v>
      </c>
      <c r="CA1222">
        <f t="shared" si="180"/>
        <v>0</v>
      </c>
      <c r="CB1222" t="b">
        <f t="shared" si="181"/>
        <v>1</v>
      </c>
    </row>
    <row r="1223" spans="1:80" x14ac:dyDescent="0.3">
      <c r="A1223" t="s">
        <v>9591</v>
      </c>
      <c r="B1223" t="s">
        <v>71</v>
      </c>
      <c r="C1223" t="s">
        <v>9592</v>
      </c>
      <c r="D1223">
        <v>37</v>
      </c>
      <c r="E1223">
        <v>32028</v>
      </c>
      <c r="F1223" t="s">
        <v>89</v>
      </c>
      <c r="G1223" t="s">
        <v>211</v>
      </c>
      <c r="H1223" t="s">
        <v>89</v>
      </c>
      <c r="I1223" t="s">
        <v>9593</v>
      </c>
      <c r="J1223" t="s">
        <v>78</v>
      </c>
      <c r="K1223" t="s">
        <v>89</v>
      </c>
      <c r="L1223" t="s">
        <v>180</v>
      </c>
      <c r="M1223">
        <v>19</v>
      </c>
      <c r="N1223" t="s">
        <v>644</v>
      </c>
      <c r="O1223">
        <v>2007</v>
      </c>
      <c r="P1223" t="s">
        <v>9594</v>
      </c>
      <c r="Q1223" t="s">
        <v>9595</v>
      </c>
      <c r="R1223">
        <v>63290</v>
      </c>
      <c r="S1223" t="s">
        <v>9591</v>
      </c>
      <c r="T1223" t="s">
        <v>530</v>
      </c>
      <c r="U1223">
        <v>1987</v>
      </c>
      <c r="V1223" t="s">
        <v>640</v>
      </c>
      <c r="W1223">
        <v>1.74</v>
      </c>
      <c r="X1223" t="s">
        <v>76</v>
      </c>
      <c r="Y1223" t="s">
        <v>86</v>
      </c>
      <c r="Z1223" t="s">
        <v>87</v>
      </c>
      <c r="AA1223" t="s">
        <v>323</v>
      </c>
      <c r="AB1223" s="1">
        <v>44568</v>
      </c>
      <c r="AC1223" t="s">
        <v>108</v>
      </c>
      <c r="AD1223" t="s">
        <v>89</v>
      </c>
      <c r="AE1223" t="s">
        <v>4990</v>
      </c>
      <c r="AF1223">
        <v>20</v>
      </c>
      <c r="AG1223" t="s">
        <v>91</v>
      </c>
      <c r="AH1223" t="s">
        <v>9596</v>
      </c>
      <c r="AI1223">
        <v>34</v>
      </c>
      <c r="AJ1223" t="s">
        <v>110</v>
      </c>
      <c r="AK1223">
        <v>20</v>
      </c>
      <c r="AL1223">
        <v>11</v>
      </c>
      <c r="AM1223">
        <v>282</v>
      </c>
      <c r="AN1223">
        <v>38</v>
      </c>
      <c r="AO1223">
        <v>6</v>
      </c>
      <c r="AP1223" t="s">
        <v>93</v>
      </c>
      <c r="AQ1223" t="s">
        <v>89</v>
      </c>
      <c r="AR1223" t="s">
        <v>89</v>
      </c>
      <c r="AS1223" t="s">
        <v>111</v>
      </c>
      <c r="AT1223">
        <v>44568</v>
      </c>
      <c r="AU1223">
        <v>2022</v>
      </c>
      <c r="AV1223">
        <v>15</v>
      </c>
      <c r="AW1223">
        <v>15</v>
      </c>
      <c r="AX1223" t="s">
        <v>89</v>
      </c>
      <c r="AY1223" t="s">
        <v>93</v>
      </c>
      <c r="AZ1223">
        <v>0</v>
      </c>
      <c r="BA1223">
        <v>0</v>
      </c>
      <c r="BB1223">
        <v>0</v>
      </c>
      <c r="BC1223">
        <v>0</v>
      </c>
      <c r="BD1223">
        <v>366</v>
      </c>
      <c r="BE1223">
        <v>27270</v>
      </c>
      <c r="BF1223">
        <v>19</v>
      </c>
      <c r="BG1223">
        <v>35</v>
      </c>
      <c r="BH1223">
        <v>366</v>
      </c>
      <c r="BI1223">
        <v>27270</v>
      </c>
      <c r="BJ1223">
        <v>19</v>
      </c>
      <c r="BK1223">
        <f t="shared" si="173"/>
        <v>366</v>
      </c>
      <c r="BL1223">
        <f t="shared" si="174"/>
        <v>27270</v>
      </c>
      <c r="BM1223">
        <f t="shared" si="175"/>
        <v>19</v>
      </c>
      <c r="BN1223">
        <f t="shared" si="176"/>
        <v>0</v>
      </c>
      <c r="BO1223">
        <f t="shared" si="177"/>
        <v>0</v>
      </c>
      <c r="BP1223">
        <f t="shared" si="178"/>
        <v>0</v>
      </c>
      <c r="BQ1223" t="s">
        <v>86</v>
      </c>
      <c r="BR1223" t="s">
        <v>94</v>
      </c>
      <c r="BS1223" t="s">
        <v>89</v>
      </c>
      <c r="BT1223">
        <v>39</v>
      </c>
      <c r="BU1223">
        <v>44568</v>
      </c>
      <c r="BV1223" t="s">
        <v>89</v>
      </c>
      <c r="BW1223">
        <v>15</v>
      </c>
      <c r="BX1223">
        <v>1987</v>
      </c>
      <c r="BY1223">
        <v>15</v>
      </c>
      <c r="BZ1223">
        <f t="shared" si="179"/>
        <v>0</v>
      </c>
      <c r="CA1223">
        <f t="shared" si="180"/>
        <v>0</v>
      </c>
      <c r="CB1223" t="b">
        <f t="shared" si="181"/>
        <v>1</v>
      </c>
    </row>
    <row r="1224" spans="1:80" x14ac:dyDescent="0.3">
      <c r="A1224" t="s">
        <v>9597</v>
      </c>
      <c r="B1224" t="s">
        <v>71</v>
      </c>
      <c r="C1224" t="s">
        <v>9598</v>
      </c>
      <c r="D1224">
        <v>43</v>
      </c>
      <c r="E1224" s="1">
        <v>29965</v>
      </c>
      <c r="F1224" t="s">
        <v>89</v>
      </c>
      <c r="G1224" t="s">
        <v>413</v>
      </c>
      <c r="H1224" t="s">
        <v>76</v>
      </c>
      <c r="I1224" t="s">
        <v>178</v>
      </c>
      <c r="J1224" t="s">
        <v>78</v>
      </c>
      <c r="K1224" t="s">
        <v>89</v>
      </c>
      <c r="L1224" t="s">
        <v>845</v>
      </c>
      <c r="M1224">
        <v>20</v>
      </c>
      <c r="N1224" t="s">
        <v>644</v>
      </c>
      <c r="O1224">
        <v>2002</v>
      </c>
      <c r="P1224" t="s">
        <v>9599</v>
      </c>
      <c r="Q1224" t="s">
        <v>9600</v>
      </c>
      <c r="R1224">
        <v>7589</v>
      </c>
      <c r="S1224" t="s">
        <v>9597</v>
      </c>
      <c r="T1224" t="s">
        <v>9601</v>
      </c>
      <c r="U1224">
        <v>1982</v>
      </c>
      <c r="V1224" t="s">
        <v>9602</v>
      </c>
      <c r="W1224">
        <v>1.83</v>
      </c>
      <c r="X1224" t="s">
        <v>76</v>
      </c>
      <c r="Y1224" t="s">
        <v>186</v>
      </c>
      <c r="Z1224" t="s">
        <v>87</v>
      </c>
      <c r="AA1224" t="s">
        <v>2482</v>
      </c>
      <c r="AB1224" t="s">
        <v>9603</v>
      </c>
      <c r="AC1224" t="s">
        <v>108</v>
      </c>
      <c r="AD1224" t="s">
        <v>89</v>
      </c>
      <c r="AE1224">
        <v>37265</v>
      </c>
      <c r="AF1224">
        <v>20</v>
      </c>
      <c r="AG1224" t="s">
        <v>91</v>
      </c>
      <c r="AH1224" t="s">
        <v>92</v>
      </c>
      <c r="AI1224" t="s">
        <v>89</v>
      </c>
      <c r="AJ1224" t="s">
        <v>92</v>
      </c>
      <c r="AK1224">
        <v>20</v>
      </c>
      <c r="AL1224">
        <v>5</v>
      </c>
      <c r="AM1224">
        <v>332</v>
      </c>
      <c r="AN1224">
        <v>34</v>
      </c>
      <c r="AO1224">
        <v>4</v>
      </c>
      <c r="AP1224" t="s">
        <v>93</v>
      </c>
      <c r="AQ1224" t="s">
        <v>89</v>
      </c>
      <c r="AR1224" t="s">
        <v>89</v>
      </c>
      <c r="AS1224" t="s">
        <v>111</v>
      </c>
      <c r="AT1224" t="s">
        <v>9603</v>
      </c>
      <c r="AU1224">
        <v>2017</v>
      </c>
      <c r="AV1224">
        <v>15</v>
      </c>
      <c r="AW1224">
        <v>15</v>
      </c>
      <c r="AX1224" t="s">
        <v>89</v>
      </c>
      <c r="AY1224" t="s">
        <v>111</v>
      </c>
      <c r="AZ1224">
        <v>6</v>
      </c>
      <c r="BA1224">
        <v>6</v>
      </c>
      <c r="BB1224">
        <v>495</v>
      </c>
      <c r="BC1224">
        <v>0</v>
      </c>
      <c r="BD1224">
        <v>534</v>
      </c>
      <c r="BE1224">
        <v>47848</v>
      </c>
      <c r="BF1224">
        <v>0</v>
      </c>
      <c r="BG1224">
        <v>35</v>
      </c>
      <c r="BH1224">
        <v>540</v>
      </c>
      <c r="BI1224">
        <v>48343</v>
      </c>
      <c r="BJ1224">
        <v>0</v>
      </c>
      <c r="BK1224">
        <f t="shared" si="173"/>
        <v>540</v>
      </c>
      <c r="BL1224">
        <f t="shared" si="174"/>
        <v>48343</v>
      </c>
      <c r="BM1224">
        <f t="shared" si="175"/>
        <v>0</v>
      </c>
      <c r="BN1224">
        <f t="shared" si="176"/>
        <v>0</v>
      </c>
      <c r="BO1224">
        <f t="shared" si="177"/>
        <v>0</v>
      </c>
      <c r="BP1224">
        <f t="shared" si="178"/>
        <v>0</v>
      </c>
      <c r="BQ1224" t="s">
        <v>186</v>
      </c>
      <c r="BR1224" t="s">
        <v>186</v>
      </c>
      <c r="BS1224" s="1">
        <v>29965</v>
      </c>
      <c r="BT1224">
        <v>44</v>
      </c>
      <c r="BU1224" t="s">
        <v>9603</v>
      </c>
      <c r="BV1224" s="1">
        <v>42964</v>
      </c>
      <c r="BW1224">
        <v>15</v>
      </c>
      <c r="BX1224">
        <v>1982</v>
      </c>
      <c r="BY1224">
        <v>15</v>
      </c>
      <c r="BZ1224">
        <f t="shared" si="179"/>
        <v>0</v>
      </c>
      <c r="CA1224">
        <f t="shared" si="180"/>
        <v>0</v>
      </c>
      <c r="CB1224" t="b">
        <f t="shared" si="181"/>
        <v>1</v>
      </c>
    </row>
    <row r="1225" spans="1:80" x14ac:dyDescent="0.3">
      <c r="A1225" t="s">
        <v>9604</v>
      </c>
      <c r="B1225" t="s">
        <v>6296</v>
      </c>
      <c r="C1225" t="s">
        <v>9605</v>
      </c>
      <c r="D1225">
        <v>38</v>
      </c>
      <c r="E1225" s="1">
        <v>31695</v>
      </c>
      <c r="F1225" t="s">
        <v>89</v>
      </c>
      <c r="G1225" t="s">
        <v>226</v>
      </c>
      <c r="H1225" t="s">
        <v>6298</v>
      </c>
      <c r="I1225" t="s">
        <v>243</v>
      </c>
      <c r="J1225" t="s">
        <v>78</v>
      </c>
      <c r="K1225" t="s">
        <v>89</v>
      </c>
      <c r="L1225">
        <v>2008</v>
      </c>
      <c r="M1225">
        <v>21</v>
      </c>
      <c r="N1225" t="s">
        <v>8993</v>
      </c>
      <c r="O1225">
        <v>2008</v>
      </c>
      <c r="P1225" t="s">
        <v>9606</v>
      </c>
      <c r="Q1225" t="s">
        <v>9607</v>
      </c>
      <c r="R1225">
        <v>37247</v>
      </c>
      <c r="S1225" t="s">
        <v>9604</v>
      </c>
      <c r="T1225" s="1">
        <v>31695</v>
      </c>
      <c r="U1225">
        <v>1986</v>
      </c>
      <c r="V1225" t="s">
        <v>9608</v>
      </c>
      <c r="W1225" t="s">
        <v>89</v>
      </c>
      <c r="X1225" t="s">
        <v>6298</v>
      </c>
      <c r="Y1225" t="s">
        <v>235</v>
      </c>
      <c r="Z1225" t="s">
        <v>89</v>
      </c>
      <c r="AA1225" t="s">
        <v>9609</v>
      </c>
      <c r="AB1225" s="1">
        <v>43831</v>
      </c>
      <c r="AC1225" t="s">
        <v>108</v>
      </c>
      <c r="AD1225" t="s">
        <v>89</v>
      </c>
      <c r="AE1225" t="s">
        <v>9610</v>
      </c>
      <c r="AF1225">
        <v>21</v>
      </c>
      <c r="AG1225" t="s">
        <v>1360</v>
      </c>
      <c r="AH1225">
        <v>38325</v>
      </c>
      <c r="AI1225">
        <v>17</v>
      </c>
      <c r="AJ1225" t="s">
        <v>2148</v>
      </c>
      <c r="AK1225">
        <v>17</v>
      </c>
      <c r="AL1225">
        <v>1</v>
      </c>
      <c r="AM1225">
        <v>73</v>
      </c>
      <c r="AN1225">
        <v>10</v>
      </c>
      <c r="AO1225">
        <v>1</v>
      </c>
      <c r="AP1225" t="s">
        <v>93</v>
      </c>
      <c r="AQ1225" t="s">
        <v>89</v>
      </c>
      <c r="AR1225" t="s">
        <v>89</v>
      </c>
      <c r="AS1225" t="s">
        <v>111</v>
      </c>
      <c r="AT1225" s="1">
        <v>43831</v>
      </c>
      <c r="AU1225">
        <v>2020</v>
      </c>
      <c r="AV1225">
        <v>12</v>
      </c>
      <c r="AW1225">
        <v>17</v>
      </c>
      <c r="AX1225" t="s">
        <v>89</v>
      </c>
      <c r="AY1225" t="s">
        <v>111</v>
      </c>
      <c r="AZ1225">
        <v>2</v>
      </c>
      <c r="BA1225">
        <v>4</v>
      </c>
      <c r="BB1225">
        <v>288</v>
      </c>
      <c r="BC1225">
        <v>0</v>
      </c>
      <c r="BD1225">
        <v>221</v>
      </c>
      <c r="BE1225">
        <v>18684</v>
      </c>
      <c r="BF1225">
        <v>6</v>
      </c>
      <c r="BG1225">
        <v>34</v>
      </c>
      <c r="BH1225">
        <v>225</v>
      </c>
      <c r="BI1225">
        <v>18972</v>
      </c>
      <c r="BJ1225">
        <v>6</v>
      </c>
      <c r="BK1225">
        <f t="shared" si="173"/>
        <v>225</v>
      </c>
      <c r="BL1225">
        <f t="shared" si="174"/>
        <v>18972</v>
      </c>
      <c r="BM1225">
        <f t="shared" si="175"/>
        <v>6</v>
      </c>
      <c r="BN1225">
        <f t="shared" si="176"/>
        <v>0</v>
      </c>
      <c r="BO1225">
        <f t="shared" si="177"/>
        <v>0</v>
      </c>
      <c r="BP1225">
        <f t="shared" si="178"/>
        <v>0</v>
      </c>
      <c r="BQ1225" t="s">
        <v>235</v>
      </c>
      <c r="BR1225" t="s">
        <v>140</v>
      </c>
      <c r="BS1225" s="1">
        <v>31695</v>
      </c>
      <c r="BT1225">
        <v>39</v>
      </c>
      <c r="BU1225" s="1">
        <v>43831</v>
      </c>
      <c r="BV1225" s="1">
        <v>43831</v>
      </c>
      <c r="BW1225">
        <v>17</v>
      </c>
      <c r="BX1225">
        <v>1986</v>
      </c>
      <c r="BY1225">
        <v>17</v>
      </c>
      <c r="BZ1225">
        <f t="shared" si="179"/>
        <v>0</v>
      </c>
      <c r="CA1225">
        <f t="shared" si="180"/>
        <v>0</v>
      </c>
      <c r="CB1225" t="b">
        <f t="shared" si="181"/>
        <v>1</v>
      </c>
    </row>
    <row r="1226" spans="1:80" x14ac:dyDescent="0.3">
      <c r="A1226" t="s">
        <v>9611</v>
      </c>
      <c r="B1226" t="s">
        <v>9612</v>
      </c>
      <c r="C1226" t="s">
        <v>9613</v>
      </c>
      <c r="D1226">
        <v>37</v>
      </c>
      <c r="E1226">
        <v>32101</v>
      </c>
      <c r="F1226" t="s">
        <v>89</v>
      </c>
      <c r="G1226" t="s">
        <v>400</v>
      </c>
      <c r="H1226" t="s">
        <v>9614</v>
      </c>
      <c r="I1226" t="s">
        <v>386</v>
      </c>
      <c r="J1226" t="s">
        <v>639</v>
      </c>
      <c r="K1226" t="s">
        <v>89</v>
      </c>
      <c r="L1226" t="s">
        <v>130</v>
      </c>
      <c r="M1226">
        <v>20</v>
      </c>
      <c r="N1226" t="s">
        <v>9615</v>
      </c>
      <c r="O1226">
        <v>2008</v>
      </c>
      <c r="P1226" t="s">
        <v>9616</v>
      </c>
      <c r="Q1226" t="s">
        <v>9617</v>
      </c>
      <c r="R1226">
        <v>33535</v>
      </c>
      <c r="S1226" t="s">
        <v>9611</v>
      </c>
      <c r="T1226" t="s">
        <v>9618</v>
      </c>
      <c r="U1226">
        <v>1987</v>
      </c>
      <c r="V1226" t="s">
        <v>9619</v>
      </c>
      <c r="W1226">
        <v>1.82</v>
      </c>
      <c r="X1226" t="s">
        <v>9620</v>
      </c>
      <c r="Y1226" t="s">
        <v>391</v>
      </c>
      <c r="Z1226" t="s">
        <v>392</v>
      </c>
      <c r="AA1226" t="s">
        <v>9621</v>
      </c>
      <c r="AB1226" s="1">
        <v>45298</v>
      </c>
      <c r="AC1226" t="s">
        <v>108</v>
      </c>
      <c r="AD1226" t="s">
        <v>89</v>
      </c>
      <c r="AE1226" t="s">
        <v>2888</v>
      </c>
      <c r="AF1226">
        <v>21</v>
      </c>
      <c r="AG1226" t="s">
        <v>2272</v>
      </c>
      <c r="AH1226" t="s">
        <v>9622</v>
      </c>
      <c r="AI1226">
        <v>20</v>
      </c>
      <c r="AJ1226" t="s">
        <v>250</v>
      </c>
      <c r="AK1226">
        <v>20</v>
      </c>
      <c r="AL1226">
        <v>13</v>
      </c>
      <c r="AM1226">
        <v>325</v>
      </c>
      <c r="AN1226">
        <v>45</v>
      </c>
      <c r="AO1226">
        <v>6</v>
      </c>
      <c r="AP1226" t="s">
        <v>93</v>
      </c>
      <c r="AQ1226" t="s">
        <v>89</v>
      </c>
      <c r="AR1226" t="s">
        <v>89</v>
      </c>
      <c r="AS1226" t="s">
        <v>93</v>
      </c>
      <c r="AT1226" t="s">
        <v>89</v>
      </c>
      <c r="AU1226" t="s">
        <v>89</v>
      </c>
      <c r="AV1226" t="s">
        <v>89</v>
      </c>
      <c r="AW1226">
        <v>17</v>
      </c>
      <c r="AX1226">
        <v>27</v>
      </c>
      <c r="AY1226" t="s">
        <v>111</v>
      </c>
      <c r="AZ1226">
        <v>4</v>
      </c>
      <c r="BA1226">
        <v>9</v>
      </c>
      <c r="BB1226">
        <v>559</v>
      </c>
      <c r="BC1226">
        <v>2</v>
      </c>
      <c r="BD1226">
        <v>259</v>
      </c>
      <c r="BE1226">
        <v>14658</v>
      </c>
      <c r="BF1226">
        <v>29</v>
      </c>
      <c r="BG1226" t="s">
        <v>89</v>
      </c>
      <c r="BH1226">
        <v>268</v>
      </c>
      <c r="BI1226">
        <v>15217</v>
      </c>
      <c r="BJ1226">
        <v>31</v>
      </c>
      <c r="BK1226">
        <f t="shared" si="173"/>
        <v>268</v>
      </c>
      <c r="BL1226">
        <f t="shared" si="174"/>
        <v>15217</v>
      </c>
      <c r="BM1226">
        <f t="shared" si="175"/>
        <v>31</v>
      </c>
      <c r="BN1226">
        <f t="shared" si="176"/>
        <v>0</v>
      </c>
      <c r="BO1226">
        <f t="shared" si="177"/>
        <v>0</v>
      </c>
      <c r="BP1226">
        <f t="shared" si="178"/>
        <v>0</v>
      </c>
      <c r="BQ1226" t="s">
        <v>391</v>
      </c>
      <c r="BR1226" t="s">
        <v>112</v>
      </c>
      <c r="BS1226" s="1">
        <v>32101</v>
      </c>
      <c r="BT1226">
        <v>38</v>
      </c>
      <c r="BU1226" t="s">
        <v>89</v>
      </c>
      <c r="BV1226" t="s">
        <v>89</v>
      </c>
      <c r="BW1226">
        <v>18</v>
      </c>
      <c r="BX1226">
        <v>1987</v>
      </c>
      <c r="BY1226">
        <v>17</v>
      </c>
      <c r="BZ1226">
        <f t="shared" si="179"/>
        <v>-1</v>
      </c>
      <c r="CA1226">
        <f t="shared" si="180"/>
        <v>1</v>
      </c>
      <c r="CB1226" t="b">
        <f t="shared" si="181"/>
        <v>0</v>
      </c>
    </row>
    <row r="1227" spans="1:80" x14ac:dyDescent="0.3">
      <c r="A1227" t="s">
        <v>9623</v>
      </c>
      <c r="B1227" t="s">
        <v>1640</v>
      </c>
      <c r="C1227" t="s">
        <v>9624</v>
      </c>
      <c r="D1227">
        <v>44</v>
      </c>
      <c r="E1227">
        <v>29699</v>
      </c>
      <c r="F1227" t="s">
        <v>89</v>
      </c>
      <c r="G1227" t="s">
        <v>176</v>
      </c>
      <c r="H1227" t="s">
        <v>9625</v>
      </c>
      <c r="I1227" t="s">
        <v>116</v>
      </c>
      <c r="J1227" t="s">
        <v>78</v>
      </c>
      <c r="K1227" t="s">
        <v>89</v>
      </c>
      <c r="L1227" t="s">
        <v>99</v>
      </c>
      <c r="M1227">
        <v>20</v>
      </c>
      <c r="N1227" t="s">
        <v>268</v>
      </c>
      <c r="O1227">
        <v>2001</v>
      </c>
      <c r="P1227" t="s">
        <v>9626</v>
      </c>
      <c r="Q1227" t="s">
        <v>9627</v>
      </c>
      <c r="R1227">
        <v>7528</v>
      </c>
      <c r="S1227" t="s">
        <v>9623</v>
      </c>
      <c r="T1227" t="s">
        <v>9628</v>
      </c>
      <c r="U1227">
        <v>1981</v>
      </c>
      <c r="V1227" t="s">
        <v>9629</v>
      </c>
      <c r="W1227">
        <v>1.84</v>
      </c>
      <c r="X1227" t="s">
        <v>9630</v>
      </c>
      <c r="Y1227" t="s">
        <v>494</v>
      </c>
      <c r="Z1227" t="s">
        <v>87</v>
      </c>
      <c r="AA1227" t="s">
        <v>8441</v>
      </c>
      <c r="AB1227" s="1">
        <v>43837</v>
      </c>
      <c r="AC1227" t="s">
        <v>108</v>
      </c>
      <c r="AD1227" t="s">
        <v>89</v>
      </c>
      <c r="AE1227">
        <v>37052</v>
      </c>
      <c r="AF1227">
        <v>20</v>
      </c>
      <c r="AG1227" t="s">
        <v>91</v>
      </c>
      <c r="AH1227" s="1">
        <v>42312</v>
      </c>
      <c r="AI1227">
        <v>33</v>
      </c>
      <c r="AJ1227" t="s">
        <v>110</v>
      </c>
      <c r="AK1227">
        <v>20</v>
      </c>
      <c r="AL1227">
        <v>4</v>
      </c>
      <c r="AM1227">
        <v>116</v>
      </c>
      <c r="AN1227">
        <v>22</v>
      </c>
      <c r="AO1227">
        <v>3</v>
      </c>
      <c r="AP1227" t="s">
        <v>93</v>
      </c>
      <c r="AQ1227" t="s">
        <v>89</v>
      </c>
      <c r="AR1227" t="s">
        <v>89</v>
      </c>
      <c r="AS1227" t="s">
        <v>111</v>
      </c>
      <c r="AT1227">
        <v>43837</v>
      </c>
      <c r="AU1227">
        <v>2020</v>
      </c>
      <c r="AV1227">
        <v>19</v>
      </c>
      <c r="AW1227">
        <v>19</v>
      </c>
      <c r="AX1227" t="s">
        <v>89</v>
      </c>
      <c r="AY1227" t="s">
        <v>93</v>
      </c>
      <c r="AZ1227">
        <v>0</v>
      </c>
      <c r="BA1227">
        <v>0</v>
      </c>
      <c r="BB1227">
        <v>0</v>
      </c>
      <c r="BC1227">
        <v>0</v>
      </c>
      <c r="BD1227">
        <v>294</v>
      </c>
      <c r="BE1227">
        <v>19487</v>
      </c>
      <c r="BF1227">
        <v>37</v>
      </c>
      <c r="BG1227">
        <v>39</v>
      </c>
      <c r="BH1227">
        <v>294</v>
      </c>
      <c r="BI1227">
        <v>19487</v>
      </c>
      <c r="BJ1227">
        <v>37</v>
      </c>
      <c r="BK1227">
        <f t="shared" si="173"/>
        <v>294</v>
      </c>
      <c r="BL1227">
        <f t="shared" si="174"/>
        <v>19487</v>
      </c>
      <c r="BM1227">
        <f t="shared" si="175"/>
        <v>37</v>
      </c>
      <c r="BN1227">
        <f t="shared" si="176"/>
        <v>0</v>
      </c>
      <c r="BO1227">
        <f t="shared" si="177"/>
        <v>0</v>
      </c>
      <c r="BP1227">
        <f t="shared" si="178"/>
        <v>0</v>
      </c>
      <c r="BQ1227" t="s">
        <v>494</v>
      </c>
      <c r="BR1227" t="s">
        <v>112</v>
      </c>
      <c r="BS1227" t="s">
        <v>89</v>
      </c>
      <c r="BT1227">
        <v>45</v>
      </c>
      <c r="BU1227">
        <v>43837</v>
      </c>
      <c r="BV1227" t="s">
        <v>89</v>
      </c>
      <c r="BW1227">
        <v>19</v>
      </c>
      <c r="BX1227">
        <v>1981</v>
      </c>
      <c r="BY1227">
        <v>19</v>
      </c>
      <c r="BZ1227">
        <f t="shared" si="179"/>
        <v>0</v>
      </c>
      <c r="CA1227">
        <f t="shared" si="180"/>
        <v>0</v>
      </c>
      <c r="CB1227" t="b">
        <f t="shared" si="181"/>
        <v>1</v>
      </c>
    </row>
    <row r="1228" spans="1:80" x14ac:dyDescent="0.3">
      <c r="A1228" t="s">
        <v>9631</v>
      </c>
      <c r="B1228" t="s">
        <v>71</v>
      </c>
      <c r="C1228" t="s">
        <v>9632</v>
      </c>
      <c r="D1228">
        <v>38</v>
      </c>
      <c r="E1228">
        <v>31684</v>
      </c>
      <c r="F1228" t="s">
        <v>89</v>
      </c>
      <c r="G1228" t="s">
        <v>160</v>
      </c>
      <c r="H1228" t="s">
        <v>76</v>
      </c>
      <c r="I1228" t="s">
        <v>750</v>
      </c>
      <c r="J1228" t="s">
        <v>78</v>
      </c>
      <c r="K1228" t="s">
        <v>89</v>
      </c>
      <c r="L1228" t="s">
        <v>845</v>
      </c>
      <c r="M1228">
        <v>15</v>
      </c>
      <c r="N1228" t="s">
        <v>763</v>
      </c>
      <c r="O1228">
        <v>2002</v>
      </c>
      <c r="P1228" t="s">
        <v>9633</v>
      </c>
      <c r="Q1228" t="s">
        <v>9634</v>
      </c>
      <c r="R1228">
        <v>26199</v>
      </c>
      <c r="S1228" t="s">
        <v>9631</v>
      </c>
      <c r="T1228" t="s">
        <v>9635</v>
      </c>
      <c r="U1228">
        <v>1986</v>
      </c>
      <c r="V1228" t="s">
        <v>2277</v>
      </c>
      <c r="W1228">
        <v>1.81</v>
      </c>
      <c r="X1228" t="s">
        <v>76</v>
      </c>
      <c r="Y1228" t="s">
        <v>86</v>
      </c>
      <c r="Z1228" t="s">
        <v>87</v>
      </c>
      <c r="AA1228" t="s">
        <v>2514</v>
      </c>
      <c r="AB1228" s="1">
        <v>44203</v>
      </c>
      <c r="AC1228" t="s">
        <v>108</v>
      </c>
      <c r="AD1228" t="s">
        <v>89</v>
      </c>
      <c r="AE1228">
        <v>37508</v>
      </c>
      <c r="AF1228">
        <v>15</v>
      </c>
      <c r="AG1228" t="s">
        <v>91</v>
      </c>
      <c r="AH1228" t="s">
        <v>1973</v>
      </c>
      <c r="AI1228">
        <v>18</v>
      </c>
      <c r="AJ1228" t="s">
        <v>110</v>
      </c>
      <c r="AK1228">
        <v>15</v>
      </c>
      <c r="AL1228">
        <v>6</v>
      </c>
      <c r="AM1228">
        <v>144</v>
      </c>
      <c r="AN1228">
        <v>18</v>
      </c>
      <c r="AO1228">
        <v>3</v>
      </c>
      <c r="AP1228" t="s">
        <v>93</v>
      </c>
      <c r="AQ1228" t="s">
        <v>89</v>
      </c>
      <c r="AR1228" t="s">
        <v>89</v>
      </c>
      <c r="AS1228" t="s">
        <v>111</v>
      </c>
      <c r="AT1228">
        <v>44203</v>
      </c>
      <c r="AU1228">
        <v>2021</v>
      </c>
      <c r="AV1228">
        <v>19</v>
      </c>
      <c r="AW1228">
        <v>19</v>
      </c>
      <c r="AX1228" t="s">
        <v>89</v>
      </c>
      <c r="AY1228" t="s">
        <v>93</v>
      </c>
      <c r="AZ1228">
        <v>0</v>
      </c>
      <c r="BA1228">
        <v>0</v>
      </c>
      <c r="BB1228">
        <v>0</v>
      </c>
      <c r="BC1228">
        <v>0</v>
      </c>
      <c r="BD1228">
        <v>376</v>
      </c>
      <c r="BE1228">
        <v>27589</v>
      </c>
      <c r="BF1228">
        <v>35</v>
      </c>
      <c r="BG1228">
        <v>35</v>
      </c>
      <c r="BH1228">
        <v>376</v>
      </c>
      <c r="BI1228">
        <v>27589</v>
      </c>
      <c r="BJ1228">
        <v>35</v>
      </c>
      <c r="BK1228">
        <f t="shared" si="173"/>
        <v>376</v>
      </c>
      <c r="BL1228">
        <f t="shared" si="174"/>
        <v>27589</v>
      </c>
      <c r="BM1228">
        <f t="shared" si="175"/>
        <v>35</v>
      </c>
      <c r="BN1228">
        <f t="shared" si="176"/>
        <v>0</v>
      </c>
      <c r="BO1228">
        <f t="shared" si="177"/>
        <v>0</v>
      </c>
      <c r="BP1228">
        <f t="shared" si="178"/>
        <v>0</v>
      </c>
      <c r="BQ1228" t="s">
        <v>86</v>
      </c>
      <c r="BR1228" t="s">
        <v>94</v>
      </c>
      <c r="BS1228" s="1">
        <v>31684</v>
      </c>
      <c r="BT1228">
        <v>39</v>
      </c>
      <c r="BU1228">
        <v>44203</v>
      </c>
      <c r="BV1228" t="s">
        <v>89</v>
      </c>
      <c r="BW1228">
        <v>20</v>
      </c>
      <c r="BX1228">
        <v>1986</v>
      </c>
      <c r="BY1228">
        <v>20</v>
      </c>
      <c r="BZ1228">
        <f t="shared" si="179"/>
        <v>-1</v>
      </c>
      <c r="CA1228">
        <f t="shared" si="180"/>
        <v>0</v>
      </c>
      <c r="CB1228" t="b">
        <f t="shared" si="181"/>
        <v>0</v>
      </c>
    </row>
    <row r="1229" spans="1:80" x14ac:dyDescent="0.3">
      <c r="A1229" t="s">
        <v>9636</v>
      </c>
      <c r="B1229" t="s">
        <v>71</v>
      </c>
      <c r="C1229" t="s">
        <v>9637</v>
      </c>
      <c r="D1229">
        <v>38</v>
      </c>
      <c r="E1229" s="1">
        <v>31787</v>
      </c>
      <c r="F1229" t="s">
        <v>89</v>
      </c>
      <c r="G1229" t="s">
        <v>334</v>
      </c>
      <c r="H1229" t="s">
        <v>89</v>
      </c>
      <c r="I1229" t="s">
        <v>178</v>
      </c>
      <c r="J1229" t="s">
        <v>78</v>
      </c>
      <c r="K1229" t="s">
        <v>89</v>
      </c>
      <c r="L1229" t="s">
        <v>130</v>
      </c>
      <c r="M1229">
        <v>21</v>
      </c>
      <c r="N1229" t="s">
        <v>214</v>
      </c>
      <c r="O1229">
        <v>2008</v>
      </c>
      <c r="P1229" t="s">
        <v>9638</v>
      </c>
      <c r="Q1229" t="s">
        <v>9639</v>
      </c>
      <c r="R1229">
        <v>64399</v>
      </c>
      <c r="S1229" t="s">
        <v>9636</v>
      </c>
      <c r="T1229">
        <v>32051</v>
      </c>
      <c r="U1229">
        <v>1987</v>
      </c>
      <c r="V1229" t="s">
        <v>754</v>
      </c>
      <c r="W1229">
        <v>1.9</v>
      </c>
      <c r="X1229" t="s">
        <v>76</v>
      </c>
      <c r="Y1229" t="s">
        <v>186</v>
      </c>
      <c r="Z1229" t="s">
        <v>87</v>
      </c>
      <c r="AA1229" t="s">
        <v>476</v>
      </c>
      <c r="AB1229">
        <v>45664</v>
      </c>
      <c r="AC1229" t="s">
        <v>108</v>
      </c>
      <c r="AD1229" t="s">
        <v>9640</v>
      </c>
      <c r="AE1229" t="s">
        <v>9410</v>
      </c>
      <c r="AF1229">
        <v>22</v>
      </c>
      <c r="AG1229" t="s">
        <v>91</v>
      </c>
      <c r="AH1229" t="s">
        <v>3239</v>
      </c>
      <c r="AI1229">
        <v>22</v>
      </c>
      <c r="AJ1229" t="s">
        <v>110</v>
      </c>
      <c r="AK1229">
        <v>22</v>
      </c>
      <c r="AL1229">
        <v>7</v>
      </c>
      <c r="AM1229">
        <v>189</v>
      </c>
      <c r="AN1229">
        <v>34</v>
      </c>
      <c r="AO1229">
        <v>6</v>
      </c>
      <c r="AP1229" t="s">
        <v>93</v>
      </c>
      <c r="AQ1229" t="s">
        <v>89</v>
      </c>
      <c r="AR1229" t="s">
        <v>89</v>
      </c>
      <c r="AS1229" t="s">
        <v>93</v>
      </c>
      <c r="AT1229" t="s">
        <v>89</v>
      </c>
      <c r="AU1229" t="s">
        <v>89</v>
      </c>
      <c r="AV1229" t="s">
        <v>89</v>
      </c>
      <c r="AW1229">
        <v>17</v>
      </c>
      <c r="AX1229" t="s">
        <v>89</v>
      </c>
      <c r="AY1229" t="s">
        <v>93</v>
      </c>
      <c r="AZ1229">
        <v>0</v>
      </c>
      <c r="BA1229">
        <v>0</v>
      </c>
      <c r="BB1229">
        <v>0</v>
      </c>
      <c r="BC1229">
        <v>0</v>
      </c>
      <c r="BD1229">
        <v>451</v>
      </c>
      <c r="BE1229">
        <v>40290</v>
      </c>
      <c r="BF1229">
        <v>0</v>
      </c>
      <c r="BG1229" t="s">
        <v>89</v>
      </c>
      <c r="BH1229">
        <v>451</v>
      </c>
      <c r="BI1229">
        <v>40290</v>
      </c>
      <c r="BJ1229">
        <v>0</v>
      </c>
      <c r="BK1229">
        <f t="shared" si="173"/>
        <v>451</v>
      </c>
      <c r="BL1229">
        <f t="shared" si="174"/>
        <v>40290</v>
      </c>
      <c r="BM1229">
        <f t="shared" si="175"/>
        <v>0</v>
      </c>
      <c r="BN1229">
        <f t="shared" si="176"/>
        <v>0</v>
      </c>
      <c r="BO1229">
        <f t="shared" si="177"/>
        <v>0</v>
      </c>
      <c r="BP1229">
        <f t="shared" si="178"/>
        <v>0</v>
      </c>
      <c r="BQ1229" t="s">
        <v>186</v>
      </c>
      <c r="BR1229" t="s">
        <v>186</v>
      </c>
      <c r="BS1229" t="s">
        <v>89</v>
      </c>
      <c r="BT1229">
        <v>39</v>
      </c>
      <c r="BU1229" t="s">
        <v>89</v>
      </c>
      <c r="BV1229" t="s">
        <v>89</v>
      </c>
      <c r="BW1229">
        <v>17</v>
      </c>
      <c r="BX1229">
        <v>1987</v>
      </c>
      <c r="BY1229">
        <v>16</v>
      </c>
      <c r="BZ1229">
        <f t="shared" si="179"/>
        <v>0</v>
      </c>
      <c r="CA1229">
        <f t="shared" si="180"/>
        <v>1</v>
      </c>
      <c r="CB1229" t="b">
        <f t="shared" si="181"/>
        <v>1</v>
      </c>
    </row>
    <row r="1230" spans="1:80" x14ac:dyDescent="0.3">
      <c r="A1230" t="s">
        <v>9641</v>
      </c>
      <c r="B1230" t="s">
        <v>71</v>
      </c>
      <c r="C1230" t="s">
        <v>9642</v>
      </c>
      <c r="D1230">
        <v>37</v>
      </c>
      <c r="E1230" s="1">
        <v>32158</v>
      </c>
      <c r="F1230" t="s">
        <v>89</v>
      </c>
      <c r="G1230" t="s">
        <v>241</v>
      </c>
      <c r="H1230" t="s">
        <v>89</v>
      </c>
      <c r="I1230" t="s">
        <v>1235</v>
      </c>
      <c r="J1230" t="s">
        <v>78</v>
      </c>
      <c r="K1230" t="s">
        <v>89</v>
      </c>
      <c r="L1230" t="s">
        <v>180</v>
      </c>
      <c r="M1230">
        <v>19</v>
      </c>
      <c r="N1230" t="s">
        <v>751</v>
      </c>
      <c r="O1230">
        <v>2007</v>
      </c>
      <c r="P1230" t="s">
        <v>9643</v>
      </c>
      <c r="Q1230" t="s">
        <v>9644</v>
      </c>
      <c r="R1230">
        <v>65467</v>
      </c>
      <c r="S1230" t="s">
        <v>9641</v>
      </c>
      <c r="T1230" t="s">
        <v>9645</v>
      </c>
      <c r="U1230">
        <v>1988</v>
      </c>
      <c r="V1230" t="s">
        <v>9646</v>
      </c>
      <c r="W1230">
        <v>1.9</v>
      </c>
      <c r="X1230" t="s">
        <v>76</v>
      </c>
      <c r="Y1230" t="s">
        <v>259</v>
      </c>
      <c r="Z1230" t="s">
        <v>87</v>
      </c>
      <c r="AA1230" t="s">
        <v>751</v>
      </c>
      <c r="AB1230" s="1">
        <v>45754</v>
      </c>
      <c r="AC1230" t="s">
        <v>108</v>
      </c>
      <c r="AD1230" t="s">
        <v>89</v>
      </c>
      <c r="AE1230" t="s">
        <v>2426</v>
      </c>
      <c r="AF1230">
        <v>19</v>
      </c>
      <c r="AG1230" t="s">
        <v>91</v>
      </c>
      <c r="AH1230" t="s">
        <v>961</v>
      </c>
      <c r="AI1230">
        <v>20</v>
      </c>
      <c r="AJ1230" t="s">
        <v>110</v>
      </c>
      <c r="AK1230">
        <v>19</v>
      </c>
      <c r="AL1230">
        <v>9</v>
      </c>
      <c r="AM1230">
        <v>413</v>
      </c>
      <c r="AN1230">
        <v>75</v>
      </c>
      <c r="AO1230">
        <v>6</v>
      </c>
      <c r="AP1230" t="s">
        <v>93</v>
      </c>
      <c r="AQ1230" t="s">
        <v>89</v>
      </c>
      <c r="AR1230" t="s">
        <v>89</v>
      </c>
      <c r="AS1230" t="s">
        <v>111</v>
      </c>
      <c r="AT1230" s="1">
        <v>45754</v>
      </c>
      <c r="AU1230">
        <v>2025</v>
      </c>
      <c r="AV1230">
        <v>18</v>
      </c>
      <c r="AW1230">
        <v>18</v>
      </c>
      <c r="AX1230" t="s">
        <v>89</v>
      </c>
      <c r="AY1230" t="s">
        <v>93</v>
      </c>
      <c r="AZ1230">
        <v>0</v>
      </c>
      <c r="BA1230">
        <v>0</v>
      </c>
      <c r="BB1230">
        <v>0</v>
      </c>
      <c r="BC1230">
        <v>0</v>
      </c>
      <c r="BD1230">
        <v>576</v>
      </c>
      <c r="BE1230">
        <v>38419</v>
      </c>
      <c r="BF1230">
        <v>55</v>
      </c>
      <c r="BG1230">
        <v>37</v>
      </c>
      <c r="BH1230">
        <v>576</v>
      </c>
      <c r="BI1230">
        <v>38419</v>
      </c>
      <c r="BJ1230">
        <v>55</v>
      </c>
      <c r="BK1230">
        <f t="shared" si="173"/>
        <v>576</v>
      </c>
      <c r="BL1230">
        <f t="shared" si="174"/>
        <v>38419</v>
      </c>
      <c r="BM1230">
        <f t="shared" si="175"/>
        <v>55</v>
      </c>
      <c r="BN1230">
        <f t="shared" si="176"/>
        <v>0</v>
      </c>
      <c r="BO1230">
        <f t="shared" si="177"/>
        <v>0</v>
      </c>
      <c r="BP1230">
        <f t="shared" si="178"/>
        <v>0</v>
      </c>
      <c r="BQ1230" t="s">
        <v>259</v>
      </c>
      <c r="BR1230" t="s">
        <v>94</v>
      </c>
      <c r="BS1230" s="1">
        <v>32158</v>
      </c>
      <c r="BT1230">
        <v>38</v>
      </c>
      <c r="BU1230" s="1">
        <v>45754</v>
      </c>
      <c r="BV1230" s="1">
        <v>45842</v>
      </c>
      <c r="BW1230">
        <v>18</v>
      </c>
      <c r="BX1230">
        <v>1988</v>
      </c>
      <c r="BY1230">
        <v>18</v>
      </c>
      <c r="BZ1230">
        <f t="shared" si="179"/>
        <v>0</v>
      </c>
      <c r="CA1230">
        <f t="shared" si="180"/>
        <v>0</v>
      </c>
      <c r="CB1230" t="b">
        <f t="shared" si="181"/>
        <v>1</v>
      </c>
    </row>
    <row r="1231" spans="1:80" x14ac:dyDescent="0.3">
      <c r="A1231" t="s">
        <v>9647</v>
      </c>
      <c r="B1231" t="s">
        <v>71</v>
      </c>
      <c r="C1231" t="s">
        <v>9648</v>
      </c>
      <c r="D1231">
        <v>44</v>
      </c>
      <c r="E1231">
        <v>29783</v>
      </c>
      <c r="F1231" t="s">
        <v>89</v>
      </c>
      <c r="G1231" t="s">
        <v>298</v>
      </c>
      <c r="H1231" t="s">
        <v>76</v>
      </c>
      <c r="I1231" t="s">
        <v>865</v>
      </c>
      <c r="J1231" t="s">
        <v>89</v>
      </c>
      <c r="K1231" t="s">
        <v>89</v>
      </c>
      <c r="L1231" t="s">
        <v>196</v>
      </c>
      <c r="M1231">
        <v>19</v>
      </c>
      <c r="N1231" t="s">
        <v>214</v>
      </c>
      <c r="O1231">
        <v>2000</v>
      </c>
      <c r="P1231" t="s">
        <v>9649</v>
      </c>
      <c r="Q1231" t="s">
        <v>9650</v>
      </c>
      <c r="R1231">
        <v>7582</v>
      </c>
      <c r="S1231" t="s">
        <v>9651</v>
      </c>
      <c r="T1231" t="s">
        <v>9652</v>
      </c>
      <c r="U1231">
        <v>1981</v>
      </c>
      <c r="V1231" t="s">
        <v>214</v>
      </c>
      <c r="W1231">
        <v>1.76</v>
      </c>
      <c r="X1231" t="s">
        <v>76</v>
      </c>
      <c r="Y1231" t="s">
        <v>391</v>
      </c>
      <c r="Z1231" t="s">
        <v>152</v>
      </c>
      <c r="AA1231" t="s">
        <v>1837</v>
      </c>
      <c r="AB1231">
        <v>41281</v>
      </c>
      <c r="AC1231" t="s">
        <v>108</v>
      </c>
      <c r="AD1231" t="s">
        <v>89</v>
      </c>
      <c r="AE1231" t="s">
        <v>205</v>
      </c>
      <c r="AF1231">
        <v>19</v>
      </c>
      <c r="AG1231" t="s">
        <v>91</v>
      </c>
      <c r="AH1231" t="s">
        <v>9653</v>
      </c>
      <c r="AI1231">
        <v>16</v>
      </c>
      <c r="AJ1231" t="s">
        <v>110</v>
      </c>
      <c r="AK1231">
        <v>16</v>
      </c>
      <c r="AL1231" t="s">
        <v>89</v>
      </c>
      <c r="AM1231" t="s">
        <v>89</v>
      </c>
      <c r="AN1231" t="s">
        <v>89</v>
      </c>
      <c r="AO1231">
        <v>0</v>
      </c>
      <c r="AP1231" t="s">
        <v>93</v>
      </c>
      <c r="AQ1231" t="s">
        <v>89</v>
      </c>
      <c r="AR1231" t="s">
        <v>89</v>
      </c>
      <c r="AS1231" t="s">
        <v>111</v>
      </c>
      <c r="AT1231">
        <v>41281</v>
      </c>
      <c r="AU1231">
        <v>2013</v>
      </c>
      <c r="AV1231">
        <v>13</v>
      </c>
      <c r="AW1231">
        <v>13</v>
      </c>
      <c r="AX1231" t="s">
        <v>89</v>
      </c>
      <c r="AY1231" t="s">
        <v>111</v>
      </c>
      <c r="AZ1231">
        <v>2</v>
      </c>
      <c r="BA1231">
        <v>11</v>
      </c>
      <c r="BB1231">
        <v>817</v>
      </c>
      <c r="BC1231">
        <v>1</v>
      </c>
      <c r="BD1231">
        <v>328</v>
      </c>
      <c r="BE1231">
        <v>19482</v>
      </c>
      <c r="BF1231">
        <v>47</v>
      </c>
      <c r="BG1231">
        <v>32</v>
      </c>
      <c r="BH1231">
        <v>339</v>
      </c>
      <c r="BI1231">
        <v>20299</v>
      </c>
      <c r="BJ1231">
        <v>48</v>
      </c>
      <c r="BK1231">
        <f t="shared" si="173"/>
        <v>339</v>
      </c>
      <c r="BL1231">
        <f t="shared" si="174"/>
        <v>20299</v>
      </c>
      <c r="BM1231">
        <f t="shared" si="175"/>
        <v>48</v>
      </c>
      <c r="BN1231">
        <f t="shared" si="176"/>
        <v>0</v>
      </c>
      <c r="BO1231">
        <f t="shared" si="177"/>
        <v>0</v>
      </c>
      <c r="BP1231">
        <f t="shared" si="178"/>
        <v>0</v>
      </c>
      <c r="BQ1231" t="s">
        <v>391</v>
      </c>
      <c r="BR1231" t="s">
        <v>112</v>
      </c>
      <c r="BS1231" s="1">
        <v>29783</v>
      </c>
      <c r="BT1231">
        <v>44</v>
      </c>
      <c r="BU1231">
        <v>41281</v>
      </c>
      <c r="BV1231" t="s">
        <v>89</v>
      </c>
      <c r="BW1231">
        <v>16</v>
      </c>
      <c r="BX1231">
        <v>1981</v>
      </c>
      <c r="BY1231">
        <v>16</v>
      </c>
      <c r="BZ1231">
        <f t="shared" si="179"/>
        <v>-3</v>
      </c>
      <c r="CA1231">
        <f t="shared" si="180"/>
        <v>0</v>
      </c>
      <c r="CB1231" t="b">
        <f t="shared" si="181"/>
        <v>0</v>
      </c>
    </row>
    <row r="1232" spans="1:80" x14ac:dyDescent="0.3">
      <c r="A1232" t="s">
        <v>9654</v>
      </c>
      <c r="B1232" t="s">
        <v>776</v>
      </c>
      <c r="C1232" t="s">
        <v>9655</v>
      </c>
      <c r="D1232">
        <v>32</v>
      </c>
      <c r="E1232" t="s">
        <v>9656</v>
      </c>
      <c r="F1232" t="s">
        <v>9657</v>
      </c>
      <c r="G1232" t="s">
        <v>298</v>
      </c>
      <c r="H1232" t="s">
        <v>778</v>
      </c>
      <c r="I1232" t="s">
        <v>437</v>
      </c>
      <c r="J1232" t="s">
        <v>89</v>
      </c>
      <c r="K1232" t="s">
        <v>7961</v>
      </c>
      <c r="L1232" t="s">
        <v>324</v>
      </c>
      <c r="M1232">
        <v>20</v>
      </c>
      <c r="N1232" t="s">
        <v>214</v>
      </c>
      <c r="O1232">
        <v>2013</v>
      </c>
      <c r="P1232" t="s">
        <v>9658</v>
      </c>
      <c r="Q1232" t="s">
        <v>9659</v>
      </c>
      <c r="R1232">
        <v>258374</v>
      </c>
      <c r="S1232" t="s">
        <v>9654</v>
      </c>
      <c r="T1232" t="s">
        <v>9660</v>
      </c>
      <c r="U1232">
        <v>1993</v>
      </c>
      <c r="V1232" t="s">
        <v>9661</v>
      </c>
      <c r="W1232">
        <v>1.76</v>
      </c>
      <c r="X1232" t="s">
        <v>778</v>
      </c>
      <c r="Y1232" t="s">
        <v>123</v>
      </c>
      <c r="Z1232" t="s">
        <v>87</v>
      </c>
      <c r="AA1232" t="s">
        <v>7961</v>
      </c>
      <c r="AB1232" t="s">
        <v>1984</v>
      </c>
      <c r="AC1232" t="s">
        <v>108</v>
      </c>
      <c r="AD1232" t="s">
        <v>89</v>
      </c>
      <c r="AE1232">
        <v>41462</v>
      </c>
      <c r="AF1232">
        <v>20</v>
      </c>
      <c r="AG1232" t="s">
        <v>786</v>
      </c>
      <c r="AH1232" t="s">
        <v>9662</v>
      </c>
      <c r="AI1232">
        <v>23</v>
      </c>
      <c r="AJ1232" t="s">
        <v>110</v>
      </c>
      <c r="AK1232">
        <v>20</v>
      </c>
      <c r="AL1232">
        <v>1</v>
      </c>
      <c r="AM1232">
        <v>125</v>
      </c>
      <c r="AN1232">
        <v>29</v>
      </c>
      <c r="AO1232">
        <v>1</v>
      </c>
      <c r="AP1232" t="s">
        <v>93</v>
      </c>
      <c r="AQ1232" t="s">
        <v>89</v>
      </c>
      <c r="AR1232" t="s">
        <v>89</v>
      </c>
      <c r="AS1232" t="s">
        <v>93</v>
      </c>
      <c r="AT1232" t="s">
        <v>89</v>
      </c>
      <c r="AU1232" t="s">
        <v>89</v>
      </c>
      <c r="AV1232" t="s">
        <v>89</v>
      </c>
      <c r="AW1232">
        <v>12</v>
      </c>
      <c r="AX1232">
        <v>9</v>
      </c>
      <c r="AY1232" t="s">
        <v>93</v>
      </c>
      <c r="AZ1232">
        <v>0</v>
      </c>
      <c r="BA1232">
        <v>0</v>
      </c>
      <c r="BB1232">
        <v>0</v>
      </c>
      <c r="BC1232">
        <v>0</v>
      </c>
      <c r="BD1232">
        <v>223</v>
      </c>
      <c r="BE1232">
        <v>10253</v>
      </c>
      <c r="BF1232">
        <v>42</v>
      </c>
      <c r="BG1232" t="s">
        <v>89</v>
      </c>
      <c r="BH1232">
        <v>223</v>
      </c>
      <c r="BI1232">
        <v>10253</v>
      </c>
      <c r="BJ1232">
        <v>42</v>
      </c>
      <c r="BK1232">
        <f t="shared" si="173"/>
        <v>223</v>
      </c>
      <c r="BL1232">
        <f t="shared" si="174"/>
        <v>10253</v>
      </c>
      <c r="BM1232">
        <f t="shared" si="175"/>
        <v>42</v>
      </c>
      <c r="BN1232">
        <f t="shared" si="176"/>
        <v>0</v>
      </c>
      <c r="BO1232">
        <f t="shared" si="177"/>
        <v>0</v>
      </c>
      <c r="BP1232">
        <f t="shared" si="178"/>
        <v>0</v>
      </c>
      <c r="BQ1232" t="s">
        <v>123</v>
      </c>
      <c r="BR1232" t="s">
        <v>112</v>
      </c>
      <c r="BS1232" s="1">
        <v>34022</v>
      </c>
      <c r="BT1232">
        <v>32</v>
      </c>
      <c r="BU1232" t="s">
        <v>89</v>
      </c>
      <c r="BV1232" t="s">
        <v>89</v>
      </c>
      <c r="BW1232">
        <v>12</v>
      </c>
      <c r="BX1232">
        <v>1993</v>
      </c>
      <c r="BY1232">
        <v>12</v>
      </c>
      <c r="BZ1232">
        <f t="shared" si="179"/>
        <v>0</v>
      </c>
      <c r="CA1232">
        <f t="shared" si="180"/>
        <v>0</v>
      </c>
      <c r="CB1232" t="b">
        <f t="shared" si="181"/>
        <v>1</v>
      </c>
    </row>
    <row r="1233" spans="1:80" x14ac:dyDescent="0.3">
      <c r="A1233" t="s">
        <v>9663</v>
      </c>
      <c r="B1233" t="s">
        <v>71</v>
      </c>
      <c r="C1233" t="s">
        <v>9664</v>
      </c>
      <c r="D1233">
        <v>35</v>
      </c>
      <c r="E1233" s="1">
        <v>32814</v>
      </c>
      <c r="F1233" t="s">
        <v>89</v>
      </c>
      <c r="G1233" t="s">
        <v>176</v>
      </c>
      <c r="H1233" t="s">
        <v>76</v>
      </c>
      <c r="I1233" t="s">
        <v>116</v>
      </c>
      <c r="J1233" t="s">
        <v>78</v>
      </c>
      <c r="K1233" t="s">
        <v>89</v>
      </c>
      <c r="L1233" t="s">
        <v>228</v>
      </c>
      <c r="M1233">
        <v>20</v>
      </c>
      <c r="N1233" t="s">
        <v>364</v>
      </c>
      <c r="O1233">
        <v>2010</v>
      </c>
      <c r="P1233" t="s">
        <v>9665</v>
      </c>
      <c r="Q1233" t="s">
        <v>9666</v>
      </c>
      <c r="R1233">
        <v>67082</v>
      </c>
      <c r="S1233" t="s">
        <v>9663</v>
      </c>
      <c r="T1233" s="1">
        <v>32550</v>
      </c>
      <c r="U1233">
        <v>1989</v>
      </c>
      <c r="V1233" t="s">
        <v>502</v>
      </c>
      <c r="W1233">
        <v>1.84</v>
      </c>
      <c r="X1233" t="s">
        <v>76</v>
      </c>
      <c r="Y1233" t="s">
        <v>391</v>
      </c>
      <c r="Z1233" t="s">
        <v>87</v>
      </c>
      <c r="AA1233" t="s">
        <v>1370</v>
      </c>
      <c r="AB1233" t="s">
        <v>9667</v>
      </c>
      <c r="AC1233" t="s">
        <v>108</v>
      </c>
      <c r="AD1233" t="s">
        <v>89</v>
      </c>
      <c r="AE1233" t="s">
        <v>331</v>
      </c>
      <c r="AF1233">
        <v>23</v>
      </c>
      <c r="AG1233" t="s">
        <v>91</v>
      </c>
      <c r="AH1233" t="s">
        <v>614</v>
      </c>
      <c r="AI1233">
        <v>20</v>
      </c>
      <c r="AJ1233" t="s">
        <v>110</v>
      </c>
      <c r="AK1233">
        <v>20</v>
      </c>
      <c r="AL1233">
        <v>24</v>
      </c>
      <c r="AM1233">
        <v>1626</v>
      </c>
      <c r="AN1233">
        <v>112</v>
      </c>
      <c r="AO1233">
        <v>10</v>
      </c>
      <c r="AP1233" t="s">
        <v>93</v>
      </c>
      <c r="AQ1233" t="s">
        <v>89</v>
      </c>
      <c r="AR1233" t="s">
        <v>89</v>
      </c>
      <c r="AS1233" t="s">
        <v>111</v>
      </c>
      <c r="AT1233" t="s">
        <v>9667</v>
      </c>
      <c r="AU1233">
        <v>2024</v>
      </c>
      <c r="AV1233">
        <v>14</v>
      </c>
      <c r="AW1233">
        <v>14</v>
      </c>
      <c r="AX1233" t="s">
        <v>89</v>
      </c>
      <c r="AY1233" t="s">
        <v>111</v>
      </c>
      <c r="AZ1233">
        <v>5</v>
      </c>
      <c r="BA1233">
        <v>12</v>
      </c>
      <c r="BB1233">
        <v>672</v>
      </c>
      <c r="BC1233">
        <v>4</v>
      </c>
      <c r="BD1233">
        <v>386</v>
      </c>
      <c r="BE1233">
        <v>25203</v>
      </c>
      <c r="BF1233">
        <v>61</v>
      </c>
      <c r="BG1233">
        <v>35</v>
      </c>
      <c r="BH1233">
        <v>398</v>
      </c>
      <c r="BI1233">
        <v>25875</v>
      </c>
      <c r="BJ1233">
        <v>65</v>
      </c>
      <c r="BK1233">
        <f t="shared" si="173"/>
        <v>398</v>
      </c>
      <c r="BL1233">
        <f t="shared" si="174"/>
        <v>25875</v>
      </c>
      <c r="BM1233">
        <f t="shared" si="175"/>
        <v>65</v>
      </c>
      <c r="BN1233">
        <f t="shared" si="176"/>
        <v>0</v>
      </c>
      <c r="BO1233">
        <f t="shared" si="177"/>
        <v>0</v>
      </c>
      <c r="BP1233">
        <f t="shared" si="178"/>
        <v>0</v>
      </c>
      <c r="BQ1233" t="s">
        <v>391</v>
      </c>
      <c r="BR1233" t="s">
        <v>112</v>
      </c>
      <c r="BS1233" s="1">
        <v>32814</v>
      </c>
      <c r="BT1233">
        <v>36</v>
      </c>
      <c r="BU1233" t="s">
        <v>9667</v>
      </c>
      <c r="BV1233" s="1">
        <v>45647</v>
      </c>
      <c r="BW1233">
        <v>15</v>
      </c>
      <c r="BX1233">
        <v>1989</v>
      </c>
      <c r="BY1233">
        <v>15</v>
      </c>
      <c r="BZ1233">
        <f t="shared" si="179"/>
        <v>-1</v>
      </c>
      <c r="CA1233">
        <f t="shared" si="180"/>
        <v>0</v>
      </c>
      <c r="CB1233" t="b">
        <f t="shared" si="181"/>
        <v>0</v>
      </c>
    </row>
    <row r="1234" spans="1:80" x14ac:dyDescent="0.3">
      <c r="A1234" t="s">
        <v>9668</v>
      </c>
      <c r="B1234" t="s">
        <v>1231</v>
      </c>
      <c r="C1234" t="s">
        <v>9669</v>
      </c>
      <c r="D1234">
        <v>38</v>
      </c>
      <c r="E1234" t="s">
        <v>9670</v>
      </c>
      <c r="F1234" t="s">
        <v>9671</v>
      </c>
      <c r="G1234" t="s">
        <v>143</v>
      </c>
      <c r="H1234" t="s">
        <v>1234</v>
      </c>
      <c r="I1234" t="s">
        <v>375</v>
      </c>
      <c r="J1234" t="s">
        <v>300</v>
      </c>
      <c r="K1234" t="s">
        <v>3095</v>
      </c>
      <c r="L1234" t="s">
        <v>163</v>
      </c>
      <c r="M1234">
        <v>19</v>
      </c>
      <c r="N1234" t="s">
        <v>3095</v>
      </c>
      <c r="O1234">
        <v>2006</v>
      </c>
      <c r="P1234" t="s">
        <v>9672</v>
      </c>
      <c r="Q1234" t="s">
        <v>9673</v>
      </c>
      <c r="R1234">
        <v>44699</v>
      </c>
      <c r="S1234" t="s">
        <v>9674</v>
      </c>
      <c r="T1234" s="1">
        <v>31781</v>
      </c>
      <c r="U1234">
        <v>1987</v>
      </c>
      <c r="V1234" t="s">
        <v>9675</v>
      </c>
      <c r="W1234">
        <v>1.76</v>
      </c>
      <c r="X1234" t="s">
        <v>1234</v>
      </c>
      <c r="Y1234" t="s">
        <v>203</v>
      </c>
      <c r="Z1234" t="s">
        <v>152</v>
      </c>
      <c r="AA1234" t="s">
        <v>8811</v>
      </c>
      <c r="AB1234" s="1">
        <v>45664</v>
      </c>
      <c r="AC1234" t="s">
        <v>108</v>
      </c>
      <c r="AD1234" t="s">
        <v>89</v>
      </c>
      <c r="AE1234">
        <v>38999</v>
      </c>
      <c r="AF1234">
        <v>19</v>
      </c>
      <c r="AG1234" t="s">
        <v>613</v>
      </c>
      <c r="AH1234" s="1">
        <v>40726</v>
      </c>
      <c r="AI1234">
        <v>23</v>
      </c>
      <c r="AJ1234" t="s">
        <v>575</v>
      </c>
      <c r="AK1234">
        <v>19</v>
      </c>
      <c r="AL1234">
        <v>7</v>
      </c>
      <c r="AM1234">
        <v>335</v>
      </c>
      <c r="AN1234">
        <v>39</v>
      </c>
      <c r="AO1234">
        <v>5</v>
      </c>
      <c r="AP1234" t="s">
        <v>93</v>
      </c>
      <c r="AQ1234" t="s">
        <v>89</v>
      </c>
      <c r="AR1234" t="s">
        <v>89</v>
      </c>
      <c r="AS1234" t="s">
        <v>111</v>
      </c>
      <c r="AT1234" s="1">
        <v>45664</v>
      </c>
      <c r="AU1234">
        <v>2025</v>
      </c>
      <c r="AV1234">
        <v>19</v>
      </c>
      <c r="AW1234">
        <v>19</v>
      </c>
      <c r="AX1234" t="s">
        <v>89</v>
      </c>
      <c r="AY1234" t="s">
        <v>111</v>
      </c>
      <c r="AZ1234">
        <v>7</v>
      </c>
      <c r="BA1234">
        <v>10</v>
      </c>
      <c r="BB1234">
        <v>577</v>
      </c>
      <c r="BC1234">
        <v>1</v>
      </c>
      <c r="BD1234">
        <v>350</v>
      </c>
      <c r="BE1234">
        <v>28156</v>
      </c>
      <c r="BF1234">
        <v>17</v>
      </c>
      <c r="BG1234">
        <v>38</v>
      </c>
      <c r="BH1234">
        <v>360</v>
      </c>
      <c r="BI1234">
        <v>28733</v>
      </c>
      <c r="BJ1234">
        <v>18</v>
      </c>
      <c r="BK1234">
        <f t="shared" si="173"/>
        <v>360</v>
      </c>
      <c r="BL1234">
        <f t="shared" si="174"/>
        <v>28733</v>
      </c>
      <c r="BM1234">
        <f t="shared" si="175"/>
        <v>18</v>
      </c>
      <c r="BN1234">
        <f t="shared" si="176"/>
        <v>0</v>
      </c>
      <c r="BO1234">
        <f t="shared" si="177"/>
        <v>0</v>
      </c>
      <c r="BP1234">
        <f t="shared" si="178"/>
        <v>0</v>
      </c>
      <c r="BQ1234" t="s">
        <v>203</v>
      </c>
      <c r="BR1234" t="s">
        <v>140</v>
      </c>
      <c r="BS1234" s="1">
        <v>31868</v>
      </c>
      <c r="BT1234">
        <v>38</v>
      </c>
      <c r="BU1234" s="1">
        <v>45664</v>
      </c>
      <c r="BV1234" s="1">
        <v>45839</v>
      </c>
      <c r="BW1234">
        <v>19</v>
      </c>
      <c r="BX1234">
        <v>1987</v>
      </c>
      <c r="BY1234">
        <v>19</v>
      </c>
      <c r="BZ1234">
        <f t="shared" si="179"/>
        <v>0</v>
      </c>
      <c r="CA1234">
        <f t="shared" si="180"/>
        <v>0</v>
      </c>
      <c r="CB1234" t="b">
        <f t="shared" si="181"/>
        <v>1</v>
      </c>
    </row>
    <row r="1235" spans="1:80" x14ac:dyDescent="0.3">
      <c r="A1235" t="s">
        <v>9676</v>
      </c>
      <c r="B1235" t="s">
        <v>9677</v>
      </c>
      <c r="C1235" t="s">
        <v>9678</v>
      </c>
      <c r="D1235">
        <v>35</v>
      </c>
      <c r="E1235" t="s">
        <v>9679</v>
      </c>
      <c r="F1235" t="s">
        <v>9680</v>
      </c>
      <c r="G1235" t="s">
        <v>687</v>
      </c>
      <c r="H1235" t="s">
        <v>9681</v>
      </c>
      <c r="I1235" t="s">
        <v>340</v>
      </c>
      <c r="J1235" t="s">
        <v>78</v>
      </c>
      <c r="K1235" t="s">
        <v>9682</v>
      </c>
      <c r="L1235" t="s">
        <v>130</v>
      </c>
      <c r="M1235">
        <v>18</v>
      </c>
      <c r="N1235" t="s">
        <v>9683</v>
      </c>
      <c r="O1235">
        <v>2008</v>
      </c>
      <c r="P1235" t="s">
        <v>9684</v>
      </c>
      <c r="Q1235" t="s">
        <v>9685</v>
      </c>
      <c r="R1235">
        <v>92701</v>
      </c>
      <c r="S1235" t="s">
        <v>9676</v>
      </c>
      <c r="T1235" t="s">
        <v>9686</v>
      </c>
      <c r="U1235">
        <v>1989</v>
      </c>
      <c r="V1235" t="s">
        <v>9687</v>
      </c>
      <c r="W1235">
        <v>1.73</v>
      </c>
      <c r="X1235" t="s">
        <v>9681</v>
      </c>
      <c r="Y1235" t="s">
        <v>391</v>
      </c>
      <c r="Z1235" t="s">
        <v>87</v>
      </c>
      <c r="AA1235" t="s">
        <v>9688</v>
      </c>
      <c r="AB1235" t="s">
        <v>9689</v>
      </c>
      <c r="AC1235" t="s">
        <v>170</v>
      </c>
      <c r="AD1235" t="s">
        <v>89</v>
      </c>
      <c r="AE1235" t="s">
        <v>6537</v>
      </c>
      <c r="AF1235">
        <v>19</v>
      </c>
      <c r="AG1235" t="s">
        <v>1653</v>
      </c>
      <c r="AH1235">
        <v>44114</v>
      </c>
      <c r="AI1235">
        <v>30</v>
      </c>
      <c r="AJ1235" t="s">
        <v>9690</v>
      </c>
      <c r="AK1235">
        <v>19</v>
      </c>
      <c r="AL1235">
        <v>20</v>
      </c>
      <c r="AM1235">
        <v>860</v>
      </c>
      <c r="AN1235">
        <v>141</v>
      </c>
      <c r="AO1235">
        <v>9</v>
      </c>
      <c r="AP1235" t="s">
        <v>93</v>
      </c>
      <c r="AQ1235" t="s">
        <v>89</v>
      </c>
      <c r="AR1235" t="s">
        <v>89</v>
      </c>
      <c r="AS1235" t="s">
        <v>93</v>
      </c>
      <c r="AT1235" t="s">
        <v>89</v>
      </c>
      <c r="AU1235" t="s">
        <v>89</v>
      </c>
      <c r="AV1235" t="s">
        <v>89</v>
      </c>
      <c r="AW1235">
        <v>17</v>
      </c>
      <c r="AX1235">
        <v>7</v>
      </c>
      <c r="AY1235" t="s">
        <v>111</v>
      </c>
      <c r="AZ1235">
        <v>16</v>
      </c>
      <c r="BA1235">
        <v>62</v>
      </c>
      <c r="BB1235">
        <v>4176</v>
      </c>
      <c r="BC1235">
        <v>6</v>
      </c>
      <c r="BD1235">
        <v>132</v>
      </c>
      <c r="BE1235">
        <v>7482</v>
      </c>
      <c r="BF1235">
        <v>18</v>
      </c>
      <c r="BG1235" t="s">
        <v>89</v>
      </c>
      <c r="BH1235">
        <v>194</v>
      </c>
      <c r="BI1235">
        <v>11658</v>
      </c>
      <c r="BJ1235">
        <v>24</v>
      </c>
      <c r="BK1235">
        <f t="shared" si="173"/>
        <v>194</v>
      </c>
      <c r="BL1235">
        <f t="shared" si="174"/>
        <v>11658</v>
      </c>
      <c r="BM1235">
        <f t="shared" si="175"/>
        <v>24</v>
      </c>
      <c r="BN1235">
        <f t="shared" si="176"/>
        <v>0</v>
      </c>
      <c r="BO1235">
        <f t="shared" si="177"/>
        <v>0</v>
      </c>
      <c r="BP1235">
        <f t="shared" si="178"/>
        <v>0</v>
      </c>
      <c r="BQ1235" t="s">
        <v>391</v>
      </c>
      <c r="BR1235" t="s">
        <v>112</v>
      </c>
      <c r="BS1235" s="1">
        <v>32842</v>
      </c>
      <c r="BT1235">
        <v>36</v>
      </c>
      <c r="BU1235" t="s">
        <v>89</v>
      </c>
      <c r="BV1235" t="s">
        <v>89</v>
      </c>
      <c r="BW1235">
        <v>17</v>
      </c>
      <c r="BX1235">
        <v>1989</v>
      </c>
      <c r="BY1235">
        <v>16</v>
      </c>
      <c r="BZ1235">
        <f t="shared" si="179"/>
        <v>0</v>
      </c>
      <c r="CA1235">
        <f t="shared" si="180"/>
        <v>1</v>
      </c>
      <c r="CB1235" t="b">
        <f t="shared" si="181"/>
        <v>1</v>
      </c>
    </row>
    <row r="1236" spans="1:80" x14ac:dyDescent="0.3">
      <c r="A1236" t="s">
        <v>9691</v>
      </c>
      <c r="B1236" t="s">
        <v>1351</v>
      </c>
      <c r="C1236" t="s">
        <v>9692</v>
      </c>
      <c r="D1236">
        <v>35</v>
      </c>
      <c r="E1236" s="1">
        <v>33079</v>
      </c>
      <c r="F1236" t="s">
        <v>89</v>
      </c>
      <c r="G1236" t="s">
        <v>1289</v>
      </c>
      <c r="H1236" t="s">
        <v>1353</v>
      </c>
      <c r="I1236" t="s">
        <v>2906</v>
      </c>
      <c r="J1236" t="s">
        <v>300</v>
      </c>
      <c r="K1236" t="s">
        <v>89</v>
      </c>
      <c r="L1236" t="s">
        <v>130</v>
      </c>
      <c r="M1236">
        <v>18</v>
      </c>
      <c r="N1236" t="s">
        <v>402</v>
      </c>
      <c r="O1236">
        <v>2008</v>
      </c>
      <c r="P1236" t="s">
        <v>9693</v>
      </c>
      <c r="Q1236" t="s">
        <v>9694</v>
      </c>
      <c r="R1236">
        <v>45639</v>
      </c>
      <c r="S1236" t="s">
        <v>9695</v>
      </c>
      <c r="T1236" t="s">
        <v>9696</v>
      </c>
      <c r="U1236">
        <v>1990</v>
      </c>
      <c r="V1236" t="s">
        <v>9697</v>
      </c>
      <c r="W1236">
        <v>1.71</v>
      </c>
      <c r="X1236" t="s">
        <v>1353</v>
      </c>
      <c r="Y1236" t="s">
        <v>86</v>
      </c>
      <c r="Z1236" t="s">
        <v>152</v>
      </c>
      <c r="AA1236" t="s">
        <v>476</v>
      </c>
      <c r="AB1236" t="s">
        <v>2011</v>
      </c>
      <c r="AC1236" t="s">
        <v>108</v>
      </c>
      <c r="AD1236" t="s">
        <v>89</v>
      </c>
      <c r="AE1236" t="s">
        <v>9698</v>
      </c>
      <c r="AF1236">
        <v>20</v>
      </c>
      <c r="AG1236" t="s">
        <v>91</v>
      </c>
      <c r="AH1236" t="s">
        <v>719</v>
      </c>
      <c r="AI1236">
        <v>18</v>
      </c>
      <c r="AJ1236" t="s">
        <v>110</v>
      </c>
      <c r="AK1236">
        <v>18</v>
      </c>
      <c r="AL1236">
        <v>8</v>
      </c>
      <c r="AM1236">
        <v>107</v>
      </c>
      <c r="AN1236">
        <v>20</v>
      </c>
      <c r="AO1236">
        <v>5</v>
      </c>
      <c r="AP1236" t="s">
        <v>93</v>
      </c>
      <c r="AQ1236" t="s">
        <v>89</v>
      </c>
      <c r="AR1236" t="s">
        <v>89</v>
      </c>
      <c r="AS1236" t="s">
        <v>93</v>
      </c>
      <c r="AT1236" t="s">
        <v>89</v>
      </c>
      <c r="AU1236" t="s">
        <v>89</v>
      </c>
      <c r="AV1236" t="s">
        <v>89</v>
      </c>
      <c r="AW1236">
        <v>17</v>
      </c>
      <c r="AX1236" t="s">
        <v>89</v>
      </c>
      <c r="AY1236" t="s">
        <v>111</v>
      </c>
      <c r="AZ1236">
        <v>16</v>
      </c>
      <c r="BA1236">
        <v>54</v>
      </c>
      <c r="BB1236">
        <v>3820</v>
      </c>
      <c r="BC1236">
        <v>10</v>
      </c>
      <c r="BD1236">
        <v>298</v>
      </c>
      <c r="BE1236">
        <v>18240</v>
      </c>
      <c r="BF1236">
        <v>13</v>
      </c>
      <c r="BG1236" t="s">
        <v>89</v>
      </c>
      <c r="BH1236">
        <v>352</v>
      </c>
      <c r="BI1236">
        <v>22060</v>
      </c>
      <c r="BJ1236">
        <v>23</v>
      </c>
      <c r="BK1236">
        <f t="shared" si="173"/>
        <v>352</v>
      </c>
      <c r="BL1236">
        <f t="shared" si="174"/>
        <v>22060</v>
      </c>
      <c r="BM1236">
        <f t="shared" si="175"/>
        <v>23</v>
      </c>
      <c r="BN1236">
        <f t="shared" si="176"/>
        <v>0</v>
      </c>
      <c r="BO1236">
        <f t="shared" si="177"/>
        <v>0</v>
      </c>
      <c r="BP1236">
        <f t="shared" si="178"/>
        <v>0</v>
      </c>
      <c r="BQ1236" t="s">
        <v>86</v>
      </c>
      <c r="BR1236" t="s">
        <v>94</v>
      </c>
      <c r="BS1236" s="1">
        <v>33079</v>
      </c>
      <c r="BT1236">
        <v>35</v>
      </c>
      <c r="BU1236" t="s">
        <v>89</v>
      </c>
      <c r="BV1236" t="s">
        <v>89</v>
      </c>
      <c r="BW1236">
        <v>17</v>
      </c>
      <c r="BX1236">
        <v>1990</v>
      </c>
      <c r="BY1236">
        <v>17</v>
      </c>
      <c r="BZ1236">
        <f t="shared" si="179"/>
        <v>0</v>
      </c>
      <c r="CA1236">
        <f t="shared" si="180"/>
        <v>0</v>
      </c>
      <c r="CB1236" t="b">
        <f t="shared" si="181"/>
        <v>1</v>
      </c>
    </row>
    <row r="1237" spans="1:80" x14ac:dyDescent="0.3">
      <c r="A1237" t="s">
        <v>9699</v>
      </c>
      <c r="B1237" t="s">
        <v>1089</v>
      </c>
      <c r="C1237" t="s">
        <v>9700</v>
      </c>
      <c r="D1237">
        <v>42</v>
      </c>
      <c r="E1237" s="1">
        <v>30289</v>
      </c>
      <c r="F1237" t="s">
        <v>89</v>
      </c>
      <c r="G1237" t="s">
        <v>413</v>
      </c>
      <c r="H1237" t="s">
        <v>1093</v>
      </c>
      <c r="I1237" t="s">
        <v>227</v>
      </c>
      <c r="J1237" t="s">
        <v>78</v>
      </c>
      <c r="K1237" t="s">
        <v>89</v>
      </c>
      <c r="L1237" t="s">
        <v>657</v>
      </c>
      <c r="M1237">
        <v>20</v>
      </c>
      <c r="N1237" t="s">
        <v>4630</v>
      </c>
      <c r="O1237">
        <v>2003</v>
      </c>
      <c r="P1237" t="s">
        <v>9701</v>
      </c>
      <c r="Q1237" t="s">
        <v>9702</v>
      </c>
      <c r="R1237">
        <v>8560</v>
      </c>
      <c r="S1237" t="s">
        <v>9699</v>
      </c>
      <c r="T1237">
        <v>30053</v>
      </c>
      <c r="U1237">
        <v>1982</v>
      </c>
      <c r="V1237" t="s">
        <v>9703</v>
      </c>
      <c r="W1237" t="s">
        <v>89</v>
      </c>
      <c r="X1237" t="s">
        <v>1093</v>
      </c>
      <c r="Y1237" t="s">
        <v>235</v>
      </c>
      <c r="Z1237" t="s">
        <v>89</v>
      </c>
      <c r="AA1237" t="s">
        <v>9704</v>
      </c>
      <c r="AB1237" s="1">
        <v>42742</v>
      </c>
      <c r="AC1237" t="s">
        <v>108</v>
      </c>
      <c r="AD1237" t="s">
        <v>89</v>
      </c>
      <c r="AE1237" t="s">
        <v>9705</v>
      </c>
      <c r="AF1237">
        <v>19</v>
      </c>
      <c r="AG1237">
        <v>0</v>
      </c>
      <c r="AH1237" t="s">
        <v>92</v>
      </c>
      <c r="AI1237" t="s">
        <v>89</v>
      </c>
      <c r="AJ1237" t="s">
        <v>92</v>
      </c>
      <c r="AK1237">
        <v>19</v>
      </c>
      <c r="AL1237">
        <v>7</v>
      </c>
      <c r="AM1237">
        <v>1174</v>
      </c>
      <c r="AN1237">
        <v>193</v>
      </c>
      <c r="AO1237">
        <v>7</v>
      </c>
      <c r="AP1237" t="s">
        <v>93</v>
      </c>
      <c r="AQ1237" t="s">
        <v>89</v>
      </c>
      <c r="AR1237" t="s">
        <v>89</v>
      </c>
      <c r="AS1237" t="s">
        <v>111</v>
      </c>
      <c r="AT1237" s="1">
        <v>42742</v>
      </c>
      <c r="AU1237">
        <v>2017</v>
      </c>
      <c r="AV1237">
        <v>14</v>
      </c>
      <c r="AW1237">
        <v>14</v>
      </c>
      <c r="AX1237" t="s">
        <v>89</v>
      </c>
      <c r="AY1237" t="s">
        <v>111</v>
      </c>
      <c r="AZ1237">
        <v>2</v>
      </c>
      <c r="BA1237">
        <v>7</v>
      </c>
      <c r="BB1237">
        <v>630</v>
      </c>
      <c r="BC1237">
        <v>1</v>
      </c>
      <c r="BD1237">
        <v>46</v>
      </c>
      <c r="BE1237">
        <v>3351</v>
      </c>
      <c r="BF1237">
        <v>3</v>
      </c>
      <c r="BG1237">
        <v>35</v>
      </c>
      <c r="BH1237">
        <v>53</v>
      </c>
      <c r="BI1237">
        <v>3981</v>
      </c>
      <c r="BJ1237">
        <v>4</v>
      </c>
      <c r="BK1237">
        <f t="shared" si="173"/>
        <v>53</v>
      </c>
      <c r="BL1237">
        <f t="shared" si="174"/>
        <v>3981</v>
      </c>
      <c r="BM1237">
        <f t="shared" si="175"/>
        <v>4</v>
      </c>
      <c r="BN1237">
        <f t="shared" si="176"/>
        <v>0</v>
      </c>
      <c r="BO1237">
        <f t="shared" si="177"/>
        <v>0</v>
      </c>
      <c r="BP1237">
        <f t="shared" si="178"/>
        <v>0</v>
      </c>
      <c r="BQ1237" t="s">
        <v>235</v>
      </c>
      <c r="BR1237" t="s">
        <v>140</v>
      </c>
      <c r="BS1237" t="s">
        <v>89</v>
      </c>
      <c r="BT1237">
        <v>44</v>
      </c>
      <c r="BU1237" s="1">
        <v>42742</v>
      </c>
      <c r="BV1237" s="1">
        <v>42917</v>
      </c>
      <c r="BW1237">
        <v>16</v>
      </c>
      <c r="BX1237">
        <v>1982</v>
      </c>
      <c r="BY1237">
        <v>16</v>
      </c>
      <c r="BZ1237">
        <f t="shared" si="179"/>
        <v>-2</v>
      </c>
      <c r="CA1237">
        <f t="shared" si="180"/>
        <v>0</v>
      </c>
      <c r="CB1237" t="b">
        <f t="shared" si="181"/>
        <v>0</v>
      </c>
    </row>
    <row r="1238" spans="1:80" x14ac:dyDescent="0.3">
      <c r="A1238" t="s">
        <v>9706</v>
      </c>
      <c r="B1238" t="s">
        <v>729</v>
      </c>
      <c r="C1238" t="s">
        <v>9707</v>
      </c>
      <c r="D1238">
        <v>49</v>
      </c>
      <c r="E1238" s="1">
        <v>27877</v>
      </c>
      <c r="F1238" t="s">
        <v>89</v>
      </c>
      <c r="G1238" t="s">
        <v>176</v>
      </c>
      <c r="H1238" t="s">
        <v>732</v>
      </c>
      <c r="I1238" t="s">
        <v>437</v>
      </c>
      <c r="J1238" t="s">
        <v>89</v>
      </c>
      <c r="K1238" t="s">
        <v>89</v>
      </c>
      <c r="L1238" t="s">
        <v>196</v>
      </c>
      <c r="M1238">
        <v>24</v>
      </c>
      <c r="N1238" t="s">
        <v>741</v>
      </c>
      <c r="O1238">
        <v>2000</v>
      </c>
      <c r="P1238" t="s">
        <v>9708</v>
      </c>
      <c r="Q1238" t="s">
        <v>9709</v>
      </c>
      <c r="R1238">
        <v>7691</v>
      </c>
      <c r="S1238" t="s">
        <v>9706</v>
      </c>
      <c r="T1238" t="s">
        <v>9710</v>
      </c>
      <c r="U1238">
        <v>1976</v>
      </c>
      <c r="V1238" t="s">
        <v>736</v>
      </c>
      <c r="W1238">
        <v>1.83</v>
      </c>
      <c r="X1238" t="s">
        <v>1971</v>
      </c>
      <c r="Y1238" t="s">
        <v>123</v>
      </c>
      <c r="Z1238" t="s">
        <v>87</v>
      </c>
      <c r="AA1238" t="s">
        <v>9711</v>
      </c>
      <c r="AB1238" s="1">
        <v>42376</v>
      </c>
      <c r="AC1238" t="s">
        <v>108</v>
      </c>
      <c r="AD1238" t="s">
        <v>89</v>
      </c>
      <c r="AE1238">
        <v>36778</v>
      </c>
      <c r="AF1238">
        <v>24</v>
      </c>
      <c r="AG1238" t="s">
        <v>91</v>
      </c>
      <c r="AH1238">
        <v>40917</v>
      </c>
      <c r="AI1238">
        <v>36</v>
      </c>
      <c r="AJ1238" t="s">
        <v>110</v>
      </c>
      <c r="AK1238">
        <v>24</v>
      </c>
      <c r="AL1238">
        <v>4</v>
      </c>
      <c r="AM1238">
        <v>135</v>
      </c>
      <c r="AN1238">
        <v>20</v>
      </c>
      <c r="AO1238">
        <v>3</v>
      </c>
      <c r="AP1238" t="s">
        <v>93</v>
      </c>
      <c r="AQ1238" t="s">
        <v>89</v>
      </c>
      <c r="AR1238" t="s">
        <v>89</v>
      </c>
      <c r="AS1238" t="s">
        <v>111</v>
      </c>
      <c r="AT1238" s="1">
        <v>42376</v>
      </c>
      <c r="AU1238">
        <v>2016</v>
      </c>
      <c r="AV1238">
        <v>16</v>
      </c>
      <c r="AW1238">
        <v>16</v>
      </c>
      <c r="AX1238" t="s">
        <v>89</v>
      </c>
      <c r="AY1238" t="s">
        <v>93</v>
      </c>
      <c r="AZ1238">
        <v>0</v>
      </c>
      <c r="BA1238">
        <v>0</v>
      </c>
      <c r="BB1238">
        <v>0</v>
      </c>
      <c r="BC1238">
        <v>0</v>
      </c>
      <c r="BD1238">
        <v>383</v>
      </c>
      <c r="BE1238">
        <v>21210</v>
      </c>
      <c r="BF1238">
        <v>112</v>
      </c>
      <c r="BG1238">
        <v>40</v>
      </c>
      <c r="BH1238">
        <v>383</v>
      </c>
      <c r="BI1238">
        <v>21210</v>
      </c>
      <c r="BJ1238">
        <v>112</v>
      </c>
      <c r="BK1238">
        <f t="shared" si="173"/>
        <v>383</v>
      </c>
      <c r="BL1238">
        <f t="shared" si="174"/>
        <v>21210</v>
      </c>
      <c r="BM1238">
        <f t="shared" si="175"/>
        <v>112</v>
      </c>
      <c r="BN1238">
        <f t="shared" si="176"/>
        <v>0</v>
      </c>
      <c r="BO1238">
        <f t="shared" si="177"/>
        <v>0</v>
      </c>
      <c r="BP1238">
        <f t="shared" si="178"/>
        <v>0</v>
      </c>
      <c r="BQ1238" t="s">
        <v>123</v>
      </c>
      <c r="BR1238" t="s">
        <v>112</v>
      </c>
      <c r="BS1238" s="1">
        <v>27877</v>
      </c>
      <c r="BT1238">
        <v>49</v>
      </c>
      <c r="BU1238" s="1">
        <v>42376</v>
      </c>
      <c r="BV1238" s="1">
        <v>42552</v>
      </c>
      <c r="BW1238">
        <v>16</v>
      </c>
      <c r="BX1238">
        <v>1976</v>
      </c>
      <c r="BY1238">
        <v>16</v>
      </c>
      <c r="BZ1238">
        <f t="shared" si="179"/>
        <v>0</v>
      </c>
      <c r="CA1238">
        <f t="shared" si="180"/>
        <v>0</v>
      </c>
      <c r="CB1238" t="b">
        <f t="shared" si="181"/>
        <v>1</v>
      </c>
    </row>
    <row r="1239" spans="1:80" x14ac:dyDescent="0.3">
      <c r="A1239" t="s">
        <v>9712</v>
      </c>
      <c r="B1239" t="s">
        <v>776</v>
      </c>
      <c r="C1239" t="s">
        <v>9713</v>
      </c>
      <c r="D1239">
        <v>45</v>
      </c>
      <c r="E1239" s="1">
        <v>29093</v>
      </c>
      <c r="F1239" t="s">
        <v>89</v>
      </c>
      <c r="G1239" t="s">
        <v>193</v>
      </c>
      <c r="H1239" t="s">
        <v>89</v>
      </c>
      <c r="I1239" t="s">
        <v>227</v>
      </c>
      <c r="J1239" t="s">
        <v>300</v>
      </c>
      <c r="K1239" t="s">
        <v>89</v>
      </c>
      <c r="L1239" t="s">
        <v>145</v>
      </c>
      <c r="M1239">
        <v>24</v>
      </c>
      <c r="N1239" t="s">
        <v>8810</v>
      </c>
      <c r="O1239">
        <v>2004</v>
      </c>
      <c r="P1239" t="s">
        <v>9714</v>
      </c>
      <c r="Q1239" t="s">
        <v>9715</v>
      </c>
      <c r="R1239">
        <v>22550</v>
      </c>
      <c r="S1239" t="s">
        <v>9716</v>
      </c>
      <c r="T1239" t="s">
        <v>9717</v>
      </c>
      <c r="U1239">
        <v>1979</v>
      </c>
      <c r="V1239" t="s">
        <v>9718</v>
      </c>
      <c r="W1239">
        <v>1.86</v>
      </c>
      <c r="X1239" t="s">
        <v>778</v>
      </c>
      <c r="Y1239" t="s">
        <v>235</v>
      </c>
      <c r="Z1239" t="s">
        <v>152</v>
      </c>
      <c r="AA1239" t="s">
        <v>745</v>
      </c>
      <c r="AB1239" s="1">
        <v>42742</v>
      </c>
      <c r="AC1239" t="s">
        <v>108</v>
      </c>
      <c r="AD1239" t="s">
        <v>89</v>
      </c>
      <c r="AE1239">
        <v>37325</v>
      </c>
      <c r="AF1239">
        <v>23</v>
      </c>
      <c r="AG1239" t="s">
        <v>786</v>
      </c>
      <c r="AH1239">
        <v>38081</v>
      </c>
      <c r="AI1239">
        <v>24</v>
      </c>
      <c r="AJ1239" t="s">
        <v>7497</v>
      </c>
      <c r="AK1239">
        <v>23</v>
      </c>
      <c r="AL1239">
        <v>15</v>
      </c>
      <c r="AM1239">
        <v>578</v>
      </c>
      <c r="AN1239">
        <v>79</v>
      </c>
      <c r="AO1239">
        <v>6</v>
      </c>
      <c r="AP1239" t="s">
        <v>93</v>
      </c>
      <c r="AQ1239" t="s">
        <v>89</v>
      </c>
      <c r="AR1239" t="s">
        <v>89</v>
      </c>
      <c r="AS1239" t="s">
        <v>111</v>
      </c>
      <c r="AT1239" s="1">
        <v>42742</v>
      </c>
      <c r="AU1239">
        <v>2017</v>
      </c>
      <c r="AV1239">
        <v>13</v>
      </c>
      <c r="AW1239">
        <v>13</v>
      </c>
      <c r="AX1239" t="s">
        <v>89</v>
      </c>
      <c r="AY1239" t="s">
        <v>93</v>
      </c>
      <c r="AZ1239">
        <v>0</v>
      </c>
      <c r="BA1239">
        <v>0</v>
      </c>
      <c r="BB1239">
        <v>0</v>
      </c>
      <c r="BC1239">
        <v>0</v>
      </c>
      <c r="BD1239">
        <v>363</v>
      </c>
      <c r="BE1239">
        <v>31595</v>
      </c>
      <c r="BF1239">
        <v>10</v>
      </c>
      <c r="BG1239">
        <v>38</v>
      </c>
      <c r="BH1239">
        <v>363</v>
      </c>
      <c r="BI1239">
        <v>31595</v>
      </c>
      <c r="BJ1239">
        <v>10</v>
      </c>
      <c r="BK1239">
        <f t="shared" si="173"/>
        <v>363</v>
      </c>
      <c r="BL1239">
        <f t="shared" si="174"/>
        <v>31595</v>
      </c>
      <c r="BM1239">
        <f t="shared" si="175"/>
        <v>10</v>
      </c>
      <c r="BN1239">
        <f t="shared" si="176"/>
        <v>0</v>
      </c>
      <c r="BO1239">
        <f t="shared" si="177"/>
        <v>0</v>
      </c>
      <c r="BP1239">
        <f t="shared" si="178"/>
        <v>0</v>
      </c>
      <c r="BQ1239" t="s">
        <v>235</v>
      </c>
      <c r="BR1239" t="s">
        <v>140</v>
      </c>
      <c r="BS1239" s="1">
        <v>29093</v>
      </c>
      <c r="BT1239">
        <v>46</v>
      </c>
      <c r="BU1239" s="1">
        <v>42742</v>
      </c>
      <c r="BV1239" s="1">
        <v>42917</v>
      </c>
      <c r="BW1239">
        <v>15</v>
      </c>
      <c r="BX1239">
        <v>1979</v>
      </c>
      <c r="BY1239">
        <v>15</v>
      </c>
      <c r="BZ1239">
        <f t="shared" si="179"/>
        <v>-2</v>
      </c>
      <c r="CA1239">
        <f t="shared" si="180"/>
        <v>0</v>
      </c>
      <c r="CB1239" t="b">
        <f t="shared" si="181"/>
        <v>0</v>
      </c>
    </row>
    <row r="1240" spans="1:80" x14ac:dyDescent="0.3">
      <c r="A1240" t="s">
        <v>9719</v>
      </c>
      <c r="B1240" t="s">
        <v>776</v>
      </c>
      <c r="C1240" t="s">
        <v>9720</v>
      </c>
      <c r="D1240">
        <v>32</v>
      </c>
      <c r="E1240" t="s">
        <v>9721</v>
      </c>
      <c r="F1240" t="s">
        <v>8170</v>
      </c>
      <c r="G1240" t="s">
        <v>1946</v>
      </c>
      <c r="H1240" t="s">
        <v>778</v>
      </c>
      <c r="I1240" t="s">
        <v>386</v>
      </c>
      <c r="J1240" t="s">
        <v>78</v>
      </c>
      <c r="K1240" t="s">
        <v>3753</v>
      </c>
      <c r="L1240" t="s">
        <v>228</v>
      </c>
      <c r="M1240">
        <v>17</v>
      </c>
      <c r="N1240" t="s">
        <v>751</v>
      </c>
      <c r="O1240">
        <v>2010</v>
      </c>
      <c r="P1240" t="s">
        <v>9722</v>
      </c>
      <c r="Q1240" t="s">
        <v>9723</v>
      </c>
      <c r="R1240">
        <v>121990</v>
      </c>
      <c r="S1240" t="s">
        <v>9719</v>
      </c>
      <c r="T1240">
        <v>34121</v>
      </c>
      <c r="U1240">
        <v>1993</v>
      </c>
      <c r="V1240" t="s">
        <v>2938</v>
      </c>
      <c r="W1240">
        <v>1.65</v>
      </c>
      <c r="X1240" t="s">
        <v>778</v>
      </c>
      <c r="Y1240" t="s">
        <v>9724</v>
      </c>
      <c r="Z1240" t="s">
        <v>87</v>
      </c>
      <c r="AA1240" t="s">
        <v>9725</v>
      </c>
      <c r="AB1240" s="1">
        <v>45542</v>
      </c>
      <c r="AC1240" t="s">
        <v>222</v>
      </c>
      <c r="AD1240" t="s">
        <v>89</v>
      </c>
      <c r="AE1240">
        <v>40426</v>
      </c>
      <c r="AF1240">
        <v>17</v>
      </c>
      <c r="AG1240" t="s">
        <v>9726</v>
      </c>
      <c r="AH1240" t="s">
        <v>9727</v>
      </c>
      <c r="AI1240">
        <v>19</v>
      </c>
      <c r="AJ1240" t="s">
        <v>110</v>
      </c>
      <c r="AK1240">
        <v>17</v>
      </c>
      <c r="AL1240">
        <v>4</v>
      </c>
      <c r="AM1240">
        <v>187</v>
      </c>
      <c r="AN1240">
        <v>41</v>
      </c>
      <c r="AO1240">
        <v>3</v>
      </c>
      <c r="AP1240" t="s">
        <v>93</v>
      </c>
      <c r="AQ1240" t="s">
        <v>89</v>
      </c>
      <c r="AR1240" t="s">
        <v>89</v>
      </c>
      <c r="AS1240" t="s">
        <v>93</v>
      </c>
      <c r="AT1240" t="s">
        <v>89</v>
      </c>
      <c r="AU1240" t="s">
        <v>89</v>
      </c>
      <c r="AV1240" t="s">
        <v>89</v>
      </c>
      <c r="AW1240">
        <v>15</v>
      </c>
      <c r="AX1240" t="s">
        <v>89</v>
      </c>
      <c r="AY1240" t="s">
        <v>93</v>
      </c>
      <c r="AZ1240">
        <v>0</v>
      </c>
      <c r="BA1240">
        <v>0</v>
      </c>
      <c r="BB1240">
        <v>0</v>
      </c>
      <c r="BC1240">
        <v>0</v>
      </c>
      <c r="BD1240">
        <v>345</v>
      </c>
      <c r="BE1240">
        <v>17277</v>
      </c>
      <c r="BF1240">
        <v>33</v>
      </c>
      <c r="BG1240" t="s">
        <v>89</v>
      </c>
      <c r="BH1240">
        <v>345</v>
      </c>
      <c r="BI1240">
        <v>17277</v>
      </c>
      <c r="BJ1240">
        <v>33</v>
      </c>
      <c r="BK1240">
        <f t="shared" si="173"/>
        <v>345</v>
      </c>
      <c r="BL1240">
        <f t="shared" si="174"/>
        <v>17277</v>
      </c>
      <c r="BM1240">
        <f t="shared" si="175"/>
        <v>33</v>
      </c>
      <c r="BN1240">
        <f t="shared" si="176"/>
        <v>0</v>
      </c>
      <c r="BO1240">
        <f t="shared" si="177"/>
        <v>0</v>
      </c>
      <c r="BP1240">
        <f t="shared" si="178"/>
        <v>0</v>
      </c>
      <c r="BQ1240" t="s">
        <v>9724</v>
      </c>
      <c r="BR1240" t="s">
        <v>112</v>
      </c>
      <c r="BS1240" t="s">
        <v>89</v>
      </c>
      <c r="BT1240">
        <v>33</v>
      </c>
      <c r="BU1240" t="s">
        <v>89</v>
      </c>
      <c r="BV1240" t="s">
        <v>89</v>
      </c>
      <c r="BW1240">
        <v>16</v>
      </c>
      <c r="BX1240">
        <v>1993</v>
      </c>
      <c r="BY1240">
        <v>15</v>
      </c>
      <c r="BZ1240">
        <f t="shared" si="179"/>
        <v>-1</v>
      </c>
      <c r="CA1240">
        <f t="shared" si="180"/>
        <v>1</v>
      </c>
      <c r="CB1240" t="b">
        <f t="shared" si="181"/>
        <v>0</v>
      </c>
    </row>
    <row r="1241" spans="1:80" x14ac:dyDescent="0.3">
      <c r="A1241" t="s">
        <v>9728</v>
      </c>
      <c r="B1241" t="s">
        <v>776</v>
      </c>
      <c r="C1241" t="s">
        <v>9729</v>
      </c>
      <c r="D1241">
        <v>38</v>
      </c>
      <c r="E1241" s="1">
        <v>31707</v>
      </c>
      <c r="F1241" t="s">
        <v>89</v>
      </c>
      <c r="G1241" t="s">
        <v>211</v>
      </c>
      <c r="H1241" t="s">
        <v>89</v>
      </c>
      <c r="I1241" t="s">
        <v>437</v>
      </c>
      <c r="J1241" t="s">
        <v>78</v>
      </c>
      <c r="K1241" t="s">
        <v>89</v>
      </c>
      <c r="L1241">
        <v>2007</v>
      </c>
      <c r="M1241">
        <v>20</v>
      </c>
      <c r="N1241" t="s">
        <v>3688</v>
      </c>
      <c r="O1241">
        <v>2007</v>
      </c>
      <c r="P1241" t="s">
        <v>9730</v>
      </c>
      <c r="Q1241" t="s">
        <v>9731</v>
      </c>
      <c r="R1241">
        <v>45593</v>
      </c>
      <c r="S1241" t="s">
        <v>9728</v>
      </c>
      <c r="T1241" t="s">
        <v>9732</v>
      </c>
      <c r="U1241">
        <v>1986</v>
      </c>
      <c r="V1241" t="s">
        <v>9733</v>
      </c>
      <c r="W1241">
        <v>1.77</v>
      </c>
      <c r="X1241" t="s">
        <v>778</v>
      </c>
      <c r="Y1241" t="s">
        <v>123</v>
      </c>
      <c r="Z1241" t="s">
        <v>87</v>
      </c>
      <c r="AA1241" t="s">
        <v>9734</v>
      </c>
      <c r="AB1241" t="s">
        <v>9735</v>
      </c>
      <c r="AC1241" t="s">
        <v>108</v>
      </c>
      <c r="AD1241" t="s">
        <v>89</v>
      </c>
      <c r="AE1241" t="s">
        <v>9736</v>
      </c>
      <c r="AF1241">
        <v>19</v>
      </c>
      <c r="AG1241" t="s">
        <v>786</v>
      </c>
      <c r="AH1241" t="s">
        <v>9737</v>
      </c>
      <c r="AI1241">
        <v>34</v>
      </c>
      <c r="AJ1241" t="s">
        <v>986</v>
      </c>
      <c r="AK1241">
        <v>19</v>
      </c>
      <c r="AL1241">
        <v>14</v>
      </c>
      <c r="AM1241">
        <v>518</v>
      </c>
      <c r="AN1241">
        <v>85</v>
      </c>
      <c r="AO1241">
        <v>7</v>
      </c>
      <c r="AP1241" t="s">
        <v>93</v>
      </c>
      <c r="AQ1241" t="s">
        <v>89</v>
      </c>
      <c r="AR1241" t="s">
        <v>89</v>
      </c>
      <c r="AS1241" t="s">
        <v>111</v>
      </c>
      <c r="AT1241" t="s">
        <v>9735</v>
      </c>
      <c r="AU1241">
        <v>2023</v>
      </c>
      <c r="AV1241">
        <v>16</v>
      </c>
      <c r="AW1241">
        <v>18</v>
      </c>
      <c r="AX1241" t="s">
        <v>89</v>
      </c>
      <c r="AY1241" t="s">
        <v>93</v>
      </c>
      <c r="AZ1241">
        <v>0</v>
      </c>
      <c r="BA1241">
        <v>0</v>
      </c>
      <c r="BB1241">
        <v>0</v>
      </c>
      <c r="BC1241">
        <v>0</v>
      </c>
      <c r="BD1241">
        <v>224</v>
      </c>
      <c r="BE1241">
        <v>15862</v>
      </c>
      <c r="BF1241">
        <v>90</v>
      </c>
      <c r="BG1241">
        <v>37</v>
      </c>
      <c r="BH1241">
        <v>224</v>
      </c>
      <c r="BI1241">
        <v>15862</v>
      </c>
      <c r="BJ1241">
        <v>90</v>
      </c>
      <c r="BK1241">
        <f t="shared" si="173"/>
        <v>224</v>
      </c>
      <c r="BL1241">
        <f t="shared" si="174"/>
        <v>15862</v>
      </c>
      <c r="BM1241">
        <f t="shared" si="175"/>
        <v>90</v>
      </c>
      <c r="BN1241">
        <f t="shared" si="176"/>
        <v>0</v>
      </c>
      <c r="BO1241">
        <f t="shared" si="177"/>
        <v>0</v>
      </c>
      <c r="BP1241">
        <f t="shared" si="178"/>
        <v>0</v>
      </c>
      <c r="BQ1241" t="s">
        <v>123</v>
      </c>
      <c r="BR1241" t="s">
        <v>112</v>
      </c>
      <c r="BS1241" s="1">
        <v>31707</v>
      </c>
      <c r="BT1241">
        <v>39</v>
      </c>
      <c r="BU1241" t="s">
        <v>9735</v>
      </c>
      <c r="BV1241" s="1">
        <v>44940</v>
      </c>
      <c r="BW1241">
        <v>18</v>
      </c>
      <c r="BX1241">
        <v>1986</v>
      </c>
      <c r="BY1241">
        <v>18</v>
      </c>
      <c r="BZ1241">
        <f t="shared" si="179"/>
        <v>0</v>
      </c>
      <c r="CA1241">
        <f t="shared" si="180"/>
        <v>0</v>
      </c>
      <c r="CB1241" t="b">
        <f t="shared" si="181"/>
        <v>1</v>
      </c>
    </row>
    <row r="1242" spans="1:80" x14ac:dyDescent="0.3">
      <c r="A1242" t="s">
        <v>9738</v>
      </c>
      <c r="B1242" t="s">
        <v>776</v>
      </c>
      <c r="C1242" t="s">
        <v>9739</v>
      </c>
      <c r="D1242">
        <v>33</v>
      </c>
      <c r="E1242" t="s">
        <v>2250</v>
      </c>
      <c r="F1242" t="s">
        <v>9740</v>
      </c>
      <c r="G1242" t="s">
        <v>193</v>
      </c>
      <c r="H1242" t="s">
        <v>778</v>
      </c>
      <c r="I1242" t="s">
        <v>437</v>
      </c>
      <c r="J1242" t="s">
        <v>78</v>
      </c>
      <c r="K1242" t="s">
        <v>9741</v>
      </c>
      <c r="L1242" t="s">
        <v>324</v>
      </c>
      <c r="M1242">
        <v>21</v>
      </c>
      <c r="N1242" t="s">
        <v>118</v>
      </c>
      <c r="O1242">
        <v>2013</v>
      </c>
      <c r="P1242" t="s">
        <v>9742</v>
      </c>
      <c r="Q1242" t="s">
        <v>9743</v>
      </c>
      <c r="R1242">
        <v>122155</v>
      </c>
      <c r="S1242" t="s">
        <v>9738</v>
      </c>
      <c r="T1242" t="s">
        <v>2256</v>
      </c>
      <c r="U1242">
        <v>1991</v>
      </c>
      <c r="V1242" t="s">
        <v>9744</v>
      </c>
      <c r="W1242">
        <v>1.86</v>
      </c>
      <c r="X1242" t="s">
        <v>783</v>
      </c>
      <c r="Y1242" t="s">
        <v>123</v>
      </c>
      <c r="Z1242" t="s">
        <v>87</v>
      </c>
      <c r="AA1242" t="s">
        <v>3290</v>
      </c>
      <c r="AB1242" t="s">
        <v>8985</v>
      </c>
      <c r="AC1242" t="s">
        <v>188</v>
      </c>
      <c r="AD1242" t="s">
        <v>89</v>
      </c>
      <c r="AE1242" s="1">
        <v>2009</v>
      </c>
      <c r="AF1242">
        <v>17</v>
      </c>
      <c r="AG1242" t="s">
        <v>786</v>
      </c>
      <c r="AH1242">
        <v>2014</v>
      </c>
      <c r="AI1242">
        <v>22</v>
      </c>
      <c r="AJ1242">
        <v>0</v>
      </c>
      <c r="AK1242">
        <v>17</v>
      </c>
      <c r="AL1242">
        <v>12</v>
      </c>
      <c r="AM1242">
        <v>214</v>
      </c>
      <c r="AN1242">
        <v>36</v>
      </c>
      <c r="AO1242">
        <v>8</v>
      </c>
      <c r="AP1242" t="s">
        <v>93</v>
      </c>
      <c r="AQ1242" t="s">
        <v>89</v>
      </c>
      <c r="AR1242" t="s">
        <v>89</v>
      </c>
      <c r="AS1242" t="s">
        <v>93</v>
      </c>
      <c r="AT1242" t="s">
        <v>89</v>
      </c>
      <c r="AU1242" t="s">
        <v>89</v>
      </c>
      <c r="AV1242" t="s">
        <v>89</v>
      </c>
      <c r="AW1242">
        <v>12</v>
      </c>
      <c r="AX1242">
        <v>12</v>
      </c>
      <c r="AY1242" t="s">
        <v>93</v>
      </c>
      <c r="AZ1242">
        <v>0</v>
      </c>
      <c r="BA1242">
        <v>0</v>
      </c>
      <c r="BB1242">
        <v>0</v>
      </c>
      <c r="BC1242">
        <v>0</v>
      </c>
      <c r="BD1242">
        <v>436</v>
      </c>
      <c r="BE1242">
        <v>25395</v>
      </c>
      <c r="BF1242">
        <v>121</v>
      </c>
      <c r="BG1242" t="s">
        <v>89</v>
      </c>
      <c r="BH1242">
        <v>436</v>
      </c>
      <c r="BI1242">
        <v>25395</v>
      </c>
      <c r="BJ1242">
        <v>121</v>
      </c>
      <c r="BK1242">
        <f t="shared" si="173"/>
        <v>436</v>
      </c>
      <c r="BL1242">
        <f t="shared" si="174"/>
        <v>25395</v>
      </c>
      <c r="BM1242">
        <f t="shared" si="175"/>
        <v>121</v>
      </c>
      <c r="BN1242">
        <f t="shared" si="176"/>
        <v>0</v>
      </c>
      <c r="BO1242">
        <f t="shared" si="177"/>
        <v>0</v>
      </c>
      <c r="BP1242">
        <f t="shared" si="178"/>
        <v>0</v>
      </c>
      <c r="BQ1242" t="s">
        <v>123</v>
      </c>
      <c r="BR1242" t="s">
        <v>112</v>
      </c>
      <c r="BS1242" s="1">
        <v>33565</v>
      </c>
      <c r="BT1242">
        <v>34</v>
      </c>
      <c r="BU1242" t="s">
        <v>89</v>
      </c>
      <c r="BV1242" t="s">
        <v>89</v>
      </c>
      <c r="BW1242">
        <v>17</v>
      </c>
      <c r="BX1242">
        <v>1991</v>
      </c>
      <c r="BY1242">
        <v>16</v>
      </c>
      <c r="BZ1242">
        <f t="shared" si="179"/>
        <v>-5</v>
      </c>
      <c r="CA1242">
        <f t="shared" si="180"/>
        <v>1</v>
      </c>
      <c r="CB1242" t="b">
        <f t="shared" si="181"/>
        <v>0</v>
      </c>
    </row>
    <row r="1243" spans="1:80" x14ac:dyDescent="0.3">
      <c r="A1243" t="s">
        <v>9745</v>
      </c>
      <c r="B1243" t="s">
        <v>156</v>
      </c>
      <c r="C1243" t="s">
        <v>9746</v>
      </c>
      <c r="D1243">
        <v>43</v>
      </c>
      <c r="E1243" s="1">
        <v>29857</v>
      </c>
      <c r="F1243" t="s">
        <v>89</v>
      </c>
      <c r="G1243" t="s">
        <v>226</v>
      </c>
      <c r="H1243" t="s">
        <v>177</v>
      </c>
      <c r="I1243" t="s">
        <v>178</v>
      </c>
      <c r="J1243" t="s">
        <v>78</v>
      </c>
      <c r="K1243" t="s">
        <v>89</v>
      </c>
      <c r="L1243" t="s">
        <v>145</v>
      </c>
      <c r="M1243">
        <v>22</v>
      </c>
      <c r="N1243" t="s">
        <v>402</v>
      </c>
      <c r="O1243">
        <v>2004</v>
      </c>
      <c r="P1243" t="s">
        <v>9747</v>
      </c>
      <c r="Q1243" t="s">
        <v>9748</v>
      </c>
      <c r="R1243">
        <v>19948</v>
      </c>
      <c r="S1243" t="s">
        <v>9745</v>
      </c>
      <c r="T1243" t="s">
        <v>9749</v>
      </c>
      <c r="U1243">
        <v>1981</v>
      </c>
      <c r="V1243" t="s">
        <v>9750</v>
      </c>
      <c r="W1243">
        <v>1.86</v>
      </c>
      <c r="X1243" t="s">
        <v>219</v>
      </c>
      <c r="Y1243" t="s">
        <v>186</v>
      </c>
      <c r="Z1243" t="s">
        <v>87</v>
      </c>
      <c r="AA1243" t="s">
        <v>4005</v>
      </c>
      <c r="AB1243" s="1">
        <v>44933</v>
      </c>
      <c r="AC1243" t="s">
        <v>108</v>
      </c>
      <c r="AD1243" t="s">
        <v>89</v>
      </c>
      <c r="AE1243">
        <v>37409</v>
      </c>
      <c r="AF1243">
        <v>20</v>
      </c>
      <c r="AG1243" t="s">
        <v>189</v>
      </c>
      <c r="AH1243">
        <v>38415</v>
      </c>
      <c r="AI1243">
        <v>23</v>
      </c>
      <c r="AJ1243" t="s">
        <v>110</v>
      </c>
      <c r="AK1243">
        <v>20</v>
      </c>
      <c r="AL1243">
        <v>3</v>
      </c>
      <c r="AM1243">
        <v>299</v>
      </c>
      <c r="AN1243">
        <v>44</v>
      </c>
      <c r="AO1243">
        <v>3</v>
      </c>
      <c r="AP1243" t="s">
        <v>93</v>
      </c>
      <c r="AQ1243" t="s">
        <v>89</v>
      </c>
      <c r="AR1243" t="s">
        <v>89</v>
      </c>
      <c r="AS1243" t="s">
        <v>111</v>
      </c>
      <c r="AT1243" s="1">
        <v>44933</v>
      </c>
      <c r="AU1243">
        <v>2023</v>
      </c>
      <c r="AV1243">
        <v>19</v>
      </c>
      <c r="AW1243">
        <v>19</v>
      </c>
      <c r="AX1243" t="s">
        <v>89</v>
      </c>
      <c r="AY1243" t="s">
        <v>111</v>
      </c>
      <c r="AZ1243">
        <v>4</v>
      </c>
      <c r="BA1243">
        <v>5</v>
      </c>
      <c r="BB1243">
        <v>429</v>
      </c>
      <c r="BC1243">
        <v>0</v>
      </c>
      <c r="BD1243">
        <v>401</v>
      </c>
      <c r="BE1243">
        <v>35511</v>
      </c>
      <c r="BF1243">
        <v>0</v>
      </c>
      <c r="BG1243">
        <v>42</v>
      </c>
      <c r="BH1243">
        <v>406</v>
      </c>
      <c r="BI1243">
        <v>35940</v>
      </c>
      <c r="BJ1243">
        <v>0</v>
      </c>
      <c r="BK1243">
        <f t="shared" si="173"/>
        <v>406</v>
      </c>
      <c r="BL1243">
        <f t="shared" si="174"/>
        <v>35940</v>
      </c>
      <c r="BM1243">
        <f t="shared" si="175"/>
        <v>0</v>
      </c>
      <c r="BN1243">
        <f t="shared" si="176"/>
        <v>0</v>
      </c>
      <c r="BO1243">
        <f t="shared" si="177"/>
        <v>0</v>
      </c>
      <c r="BP1243">
        <f t="shared" si="178"/>
        <v>0</v>
      </c>
      <c r="BQ1243" t="s">
        <v>186</v>
      </c>
      <c r="BR1243" t="s">
        <v>186</v>
      </c>
      <c r="BS1243" s="1">
        <v>29857</v>
      </c>
      <c r="BT1243">
        <v>44</v>
      </c>
      <c r="BU1243" s="1">
        <v>44933</v>
      </c>
      <c r="BV1243" s="1">
        <v>45108</v>
      </c>
      <c r="BW1243">
        <v>22</v>
      </c>
      <c r="BX1243">
        <v>1981</v>
      </c>
      <c r="BY1243">
        <v>22</v>
      </c>
      <c r="BZ1243">
        <f t="shared" si="179"/>
        <v>-3</v>
      </c>
      <c r="CA1243">
        <f t="shared" si="180"/>
        <v>0</v>
      </c>
      <c r="CB1243" t="b">
        <f t="shared" si="181"/>
        <v>0</v>
      </c>
    </row>
    <row r="1244" spans="1:80" x14ac:dyDescent="0.3">
      <c r="A1244" t="s">
        <v>9751</v>
      </c>
      <c r="B1244" t="s">
        <v>71</v>
      </c>
      <c r="C1244" t="s">
        <v>9752</v>
      </c>
      <c r="D1244">
        <v>43</v>
      </c>
      <c r="E1244" s="1">
        <v>29915</v>
      </c>
      <c r="F1244" t="s">
        <v>89</v>
      </c>
      <c r="G1244" t="s">
        <v>413</v>
      </c>
      <c r="H1244" t="s">
        <v>76</v>
      </c>
      <c r="I1244" t="s">
        <v>288</v>
      </c>
      <c r="J1244" t="s">
        <v>639</v>
      </c>
      <c r="K1244" t="s">
        <v>89</v>
      </c>
      <c r="L1244" t="s">
        <v>196</v>
      </c>
      <c r="M1244">
        <v>18</v>
      </c>
      <c r="N1244" t="s">
        <v>1365</v>
      </c>
      <c r="O1244">
        <v>2000</v>
      </c>
      <c r="P1244" t="s">
        <v>9753</v>
      </c>
      <c r="Q1244" t="s">
        <v>9754</v>
      </c>
      <c r="R1244">
        <v>7476</v>
      </c>
      <c r="S1244" t="s">
        <v>9751</v>
      </c>
      <c r="T1244" t="s">
        <v>9755</v>
      </c>
      <c r="U1244">
        <v>1981</v>
      </c>
      <c r="V1244" t="s">
        <v>7297</v>
      </c>
      <c r="W1244">
        <v>1.83</v>
      </c>
      <c r="X1244" t="s">
        <v>76</v>
      </c>
      <c r="Y1244" t="s">
        <v>259</v>
      </c>
      <c r="Z1244" t="s">
        <v>87</v>
      </c>
      <c r="AA1244" t="s">
        <v>2265</v>
      </c>
      <c r="AB1244">
        <v>42742</v>
      </c>
      <c r="AC1244" t="s">
        <v>108</v>
      </c>
      <c r="AD1244" t="s">
        <v>442</v>
      </c>
      <c r="AE1244" t="s">
        <v>9756</v>
      </c>
      <c r="AF1244">
        <v>19</v>
      </c>
      <c r="AG1244" t="s">
        <v>91</v>
      </c>
      <c r="AH1244">
        <v>36565</v>
      </c>
      <c r="AI1244">
        <v>18</v>
      </c>
      <c r="AJ1244" t="s">
        <v>110</v>
      </c>
      <c r="AK1244">
        <v>18</v>
      </c>
      <c r="AL1244">
        <v>11</v>
      </c>
      <c r="AM1244">
        <v>276</v>
      </c>
      <c r="AN1244">
        <v>68</v>
      </c>
      <c r="AO1244">
        <v>7</v>
      </c>
      <c r="AP1244" t="s">
        <v>93</v>
      </c>
      <c r="AQ1244" t="s">
        <v>89</v>
      </c>
      <c r="AR1244" t="s">
        <v>89</v>
      </c>
      <c r="AS1244" t="s">
        <v>111</v>
      </c>
      <c r="AT1244">
        <v>42742</v>
      </c>
      <c r="AU1244">
        <v>2017</v>
      </c>
      <c r="AV1244">
        <v>17</v>
      </c>
      <c r="AW1244">
        <v>17</v>
      </c>
      <c r="AX1244" t="s">
        <v>89</v>
      </c>
      <c r="AY1244" t="s">
        <v>111</v>
      </c>
      <c r="AZ1244">
        <v>13</v>
      </c>
      <c r="BA1244">
        <v>61</v>
      </c>
      <c r="BB1244">
        <v>4263</v>
      </c>
      <c r="BC1244">
        <v>7</v>
      </c>
      <c r="BD1244">
        <v>628</v>
      </c>
      <c r="BE1244">
        <v>50162</v>
      </c>
      <c r="BF1244">
        <v>39</v>
      </c>
      <c r="BG1244">
        <v>36</v>
      </c>
      <c r="BH1244">
        <v>689</v>
      </c>
      <c r="BI1244">
        <v>54425</v>
      </c>
      <c r="BJ1244">
        <v>46</v>
      </c>
      <c r="BK1244">
        <f t="shared" si="173"/>
        <v>689</v>
      </c>
      <c r="BL1244">
        <f t="shared" si="174"/>
        <v>54425</v>
      </c>
      <c r="BM1244">
        <f t="shared" si="175"/>
        <v>46</v>
      </c>
      <c r="BN1244">
        <f t="shared" si="176"/>
        <v>0</v>
      </c>
      <c r="BO1244">
        <f t="shared" si="177"/>
        <v>0</v>
      </c>
      <c r="BP1244">
        <f t="shared" si="178"/>
        <v>0</v>
      </c>
      <c r="BQ1244" t="s">
        <v>259</v>
      </c>
      <c r="BR1244" t="s">
        <v>94</v>
      </c>
      <c r="BS1244" s="1">
        <v>29915</v>
      </c>
      <c r="BT1244">
        <v>44</v>
      </c>
      <c r="BU1244">
        <v>42742</v>
      </c>
      <c r="BV1244" t="s">
        <v>89</v>
      </c>
      <c r="BW1244">
        <v>18</v>
      </c>
      <c r="BX1244">
        <v>1981</v>
      </c>
      <c r="BY1244">
        <v>18</v>
      </c>
      <c r="BZ1244">
        <f t="shared" si="179"/>
        <v>-1</v>
      </c>
      <c r="CA1244">
        <f t="shared" si="180"/>
        <v>0</v>
      </c>
      <c r="CB1244" t="b">
        <f t="shared" si="181"/>
        <v>0</v>
      </c>
    </row>
    <row r="1245" spans="1:80" x14ac:dyDescent="0.3">
      <c r="A1245" t="s">
        <v>9757</v>
      </c>
      <c r="B1245" t="s">
        <v>71</v>
      </c>
      <c r="C1245" t="s">
        <v>9758</v>
      </c>
      <c r="D1245">
        <v>39</v>
      </c>
      <c r="E1245" s="1">
        <v>31492</v>
      </c>
      <c r="F1245" t="s">
        <v>89</v>
      </c>
      <c r="G1245" t="s">
        <v>115</v>
      </c>
      <c r="H1245" t="s">
        <v>89</v>
      </c>
      <c r="I1245" t="s">
        <v>178</v>
      </c>
      <c r="J1245" t="s">
        <v>78</v>
      </c>
      <c r="K1245" t="s">
        <v>89</v>
      </c>
      <c r="L1245" t="s">
        <v>130</v>
      </c>
      <c r="M1245">
        <v>22</v>
      </c>
      <c r="N1245" t="s">
        <v>1181</v>
      </c>
      <c r="O1245">
        <v>2008</v>
      </c>
      <c r="P1245" t="s">
        <v>9759</v>
      </c>
      <c r="Q1245" t="s">
        <v>9760</v>
      </c>
      <c r="R1245">
        <v>89618</v>
      </c>
      <c r="S1245" t="s">
        <v>9757</v>
      </c>
      <c r="T1245" t="s">
        <v>7239</v>
      </c>
      <c r="U1245">
        <v>1986</v>
      </c>
      <c r="V1245" t="s">
        <v>4682</v>
      </c>
      <c r="W1245">
        <v>1.79</v>
      </c>
      <c r="X1245" t="s">
        <v>76</v>
      </c>
      <c r="Y1245" t="s">
        <v>186</v>
      </c>
      <c r="Z1245" t="s">
        <v>87</v>
      </c>
      <c r="AA1245" t="s">
        <v>476</v>
      </c>
      <c r="AB1245" s="1">
        <v>44933</v>
      </c>
      <c r="AC1245" t="s">
        <v>108</v>
      </c>
      <c r="AD1245" t="s">
        <v>89</v>
      </c>
      <c r="AE1245" t="s">
        <v>1729</v>
      </c>
      <c r="AF1245">
        <v>28</v>
      </c>
      <c r="AG1245" t="s">
        <v>91</v>
      </c>
      <c r="AH1245" t="s">
        <v>646</v>
      </c>
      <c r="AI1245">
        <v>23</v>
      </c>
      <c r="AJ1245" t="s">
        <v>110</v>
      </c>
      <c r="AK1245">
        <v>23</v>
      </c>
      <c r="AL1245" t="s">
        <v>89</v>
      </c>
      <c r="AM1245" t="s">
        <v>89</v>
      </c>
      <c r="AN1245" t="s">
        <v>89</v>
      </c>
      <c r="AO1245">
        <v>0</v>
      </c>
      <c r="AP1245" t="s">
        <v>93</v>
      </c>
      <c r="AQ1245" t="s">
        <v>89</v>
      </c>
      <c r="AR1245" t="s">
        <v>89</v>
      </c>
      <c r="AS1245" t="s">
        <v>93</v>
      </c>
      <c r="AT1245" t="s">
        <v>89</v>
      </c>
      <c r="AU1245" t="s">
        <v>89</v>
      </c>
      <c r="AV1245" t="s">
        <v>89</v>
      </c>
      <c r="AW1245">
        <v>17</v>
      </c>
      <c r="AX1245" t="s">
        <v>89</v>
      </c>
      <c r="AY1245" t="s">
        <v>93</v>
      </c>
      <c r="AZ1245">
        <v>0</v>
      </c>
      <c r="BA1245">
        <v>0</v>
      </c>
      <c r="BB1245">
        <v>0</v>
      </c>
      <c r="BC1245">
        <v>0</v>
      </c>
      <c r="BD1245">
        <v>109</v>
      </c>
      <c r="BE1245">
        <v>9695</v>
      </c>
      <c r="BF1245">
        <v>0</v>
      </c>
      <c r="BG1245" t="s">
        <v>89</v>
      </c>
      <c r="BH1245">
        <v>109</v>
      </c>
      <c r="BI1245">
        <v>9695</v>
      </c>
      <c r="BJ1245">
        <v>0</v>
      </c>
      <c r="BK1245">
        <f t="shared" si="173"/>
        <v>109</v>
      </c>
      <c r="BL1245">
        <f t="shared" si="174"/>
        <v>9695</v>
      </c>
      <c r="BM1245">
        <f t="shared" si="175"/>
        <v>0</v>
      </c>
      <c r="BN1245">
        <f t="shared" si="176"/>
        <v>0</v>
      </c>
      <c r="BO1245">
        <f t="shared" si="177"/>
        <v>0</v>
      </c>
      <c r="BP1245">
        <f t="shared" si="178"/>
        <v>0</v>
      </c>
      <c r="BQ1245" t="s">
        <v>186</v>
      </c>
      <c r="BR1245" t="s">
        <v>186</v>
      </c>
      <c r="BS1245" s="1">
        <v>31492</v>
      </c>
      <c r="BT1245">
        <v>39</v>
      </c>
      <c r="BU1245" t="s">
        <v>89</v>
      </c>
      <c r="BV1245" t="s">
        <v>89</v>
      </c>
      <c r="BW1245">
        <v>16</v>
      </c>
      <c r="BX1245">
        <v>1986</v>
      </c>
      <c r="BY1245">
        <v>16</v>
      </c>
      <c r="BZ1245">
        <f t="shared" si="179"/>
        <v>1</v>
      </c>
      <c r="CA1245">
        <f t="shared" si="180"/>
        <v>0</v>
      </c>
      <c r="CB1245" t="b">
        <f t="shared" si="181"/>
        <v>0</v>
      </c>
    </row>
    <row r="1246" spans="1:80" x14ac:dyDescent="0.3">
      <c r="A1246" t="s">
        <v>9761</v>
      </c>
      <c r="B1246" t="s">
        <v>71</v>
      </c>
      <c r="C1246" t="s">
        <v>9762</v>
      </c>
      <c r="D1246">
        <v>41</v>
      </c>
      <c r="E1246" s="1">
        <v>30557</v>
      </c>
      <c r="F1246" t="s">
        <v>89</v>
      </c>
      <c r="G1246" t="s">
        <v>226</v>
      </c>
      <c r="H1246" t="s">
        <v>76</v>
      </c>
      <c r="I1246" t="s">
        <v>9763</v>
      </c>
      <c r="J1246" t="s">
        <v>78</v>
      </c>
      <c r="K1246" t="s">
        <v>89</v>
      </c>
      <c r="L1246" t="s">
        <v>657</v>
      </c>
      <c r="M1246">
        <v>19</v>
      </c>
      <c r="N1246" t="s">
        <v>1365</v>
      </c>
      <c r="O1246">
        <v>2003</v>
      </c>
      <c r="P1246" t="s">
        <v>9764</v>
      </c>
      <c r="Q1246" t="s">
        <v>9765</v>
      </c>
      <c r="R1246">
        <v>15693</v>
      </c>
      <c r="S1246" t="s">
        <v>9761</v>
      </c>
      <c r="T1246" t="s">
        <v>9766</v>
      </c>
      <c r="U1246">
        <v>1983</v>
      </c>
      <c r="V1246" t="s">
        <v>1488</v>
      </c>
      <c r="W1246">
        <v>1.87</v>
      </c>
      <c r="X1246" t="s">
        <v>76</v>
      </c>
      <c r="Y1246" t="s">
        <v>106</v>
      </c>
      <c r="Z1246" t="s">
        <v>87</v>
      </c>
      <c r="AA1246" t="s">
        <v>1365</v>
      </c>
      <c r="AB1246" s="1">
        <v>43107</v>
      </c>
      <c r="AC1246" t="s">
        <v>108</v>
      </c>
      <c r="AD1246" t="s">
        <v>89</v>
      </c>
      <c r="AE1246" t="s">
        <v>458</v>
      </c>
      <c r="AF1246">
        <v>20</v>
      </c>
      <c r="AG1246" t="s">
        <v>91</v>
      </c>
      <c r="AH1246" t="s">
        <v>449</v>
      </c>
      <c r="AI1246">
        <v>23</v>
      </c>
      <c r="AJ1246" t="s">
        <v>110</v>
      </c>
      <c r="AK1246">
        <v>20</v>
      </c>
      <c r="AL1246">
        <v>4</v>
      </c>
      <c r="AM1246">
        <v>157</v>
      </c>
      <c r="AN1246">
        <v>23</v>
      </c>
      <c r="AO1246">
        <v>4</v>
      </c>
      <c r="AP1246" t="s">
        <v>93</v>
      </c>
      <c r="AQ1246" t="s">
        <v>89</v>
      </c>
      <c r="AR1246" t="s">
        <v>89</v>
      </c>
      <c r="AS1246" t="s">
        <v>111</v>
      </c>
      <c r="AT1246" s="1">
        <v>43107</v>
      </c>
      <c r="AU1246">
        <v>2018</v>
      </c>
      <c r="AV1246">
        <v>15</v>
      </c>
      <c r="AW1246">
        <v>15</v>
      </c>
      <c r="AX1246" t="s">
        <v>89</v>
      </c>
      <c r="AY1246" t="s">
        <v>93</v>
      </c>
      <c r="AZ1246">
        <v>0</v>
      </c>
      <c r="BA1246">
        <v>0</v>
      </c>
      <c r="BB1246">
        <v>0</v>
      </c>
      <c r="BC1246">
        <v>0</v>
      </c>
      <c r="BD1246">
        <v>500</v>
      </c>
      <c r="BE1246">
        <v>37425</v>
      </c>
      <c r="BF1246">
        <v>67</v>
      </c>
      <c r="BG1246">
        <v>35</v>
      </c>
      <c r="BH1246">
        <v>500</v>
      </c>
      <c r="BI1246">
        <v>37425</v>
      </c>
      <c r="BJ1246">
        <v>67</v>
      </c>
      <c r="BK1246">
        <f t="shared" si="173"/>
        <v>500</v>
      </c>
      <c r="BL1246">
        <f t="shared" si="174"/>
        <v>37425</v>
      </c>
      <c r="BM1246">
        <f t="shared" si="175"/>
        <v>67</v>
      </c>
      <c r="BN1246">
        <f t="shared" si="176"/>
        <v>0</v>
      </c>
      <c r="BO1246">
        <f t="shared" si="177"/>
        <v>0</v>
      </c>
      <c r="BP1246">
        <f t="shared" si="178"/>
        <v>0</v>
      </c>
      <c r="BQ1246" t="s">
        <v>106</v>
      </c>
      <c r="BR1246" t="s">
        <v>112</v>
      </c>
      <c r="BS1246" s="1">
        <v>30557</v>
      </c>
      <c r="BT1246">
        <v>42</v>
      </c>
      <c r="BU1246" s="1">
        <v>43107</v>
      </c>
      <c r="BV1246" s="1">
        <v>43282</v>
      </c>
      <c r="BW1246">
        <v>15</v>
      </c>
      <c r="BX1246">
        <v>1983</v>
      </c>
      <c r="BY1246">
        <v>15</v>
      </c>
      <c r="BZ1246">
        <f t="shared" si="179"/>
        <v>0</v>
      </c>
      <c r="CA1246">
        <f t="shared" si="180"/>
        <v>0</v>
      </c>
      <c r="CB1246" t="b">
        <f t="shared" si="181"/>
        <v>1</v>
      </c>
    </row>
    <row r="1247" spans="1:80" x14ac:dyDescent="0.3">
      <c r="A1247" t="s">
        <v>9767</v>
      </c>
      <c r="B1247" t="s">
        <v>2677</v>
      </c>
      <c r="C1247" t="s">
        <v>9768</v>
      </c>
      <c r="D1247">
        <v>39</v>
      </c>
      <c r="E1247" s="1">
        <v>31500</v>
      </c>
      <c r="F1247" t="s">
        <v>89</v>
      </c>
      <c r="G1247" t="s">
        <v>226</v>
      </c>
      <c r="H1247" t="s">
        <v>9769</v>
      </c>
      <c r="I1247" t="s">
        <v>195</v>
      </c>
      <c r="J1247" t="s">
        <v>78</v>
      </c>
      <c r="K1247" t="s">
        <v>89</v>
      </c>
      <c r="L1247" t="s">
        <v>163</v>
      </c>
      <c r="M1247">
        <v>20</v>
      </c>
      <c r="N1247" t="s">
        <v>364</v>
      </c>
      <c r="O1247">
        <v>2006</v>
      </c>
      <c r="P1247" t="s">
        <v>9770</v>
      </c>
      <c r="Q1247" t="s">
        <v>9771</v>
      </c>
      <c r="R1247">
        <v>30097</v>
      </c>
      <c r="S1247" t="s">
        <v>9767</v>
      </c>
      <c r="T1247" t="s">
        <v>9772</v>
      </c>
      <c r="U1247">
        <v>1986</v>
      </c>
      <c r="V1247" t="s">
        <v>9773</v>
      </c>
      <c r="W1247">
        <v>1.85</v>
      </c>
      <c r="X1247" t="s">
        <v>9774</v>
      </c>
      <c r="Y1247" t="s">
        <v>203</v>
      </c>
      <c r="Z1247" t="s">
        <v>152</v>
      </c>
      <c r="AA1247" t="s">
        <v>131</v>
      </c>
      <c r="AB1247">
        <v>42011</v>
      </c>
      <c r="AC1247" t="s">
        <v>108</v>
      </c>
      <c r="AD1247" t="s">
        <v>89</v>
      </c>
      <c r="AE1247">
        <v>2009</v>
      </c>
      <c r="AF1247">
        <v>23</v>
      </c>
      <c r="AG1247" t="s">
        <v>91</v>
      </c>
      <c r="AH1247">
        <v>2006</v>
      </c>
      <c r="AI1247">
        <v>20</v>
      </c>
      <c r="AJ1247">
        <v>0</v>
      </c>
      <c r="AK1247">
        <v>20</v>
      </c>
      <c r="AL1247">
        <v>1</v>
      </c>
      <c r="AM1247">
        <v>102</v>
      </c>
      <c r="AN1247">
        <v>25</v>
      </c>
      <c r="AO1247">
        <v>1</v>
      </c>
      <c r="AP1247" t="s">
        <v>93</v>
      </c>
      <c r="AQ1247" t="s">
        <v>89</v>
      </c>
      <c r="AR1247" t="s">
        <v>89</v>
      </c>
      <c r="AS1247" t="s">
        <v>111</v>
      </c>
      <c r="AT1247">
        <v>42011</v>
      </c>
      <c r="AU1247">
        <v>2015</v>
      </c>
      <c r="AV1247">
        <v>9</v>
      </c>
      <c r="AW1247">
        <v>9</v>
      </c>
      <c r="AX1247" t="s">
        <v>89</v>
      </c>
      <c r="AY1247" t="s">
        <v>93</v>
      </c>
      <c r="AZ1247">
        <v>0</v>
      </c>
      <c r="BA1247">
        <v>0</v>
      </c>
      <c r="BB1247">
        <v>0</v>
      </c>
      <c r="BC1247">
        <v>0</v>
      </c>
      <c r="BD1247">
        <v>188</v>
      </c>
      <c r="BE1247">
        <v>15756</v>
      </c>
      <c r="BF1247">
        <v>1</v>
      </c>
      <c r="BG1247">
        <v>29</v>
      </c>
      <c r="BH1247">
        <v>188</v>
      </c>
      <c r="BI1247">
        <v>15756</v>
      </c>
      <c r="BJ1247">
        <v>1</v>
      </c>
      <c r="BK1247">
        <f t="shared" si="173"/>
        <v>188</v>
      </c>
      <c r="BL1247">
        <f t="shared" si="174"/>
        <v>15756</v>
      </c>
      <c r="BM1247">
        <f t="shared" si="175"/>
        <v>1</v>
      </c>
      <c r="BN1247">
        <f t="shared" si="176"/>
        <v>0</v>
      </c>
      <c r="BO1247">
        <f t="shared" si="177"/>
        <v>0</v>
      </c>
      <c r="BP1247">
        <f t="shared" si="178"/>
        <v>0</v>
      </c>
      <c r="BQ1247" t="s">
        <v>203</v>
      </c>
      <c r="BR1247" t="s">
        <v>140</v>
      </c>
      <c r="BS1247" s="1">
        <v>31500</v>
      </c>
      <c r="BT1247">
        <v>39</v>
      </c>
      <c r="BU1247">
        <v>42011</v>
      </c>
      <c r="BV1247" t="s">
        <v>89</v>
      </c>
      <c r="BW1247">
        <v>9</v>
      </c>
      <c r="BX1247">
        <v>1986</v>
      </c>
      <c r="BY1247">
        <v>9</v>
      </c>
      <c r="BZ1247">
        <f t="shared" si="179"/>
        <v>0</v>
      </c>
      <c r="CA1247">
        <f t="shared" si="180"/>
        <v>0</v>
      </c>
      <c r="CB1247" t="b">
        <f t="shared" si="181"/>
        <v>1</v>
      </c>
    </row>
    <row r="1248" spans="1:80" x14ac:dyDescent="0.3">
      <c r="A1248" t="s">
        <v>9775</v>
      </c>
      <c r="B1248" t="s">
        <v>71</v>
      </c>
      <c r="C1248" t="s">
        <v>9776</v>
      </c>
      <c r="D1248">
        <v>37</v>
      </c>
      <c r="E1248" s="1">
        <v>32081</v>
      </c>
      <c r="F1248" t="s">
        <v>89</v>
      </c>
      <c r="G1248" t="s">
        <v>226</v>
      </c>
      <c r="H1248" t="s">
        <v>76</v>
      </c>
      <c r="I1248" t="s">
        <v>227</v>
      </c>
      <c r="J1248" t="s">
        <v>78</v>
      </c>
      <c r="K1248" t="s">
        <v>89</v>
      </c>
      <c r="L1248" t="s">
        <v>130</v>
      </c>
      <c r="M1248">
        <v>20</v>
      </c>
      <c r="N1248" t="s">
        <v>137</v>
      </c>
      <c r="O1248">
        <v>2008</v>
      </c>
      <c r="P1248" t="s">
        <v>9777</v>
      </c>
      <c r="Q1248" t="s">
        <v>9778</v>
      </c>
      <c r="R1248">
        <v>71559</v>
      </c>
      <c r="S1248" t="s">
        <v>9779</v>
      </c>
      <c r="T1248" t="s">
        <v>9780</v>
      </c>
      <c r="U1248">
        <v>1987</v>
      </c>
      <c r="V1248" t="s">
        <v>5424</v>
      </c>
      <c r="W1248">
        <v>1.86</v>
      </c>
      <c r="X1248" t="s">
        <v>76</v>
      </c>
      <c r="Y1248" t="s">
        <v>235</v>
      </c>
      <c r="Z1248" t="s">
        <v>87</v>
      </c>
      <c r="AA1248" t="s">
        <v>3595</v>
      </c>
      <c r="AB1248" s="1">
        <v>45298</v>
      </c>
      <c r="AC1248" t="s">
        <v>108</v>
      </c>
      <c r="AD1248" t="s">
        <v>442</v>
      </c>
      <c r="AE1248" t="s">
        <v>7234</v>
      </c>
      <c r="AF1248">
        <v>21</v>
      </c>
      <c r="AG1248" t="s">
        <v>91</v>
      </c>
      <c r="AH1248">
        <v>40332</v>
      </c>
      <c r="AI1248">
        <v>22</v>
      </c>
      <c r="AJ1248" t="s">
        <v>110</v>
      </c>
      <c r="AK1248">
        <v>21</v>
      </c>
      <c r="AL1248">
        <v>6</v>
      </c>
      <c r="AM1248">
        <v>98</v>
      </c>
      <c r="AN1248">
        <v>20</v>
      </c>
      <c r="AO1248">
        <v>5</v>
      </c>
      <c r="AP1248" t="s">
        <v>93</v>
      </c>
      <c r="AQ1248" t="s">
        <v>89</v>
      </c>
      <c r="AR1248" t="s">
        <v>89</v>
      </c>
      <c r="AS1248" t="s">
        <v>111</v>
      </c>
      <c r="AT1248" s="1">
        <v>45298</v>
      </c>
      <c r="AU1248">
        <v>2024</v>
      </c>
      <c r="AV1248">
        <v>16</v>
      </c>
      <c r="AW1248">
        <v>16</v>
      </c>
      <c r="AX1248" t="s">
        <v>89</v>
      </c>
      <c r="AY1248" t="s">
        <v>111</v>
      </c>
      <c r="AZ1248">
        <v>1</v>
      </c>
      <c r="BA1248">
        <v>1</v>
      </c>
      <c r="BB1248">
        <v>90</v>
      </c>
      <c r="BC1248">
        <v>0</v>
      </c>
      <c r="BD1248">
        <v>353</v>
      </c>
      <c r="BE1248">
        <v>29150</v>
      </c>
      <c r="BF1248">
        <v>18</v>
      </c>
      <c r="BG1248">
        <v>37</v>
      </c>
      <c r="BH1248">
        <v>354</v>
      </c>
      <c r="BI1248">
        <v>29240</v>
      </c>
      <c r="BJ1248">
        <v>18</v>
      </c>
      <c r="BK1248">
        <f t="shared" si="173"/>
        <v>354</v>
      </c>
      <c r="BL1248">
        <f t="shared" si="174"/>
        <v>29240</v>
      </c>
      <c r="BM1248">
        <f t="shared" si="175"/>
        <v>18</v>
      </c>
      <c r="BN1248">
        <f t="shared" si="176"/>
        <v>0</v>
      </c>
      <c r="BO1248">
        <f t="shared" si="177"/>
        <v>0</v>
      </c>
      <c r="BP1248">
        <f t="shared" si="178"/>
        <v>0</v>
      </c>
      <c r="BQ1248" t="s">
        <v>235</v>
      </c>
      <c r="BR1248" t="s">
        <v>140</v>
      </c>
      <c r="BS1248" s="1">
        <v>32081</v>
      </c>
      <c r="BT1248">
        <v>38</v>
      </c>
      <c r="BU1248" s="1">
        <v>45298</v>
      </c>
      <c r="BV1248" s="1">
        <v>45474</v>
      </c>
      <c r="BW1248">
        <v>16</v>
      </c>
      <c r="BX1248">
        <v>1987</v>
      </c>
      <c r="BY1248">
        <v>16</v>
      </c>
      <c r="BZ1248">
        <f t="shared" si="179"/>
        <v>0</v>
      </c>
      <c r="CA1248">
        <f t="shared" si="180"/>
        <v>0</v>
      </c>
      <c r="CB1248" t="b">
        <f t="shared" si="181"/>
        <v>1</v>
      </c>
    </row>
    <row r="1249" spans="1:80" x14ac:dyDescent="0.3">
      <c r="A1249" t="s">
        <v>9781</v>
      </c>
      <c r="B1249" t="s">
        <v>71</v>
      </c>
      <c r="C1249" t="s">
        <v>9782</v>
      </c>
      <c r="D1249">
        <v>45</v>
      </c>
      <c r="E1249" s="1">
        <v>29245</v>
      </c>
      <c r="F1249" t="s">
        <v>89</v>
      </c>
      <c r="G1249" t="s">
        <v>535</v>
      </c>
      <c r="H1249" t="s">
        <v>76</v>
      </c>
      <c r="I1249" t="s">
        <v>555</v>
      </c>
      <c r="J1249" t="s">
        <v>78</v>
      </c>
      <c r="K1249" t="s">
        <v>89</v>
      </c>
      <c r="L1249" t="s">
        <v>1919</v>
      </c>
      <c r="M1249">
        <v>17</v>
      </c>
      <c r="N1249" t="s">
        <v>644</v>
      </c>
      <c r="O1249">
        <v>1997</v>
      </c>
      <c r="P1249" t="s">
        <v>9783</v>
      </c>
      <c r="Q1249" t="s">
        <v>9784</v>
      </c>
      <c r="R1249">
        <v>7607</v>
      </c>
      <c r="S1249" t="s">
        <v>9781</v>
      </c>
      <c r="T1249" t="s">
        <v>8064</v>
      </c>
      <c r="U1249">
        <v>1980</v>
      </c>
      <c r="V1249" t="s">
        <v>640</v>
      </c>
      <c r="W1249">
        <v>1.7</v>
      </c>
      <c r="X1249" t="s">
        <v>76</v>
      </c>
      <c r="Y1249" t="s">
        <v>86</v>
      </c>
      <c r="Z1249" t="s">
        <v>87</v>
      </c>
      <c r="AA1249" t="s">
        <v>3970</v>
      </c>
      <c r="AB1249">
        <v>43472</v>
      </c>
      <c r="AC1249" t="s">
        <v>108</v>
      </c>
      <c r="AD1249" t="s">
        <v>442</v>
      </c>
      <c r="AE1249" s="1">
        <v>35864</v>
      </c>
      <c r="AF1249">
        <v>18</v>
      </c>
      <c r="AG1249" t="s">
        <v>91</v>
      </c>
      <c r="AH1249" t="s">
        <v>869</v>
      </c>
      <c r="AI1249">
        <v>18</v>
      </c>
      <c r="AJ1249" t="s">
        <v>110</v>
      </c>
      <c r="AK1249">
        <v>18</v>
      </c>
      <c r="AL1249">
        <v>6</v>
      </c>
      <c r="AM1249">
        <v>212</v>
      </c>
      <c r="AN1249">
        <v>48</v>
      </c>
      <c r="AO1249">
        <v>6</v>
      </c>
      <c r="AP1249" t="s">
        <v>93</v>
      </c>
      <c r="AQ1249" t="s">
        <v>89</v>
      </c>
      <c r="AR1249" t="s">
        <v>89</v>
      </c>
      <c r="AS1249" t="s">
        <v>111</v>
      </c>
      <c r="AT1249">
        <v>43472</v>
      </c>
      <c r="AU1249">
        <v>2019</v>
      </c>
      <c r="AV1249">
        <v>22</v>
      </c>
      <c r="AW1249">
        <v>22</v>
      </c>
      <c r="AX1249" t="s">
        <v>89</v>
      </c>
      <c r="AY1249" t="s">
        <v>111</v>
      </c>
      <c r="AZ1249">
        <v>15</v>
      </c>
      <c r="BA1249">
        <v>78</v>
      </c>
      <c r="BB1249">
        <v>6285</v>
      </c>
      <c r="BC1249">
        <v>8</v>
      </c>
      <c r="BD1249">
        <v>672</v>
      </c>
      <c r="BE1249">
        <v>51303</v>
      </c>
      <c r="BF1249">
        <v>70</v>
      </c>
      <c r="BG1249">
        <v>39</v>
      </c>
      <c r="BH1249">
        <v>750</v>
      </c>
      <c r="BI1249">
        <v>57588</v>
      </c>
      <c r="BJ1249">
        <v>78</v>
      </c>
      <c r="BK1249">
        <f t="shared" si="173"/>
        <v>750</v>
      </c>
      <c r="BL1249">
        <f t="shared" si="174"/>
        <v>57588</v>
      </c>
      <c r="BM1249">
        <f t="shared" si="175"/>
        <v>78</v>
      </c>
      <c r="BN1249">
        <f t="shared" si="176"/>
        <v>0</v>
      </c>
      <c r="BO1249">
        <f t="shared" si="177"/>
        <v>0</v>
      </c>
      <c r="BP1249">
        <f t="shared" si="178"/>
        <v>0</v>
      </c>
      <c r="BQ1249" t="s">
        <v>86</v>
      </c>
      <c r="BR1249" t="s">
        <v>94</v>
      </c>
      <c r="BS1249" s="1">
        <v>29245</v>
      </c>
      <c r="BT1249">
        <v>46</v>
      </c>
      <c r="BU1249">
        <v>43472</v>
      </c>
      <c r="BV1249" t="s">
        <v>89</v>
      </c>
      <c r="BW1249">
        <v>21</v>
      </c>
      <c r="BX1249">
        <v>1980</v>
      </c>
      <c r="BY1249">
        <v>21</v>
      </c>
      <c r="BZ1249">
        <f t="shared" si="179"/>
        <v>1</v>
      </c>
      <c r="CA1249">
        <f t="shared" si="180"/>
        <v>0</v>
      </c>
      <c r="CB1249" t="b">
        <f t="shared" si="181"/>
        <v>0</v>
      </c>
    </row>
    <row r="1250" spans="1:80" x14ac:dyDescent="0.3">
      <c r="A1250" t="s">
        <v>9785</v>
      </c>
      <c r="B1250" t="s">
        <v>71</v>
      </c>
      <c r="C1250" t="s">
        <v>9786</v>
      </c>
      <c r="D1250">
        <v>37</v>
      </c>
      <c r="E1250">
        <v>32020</v>
      </c>
      <c r="F1250" t="s">
        <v>89</v>
      </c>
      <c r="G1250" t="s">
        <v>160</v>
      </c>
      <c r="H1250" t="s">
        <v>89</v>
      </c>
      <c r="I1250" t="s">
        <v>340</v>
      </c>
      <c r="J1250" t="s">
        <v>300</v>
      </c>
      <c r="K1250" t="s">
        <v>89</v>
      </c>
      <c r="L1250" t="s">
        <v>228</v>
      </c>
      <c r="M1250">
        <v>22</v>
      </c>
      <c r="N1250" t="s">
        <v>820</v>
      </c>
      <c r="O1250">
        <v>2010</v>
      </c>
      <c r="P1250" t="s">
        <v>9787</v>
      </c>
      <c r="Q1250" t="s">
        <v>9788</v>
      </c>
      <c r="R1250">
        <v>94910</v>
      </c>
      <c r="S1250" t="s">
        <v>9789</v>
      </c>
      <c r="T1250" t="s">
        <v>9790</v>
      </c>
      <c r="U1250">
        <v>1988</v>
      </c>
      <c r="V1250" t="s">
        <v>523</v>
      </c>
      <c r="W1250">
        <v>1.8</v>
      </c>
      <c r="X1250" t="s">
        <v>76</v>
      </c>
      <c r="Y1250" t="s">
        <v>391</v>
      </c>
      <c r="Z1250" t="s">
        <v>89</v>
      </c>
      <c r="AA1250" t="s">
        <v>5189</v>
      </c>
      <c r="AB1250" s="1">
        <v>43831</v>
      </c>
      <c r="AC1250" t="s">
        <v>108</v>
      </c>
      <c r="AD1250" t="s">
        <v>89</v>
      </c>
      <c r="AE1250" t="s">
        <v>2351</v>
      </c>
      <c r="AF1250">
        <v>22</v>
      </c>
      <c r="AG1250" t="s">
        <v>91</v>
      </c>
      <c r="AH1250" s="1">
        <v>41161</v>
      </c>
      <c r="AI1250">
        <v>24</v>
      </c>
      <c r="AJ1250" t="s">
        <v>110</v>
      </c>
      <c r="AK1250">
        <v>22</v>
      </c>
      <c r="AL1250">
        <v>1</v>
      </c>
      <c r="AM1250">
        <v>83</v>
      </c>
      <c r="AN1250">
        <v>10</v>
      </c>
      <c r="AO1250">
        <v>1</v>
      </c>
      <c r="AP1250" t="s">
        <v>93</v>
      </c>
      <c r="AQ1250" t="s">
        <v>89</v>
      </c>
      <c r="AR1250" t="s">
        <v>89</v>
      </c>
      <c r="AS1250" t="s">
        <v>111</v>
      </c>
      <c r="AT1250">
        <v>43831</v>
      </c>
      <c r="AU1250">
        <v>2020</v>
      </c>
      <c r="AV1250">
        <v>10</v>
      </c>
      <c r="AW1250">
        <v>10</v>
      </c>
      <c r="AX1250" t="s">
        <v>89</v>
      </c>
      <c r="AY1250" t="s">
        <v>93</v>
      </c>
      <c r="AZ1250">
        <v>0</v>
      </c>
      <c r="BA1250">
        <v>0</v>
      </c>
      <c r="BB1250">
        <v>0</v>
      </c>
      <c r="BC1250">
        <v>0</v>
      </c>
      <c r="BD1250">
        <v>31</v>
      </c>
      <c r="BE1250">
        <v>1060</v>
      </c>
      <c r="BF1250">
        <v>0</v>
      </c>
      <c r="BG1250">
        <v>32</v>
      </c>
      <c r="BH1250">
        <v>31</v>
      </c>
      <c r="BI1250">
        <v>1060</v>
      </c>
      <c r="BJ1250">
        <v>0</v>
      </c>
      <c r="BK1250">
        <f t="shared" si="173"/>
        <v>31</v>
      </c>
      <c r="BL1250">
        <f t="shared" si="174"/>
        <v>1060</v>
      </c>
      <c r="BM1250">
        <f t="shared" si="175"/>
        <v>0</v>
      </c>
      <c r="BN1250">
        <f t="shared" si="176"/>
        <v>0</v>
      </c>
      <c r="BO1250">
        <f t="shared" si="177"/>
        <v>0</v>
      </c>
      <c r="BP1250">
        <f t="shared" si="178"/>
        <v>0</v>
      </c>
      <c r="BQ1250" t="s">
        <v>391</v>
      </c>
      <c r="BR1250" t="s">
        <v>112</v>
      </c>
      <c r="BS1250" t="s">
        <v>89</v>
      </c>
      <c r="BT1250">
        <v>38</v>
      </c>
      <c r="BU1250">
        <v>43831</v>
      </c>
      <c r="BV1250" t="s">
        <v>89</v>
      </c>
      <c r="BW1250">
        <v>10</v>
      </c>
      <c r="BX1250">
        <v>1988</v>
      </c>
      <c r="BY1250">
        <v>10</v>
      </c>
      <c r="BZ1250">
        <f t="shared" si="179"/>
        <v>0</v>
      </c>
      <c r="CA1250">
        <f t="shared" si="180"/>
        <v>0</v>
      </c>
      <c r="CB1250" t="b">
        <f t="shared" si="181"/>
        <v>1</v>
      </c>
    </row>
    <row r="1251" spans="1:80" x14ac:dyDescent="0.3">
      <c r="A1251" t="s">
        <v>9791</v>
      </c>
      <c r="B1251" t="s">
        <v>71</v>
      </c>
      <c r="C1251" t="s">
        <v>9792</v>
      </c>
      <c r="D1251">
        <v>38</v>
      </c>
      <c r="E1251" s="1">
        <v>31737</v>
      </c>
      <c r="F1251" t="s">
        <v>89</v>
      </c>
      <c r="G1251" t="s">
        <v>176</v>
      </c>
      <c r="H1251" t="s">
        <v>89</v>
      </c>
      <c r="I1251" t="s">
        <v>453</v>
      </c>
      <c r="J1251" t="s">
        <v>78</v>
      </c>
      <c r="K1251" t="s">
        <v>89</v>
      </c>
      <c r="L1251" t="s">
        <v>130</v>
      </c>
      <c r="M1251">
        <v>21</v>
      </c>
      <c r="N1251" t="s">
        <v>644</v>
      </c>
      <c r="O1251">
        <v>2008</v>
      </c>
      <c r="P1251" t="s">
        <v>9793</v>
      </c>
      <c r="Q1251" t="s">
        <v>9794</v>
      </c>
      <c r="R1251">
        <v>65301</v>
      </c>
      <c r="S1251" t="s">
        <v>9791</v>
      </c>
      <c r="T1251" t="s">
        <v>9795</v>
      </c>
      <c r="U1251">
        <v>1986</v>
      </c>
      <c r="V1251" t="s">
        <v>9796</v>
      </c>
      <c r="W1251">
        <v>1.79</v>
      </c>
      <c r="X1251" t="s">
        <v>76</v>
      </c>
      <c r="Y1251" t="s">
        <v>259</v>
      </c>
      <c r="Z1251" t="s">
        <v>87</v>
      </c>
      <c r="AA1251" t="s">
        <v>337</v>
      </c>
      <c r="AB1251" s="1">
        <v>44933</v>
      </c>
      <c r="AC1251" t="s">
        <v>108</v>
      </c>
      <c r="AD1251" t="s">
        <v>89</v>
      </c>
      <c r="AE1251" t="s">
        <v>3291</v>
      </c>
      <c r="AF1251">
        <v>22</v>
      </c>
      <c r="AG1251" t="s">
        <v>91</v>
      </c>
      <c r="AH1251" t="s">
        <v>1729</v>
      </c>
      <c r="AI1251">
        <v>27</v>
      </c>
      <c r="AJ1251" t="s">
        <v>110</v>
      </c>
      <c r="AK1251">
        <v>22</v>
      </c>
      <c r="AL1251">
        <v>3</v>
      </c>
      <c r="AM1251">
        <v>220</v>
      </c>
      <c r="AN1251">
        <v>36</v>
      </c>
      <c r="AO1251">
        <v>3</v>
      </c>
      <c r="AP1251" t="s">
        <v>93</v>
      </c>
      <c r="AQ1251" t="s">
        <v>89</v>
      </c>
      <c r="AR1251" t="s">
        <v>89</v>
      </c>
      <c r="AS1251" t="s">
        <v>111</v>
      </c>
      <c r="AT1251" s="1">
        <v>44933</v>
      </c>
      <c r="AU1251">
        <v>2023</v>
      </c>
      <c r="AV1251">
        <v>15</v>
      </c>
      <c r="AW1251">
        <v>15</v>
      </c>
      <c r="AX1251" t="s">
        <v>89</v>
      </c>
      <c r="AY1251" t="s">
        <v>93</v>
      </c>
      <c r="AZ1251">
        <v>0</v>
      </c>
      <c r="BA1251">
        <v>0</v>
      </c>
      <c r="BB1251">
        <v>0</v>
      </c>
      <c r="BC1251">
        <v>0</v>
      </c>
      <c r="BD1251">
        <v>347</v>
      </c>
      <c r="BE1251">
        <v>26007</v>
      </c>
      <c r="BF1251">
        <v>24</v>
      </c>
      <c r="BG1251">
        <v>37</v>
      </c>
      <c r="BH1251">
        <v>347</v>
      </c>
      <c r="BI1251">
        <v>26007</v>
      </c>
      <c r="BJ1251">
        <v>24</v>
      </c>
      <c r="BK1251">
        <f t="shared" si="173"/>
        <v>347</v>
      </c>
      <c r="BL1251">
        <f t="shared" si="174"/>
        <v>26007</v>
      </c>
      <c r="BM1251">
        <f t="shared" si="175"/>
        <v>24</v>
      </c>
      <c r="BN1251">
        <f t="shared" si="176"/>
        <v>0</v>
      </c>
      <c r="BO1251">
        <f t="shared" si="177"/>
        <v>0</v>
      </c>
      <c r="BP1251">
        <f t="shared" si="178"/>
        <v>0</v>
      </c>
      <c r="BQ1251" t="s">
        <v>259</v>
      </c>
      <c r="BR1251" t="s">
        <v>94</v>
      </c>
      <c r="BS1251" s="1">
        <v>31737</v>
      </c>
      <c r="BT1251">
        <v>39</v>
      </c>
      <c r="BU1251" s="1">
        <v>44933</v>
      </c>
      <c r="BV1251" s="1">
        <v>45108</v>
      </c>
      <c r="BW1251">
        <v>15</v>
      </c>
      <c r="BX1251">
        <v>1986</v>
      </c>
      <c r="BY1251">
        <v>15</v>
      </c>
      <c r="BZ1251">
        <f t="shared" si="179"/>
        <v>0</v>
      </c>
      <c r="CA1251">
        <f t="shared" si="180"/>
        <v>0</v>
      </c>
      <c r="CB1251" t="b">
        <f t="shared" si="181"/>
        <v>1</v>
      </c>
    </row>
    <row r="1252" spans="1:80" x14ac:dyDescent="0.3">
      <c r="A1252" t="s">
        <v>9797</v>
      </c>
      <c r="B1252" t="s">
        <v>71</v>
      </c>
      <c r="C1252" t="s">
        <v>9798</v>
      </c>
      <c r="D1252">
        <v>35</v>
      </c>
      <c r="E1252" t="s">
        <v>9799</v>
      </c>
      <c r="F1252" t="s">
        <v>9800</v>
      </c>
      <c r="G1252" t="s">
        <v>160</v>
      </c>
      <c r="H1252" t="s">
        <v>89</v>
      </c>
      <c r="I1252" t="s">
        <v>1438</v>
      </c>
      <c r="J1252" t="s">
        <v>78</v>
      </c>
      <c r="K1252" t="s">
        <v>2401</v>
      </c>
      <c r="L1252" t="s">
        <v>278</v>
      </c>
      <c r="M1252">
        <v>21</v>
      </c>
      <c r="N1252" t="s">
        <v>1858</v>
      </c>
      <c r="O1252">
        <v>2011</v>
      </c>
      <c r="P1252" t="s">
        <v>9801</v>
      </c>
      <c r="Q1252" t="s">
        <v>9802</v>
      </c>
      <c r="R1252">
        <v>184767</v>
      </c>
      <c r="S1252" t="s">
        <v>9797</v>
      </c>
      <c r="T1252" t="s">
        <v>9803</v>
      </c>
      <c r="U1252">
        <v>1990</v>
      </c>
      <c r="V1252" t="s">
        <v>9804</v>
      </c>
      <c r="W1252">
        <v>1.76</v>
      </c>
      <c r="X1252" t="s">
        <v>76</v>
      </c>
      <c r="Y1252" t="s">
        <v>136</v>
      </c>
      <c r="Z1252" t="s">
        <v>87</v>
      </c>
      <c r="AA1252" t="s">
        <v>260</v>
      </c>
      <c r="AB1252" s="1">
        <v>44934</v>
      </c>
      <c r="AC1252" t="s">
        <v>170</v>
      </c>
      <c r="AD1252" t="s">
        <v>89</v>
      </c>
      <c r="AE1252" t="s">
        <v>294</v>
      </c>
      <c r="AF1252">
        <v>22</v>
      </c>
      <c r="AG1252" t="s">
        <v>91</v>
      </c>
      <c r="AH1252" t="s">
        <v>306</v>
      </c>
      <c r="AI1252">
        <v>21</v>
      </c>
      <c r="AJ1252" t="s">
        <v>110</v>
      </c>
      <c r="AK1252">
        <v>21</v>
      </c>
      <c r="AL1252">
        <v>12</v>
      </c>
      <c r="AM1252">
        <v>584</v>
      </c>
      <c r="AN1252">
        <v>68</v>
      </c>
      <c r="AO1252">
        <v>5</v>
      </c>
      <c r="AP1252" t="s">
        <v>93</v>
      </c>
      <c r="AQ1252" t="s">
        <v>89</v>
      </c>
      <c r="AR1252" t="s">
        <v>89</v>
      </c>
      <c r="AS1252" t="s">
        <v>93</v>
      </c>
      <c r="AT1252" t="s">
        <v>89</v>
      </c>
      <c r="AU1252" t="s">
        <v>89</v>
      </c>
      <c r="AV1252" t="s">
        <v>89</v>
      </c>
      <c r="AW1252">
        <v>14</v>
      </c>
      <c r="AX1252">
        <v>23</v>
      </c>
      <c r="AY1252" t="s">
        <v>93</v>
      </c>
      <c r="AZ1252">
        <v>0</v>
      </c>
      <c r="BA1252">
        <v>0</v>
      </c>
      <c r="BB1252">
        <v>0</v>
      </c>
      <c r="BC1252">
        <v>0</v>
      </c>
      <c r="BD1252">
        <v>367</v>
      </c>
      <c r="BE1252">
        <v>29772</v>
      </c>
      <c r="BF1252">
        <v>10</v>
      </c>
      <c r="BG1252" t="s">
        <v>89</v>
      </c>
      <c r="BH1252">
        <v>367</v>
      </c>
      <c r="BI1252">
        <v>29772</v>
      </c>
      <c r="BJ1252">
        <v>10</v>
      </c>
      <c r="BK1252">
        <f t="shared" si="173"/>
        <v>367</v>
      </c>
      <c r="BL1252">
        <f t="shared" si="174"/>
        <v>29772</v>
      </c>
      <c r="BM1252">
        <f t="shared" si="175"/>
        <v>10</v>
      </c>
      <c r="BN1252">
        <f t="shared" si="176"/>
        <v>0</v>
      </c>
      <c r="BO1252">
        <f t="shared" si="177"/>
        <v>0</v>
      </c>
      <c r="BP1252">
        <f t="shared" si="178"/>
        <v>0</v>
      </c>
      <c r="BQ1252" t="s">
        <v>136</v>
      </c>
      <c r="BR1252" t="s">
        <v>140</v>
      </c>
      <c r="BS1252" s="1">
        <v>32896</v>
      </c>
      <c r="BT1252">
        <v>36</v>
      </c>
      <c r="BU1252" t="s">
        <v>89</v>
      </c>
      <c r="BV1252" t="s">
        <v>89</v>
      </c>
      <c r="BW1252">
        <v>15</v>
      </c>
      <c r="BX1252">
        <v>1990</v>
      </c>
      <c r="BY1252">
        <v>14</v>
      </c>
      <c r="BZ1252">
        <f t="shared" si="179"/>
        <v>-1</v>
      </c>
      <c r="CA1252">
        <f t="shared" si="180"/>
        <v>1</v>
      </c>
      <c r="CB1252" t="b">
        <f t="shared" si="181"/>
        <v>0</v>
      </c>
    </row>
    <row r="1253" spans="1:80" x14ac:dyDescent="0.3">
      <c r="A1253" t="s">
        <v>9805</v>
      </c>
      <c r="B1253" t="s">
        <v>71</v>
      </c>
      <c r="C1253" t="s">
        <v>9806</v>
      </c>
      <c r="D1253">
        <v>39</v>
      </c>
      <c r="E1253" s="1">
        <v>31589</v>
      </c>
      <c r="F1253" t="s">
        <v>89</v>
      </c>
      <c r="G1253" t="s">
        <v>277</v>
      </c>
      <c r="H1253" t="s">
        <v>76</v>
      </c>
      <c r="I1253" t="s">
        <v>437</v>
      </c>
      <c r="J1253" t="s">
        <v>78</v>
      </c>
      <c r="K1253" t="s">
        <v>89</v>
      </c>
      <c r="L1253" t="s">
        <v>145</v>
      </c>
      <c r="M1253">
        <v>18</v>
      </c>
      <c r="N1253" t="s">
        <v>741</v>
      </c>
      <c r="O1253">
        <v>2004</v>
      </c>
      <c r="P1253" t="s">
        <v>9807</v>
      </c>
      <c r="Q1253" t="s">
        <v>9808</v>
      </c>
      <c r="R1253">
        <v>34564</v>
      </c>
      <c r="S1253" t="s">
        <v>9805</v>
      </c>
      <c r="T1253" t="s">
        <v>9809</v>
      </c>
      <c r="U1253">
        <v>1986</v>
      </c>
      <c r="V1253" t="s">
        <v>9810</v>
      </c>
      <c r="W1253">
        <v>1.88</v>
      </c>
      <c r="X1253" t="s">
        <v>76</v>
      </c>
      <c r="Y1253" t="s">
        <v>123</v>
      </c>
      <c r="Z1253" t="s">
        <v>87</v>
      </c>
      <c r="AA1253" t="s">
        <v>2841</v>
      </c>
      <c r="AB1253" t="s">
        <v>4317</v>
      </c>
      <c r="AC1253" t="s">
        <v>108</v>
      </c>
      <c r="AD1253" t="s">
        <v>89</v>
      </c>
      <c r="AE1253" t="s">
        <v>9811</v>
      </c>
      <c r="AF1253">
        <v>18</v>
      </c>
      <c r="AG1253" t="s">
        <v>91</v>
      </c>
      <c r="AH1253">
        <v>38757</v>
      </c>
      <c r="AI1253">
        <v>20</v>
      </c>
      <c r="AJ1253" t="s">
        <v>110</v>
      </c>
      <c r="AK1253">
        <v>18</v>
      </c>
      <c r="AL1253">
        <v>9</v>
      </c>
      <c r="AM1253">
        <v>289</v>
      </c>
      <c r="AN1253">
        <v>50</v>
      </c>
      <c r="AO1253">
        <v>8</v>
      </c>
      <c r="AP1253" t="s">
        <v>93</v>
      </c>
      <c r="AQ1253" t="s">
        <v>89</v>
      </c>
      <c r="AR1253" t="s">
        <v>89</v>
      </c>
      <c r="AS1253" t="s">
        <v>111</v>
      </c>
      <c r="AT1253" t="s">
        <v>4317</v>
      </c>
      <c r="AU1253">
        <v>2024</v>
      </c>
      <c r="AV1253">
        <v>20</v>
      </c>
      <c r="AW1253">
        <v>20</v>
      </c>
      <c r="AX1253" t="s">
        <v>89</v>
      </c>
      <c r="AY1253" t="s">
        <v>93</v>
      </c>
      <c r="AZ1253">
        <v>0</v>
      </c>
      <c r="BA1253">
        <v>0</v>
      </c>
      <c r="BB1253">
        <v>0</v>
      </c>
      <c r="BC1253">
        <v>0</v>
      </c>
      <c r="BD1253">
        <v>365</v>
      </c>
      <c r="BE1253">
        <v>20558</v>
      </c>
      <c r="BF1253">
        <v>101</v>
      </c>
      <c r="BG1253">
        <v>38</v>
      </c>
      <c r="BH1253">
        <v>365</v>
      </c>
      <c r="BI1253">
        <v>20558</v>
      </c>
      <c r="BJ1253">
        <v>101</v>
      </c>
      <c r="BK1253">
        <f t="shared" si="173"/>
        <v>365</v>
      </c>
      <c r="BL1253">
        <f t="shared" si="174"/>
        <v>20558</v>
      </c>
      <c r="BM1253">
        <f t="shared" si="175"/>
        <v>101</v>
      </c>
      <c r="BN1253">
        <f t="shared" si="176"/>
        <v>0</v>
      </c>
      <c r="BO1253">
        <f t="shared" si="177"/>
        <v>0</v>
      </c>
      <c r="BP1253">
        <f t="shared" si="178"/>
        <v>0</v>
      </c>
      <c r="BQ1253" t="s">
        <v>123</v>
      </c>
      <c r="BR1253" t="s">
        <v>112</v>
      </c>
      <c r="BS1253" t="s">
        <v>89</v>
      </c>
      <c r="BT1253">
        <v>40</v>
      </c>
      <c r="BU1253" t="s">
        <v>4317</v>
      </c>
      <c r="BV1253" s="1">
        <v>45320</v>
      </c>
      <c r="BW1253">
        <v>20</v>
      </c>
      <c r="BX1253">
        <v>1986</v>
      </c>
      <c r="BY1253">
        <v>20</v>
      </c>
      <c r="BZ1253">
        <f t="shared" si="179"/>
        <v>0</v>
      </c>
      <c r="CA1253">
        <f t="shared" si="180"/>
        <v>0</v>
      </c>
      <c r="CB1253" t="b">
        <f t="shared" si="181"/>
        <v>1</v>
      </c>
    </row>
    <row r="1254" spans="1:80" x14ac:dyDescent="0.3">
      <c r="A1254" t="s">
        <v>9805</v>
      </c>
      <c r="B1254" t="s">
        <v>89</v>
      </c>
      <c r="C1254" t="s">
        <v>9812</v>
      </c>
      <c r="D1254">
        <v>44</v>
      </c>
      <c r="E1254">
        <v>29469</v>
      </c>
      <c r="F1254" t="s">
        <v>89</v>
      </c>
      <c r="G1254" t="s">
        <v>143</v>
      </c>
      <c r="H1254" t="s">
        <v>76</v>
      </c>
      <c r="I1254" t="s">
        <v>865</v>
      </c>
      <c r="J1254" t="s">
        <v>89</v>
      </c>
      <c r="K1254" t="s">
        <v>89</v>
      </c>
      <c r="L1254" t="s">
        <v>99</v>
      </c>
      <c r="M1254">
        <v>20</v>
      </c>
      <c r="N1254" t="s">
        <v>519</v>
      </c>
      <c r="O1254">
        <v>2001</v>
      </c>
      <c r="P1254" t="s">
        <v>9813</v>
      </c>
      <c r="Q1254" t="s">
        <v>9814</v>
      </c>
      <c r="R1254">
        <v>15465</v>
      </c>
      <c r="S1254" t="s">
        <v>9815</v>
      </c>
      <c r="T1254" s="1">
        <v>29350</v>
      </c>
      <c r="U1254">
        <v>1980</v>
      </c>
      <c r="V1254" t="s">
        <v>9816</v>
      </c>
      <c r="W1254">
        <v>1.72</v>
      </c>
      <c r="X1254" t="s">
        <v>76</v>
      </c>
      <c r="Y1254" t="s">
        <v>369</v>
      </c>
      <c r="Z1254" t="s">
        <v>392</v>
      </c>
      <c r="AA1254" t="s">
        <v>1831</v>
      </c>
      <c r="AB1254" s="1">
        <v>42376</v>
      </c>
      <c r="AC1254" t="s">
        <v>108</v>
      </c>
      <c r="AD1254" t="s">
        <v>89</v>
      </c>
      <c r="AE1254" t="s">
        <v>2088</v>
      </c>
      <c r="AF1254">
        <v>20</v>
      </c>
      <c r="AG1254" t="s">
        <v>91</v>
      </c>
      <c r="AH1254">
        <v>36594</v>
      </c>
      <c r="AI1254">
        <v>19</v>
      </c>
      <c r="AJ1254" t="s">
        <v>110</v>
      </c>
      <c r="AK1254">
        <v>19</v>
      </c>
      <c r="AL1254">
        <v>7</v>
      </c>
      <c r="AM1254">
        <v>175</v>
      </c>
      <c r="AN1254">
        <v>48</v>
      </c>
      <c r="AO1254">
        <v>4</v>
      </c>
      <c r="AP1254" t="s">
        <v>93</v>
      </c>
      <c r="AQ1254" t="s">
        <v>89</v>
      </c>
      <c r="AR1254" t="s">
        <v>89</v>
      </c>
      <c r="AS1254" t="s">
        <v>111</v>
      </c>
      <c r="AT1254">
        <v>42376</v>
      </c>
      <c r="AU1254">
        <v>2016</v>
      </c>
      <c r="AV1254">
        <v>15</v>
      </c>
      <c r="AW1254">
        <v>15</v>
      </c>
      <c r="AX1254" t="s">
        <v>89</v>
      </c>
      <c r="AY1254" t="s">
        <v>93</v>
      </c>
      <c r="AZ1254">
        <v>0</v>
      </c>
      <c r="BA1254">
        <v>0</v>
      </c>
      <c r="BB1254">
        <v>0</v>
      </c>
      <c r="BC1254">
        <v>0</v>
      </c>
      <c r="BD1254">
        <v>252</v>
      </c>
      <c r="BE1254">
        <v>12461</v>
      </c>
      <c r="BF1254">
        <v>28</v>
      </c>
      <c r="BG1254">
        <v>36</v>
      </c>
      <c r="BH1254">
        <v>252</v>
      </c>
      <c r="BI1254">
        <v>12461</v>
      </c>
      <c r="BJ1254">
        <v>28</v>
      </c>
      <c r="BK1254">
        <f t="shared" si="173"/>
        <v>252</v>
      </c>
      <c r="BL1254">
        <f t="shared" si="174"/>
        <v>12461</v>
      </c>
      <c r="BM1254">
        <f t="shared" si="175"/>
        <v>28</v>
      </c>
      <c r="BN1254">
        <f t="shared" si="176"/>
        <v>0</v>
      </c>
      <c r="BO1254">
        <f t="shared" si="177"/>
        <v>0</v>
      </c>
      <c r="BP1254">
        <f t="shared" si="178"/>
        <v>0</v>
      </c>
      <c r="BQ1254" t="s">
        <v>369</v>
      </c>
      <c r="BR1254" t="s">
        <v>112</v>
      </c>
      <c r="BS1254" s="1">
        <v>29469</v>
      </c>
      <c r="BT1254">
        <v>45</v>
      </c>
      <c r="BU1254">
        <v>42376</v>
      </c>
      <c r="BV1254" t="s">
        <v>89</v>
      </c>
      <c r="BW1254">
        <v>17</v>
      </c>
      <c r="BX1254">
        <v>1980</v>
      </c>
      <c r="BY1254">
        <v>17</v>
      </c>
      <c r="BZ1254">
        <f t="shared" si="179"/>
        <v>-2</v>
      </c>
      <c r="CA1254">
        <f t="shared" si="180"/>
        <v>0</v>
      </c>
      <c r="CB1254" t="b">
        <f t="shared" si="181"/>
        <v>0</v>
      </c>
    </row>
    <row r="1255" spans="1:80" x14ac:dyDescent="0.3">
      <c r="A1255" t="s">
        <v>9817</v>
      </c>
      <c r="B1255" t="s">
        <v>71</v>
      </c>
      <c r="C1255" t="s">
        <v>9818</v>
      </c>
      <c r="D1255">
        <v>39</v>
      </c>
      <c r="E1255" s="1">
        <v>31590</v>
      </c>
      <c r="F1255" t="s">
        <v>89</v>
      </c>
      <c r="G1255" t="s">
        <v>75</v>
      </c>
      <c r="H1255" t="s">
        <v>76</v>
      </c>
      <c r="I1255" t="s">
        <v>340</v>
      </c>
      <c r="J1255" t="s">
        <v>89</v>
      </c>
      <c r="K1255" t="s">
        <v>89</v>
      </c>
      <c r="L1255" t="s">
        <v>845</v>
      </c>
      <c r="M1255">
        <v>16</v>
      </c>
      <c r="N1255" t="s">
        <v>763</v>
      </c>
      <c r="O1255">
        <v>2002</v>
      </c>
      <c r="P1255" t="s">
        <v>9819</v>
      </c>
      <c r="Q1255" t="s">
        <v>9820</v>
      </c>
      <c r="R1255">
        <v>15800</v>
      </c>
      <c r="S1255" t="s">
        <v>9817</v>
      </c>
      <c r="T1255" t="s">
        <v>9821</v>
      </c>
      <c r="U1255">
        <v>1986</v>
      </c>
      <c r="V1255" t="s">
        <v>2526</v>
      </c>
      <c r="W1255">
        <v>1.81</v>
      </c>
      <c r="X1255" t="s">
        <v>76</v>
      </c>
      <c r="Y1255" t="s">
        <v>494</v>
      </c>
      <c r="Z1255" t="s">
        <v>87</v>
      </c>
      <c r="AA1255" t="s">
        <v>9822</v>
      </c>
      <c r="AB1255" s="1">
        <v>43107</v>
      </c>
      <c r="AC1255" t="s">
        <v>108</v>
      </c>
      <c r="AD1255" t="s">
        <v>89</v>
      </c>
      <c r="AE1255">
        <v>37654</v>
      </c>
      <c r="AF1255">
        <v>16</v>
      </c>
      <c r="AG1255" t="s">
        <v>91</v>
      </c>
      <c r="AH1255" t="s">
        <v>4617</v>
      </c>
      <c r="AI1255">
        <v>17</v>
      </c>
      <c r="AJ1255" t="s">
        <v>110</v>
      </c>
      <c r="AK1255">
        <v>16</v>
      </c>
      <c r="AL1255" t="s">
        <v>89</v>
      </c>
      <c r="AM1255" t="s">
        <v>89</v>
      </c>
      <c r="AN1255" t="s">
        <v>89</v>
      </c>
      <c r="AO1255">
        <v>0</v>
      </c>
      <c r="AP1255" t="s">
        <v>93</v>
      </c>
      <c r="AQ1255" t="s">
        <v>89</v>
      </c>
      <c r="AR1255" t="s">
        <v>89</v>
      </c>
      <c r="AS1255" t="s">
        <v>111</v>
      </c>
      <c r="AT1255" s="1">
        <v>43107</v>
      </c>
      <c r="AU1255">
        <v>2018</v>
      </c>
      <c r="AV1255">
        <v>16</v>
      </c>
      <c r="AW1255">
        <v>16</v>
      </c>
      <c r="AX1255" t="s">
        <v>89</v>
      </c>
      <c r="AY1255" t="s">
        <v>93</v>
      </c>
      <c r="AZ1255">
        <v>0</v>
      </c>
      <c r="BA1255">
        <v>0</v>
      </c>
      <c r="BB1255">
        <v>0</v>
      </c>
      <c r="BC1255">
        <v>0</v>
      </c>
      <c r="BD1255">
        <v>161</v>
      </c>
      <c r="BE1255">
        <v>7601</v>
      </c>
      <c r="BF1255">
        <v>11</v>
      </c>
      <c r="BG1255">
        <v>32</v>
      </c>
      <c r="BH1255">
        <v>161</v>
      </c>
      <c r="BI1255">
        <v>7601</v>
      </c>
      <c r="BJ1255">
        <v>11</v>
      </c>
      <c r="BK1255">
        <f t="shared" si="173"/>
        <v>161</v>
      </c>
      <c r="BL1255">
        <f t="shared" si="174"/>
        <v>7601</v>
      </c>
      <c r="BM1255">
        <f t="shared" si="175"/>
        <v>11</v>
      </c>
      <c r="BN1255">
        <f t="shared" si="176"/>
        <v>0</v>
      </c>
      <c r="BO1255">
        <f t="shared" si="177"/>
        <v>0</v>
      </c>
      <c r="BP1255">
        <f t="shared" si="178"/>
        <v>0</v>
      </c>
      <c r="BQ1255" t="s">
        <v>494</v>
      </c>
      <c r="BR1255" t="s">
        <v>112</v>
      </c>
      <c r="BS1255" s="1">
        <v>31590</v>
      </c>
      <c r="BT1255">
        <v>39</v>
      </c>
      <c r="BU1255" s="1">
        <v>43107</v>
      </c>
      <c r="BV1255" s="1">
        <v>43282</v>
      </c>
      <c r="BW1255">
        <v>16</v>
      </c>
      <c r="BX1255">
        <v>1986</v>
      </c>
      <c r="BY1255">
        <v>16</v>
      </c>
      <c r="BZ1255">
        <f t="shared" si="179"/>
        <v>0</v>
      </c>
      <c r="CA1255">
        <f t="shared" si="180"/>
        <v>0</v>
      </c>
      <c r="CB1255" t="b">
        <f t="shared" si="181"/>
        <v>1</v>
      </c>
    </row>
    <row r="1256" spans="1:80" x14ac:dyDescent="0.3">
      <c r="A1256" t="s">
        <v>9823</v>
      </c>
      <c r="B1256" t="s">
        <v>565</v>
      </c>
      <c r="C1256" t="s">
        <v>9824</v>
      </c>
      <c r="D1256">
        <v>35</v>
      </c>
      <c r="E1256" t="s">
        <v>9825</v>
      </c>
      <c r="F1256" t="s">
        <v>3785</v>
      </c>
      <c r="G1256" t="s">
        <v>143</v>
      </c>
      <c r="H1256" t="s">
        <v>567</v>
      </c>
      <c r="I1256" t="s">
        <v>1755</v>
      </c>
      <c r="J1256" t="s">
        <v>78</v>
      </c>
      <c r="K1256" t="s">
        <v>5889</v>
      </c>
      <c r="L1256" t="s">
        <v>254</v>
      </c>
      <c r="M1256">
        <v>19</v>
      </c>
      <c r="N1256" t="s">
        <v>9826</v>
      </c>
      <c r="O1256">
        <v>2009</v>
      </c>
      <c r="P1256" t="s">
        <v>9827</v>
      </c>
      <c r="Q1256" t="s">
        <v>9828</v>
      </c>
      <c r="R1256">
        <v>60517</v>
      </c>
      <c r="S1256" t="s">
        <v>9823</v>
      </c>
      <c r="T1256">
        <v>33087</v>
      </c>
      <c r="U1256">
        <v>1990</v>
      </c>
      <c r="V1256" t="s">
        <v>1130</v>
      </c>
      <c r="W1256">
        <v>1.75</v>
      </c>
      <c r="X1256" t="s">
        <v>572</v>
      </c>
      <c r="Y1256" t="s">
        <v>391</v>
      </c>
      <c r="Z1256" t="s">
        <v>87</v>
      </c>
      <c r="AA1256" t="s">
        <v>5895</v>
      </c>
      <c r="AB1256" s="1">
        <v>44568</v>
      </c>
      <c r="AC1256" t="s">
        <v>170</v>
      </c>
      <c r="AD1256" t="s">
        <v>89</v>
      </c>
      <c r="AE1256" s="1">
        <v>2010</v>
      </c>
      <c r="AF1256">
        <v>20</v>
      </c>
      <c r="AG1256" t="s">
        <v>206</v>
      </c>
      <c r="AH1256">
        <v>2009</v>
      </c>
      <c r="AI1256">
        <v>19</v>
      </c>
      <c r="AJ1256">
        <v>0</v>
      </c>
      <c r="AK1256">
        <v>19</v>
      </c>
      <c r="AL1256">
        <v>9</v>
      </c>
      <c r="AM1256">
        <v>70</v>
      </c>
      <c r="AN1256">
        <v>8</v>
      </c>
      <c r="AO1256">
        <v>4</v>
      </c>
      <c r="AP1256" t="s">
        <v>93</v>
      </c>
      <c r="AQ1256" t="s">
        <v>89</v>
      </c>
      <c r="AR1256" t="s">
        <v>89</v>
      </c>
      <c r="AS1256" t="s">
        <v>93</v>
      </c>
      <c r="AT1256" t="s">
        <v>89</v>
      </c>
      <c r="AU1256" t="s">
        <v>89</v>
      </c>
      <c r="AV1256" t="s">
        <v>89</v>
      </c>
      <c r="AW1256">
        <v>16</v>
      </c>
      <c r="AX1256">
        <v>8</v>
      </c>
      <c r="AY1256" t="s">
        <v>111</v>
      </c>
      <c r="AZ1256">
        <v>18</v>
      </c>
      <c r="BA1256">
        <v>49</v>
      </c>
      <c r="BB1256">
        <v>3206</v>
      </c>
      <c r="BC1256">
        <v>7</v>
      </c>
      <c r="BD1256">
        <v>321</v>
      </c>
      <c r="BE1256">
        <v>22551</v>
      </c>
      <c r="BF1256">
        <v>64</v>
      </c>
      <c r="BG1256" t="s">
        <v>89</v>
      </c>
      <c r="BH1256">
        <v>370</v>
      </c>
      <c r="BI1256">
        <v>25757</v>
      </c>
      <c r="BJ1256">
        <v>71</v>
      </c>
      <c r="BK1256">
        <f t="shared" si="173"/>
        <v>370</v>
      </c>
      <c r="BL1256">
        <f t="shared" si="174"/>
        <v>25757</v>
      </c>
      <c r="BM1256">
        <f t="shared" si="175"/>
        <v>71</v>
      </c>
      <c r="BN1256">
        <f t="shared" si="176"/>
        <v>0</v>
      </c>
      <c r="BO1256">
        <f t="shared" si="177"/>
        <v>0</v>
      </c>
      <c r="BP1256">
        <f t="shared" si="178"/>
        <v>0</v>
      </c>
      <c r="BQ1256" t="s">
        <v>391</v>
      </c>
      <c r="BR1256" t="s">
        <v>112</v>
      </c>
      <c r="BS1256" t="s">
        <v>89</v>
      </c>
      <c r="BT1256">
        <v>36</v>
      </c>
      <c r="BU1256" t="s">
        <v>89</v>
      </c>
      <c r="BV1256" t="s">
        <v>89</v>
      </c>
      <c r="BW1256">
        <v>17</v>
      </c>
      <c r="BX1256">
        <v>1990</v>
      </c>
      <c r="BY1256">
        <v>16</v>
      </c>
      <c r="BZ1256">
        <f t="shared" si="179"/>
        <v>-1</v>
      </c>
      <c r="CA1256">
        <f t="shared" si="180"/>
        <v>1</v>
      </c>
      <c r="CB1256" t="b">
        <f t="shared" si="181"/>
        <v>0</v>
      </c>
    </row>
    <row r="1257" spans="1:80" x14ac:dyDescent="0.3">
      <c r="A1257" t="s">
        <v>9829</v>
      </c>
      <c r="B1257" t="s">
        <v>71</v>
      </c>
      <c r="C1257" t="s">
        <v>9830</v>
      </c>
      <c r="D1257">
        <v>36</v>
      </c>
      <c r="E1257" t="s">
        <v>9831</v>
      </c>
      <c r="F1257" t="s">
        <v>1722</v>
      </c>
      <c r="G1257" t="s">
        <v>226</v>
      </c>
      <c r="H1257" t="s">
        <v>76</v>
      </c>
      <c r="I1257" t="s">
        <v>178</v>
      </c>
      <c r="J1257" t="s">
        <v>78</v>
      </c>
      <c r="K1257" t="s">
        <v>293</v>
      </c>
      <c r="L1257" t="s">
        <v>254</v>
      </c>
      <c r="M1257">
        <v>20</v>
      </c>
      <c r="N1257" t="s">
        <v>289</v>
      </c>
      <c r="O1257">
        <v>2009</v>
      </c>
      <c r="P1257" t="s">
        <v>9832</v>
      </c>
      <c r="Q1257" t="s">
        <v>9833</v>
      </c>
      <c r="R1257">
        <v>58115</v>
      </c>
      <c r="S1257" t="s">
        <v>9834</v>
      </c>
      <c r="T1257" t="s">
        <v>2423</v>
      </c>
      <c r="U1257">
        <v>1988</v>
      </c>
      <c r="V1257" t="s">
        <v>1727</v>
      </c>
      <c r="W1257">
        <v>1.84</v>
      </c>
      <c r="X1257" t="s">
        <v>76</v>
      </c>
      <c r="Y1257" t="s">
        <v>186</v>
      </c>
      <c r="Z1257" t="s">
        <v>87</v>
      </c>
      <c r="AA1257" t="s">
        <v>476</v>
      </c>
      <c r="AB1257" s="1">
        <v>45664</v>
      </c>
      <c r="AC1257" t="s">
        <v>108</v>
      </c>
      <c r="AD1257" t="s">
        <v>2571</v>
      </c>
      <c r="AE1257" t="s">
        <v>125</v>
      </c>
      <c r="AF1257">
        <v>24</v>
      </c>
      <c r="AG1257" t="s">
        <v>91</v>
      </c>
      <c r="AH1257" t="s">
        <v>3070</v>
      </c>
      <c r="AI1257">
        <v>21</v>
      </c>
      <c r="AJ1257" t="s">
        <v>110</v>
      </c>
      <c r="AK1257">
        <v>21</v>
      </c>
      <c r="AL1257">
        <v>3</v>
      </c>
      <c r="AM1257">
        <v>261</v>
      </c>
      <c r="AN1257">
        <v>27</v>
      </c>
      <c r="AO1257">
        <v>3</v>
      </c>
      <c r="AP1257" t="s">
        <v>93</v>
      </c>
      <c r="AQ1257" t="s">
        <v>89</v>
      </c>
      <c r="AR1257" t="s">
        <v>89</v>
      </c>
      <c r="AS1257" t="s">
        <v>93</v>
      </c>
      <c r="AT1257" t="s">
        <v>89</v>
      </c>
      <c r="AU1257" t="s">
        <v>89</v>
      </c>
      <c r="AV1257" t="s">
        <v>89</v>
      </c>
      <c r="AW1257">
        <v>16</v>
      </c>
      <c r="AX1257" t="s">
        <v>89</v>
      </c>
      <c r="AY1257" t="s">
        <v>93</v>
      </c>
      <c r="AZ1257">
        <v>0</v>
      </c>
      <c r="BA1257">
        <v>0</v>
      </c>
      <c r="BB1257">
        <v>0</v>
      </c>
      <c r="BC1257">
        <v>0</v>
      </c>
      <c r="BD1257">
        <v>218</v>
      </c>
      <c r="BE1257">
        <v>19052</v>
      </c>
      <c r="BF1257">
        <v>0</v>
      </c>
      <c r="BG1257" t="s">
        <v>89</v>
      </c>
      <c r="BH1257">
        <v>218</v>
      </c>
      <c r="BI1257">
        <v>19052</v>
      </c>
      <c r="BJ1257">
        <v>0</v>
      </c>
      <c r="BK1257">
        <f t="shared" si="173"/>
        <v>218</v>
      </c>
      <c r="BL1257">
        <f t="shared" si="174"/>
        <v>19052</v>
      </c>
      <c r="BM1257">
        <f t="shared" si="175"/>
        <v>0</v>
      </c>
      <c r="BN1257">
        <f t="shared" si="176"/>
        <v>0</v>
      </c>
      <c r="BO1257">
        <f t="shared" si="177"/>
        <v>0</v>
      </c>
      <c r="BP1257">
        <f t="shared" si="178"/>
        <v>0</v>
      </c>
      <c r="BQ1257" t="s">
        <v>186</v>
      </c>
      <c r="BR1257" t="s">
        <v>186</v>
      </c>
      <c r="BS1257" s="1">
        <v>32383</v>
      </c>
      <c r="BT1257">
        <v>37</v>
      </c>
      <c r="BU1257" t="s">
        <v>89</v>
      </c>
      <c r="BV1257" t="s">
        <v>89</v>
      </c>
      <c r="BW1257">
        <v>16</v>
      </c>
      <c r="BX1257">
        <v>1988</v>
      </c>
      <c r="BY1257">
        <v>15</v>
      </c>
      <c r="BZ1257">
        <f t="shared" si="179"/>
        <v>0</v>
      </c>
      <c r="CA1257">
        <f t="shared" si="180"/>
        <v>1</v>
      </c>
      <c r="CB1257" t="b">
        <f t="shared" si="181"/>
        <v>1</v>
      </c>
    </row>
    <row r="1258" spans="1:80" x14ac:dyDescent="0.3">
      <c r="A1258" t="s">
        <v>9835</v>
      </c>
      <c r="B1258" t="s">
        <v>191</v>
      </c>
      <c r="C1258" t="s">
        <v>9836</v>
      </c>
      <c r="D1258">
        <v>36</v>
      </c>
      <c r="E1258" t="s">
        <v>9837</v>
      </c>
      <c r="F1258" t="s">
        <v>9838</v>
      </c>
      <c r="G1258" t="s">
        <v>143</v>
      </c>
      <c r="H1258" t="s">
        <v>194</v>
      </c>
      <c r="I1258" t="s">
        <v>9839</v>
      </c>
      <c r="J1258" t="s">
        <v>78</v>
      </c>
      <c r="K1258" t="s">
        <v>9840</v>
      </c>
      <c r="L1258" t="s">
        <v>130</v>
      </c>
      <c r="M1258">
        <v>19</v>
      </c>
      <c r="N1258" t="s">
        <v>197</v>
      </c>
      <c r="O1258">
        <v>2008</v>
      </c>
      <c r="P1258" t="s">
        <v>9841</v>
      </c>
      <c r="Q1258" t="s">
        <v>9842</v>
      </c>
      <c r="R1258">
        <v>60570</v>
      </c>
      <c r="S1258" t="s">
        <v>9835</v>
      </c>
      <c r="T1258" t="s">
        <v>9843</v>
      </c>
      <c r="U1258">
        <v>1989</v>
      </c>
      <c r="V1258" t="s">
        <v>9844</v>
      </c>
      <c r="W1258">
        <v>1.75</v>
      </c>
      <c r="X1258" t="s">
        <v>9845</v>
      </c>
      <c r="Y1258" t="s">
        <v>494</v>
      </c>
      <c r="Z1258" t="s">
        <v>87</v>
      </c>
      <c r="AA1258" t="s">
        <v>6426</v>
      </c>
      <c r="AB1258" s="1">
        <v>45665</v>
      </c>
      <c r="AC1258" t="s">
        <v>108</v>
      </c>
      <c r="AD1258" t="s">
        <v>223</v>
      </c>
      <c r="AE1258" t="s">
        <v>5196</v>
      </c>
      <c r="AF1258">
        <v>19</v>
      </c>
      <c r="AG1258" t="s">
        <v>206</v>
      </c>
      <c r="AH1258" s="1">
        <v>41341</v>
      </c>
      <c r="AI1258">
        <v>24</v>
      </c>
      <c r="AJ1258" t="s">
        <v>1044</v>
      </c>
      <c r="AK1258">
        <v>19</v>
      </c>
      <c r="AL1258">
        <v>1</v>
      </c>
      <c r="AM1258">
        <v>25</v>
      </c>
      <c r="AN1258">
        <v>3</v>
      </c>
      <c r="AO1258">
        <v>1</v>
      </c>
      <c r="AP1258" t="s">
        <v>93</v>
      </c>
      <c r="AQ1258" t="s">
        <v>89</v>
      </c>
      <c r="AR1258" t="s">
        <v>89</v>
      </c>
      <c r="AS1258" t="s">
        <v>93</v>
      </c>
      <c r="AT1258" t="s">
        <v>89</v>
      </c>
      <c r="AU1258" t="s">
        <v>89</v>
      </c>
      <c r="AV1258" t="s">
        <v>89</v>
      </c>
      <c r="AW1258">
        <v>17</v>
      </c>
      <c r="AX1258" t="s">
        <v>89</v>
      </c>
      <c r="AY1258" t="s">
        <v>93</v>
      </c>
      <c r="AZ1258">
        <v>0</v>
      </c>
      <c r="BA1258">
        <v>0</v>
      </c>
      <c r="BB1258">
        <v>0</v>
      </c>
      <c r="BC1258">
        <v>0</v>
      </c>
      <c r="BD1258">
        <v>299</v>
      </c>
      <c r="BE1258">
        <v>19321</v>
      </c>
      <c r="BF1258">
        <v>30</v>
      </c>
      <c r="BG1258" t="s">
        <v>89</v>
      </c>
      <c r="BH1258">
        <v>299</v>
      </c>
      <c r="BI1258">
        <v>19321</v>
      </c>
      <c r="BJ1258">
        <v>30</v>
      </c>
      <c r="BK1258">
        <f t="shared" si="173"/>
        <v>299</v>
      </c>
      <c r="BL1258">
        <f t="shared" si="174"/>
        <v>19321</v>
      </c>
      <c r="BM1258">
        <f t="shared" si="175"/>
        <v>30</v>
      </c>
      <c r="BN1258">
        <f t="shared" si="176"/>
        <v>0</v>
      </c>
      <c r="BO1258">
        <f t="shared" si="177"/>
        <v>0</v>
      </c>
      <c r="BP1258">
        <f t="shared" si="178"/>
        <v>0</v>
      </c>
      <c r="BQ1258" t="s">
        <v>494</v>
      </c>
      <c r="BR1258" t="s">
        <v>112</v>
      </c>
      <c r="BS1258" s="1">
        <v>32707</v>
      </c>
      <c r="BT1258">
        <v>36</v>
      </c>
      <c r="BU1258" t="s">
        <v>89</v>
      </c>
      <c r="BV1258" t="s">
        <v>89</v>
      </c>
      <c r="BW1258">
        <v>17</v>
      </c>
      <c r="BX1258">
        <v>1989</v>
      </c>
      <c r="BY1258">
        <v>17</v>
      </c>
      <c r="BZ1258">
        <f t="shared" si="179"/>
        <v>0</v>
      </c>
      <c r="CA1258">
        <f t="shared" si="180"/>
        <v>0</v>
      </c>
      <c r="CB1258" t="b">
        <f t="shared" si="181"/>
        <v>1</v>
      </c>
    </row>
    <row r="1259" spans="1:80" x14ac:dyDescent="0.3">
      <c r="A1259" t="s">
        <v>9846</v>
      </c>
      <c r="B1259" t="s">
        <v>552</v>
      </c>
      <c r="C1259" t="s">
        <v>9847</v>
      </c>
      <c r="D1259">
        <v>38</v>
      </c>
      <c r="E1259" t="s">
        <v>9848</v>
      </c>
      <c r="F1259" t="s">
        <v>9849</v>
      </c>
      <c r="G1259" t="s">
        <v>413</v>
      </c>
      <c r="H1259" t="s">
        <v>554</v>
      </c>
      <c r="I1259" t="s">
        <v>437</v>
      </c>
      <c r="J1259" t="s">
        <v>78</v>
      </c>
      <c r="K1259" t="s">
        <v>4759</v>
      </c>
      <c r="L1259" t="s">
        <v>130</v>
      </c>
      <c r="M1259">
        <v>21</v>
      </c>
      <c r="N1259" t="s">
        <v>3601</v>
      </c>
      <c r="O1259">
        <v>2008</v>
      </c>
      <c r="P1259" t="s">
        <v>9850</v>
      </c>
      <c r="Q1259" t="s">
        <v>9851</v>
      </c>
      <c r="R1259">
        <v>96533</v>
      </c>
      <c r="S1259" t="s">
        <v>9852</v>
      </c>
      <c r="T1259">
        <v>31838</v>
      </c>
      <c r="U1259">
        <v>1987</v>
      </c>
      <c r="V1259" t="s">
        <v>3601</v>
      </c>
      <c r="W1259">
        <v>1.83</v>
      </c>
      <c r="X1259" t="s">
        <v>560</v>
      </c>
      <c r="Y1259" t="s">
        <v>123</v>
      </c>
      <c r="Z1259" t="s">
        <v>87</v>
      </c>
      <c r="AA1259" t="s">
        <v>9853</v>
      </c>
      <c r="AB1259" t="s">
        <v>9854</v>
      </c>
      <c r="AC1259" t="s">
        <v>170</v>
      </c>
      <c r="AD1259" t="s">
        <v>89</v>
      </c>
      <c r="AE1259" t="s">
        <v>1143</v>
      </c>
      <c r="AF1259">
        <v>21</v>
      </c>
      <c r="AG1259" t="s">
        <v>206</v>
      </c>
      <c r="AH1259" t="s">
        <v>9855</v>
      </c>
      <c r="AI1259">
        <v>22</v>
      </c>
      <c r="AJ1259" t="s">
        <v>1044</v>
      </c>
      <c r="AK1259">
        <v>21</v>
      </c>
      <c r="AL1259">
        <v>9</v>
      </c>
      <c r="AM1259">
        <v>231</v>
      </c>
      <c r="AN1259">
        <v>36</v>
      </c>
      <c r="AO1259">
        <v>7</v>
      </c>
      <c r="AP1259" t="s">
        <v>93</v>
      </c>
      <c r="AQ1259" t="s">
        <v>89</v>
      </c>
      <c r="AR1259" t="s">
        <v>89</v>
      </c>
      <c r="AS1259" t="s">
        <v>93</v>
      </c>
      <c r="AT1259" t="s">
        <v>89</v>
      </c>
      <c r="AU1259" t="s">
        <v>89</v>
      </c>
      <c r="AV1259" t="s">
        <v>89</v>
      </c>
      <c r="AW1259">
        <v>17</v>
      </c>
      <c r="AX1259">
        <v>19</v>
      </c>
      <c r="AY1259" t="s">
        <v>111</v>
      </c>
      <c r="AZ1259">
        <v>11</v>
      </c>
      <c r="BA1259">
        <v>32</v>
      </c>
      <c r="BB1259">
        <v>1706</v>
      </c>
      <c r="BC1259">
        <v>13</v>
      </c>
      <c r="BD1259">
        <v>409</v>
      </c>
      <c r="BE1259">
        <v>25551</v>
      </c>
      <c r="BF1259">
        <v>157</v>
      </c>
      <c r="BG1259" t="s">
        <v>89</v>
      </c>
      <c r="BH1259">
        <v>441</v>
      </c>
      <c r="BI1259">
        <v>27257</v>
      </c>
      <c r="BJ1259">
        <v>170</v>
      </c>
      <c r="BK1259">
        <f t="shared" si="173"/>
        <v>441</v>
      </c>
      <c r="BL1259">
        <f t="shared" si="174"/>
        <v>27257</v>
      </c>
      <c r="BM1259">
        <f t="shared" si="175"/>
        <v>170</v>
      </c>
      <c r="BN1259">
        <f t="shared" si="176"/>
        <v>0</v>
      </c>
      <c r="BO1259">
        <f t="shared" si="177"/>
        <v>0</v>
      </c>
      <c r="BP1259">
        <f t="shared" si="178"/>
        <v>0</v>
      </c>
      <c r="BQ1259" t="s">
        <v>123</v>
      </c>
      <c r="BR1259" t="s">
        <v>112</v>
      </c>
      <c r="BS1259" t="s">
        <v>89</v>
      </c>
      <c r="BT1259">
        <v>39</v>
      </c>
      <c r="BU1259" t="s">
        <v>89</v>
      </c>
      <c r="BV1259" t="s">
        <v>89</v>
      </c>
      <c r="BW1259">
        <v>18</v>
      </c>
      <c r="BX1259">
        <v>1987</v>
      </c>
      <c r="BY1259">
        <v>17</v>
      </c>
      <c r="BZ1259">
        <f t="shared" si="179"/>
        <v>-1</v>
      </c>
      <c r="CA1259">
        <f t="shared" si="180"/>
        <v>1</v>
      </c>
      <c r="CB1259" t="b">
        <f t="shared" si="181"/>
        <v>0</v>
      </c>
    </row>
    <row r="1260" spans="1:80" x14ac:dyDescent="0.3">
      <c r="A1260" t="s">
        <v>9856</v>
      </c>
      <c r="B1260" t="s">
        <v>71</v>
      </c>
      <c r="C1260" t="s">
        <v>9857</v>
      </c>
      <c r="D1260">
        <v>35</v>
      </c>
      <c r="E1260" t="s">
        <v>9858</v>
      </c>
      <c r="F1260" t="s">
        <v>9859</v>
      </c>
      <c r="G1260" t="s">
        <v>97</v>
      </c>
      <c r="H1260" t="s">
        <v>76</v>
      </c>
      <c r="I1260" t="s">
        <v>195</v>
      </c>
      <c r="J1260" t="s">
        <v>300</v>
      </c>
      <c r="K1260" t="s">
        <v>137</v>
      </c>
      <c r="L1260" t="s">
        <v>130</v>
      </c>
      <c r="M1260">
        <v>18</v>
      </c>
      <c r="N1260" t="s">
        <v>9860</v>
      </c>
      <c r="O1260">
        <v>2008</v>
      </c>
      <c r="P1260" t="s">
        <v>9861</v>
      </c>
      <c r="Q1260" t="s">
        <v>9862</v>
      </c>
      <c r="R1260">
        <v>61812</v>
      </c>
      <c r="S1260" t="s">
        <v>9856</v>
      </c>
      <c r="T1260">
        <v>33148</v>
      </c>
      <c r="U1260">
        <v>1990</v>
      </c>
      <c r="V1260" t="s">
        <v>2547</v>
      </c>
      <c r="W1260">
        <v>1.81</v>
      </c>
      <c r="X1260" t="s">
        <v>9863</v>
      </c>
      <c r="Y1260" t="s">
        <v>203</v>
      </c>
      <c r="Z1260" t="s">
        <v>152</v>
      </c>
      <c r="AA1260" t="s">
        <v>137</v>
      </c>
      <c r="AB1260" s="1">
        <v>43138</v>
      </c>
      <c r="AC1260" t="s">
        <v>170</v>
      </c>
      <c r="AD1260" t="s">
        <v>89</v>
      </c>
      <c r="AE1260" t="s">
        <v>138</v>
      </c>
      <c r="AF1260">
        <v>19</v>
      </c>
      <c r="AG1260" t="s">
        <v>91</v>
      </c>
      <c r="AH1260" t="s">
        <v>331</v>
      </c>
      <c r="AI1260">
        <v>23</v>
      </c>
      <c r="AJ1260" t="s">
        <v>110</v>
      </c>
      <c r="AK1260">
        <v>19</v>
      </c>
      <c r="AL1260">
        <v>19</v>
      </c>
      <c r="AM1260">
        <v>610</v>
      </c>
      <c r="AN1260">
        <v>66</v>
      </c>
      <c r="AO1260">
        <v>7</v>
      </c>
      <c r="AP1260" t="s">
        <v>93</v>
      </c>
      <c r="AQ1260" t="s">
        <v>89</v>
      </c>
      <c r="AR1260" t="s">
        <v>89</v>
      </c>
      <c r="AS1260" t="s">
        <v>93</v>
      </c>
      <c r="AT1260" t="s">
        <v>89</v>
      </c>
      <c r="AU1260" t="s">
        <v>89</v>
      </c>
      <c r="AV1260" t="s">
        <v>89</v>
      </c>
      <c r="AW1260">
        <v>17</v>
      </c>
      <c r="AX1260">
        <v>17</v>
      </c>
      <c r="AY1260" t="s">
        <v>93</v>
      </c>
      <c r="AZ1260">
        <v>0</v>
      </c>
      <c r="BA1260">
        <v>0</v>
      </c>
      <c r="BB1260">
        <v>0</v>
      </c>
      <c r="BC1260">
        <v>0</v>
      </c>
      <c r="BD1260">
        <v>415</v>
      </c>
      <c r="BE1260">
        <v>33943</v>
      </c>
      <c r="BF1260">
        <v>21</v>
      </c>
      <c r="BG1260" t="s">
        <v>89</v>
      </c>
      <c r="BH1260">
        <v>415</v>
      </c>
      <c r="BI1260">
        <v>33943</v>
      </c>
      <c r="BJ1260">
        <v>21</v>
      </c>
      <c r="BK1260">
        <f t="shared" si="173"/>
        <v>415</v>
      </c>
      <c r="BL1260">
        <f t="shared" si="174"/>
        <v>33943</v>
      </c>
      <c r="BM1260">
        <f t="shared" si="175"/>
        <v>21</v>
      </c>
      <c r="BN1260">
        <f t="shared" si="176"/>
        <v>0</v>
      </c>
      <c r="BO1260">
        <f t="shared" si="177"/>
        <v>0</v>
      </c>
      <c r="BP1260">
        <f t="shared" si="178"/>
        <v>0</v>
      </c>
      <c r="BQ1260" t="s">
        <v>203</v>
      </c>
      <c r="BR1260" t="s">
        <v>140</v>
      </c>
      <c r="BS1260" t="s">
        <v>89</v>
      </c>
      <c r="BT1260">
        <v>36</v>
      </c>
      <c r="BU1260" t="s">
        <v>89</v>
      </c>
      <c r="BV1260" t="s">
        <v>89</v>
      </c>
      <c r="BW1260">
        <v>17</v>
      </c>
      <c r="BX1260">
        <v>1990</v>
      </c>
      <c r="BY1260">
        <v>16</v>
      </c>
      <c r="BZ1260">
        <f t="shared" si="179"/>
        <v>0</v>
      </c>
      <c r="CA1260">
        <f t="shared" si="180"/>
        <v>1</v>
      </c>
      <c r="CB1260" t="b">
        <f t="shared" si="181"/>
        <v>1</v>
      </c>
    </row>
    <row r="1261" spans="1:80" x14ac:dyDescent="0.3">
      <c r="A1261" t="s">
        <v>9864</v>
      </c>
      <c r="B1261" t="s">
        <v>9865</v>
      </c>
      <c r="C1261" t="s">
        <v>9866</v>
      </c>
      <c r="D1261">
        <v>46</v>
      </c>
      <c r="E1261" s="1">
        <v>29055</v>
      </c>
      <c r="F1261" t="s">
        <v>89</v>
      </c>
      <c r="G1261" t="s">
        <v>75</v>
      </c>
      <c r="H1261" t="s">
        <v>9867</v>
      </c>
      <c r="I1261" t="s">
        <v>2523</v>
      </c>
      <c r="J1261" t="s">
        <v>89</v>
      </c>
      <c r="K1261" t="s">
        <v>89</v>
      </c>
      <c r="L1261" t="s">
        <v>180</v>
      </c>
      <c r="M1261">
        <v>28</v>
      </c>
      <c r="N1261" t="s">
        <v>4465</v>
      </c>
      <c r="O1261">
        <v>2007</v>
      </c>
      <c r="P1261" t="s">
        <v>9868</v>
      </c>
      <c r="Q1261" t="s">
        <v>9869</v>
      </c>
      <c r="R1261">
        <v>40806</v>
      </c>
      <c r="S1261" t="s">
        <v>9864</v>
      </c>
      <c r="T1261" t="s">
        <v>9870</v>
      </c>
      <c r="U1261">
        <v>1979</v>
      </c>
      <c r="V1261" t="s">
        <v>1130</v>
      </c>
      <c r="W1261">
        <v>1.78</v>
      </c>
      <c r="X1261" t="s">
        <v>9871</v>
      </c>
      <c r="Y1261" t="s">
        <v>391</v>
      </c>
      <c r="Z1261" t="s">
        <v>152</v>
      </c>
      <c r="AA1261" t="s">
        <v>9872</v>
      </c>
      <c r="AB1261" s="1">
        <v>43107</v>
      </c>
      <c r="AC1261" t="s">
        <v>108</v>
      </c>
      <c r="AD1261" t="s">
        <v>89</v>
      </c>
      <c r="AE1261" t="s">
        <v>2620</v>
      </c>
      <c r="AF1261">
        <v>28</v>
      </c>
      <c r="AG1261" t="s">
        <v>613</v>
      </c>
      <c r="AH1261" t="s">
        <v>7003</v>
      </c>
      <c r="AI1261">
        <v>27</v>
      </c>
      <c r="AJ1261" t="s">
        <v>615</v>
      </c>
      <c r="AK1261">
        <v>27</v>
      </c>
      <c r="AL1261" t="s">
        <v>89</v>
      </c>
      <c r="AM1261" t="s">
        <v>89</v>
      </c>
      <c r="AN1261" t="s">
        <v>89</v>
      </c>
      <c r="AO1261">
        <v>0</v>
      </c>
      <c r="AP1261" t="s">
        <v>93</v>
      </c>
      <c r="AQ1261" t="s">
        <v>89</v>
      </c>
      <c r="AR1261" t="s">
        <v>89</v>
      </c>
      <c r="AS1261" t="s">
        <v>111</v>
      </c>
      <c r="AT1261" s="1">
        <v>43107</v>
      </c>
      <c r="AU1261">
        <v>2018</v>
      </c>
      <c r="AV1261">
        <v>11</v>
      </c>
      <c r="AW1261">
        <v>11</v>
      </c>
      <c r="AX1261" t="s">
        <v>89</v>
      </c>
      <c r="AY1261" t="s">
        <v>93</v>
      </c>
      <c r="AZ1261">
        <v>0</v>
      </c>
      <c r="BA1261">
        <v>0</v>
      </c>
      <c r="BB1261">
        <v>0</v>
      </c>
      <c r="BC1261">
        <v>0</v>
      </c>
      <c r="BD1261">
        <v>101</v>
      </c>
      <c r="BE1261">
        <v>8240</v>
      </c>
      <c r="BF1261">
        <v>8</v>
      </c>
      <c r="BG1261">
        <v>39</v>
      </c>
      <c r="BH1261">
        <v>101</v>
      </c>
      <c r="BI1261">
        <v>8240</v>
      </c>
      <c r="BJ1261">
        <v>8</v>
      </c>
      <c r="BK1261">
        <f t="shared" si="173"/>
        <v>101</v>
      </c>
      <c r="BL1261">
        <f t="shared" si="174"/>
        <v>8240</v>
      </c>
      <c r="BM1261">
        <f t="shared" si="175"/>
        <v>8</v>
      </c>
      <c r="BN1261">
        <f t="shared" si="176"/>
        <v>0</v>
      </c>
      <c r="BO1261">
        <f t="shared" si="177"/>
        <v>0</v>
      </c>
      <c r="BP1261">
        <f t="shared" si="178"/>
        <v>0</v>
      </c>
      <c r="BQ1261" t="s">
        <v>391</v>
      </c>
      <c r="BR1261" t="s">
        <v>112</v>
      </c>
      <c r="BS1261" s="1">
        <v>29055</v>
      </c>
      <c r="BT1261">
        <v>46</v>
      </c>
      <c r="BU1261" s="1">
        <v>43107</v>
      </c>
      <c r="BV1261" s="1">
        <v>43282</v>
      </c>
      <c r="BW1261">
        <v>12</v>
      </c>
      <c r="BX1261">
        <v>1979</v>
      </c>
      <c r="BY1261">
        <v>12</v>
      </c>
      <c r="BZ1261">
        <f t="shared" si="179"/>
        <v>-1</v>
      </c>
      <c r="CA1261">
        <f t="shared" si="180"/>
        <v>0</v>
      </c>
      <c r="CB1261" t="b">
        <f t="shared" si="181"/>
        <v>0</v>
      </c>
    </row>
    <row r="1262" spans="1:80" x14ac:dyDescent="0.3">
      <c r="A1262" t="s">
        <v>9873</v>
      </c>
      <c r="B1262" t="s">
        <v>1231</v>
      </c>
      <c r="C1262" t="s">
        <v>9874</v>
      </c>
      <c r="D1262">
        <v>42</v>
      </c>
      <c r="E1262" s="1">
        <v>30329</v>
      </c>
      <c r="F1262" t="s">
        <v>89</v>
      </c>
      <c r="G1262" t="s">
        <v>413</v>
      </c>
      <c r="H1262" t="s">
        <v>1234</v>
      </c>
      <c r="I1262" t="s">
        <v>227</v>
      </c>
      <c r="J1262" t="s">
        <v>78</v>
      </c>
      <c r="K1262" t="s">
        <v>89</v>
      </c>
      <c r="L1262" t="s">
        <v>657</v>
      </c>
      <c r="M1262">
        <v>20</v>
      </c>
      <c r="N1262" t="s">
        <v>607</v>
      </c>
      <c r="O1262">
        <v>2003</v>
      </c>
      <c r="P1262" t="s">
        <v>9875</v>
      </c>
      <c r="Q1262" t="s">
        <v>9876</v>
      </c>
      <c r="R1262">
        <v>13872</v>
      </c>
      <c r="S1262" t="s">
        <v>9873</v>
      </c>
      <c r="T1262" t="s">
        <v>9877</v>
      </c>
      <c r="U1262">
        <v>1983</v>
      </c>
      <c r="V1262" t="s">
        <v>2619</v>
      </c>
      <c r="W1262">
        <v>1.83</v>
      </c>
      <c r="X1262" t="s">
        <v>1234</v>
      </c>
      <c r="Y1262" t="s">
        <v>235</v>
      </c>
      <c r="Z1262" t="s">
        <v>87</v>
      </c>
      <c r="AA1262" t="s">
        <v>2619</v>
      </c>
      <c r="AB1262" s="1">
        <v>44568</v>
      </c>
      <c r="AC1262" t="s">
        <v>108</v>
      </c>
      <c r="AD1262" t="s">
        <v>89</v>
      </c>
      <c r="AE1262" s="1">
        <v>37751</v>
      </c>
      <c r="AF1262">
        <v>20</v>
      </c>
      <c r="AG1262" t="s">
        <v>613</v>
      </c>
      <c r="AH1262">
        <v>40642</v>
      </c>
      <c r="AI1262">
        <v>28</v>
      </c>
      <c r="AJ1262" t="s">
        <v>110</v>
      </c>
      <c r="AK1262">
        <v>20</v>
      </c>
      <c r="AL1262">
        <v>5</v>
      </c>
      <c r="AM1262">
        <v>149</v>
      </c>
      <c r="AN1262">
        <v>29</v>
      </c>
      <c r="AO1262">
        <v>4</v>
      </c>
      <c r="AP1262" t="s">
        <v>93</v>
      </c>
      <c r="AQ1262" t="s">
        <v>89</v>
      </c>
      <c r="AR1262" t="s">
        <v>89</v>
      </c>
      <c r="AS1262" t="s">
        <v>111</v>
      </c>
      <c r="AT1262">
        <v>44568</v>
      </c>
      <c r="AU1262">
        <v>2022</v>
      </c>
      <c r="AV1262">
        <v>19</v>
      </c>
      <c r="AW1262">
        <v>19</v>
      </c>
      <c r="AX1262" t="s">
        <v>89</v>
      </c>
      <c r="AY1262" t="s">
        <v>93</v>
      </c>
      <c r="AZ1262">
        <v>0</v>
      </c>
      <c r="BA1262">
        <v>0</v>
      </c>
      <c r="BB1262">
        <v>0</v>
      </c>
      <c r="BC1262">
        <v>0</v>
      </c>
      <c r="BD1262">
        <v>283</v>
      </c>
      <c r="BE1262">
        <v>23298</v>
      </c>
      <c r="BF1262">
        <v>6</v>
      </c>
      <c r="BG1262">
        <v>39</v>
      </c>
      <c r="BH1262">
        <v>283</v>
      </c>
      <c r="BI1262">
        <v>23298</v>
      </c>
      <c r="BJ1262">
        <v>6</v>
      </c>
      <c r="BK1262">
        <f t="shared" si="173"/>
        <v>283</v>
      </c>
      <c r="BL1262">
        <f t="shared" si="174"/>
        <v>23298</v>
      </c>
      <c r="BM1262">
        <f t="shared" si="175"/>
        <v>6</v>
      </c>
      <c r="BN1262">
        <f t="shared" si="176"/>
        <v>0</v>
      </c>
      <c r="BO1262">
        <f t="shared" si="177"/>
        <v>0</v>
      </c>
      <c r="BP1262">
        <f t="shared" si="178"/>
        <v>0</v>
      </c>
      <c r="BQ1262" t="s">
        <v>235</v>
      </c>
      <c r="BR1262" t="s">
        <v>140</v>
      </c>
      <c r="BS1262" t="s">
        <v>89</v>
      </c>
      <c r="BT1262">
        <v>43</v>
      </c>
      <c r="BU1262">
        <v>44568</v>
      </c>
      <c r="BV1262" t="s">
        <v>89</v>
      </c>
      <c r="BW1262">
        <v>19</v>
      </c>
      <c r="BX1262">
        <v>1983</v>
      </c>
      <c r="BY1262">
        <v>19</v>
      </c>
      <c r="BZ1262">
        <f t="shared" si="179"/>
        <v>0</v>
      </c>
      <c r="CA1262">
        <f t="shared" si="180"/>
        <v>0</v>
      </c>
      <c r="CB1262" t="b">
        <f t="shared" si="181"/>
        <v>1</v>
      </c>
    </row>
    <row r="1263" spans="1:80" x14ac:dyDescent="0.3">
      <c r="A1263" t="s">
        <v>9878</v>
      </c>
      <c r="B1263" t="s">
        <v>552</v>
      </c>
      <c r="C1263" t="s">
        <v>9879</v>
      </c>
      <c r="D1263">
        <v>36</v>
      </c>
      <c r="E1263">
        <v>32515</v>
      </c>
      <c r="F1263" t="s">
        <v>89</v>
      </c>
      <c r="G1263" t="s">
        <v>75</v>
      </c>
      <c r="H1263" t="s">
        <v>554</v>
      </c>
      <c r="I1263" t="s">
        <v>299</v>
      </c>
      <c r="J1263" t="s">
        <v>300</v>
      </c>
      <c r="K1263" t="s">
        <v>89</v>
      </c>
      <c r="L1263" t="s">
        <v>228</v>
      </c>
      <c r="M1263">
        <v>21</v>
      </c>
      <c r="N1263" t="s">
        <v>1034</v>
      </c>
      <c r="O1263">
        <v>2010</v>
      </c>
      <c r="P1263" t="s">
        <v>9880</v>
      </c>
      <c r="Q1263" t="s">
        <v>9881</v>
      </c>
      <c r="R1263">
        <v>149540</v>
      </c>
      <c r="S1263" t="s">
        <v>9878</v>
      </c>
      <c r="T1263">
        <v>32690</v>
      </c>
      <c r="U1263">
        <v>1989</v>
      </c>
      <c r="V1263" t="s">
        <v>9882</v>
      </c>
      <c r="W1263">
        <v>1.74</v>
      </c>
      <c r="X1263" t="s">
        <v>560</v>
      </c>
      <c r="Y1263" t="s">
        <v>203</v>
      </c>
      <c r="Z1263" t="s">
        <v>152</v>
      </c>
      <c r="AA1263" t="s">
        <v>9883</v>
      </c>
      <c r="AB1263" s="1">
        <v>44933</v>
      </c>
      <c r="AC1263" t="s">
        <v>108</v>
      </c>
      <c r="AD1263" t="s">
        <v>89</v>
      </c>
      <c r="AE1263" t="s">
        <v>2065</v>
      </c>
      <c r="AF1263">
        <v>22</v>
      </c>
      <c r="AG1263" t="s">
        <v>206</v>
      </c>
      <c r="AH1263" t="s">
        <v>4058</v>
      </c>
      <c r="AI1263">
        <v>22</v>
      </c>
      <c r="AJ1263" t="s">
        <v>1044</v>
      </c>
      <c r="AK1263">
        <v>22</v>
      </c>
      <c r="AL1263">
        <v>4</v>
      </c>
      <c r="AM1263">
        <v>174</v>
      </c>
      <c r="AN1263">
        <v>25</v>
      </c>
      <c r="AO1263">
        <v>3</v>
      </c>
      <c r="AP1263" t="s">
        <v>93</v>
      </c>
      <c r="AQ1263" t="s">
        <v>89</v>
      </c>
      <c r="AR1263" t="s">
        <v>89</v>
      </c>
      <c r="AS1263" t="s">
        <v>111</v>
      </c>
      <c r="AT1263">
        <v>44933</v>
      </c>
      <c r="AU1263">
        <v>2023</v>
      </c>
      <c r="AV1263">
        <v>13</v>
      </c>
      <c r="AW1263">
        <v>13</v>
      </c>
      <c r="AX1263" t="s">
        <v>89</v>
      </c>
      <c r="AY1263" t="s">
        <v>111</v>
      </c>
      <c r="AZ1263">
        <v>3</v>
      </c>
      <c r="BA1263">
        <v>10</v>
      </c>
      <c r="BB1263">
        <v>702</v>
      </c>
      <c r="BC1263">
        <v>0</v>
      </c>
      <c r="BD1263">
        <v>249</v>
      </c>
      <c r="BE1263">
        <v>17016</v>
      </c>
      <c r="BF1263">
        <v>8</v>
      </c>
      <c r="BG1263">
        <v>34</v>
      </c>
      <c r="BH1263">
        <v>259</v>
      </c>
      <c r="BI1263">
        <v>17718</v>
      </c>
      <c r="BJ1263">
        <v>8</v>
      </c>
      <c r="BK1263">
        <f t="shared" si="173"/>
        <v>259</v>
      </c>
      <c r="BL1263">
        <f t="shared" si="174"/>
        <v>17718</v>
      </c>
      <c r="BM1263">
        <f t="shared" si="175"/>
        <v>8</v>
      </c>
      <c r="BN1263">
        <f t="shared" si="176"/>
        <v>0</v>
      </c>
      <c r="BO1263">
        <f t="shared" si="177"/>
        <v>0</v>
      </c>
      <c r="BP1263">
        <f t="shared" si="178"/>
        <v>0</v>
      </c>
      <c r="BQ1263" t="s">
        <v>203</v>
      </c>
      <c r="BR1263" t="s">
        <v>140</v>
      </c>
      <c r="BS1263" t="s">
        <v>89</v>
      </c>
      <c r="BT1263">
        <v>37</v>
      </c>
      <c r="BU1263">
        <v>44933</v>
      </c>
      <c r="BV1263" t="s">
        <v>89</v>
      </c>
      <c r="BW1263">
        <v>12</v>
      </c>
      <c r="BX1263">
        <v>1989</v>
      </c>
      <c r="BY1263">
        <v>12</v>
      </c>
      <c r="BZ1263">
        <f t="shared" si="179"/>
        <v>1</v>
      </c>
      <c r="CA1263">
        <f t="shared" si="180"/>
        <v>0</v>
      </c>
      <c r="CB1263" t="b">
        <f t="shared" si="181"/>
        <v>0</v>
      </c>
    </row>
    <row r="1264" spans="1:80" x14ac:dyDescent="0.3">
      <c r="A1264" t="s">
        <v>9884</v>
      </c>
      <c r="B1264" t="s">
        <v>71</v>
      </c>
      <c r="C1264" t="s">
        <v>9885</v>
      </c>
      <c r="D1264">
        <v>32</v>
      </c>
      <c r="E1264" s="1">
        <v>34110</v>
      </c>
      <c r="F1264" t="s">
        <v>89</v>
      </c>
      <c r="G1264" t="s">
        <v>160</v>
      </c>
      <c r="H1264" t="s">
        <v>89</v>
      </c>
      <c r="I1264" t="s">
        <v>1548</v>
      </c>
      <c r="J1264" t="s">
        <v>89</v>
      </c>
      <c r="K1264" t="s">
        <v>89</v>
      </c>
      <c r="L1264" t="s">
        <v>324</v>
      </c>
      <c r="M1264">
        <v>20</v>
      </c>
      <c r="N1264" t="s">
        <v>100</v>
      </c>
      <c r="O1264">
        <v>2013</v>
      </c>
      <c r="P1264" t="s">
        <v>9886</v>
      </c>
      <c r="Q1264" t="s">
        <v>9887</v>
      </c>
      <c r="R1264">
        <v>297785</v>
      </c>
      <c r="S1264" t="s">
        <v>9884</v>
      </c>
      <c r="T1264" t="s">
        <v>9888</v>
      </c>
      <c r="U1264">
        <v>1993</v>
      </c>
      <c r="V1264" t="s">
        <v>9889</v>
      </c>
      <c r="W1264">
        <v>1.81</v>
      </c>
      <c r="X1264" t="s">
        <v>76</v>
      </c>
      <c r="Y1264" t="s">
        <v>391</v>
      </c>
      <c r="Z1264" t="s">
        <v>152</v>
      </c>
      <c r="AA1264" t="s">
        <v>476</v>
      </c>
      <c r="AB1264" s="1">
        <v>44203</v>
      </c>
      <c r="AC1264" t="s">
        <v>108</v>
      </c>
      <c r="AD1264" t="s">
        <v>89</v>
      </c>
      <c r="AE1264" t="s">
        <v>9890</v>
      </c>
      <c r="AF1264">
        <v>20</v>
      </c>
      <c r="AG1264" t="s">
        <v>91</v>
      </c>
      <c r="AH1264" t="s">
        <v>92</v>
      </c>
      <c r="AI1264" t="s">
        <v>89</v>
      </c>
      <c r="AJ1264" t="s">
        <v>89</v>
      </c>
      <c r="AK1264">
        <v>20</v>
      </c>
      <c r="AL1264" t="s">
        <v>89</v>
      </c>
      <c r="AM1264" t="s">
        <v>89</v>
      </c>
      <c r="AN1264" t="s">
        <v>89</v>
      </c>
      <c r="AO1264">
        <v>0</v>
      </c>
      <c r="AP1264" t="s">
        <v>93</v>
      </c>
      <c r="AQ1264" t="s">
        <v>89</v>
      </c>
      <c r="AR1264" t="s">
        <v>89</v>
      </c>
      <c r="AS1264" t="s">
        <v>93</v>
      </c>
      <c r="AT1264" t="s">
        <v>89</v>
      </c>
      <c r="AU1264" t="s">
        <v>89</v>
      </c>
      <c r="AV1264" t="s">
        <v>89</v>
      </c>
      <c r="AW1264">
        <v>12</v>
      </c>
      <c r="AX1264" t="s">
        <v>89</v>
      </c>
      <c r="AY1264" t="s">
        <v>93</v>
      </c>
      <c r="AZ1264">
        <v>0</v>
      </c>
      <c r="BA1264">
        <v>0</v>
      </c>
      <c r="BB1264">
        <v>0</v>
      </c>
      <c r="BC1264">
        <v>0</v>
      </c>
      <c r="BD1264">
        <v>1</v>
      </c>
      <c r="BE1264">
        <v>6</v>
      </c>
      <c r="BF1264">
        <v>0</v>
      </c>
      <c r="BG1264" t="s">
        <v>89</v>
      </c>
      <c r="BH1264">
        <v>1</v>
      </c>
      <c r="BI1264">
        <v>6</v>
      </c>
      <c r="BJ1264">
        <v>0</v>
      </c>
      <c r="BK1264">
        <f t="shared" si="173"/>
        <v>1</v>
      </c>
      <c r="BL1264">
        <f t="shared" si="174"/>
        <v>6</v>
      </c>
      <c r="BM1264">
        <f t="shared" si="175"/>
        <v>0</v>
      </c>
      <c r="BN1264">
        <f t="shared" si="176"/>
        <v>0</v>
      </c>
      <c r="BO1264">
        <f t="shared" si="177"/>
        <v>0</v>
      </c>
      <c r="BP1264">
        <f t="shared" si="178"/>
        <v>0</v>
      </c>
      <c r="BQ1264" t="s">
        <v>391</v>
      </c>
      <c r="BR1264" t="s">
        <v>112</v>
      </c>
      <c r="BS1264" t="s">
        <v>89</v>
      </c>
      <c r="BT1264">
        <v>33</v>
      </c>
      <c r="BU1264" t="s">
        <v>89</v>
      </c>
      <c r="BV1264" t="s">
        <v>89</v>
      </c>
      <c r="BW1264">
        <v>13</v>
      </c>
      <c r="BX1264">
        <v>1993</v>
      </c>
      <c r="BY1264">
        <v>12</v>
      </c>
      <c r="BZ1264">
        <f t="shared" si="179"/>
        <v>-1</v>
      </c>
      <c r="CA1264">
        <f t="shared" si="180"/>
        <v>1</v>
      </c>
      <c r="CB1264" t="b">
        <f t="shared" si="181"/>
        <v>0</v>
      </c>
    </row>
  </sheetData>
  <autoFilter ref="A1:CB1264" xr:uid="{50E503F9-F8B3-4474-BE50-0070C8B8E5A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la_liga_stats_2010_2015_depured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Michelle Hernandez Bustos</cp:lastModifiedBy>
  <dcterms:created xsi:type="dcterms:W3CDTF">2026-02-17T18:13:38Z</dcterms:created>
  <dcterms:modified xsi:type="dcterms:W3CDTF">2026-02-17T18:13:38Z</dcterms:modified>
</cp:coreProperties>
</file>